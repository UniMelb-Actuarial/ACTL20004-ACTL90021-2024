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avanzi/Dropbox/Mac (3)/Documents/GitHub/ACTL20004-ACTL90021-2024/xlfiles/"/>
    </mc:Choice>
  </mc:AlternateContent>
  <xr:revisionPtr revIDLastSave="0" documentId="13_ncr:1_{222945BA-378C-AA49-9927-1E0C0105556E}" xr6:coauthVersionLast="47" xr6:coauthVersionMax="47" xr10:uidLastSave="{00000000-0000-0000-0000-000000000000}"/>
  <bookViews>
    <workbookView xWindow="4880" yWindow="760" windowWidth="40480" windowHeight="17140" xr2:uid="{B7D3D78A-6740-C744-9570-1357A85CE16F}"/>
  </bookViews>
  <sheets>
    <sheet name="Pokemon data" sheetId="2" r:id="rId1"/>
    <sheet name="FIFA WWC" sheetId="3" r:id="rId2"/>
    <sheet name="M6.1 - Assumed Knowledge" sheetId="1" r:id="rId3"/>
  </sheets>
  <definedNames>
    <definedName name="age">'FIFA WWC'!$E$4:$E$139</definedName>
    <definedName name="assists">'FIFA WWC'!$L$4:$L$139</definedName>
    <definedName name="assists_per_90">'FIFA WWC'!$S$4:$S$139</definedName>
    <definedName name="Attacking">'Pokemon data'!$A$2:$A$19</definedName>
    <definedName name="Bug">'Pokemon data'!$M$2:$M$19</definedName>
    <definedName name="Dark">'Pokemon data'!$Q$2:$Q$19</definedName>
    <definedName name="Dragon">'Pokemon data'!$P$2:$P$19</definedName>
    <definedName name="Electric">'Pokemon data'!$E$2:$E$19</definedName>
    <definedName name="Fairy">'Pokemon data'!$S$2:$S$19</definedName>
    <definedName name="FiFA">'FIFA WWC'!$A$3:$V$139</definedName>
    <definedName name="Fighting">'Pokemon data'!$H$2:$H$19</definedName>
    <definedName name="Fire">'Pokemon data'!$C$2:$C$19</definedName>
    <definedName name="Flying">'Pokemon data'!$K$2:$K$19</definedName>
    <definedName name="Ghost">'Pokemon data'!$O$2:$O$19</definedName>
    <definedName name="goals">'FIFA WWC'!$K$4:$K$139</definedName>
    <definedName name="goals_minus_penalty_kicks_per_90">'FIFA WWC'!$U$4:$U$139</definedName>
    <definedName name="goals_per_90">'FIFA WWC'!$R$4:$R$139</definedName>
    <definedName name="goals_plus_assists_minus_penalty_kicks_per_90">'FIFA WWC'!$V$4:$V$139</definedName>
    <definedName name="goals_plus_assists_per_90">'FIFA WWC'!$T$4:$T$139</definedName>
    <definedName name="Grass">'Pokemon data'!$F$2:$F$19</definedName>
    <definedName name="Ground">'Pokemon data'!$J$2:$J$19</definedName>
    <definedName name="Ice">'Pokemon data'!$G$2:$G$19</definedName>
    <definedName name="id">'FIFA WWC'!$A$4:$A$139</definedName>
    <definedName name="loss_ratios">#REF!</definedName>
    <definedName name="lossratios">#REF!</definedName>
    <definedName name="matches_played">'FIFA WWC'!$G$4:$G$139</definedName>
    <definedName name="min_playing_time">'FIFA WWC'!$I$4:$I$139</definedName>
    <definedName name="minutes_played_90s">'FIFA WWC'!$J$4:$J$139</definedName>
    <definedName name="monthly_profit">#REF!</definedName>
    <definedName name="months">#REF!</definedName>
    <definedName name="non_penalty_goals">'FIFA WWC'!$M$4:$M$139</definedName>
    <definedName name="Normal">'Pokemon data'!$B$2:$S$2</definedName>
    <definedName name="penalty_kicks_attempted">'FIFA WWC'!$O$4:$O$139</definedName>
    <definedName name="penalty_kicks_made">'FIFA WWC'!$N$4:$N$139</definedName>
    <definedName name="players">'FIFA WWC'!$D$4:$D$139</definedName>
    <definedName name="Poison">'Pokemon data'!$I$2:$I$19</definedName>
    <definedName name="pokemon">'Pokemon data'!$A$1:$S$19</definedName>
    <definedName name="possesion">'FIFA WWC'!$F$4:$F$139</definedName>
    <definedName name="products">#REF!</definedName>
    <definedName name="Psychic">'Pokemon data'!$L$2:$L$19</definedName>
    <definedName name="red_cards">'FIFA WWC'!$Q$4:$Q$139</definedName>
    <definedName name="Rock">'Pokemon data'!$N$2:$N$19</definedName>
    <definedName name="squad">'FIFA WWC'!$B$4:$B$139</definedName>
    <definedName name="starts">'FIFA WWC'!$H$4:$H$139</definedName>
    <definedName name="Steel">'Pokemon data'!$R$2:$R$19</definedName>
    <definedName name="tblProduct">#REF!</definedName>
    <definedName name="Water">'Pokemon data'!$D$2:$D$19</definedName>
    <definedName name="weekly_profit">#REF!</definedName>
    <definedName name="year">'FIFA WWC'!$C$4:$C$139</definedName>
    <definedName name="yellow_cards">'FIFA WWC'!$P$4:$P$139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0" i="1" l="1" a="1"/>
  <c r="A160" i="1" s="1"/>
  <c r="I18" i="1"/>
  <c r="G18" i="1"/>
  <c r="B9" i="1"/>
  <c r="G160" i="1" l="1" a="1"/>
  <c r="G160" i="1" s="1"/>
  <c r="E160" i="1" a="1"/>
  <c r="E160" i="1" s="1"/>
  <c r="E18" i="1" a="1"/>
  <c r="E18" i="1" s="1"/>
  <c r="C18" i="1" a="1"/>
  <c r="C18" i="1" s="1"/>
  <c r="A18" i="1" a="1"/>
  <c r="A18" i="1" s="1"/>
  <c r="N9" i="1"/>
  <c r="J9" i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tc={F73317AD-2338-C446-8E48-6719AA927BD8}</author>
    <author>tc={AAFA770F-5E85-144B-9179-AF7F5981525F}</author>
  </authors>
  <commentList>
    <comment ref="C16" authorId="0" shapeId="0" xr:uid="{F73317AD-2338-C446-8E48-6719AA927B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how the formula proceeds to the second condition only if the first is not verified.</t>
      </text>
    </comment>
    <comment ref="E16" authorId="1" shapeId="0" xr:uid="{AAFA770F-5E85-144B-9179-AF7F5981525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how the “TRUE” condition at the end (which is always true!!) is a catch all condition (default if none of the preceding conditions are verified)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<sst xmlns="http://schemas.openxmlformats.org/spreadsheetml/2006/main" count="208" uniqueCount="89">
  <si>
    <t>Attacking</t>
  </si>
  <si>
    <t>Normal</t>
  </si>
  <si>
    <t>Fire</t>
  </si>
  <si>
    <t>Water</t>
  </si>
  <si>
    <t>Electric</t>
  </si>
  <si>
    <t>Grass</t>
  </si>
  <si>
    <t>Ice</t>
  </si>
  <si>
    <t>Fighting</t>
  </si>
  <si>
    <t>Poison</t>
  </si>
  <si>
    <t>Ground</t>
  </si>
  <si>
    <t>Flying</t>
  </si>
  <si>
    <t>Psychic</t>
  </si>
  <si>
    <t>Bug</t>
  </si>
  <si>
    <t>Rock</t>
  </si>
  <si>
    <t>Ghost</t>
  </si>
  <si>
    <t>Dragon</t>
  </si>
  <si>
    <t>Dark</t>
  </si>
  <si>
    <t>Steel</t>
  </si>
  <si>
    <t>Fairy</t>
  </si>
  <si>
    <t>Source:</t>
  </si>
  <si>
    <t>https://github.com/zonination/pokemon-chart/blob/master/chart.csv</t>
  </si>
  <si>
    <t>FIFA Women's World Cup Stats (1991 - 2019)</t>
  </si>
  <si>
    <t>id</t>
  </si>
  <si>
    <t>squad</t>
  </si>
  <si>
    <t>year</t>
  </si>
  <si>
    <t>players</t>
  </si>
  <si>
    <t>age</t>
  </si>
  <si>
    <t>possesion</t>
  </si>
  <si>
    <t>matches_played</t>
  </si>
  <si>
    <t>starts</t>
  </si>
  <si>
    <t>min_playing_time</t>
  </si>
  <si>
    <t>minutes_played_90s</t>
  </si>
  <si>
    <t>goals</t>
  </si>
  <si>
    <t>assists</t>
  </si>
  <si>
    <t>non_penalty_goals</t>
  </si>
  <si>
    <t>penalty_kicks_made</t>
  </si>
  <si>
    <t>penalty_kicks_attempted</t>
  </si>
  <si>
    <t>yellow_cards</t>
  </si>
  <si>
    <t>red_cards</t>
  </si>
  <si>
    <t>goals_per_90</t>
  </si>
  <si>
    <t>assists_per_90</t>
  </si>
  <si>
    <t>goals_plus_assists_per_90</t>
  </si>
  <si>
    <t>goals_minus_penalty_kicks_per_90</t>
  </si>
  <si>
    <t>goals_plus_assists_minus_penalty_kicks_per_90</t>
  </si>
  <si>
    <t>Argentina</t>
  </si>
  <si>
    <t>Australia</t>
  </si>
  <si>
    <t>Brazil</t>
  </si>
  <si>
    <t>Cameroon</t>
  </si>
  <si>
    <t>Canada</t>
  </si>
  <si>
    <t>Chile</t>
  </si>
  <si>
    <t>China PR</t>
  </si>
  <si>
    <t>England</t>
  </si>
  <si>
    <t>France</t>
  </si>
  <si>
    <t>Germany</t>
  </si>
  <si>
    <t>Italy</t>
  </si>
  <si>
    <t>Jamaica</t>
  </si>
  <si>
    <t>Japan</t>
  </si>
  <si>
    <t>Korea Rep</t>
  </si>
  <si>
    <t>Netherlands</t>
  </si>
  <si>
    <t>New Zealand</t>
  </si>
  <si>
    <t>Nigeria</t>
  </si>
  <si>
    <t>Norway</t>
  </si>
  <si>
    <t>Scotland</t>
  </si>
  <si>
    <t>South Africa</t>
  </si>
  <si>
    <t>Spain</t>
  </si>
  <si>
    <t>Sweden</t>
  </si>
  <si>
    <t>Thailand</t>
  </si>
  <si>
    <t>USA</t>
  </si>
  <si>
    <t>Colombia</t>
  </si>
  <si>
    <t>Costa Rica</t>
  </si>
  <si>
    <t>C√¥te d'Ivoire</t>
  </si>
  <si>
    <t>Ecuador</t>
  </si>
  <si>
    <t>Mexico</t>
  </si>
  <si>
    <t>Switzerland</t>
  </si>
  <si>
    <t>Equ. Guinea</t>
  </si>
  <si>
    <t>Korea DPR</t>
  </si>
  <si>
    <t>Denmark</t>
  </si>
  <si>
    <t>Ghana</t>
  </si>
  <si>
    <t>Russia</t>
  </si>
  <si>
    <t>Chinese Taipei</t>
  </si>
  <si>
    <t>Absolute and mixed cell references: Chapter 7 EE19, pages 332-342</t>
  </si>
  <si>
    <t>Pull the formula in the top left corner right, and down, over the yellow area. Can you explain the differences?</t>
  </si>
  <si>
    <t>New Excel 2019 functions (IFS, MAXIFS, MINIFS): Chapter 8, pages 381-398</t>
  </si>
  <si>
    <t>Simple if:</t>
  </si>
  <si>
    <t>IFS</t>
  </si>
  <si>
    <t>MAXIFS</t>
  </si>
  <si>
    <t>MINIFS</t>
  </si>
  <si>
    <t>Paste with transpose will achieve the same as transpose:</t>
  </si>
  <si>
    <t>Paste special: Chapter 11, pages 518-530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</si>
</sst>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color rgb="FF000000"/>
      <name val="Arial Unicode MS"/>
      <family val="2"/>
    </font>
    <font>
      <sz val="14"/>
      <color rgb="FF3C4043"/>
      <name val="Arial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3" fillId="0" borderId="0" xfId="1"/>
    <xf numFmtId="0" fontId="5" fillId="0" borderId="0" xfId="0" applyFont="1"/>
    <xf numFmtId="0" fontId="0" fillId="0" borderId="10" xfId="0" applyBorder="1"/>
    <xf numFmtId="0" fontId="0" fillId="2" borderId="10" xfId="0" applyFill="1" applyBorder="1"/>
  </cellXfs>
  <cellStyles count="3">
    <cellStyle name="Hyperlink" xfId="1" builtinId="8"/>
    <cellStyle name="Normal" xfId="0" builtinId="0"/>
    <cellStyle name="Per cent 2" xfId="2" xr:uid="{905027FE-9333-1A4A-81D0-E99E9246473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431800</xdr:colOff>
      <xdr:row>32</xdr:row>
      <xdr:rowOff>82550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86800" y="68389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enjamin Avanzi" id="{41D526D4-9D67-3148-83A7-7F4FDCAD8DB6}" userId="S::b.avanzi@unimelb.edu.au::4c1a0c65-cf17-4469-a7d7-15c887ee25bb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6" dT="2023-08-17T09:47:37.39" personId="{41D526D4-9D67-3148-83A7-7F4FDCAD8DB6}" id="{F73317AD-2338-C446-8E48-6719AA927BD8}">
    <text>Note how the formula proceeds to the second condition only if the first is not verified.</text>
  </threadedComment>
  <threadedComment ref="E16" dT="2023-08-17T09:47:37.39" personId="{41D526D4-9D67-3148-83A7-7F4FDCAD8DB6}" id="{AAFA770F-5E85-144B-9179-AF7F5981525F}">
    <text>note how the “TRUE” condition at the end (which is always true!!) is a catch all condition (default if none of the preceding conditions are verified)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zonination/pokemon-chart/blob/master/chart.cs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C904-E326-9543-B211-79A5D7A9CA2E}">
  <sheetPr codeName="Sheet1"/>
  <dimension ref="A1:S22"/>
  <sheetViews>
    <sheetView tabSelected="1" workbookViewId="0">
      <selection activeCell="B25" sqref="B25"/>
    </sheetView>
  </sheetViews>
  <sheetFormatPr baseColWidth="10" defaultColWidth="11" defaultRowHeight="16" x14ac:dyDescent="0.2"/>
  <sheetData>
    <row r="1" spans="1:19" ht="17" x14ac:dyDescent="0.25">
      <c r="A1" s="13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t="17" x14ac:dyDescent="0.25">
      <c r="A2" s="13" t="s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0.5</v>
      </c>
      <c r="O2">
        <v>0</v>
      </c>
      <c r="P2">
        <v>1</v>
      </c>
      <c r="Q2">
        <v>1</v>
      </c>
      <c r="R2">
        <v>0.5</v>
      </c>
      <c r="S2">
        <v>1</v>
      </c>
    </row>
    <row r="3" spans="1:19" ht="17" x14ac:dyDescent="0.25">
      <c r="A3" s="13" t="s">
        <v>2</v>
      </c>
      <c r="B3">
        <v>1</v>
      </c>
      <c r="C3">
        <v>0.5</v>
      </c>
      <c r="D3">
        <v>0.5</v>
      </c>
      <c r="E3">
        <v>1</v>
      </c>
      <c r="F3">
        <v>2</v>
      </c>
      <c r="G3">
        <v>2</v>
      </c>
      <c r="H3">
        <v>1</v>
      </c>
      <c r="I3">
        <v>1</v>
      </c>
      <c r="J3">
        <v>1</v>
      </c>
      <c r="K3">
        <v>1</v>
      </c>
      <c r="L3">
        <v>1</v>
      </c>
      <c r="M3">
        <v>2</v>
      </c>
      <c r="N3">
        <v>0.5</v>
      </c>
      <c r="O3">
        <v>1</v>
      </c>
      <c r="P3">
        <v>0.5</v>
      </c>
      <c r="Q3">
        <v>1</v>
      </c>
      <c r="R3">
        <v>2</v>
      </c>
      <c r="S3">
        <v>1</v>
      </c>
    </row>
    <row r="4" spans="1:19" ht="17" x14ac:dyDescent="0.25">
      <c r="A4" s="13" t="s">
        <v>3</v>
      </c>
      <c r="B4">
        <v>1</v>
      </c>
      <c r="C4">
        <v>2</v>
      </c>
      <c r="D4">
        <v>0.5</v>
      </c>
      <c r="E4">
        <v>1</v>
      </c>
      <c r="F4">
        <v>0.5</v>
      </c>
      <c r="G4">
        <v>1</v>
      </c>
      <c r="H4">
        <v>1</v>
      </c>
      <c r="I4">
        <v>1</v>
      </c>
      <c r="J4">
        <v>2</v>
      </c>
      <c r="K4">
        <v>1</v>
      </c>
      <c r="L4">
        <v>1</v>
      </c>
      <c r="M4">
        <v>1</v>
      </c>
      <c r="N4">
        <v>2</v>
      </c>
      <c r="O4">
        <v>1</v>
      </c>
      <c r="P4">
        <v>0.5</v>
      </c>
      <c r="Q4">
        <v>1</v>
      </c>
      <c r="R4">
        <v>1</v>
      </c>
      <c r="S4">
        <v>1</v>
      </c>
    </row>
    <row r="5" spans="1:19" ht="17" x14ac:dyDescent="0.25">
      <c r="A5" s="13" t="s">
        <v>4</v>
      </c>
      <c r="B5">
        <v>1</v>
      </c>
      <c r="C5">
        <v>1</v>
      </c>
      <c r="D5">
        <v>2</v>
      </c>
      <c r="E5">
        <v>0.5</v>
      </c>
      <c r="F5">
        <v>0.5</v>
      </c>
      <c r="G5">
        <v>1</v>
      </c>
      <c r="H5">
        <v>1</v>
      </c>
      <c r="I5">
        <v>1</v>
      </c>
      <c r="J5">
        <v>0</v>
      </c>
      <c r="K5">
        <v>2</v>
      </c>
      <c r="L5">
        <v>1</v>
      </c>
      <c r="M5">
        <v>1</v>
      </c>
      <c r="N5">
        <v>1</v>
      </c>
      <c r="O5">
        <v>1</v>
      </c>
      <c r="P5">
        <v>0.5</v>
      </c>
      <c r="Q5">
        <v>1</v>
      </c>
      <c r="R5">
        <v>1</v>
      </c>
      <c r="S5">
        <v>1</v>
      </c>
    </row>
    <row r="6" spans="1:19" ht="17" x14ac:dyDescent="0.25">
      <c r="A6" s="13" t="s">
        <v>5</v>
      </c>
      <c r="B6">
        <v>1</v>
      </c>
      <c r="C6">
        <v>0.5</v>
      </c>
      <c r="D6">
        <v>2</v>
      </c>
      <c r="E6">
        <v>1</v>
      </c>
      <c r="F6">
        <v>0.5</v>
      </c>
      <c r="G6">
        <v>1</v>
      </c>
      <c r="H6">
        <v>1</v>
      </c>
      <c r="I6">
        <v>0.5</v>
      </c>
      <c r="J6">
        <v>2</v>
      </c>
      <c r="K6">
        <v>0.5</v>
      </c>
      <c r="L6">
        <v>1</v>
      </c>
      <c r="M6">
        <v>0.5</v>
      </c>
      <c r="N6">
        <v>2</v>
      </c>
      <c r="O6">
        <v>1</v>
      </c>
      <c r="P6">
        <v>0.5</v>
      </c>
      <c r="Q6">
        <v>1</v>
      </c>
      <c r="R6">
        <v>0.5</v>
      </c>
      <c r="S6">
        <v>1</v>
      </c>
    </row>
    <row r="7" spans="1:19" ht="17" x14ac:dyDescent="0.25">
      <c r="A7" s="13" t="s">
        <v>6</v>
      </c>
      <c r="B7">
        <v>1</v>
      </c>
      <c r="C7">
        <v>0.5</v>
      </c>
      <c r="D7">
        <v>0.5</v>
      </c>
      <c r="E7">
        <v>1</v>
      </c>
      <c r="F7">
        <v>2</v>
      </c>
      <c r="G7">
        <v>0.5</v>
      </c>
      <c r="H7">
        <v>1</v>
      </c>
      <c r="I7">
        <v>1</v>
      </c>
      <c r="J7">
        <v>2</v>
      </c>
      <c r="K7">
        <v>2</v>
      </c>
      <c r="L7">
        <v>1</v>
      </c>
      <c r="M7">
        <v>1</v>
      </c>
      <c r="N7">
        <v>1</v>
      </c>
      <c r="O7">
        <v>1</v>
      </c>
      <c r="P7">
        <v>2</v>
      </c>
      <c r="Q7">
        <v>1</v>
      </c>
      <c r="R7">
        <v>0.5</v>
      </c>
      <c r="S7">
        <v>1</v>
      </c>
    </row>
    <row r="8" spans="1:19" ht="17" x14ac:dyDescent="0.25">
      <c r="A8" s="13" t="s">
        <v>7</v>
      </c>
      <c r="B8">
        <v>2</v>
      </c>
      <c r="C8">
        <v>1</v>
      </c>
      <c r="D8">
        <v>1</v>
      </c>
      <c r="E8">
        <v>1</v>
      </c>
      <c r="F8">
        <v>1</v>
      </c>
      <c r="G8">
        <v>2</v>
      </c>
      <c r="H8">
        <v>1</v>
      </c>
      <c r="I8">
        <v>0.5</v>
      </c>
      <c r="J8">
        <v>1</v>
      </c>
      <c r="K8">
        <v>0.5</v>
      </c>
      <c r="L8">
        <v>0.5</v>
      </c>
      <c r="M8">
        <v>0.5</v>
      </c>
      <c r="N8">
        <v>2</v>
      </c>
      <c r="O8">
        <v>0</v>
      </c>
      <c r="P8">
        <v>1</v>
      </c>
      <c r="Q8">
        <v>2</v>
      </c>
      <c r="R8">
        <v>2</v>
      </c>
      <c r="S8">
        <v>0.5</v>
      </c>
    </row>
    <row r="9" spans="1:19" ht="17" x14ac:dyDescent="0.25">
      <c r="A9" s="13" t="s">
        <v>8</v>
      </c>
      <c r="B9">
        <v>1</v>
      </c>
      <c r="C9">
        <v>1</v>
      </c>
      <c r="D9">
        <v>1</v>
      </c>
      <c r="E9">
        <v>1</v>
      </c>
      <c r="F9">
        <v>2</v>
      </c>
      <c r="G9">
        <v>1</v>
      </c>
      <c r="H9">
        <v>1</v>
      </c>
      <c r="I9">
        <v>0.5</v>
      </c>
      <c r="J9">
        <v>0.5</v>
      </c>
      <c r="K9">
        <v>1</v>
      </c>
      <c r="L9">
        <v>1</v>
      </c>
      <c r="M9">
        <v>1</v>
      </c>
      <c r="N9">
        <v>0.5</v>
      </c>
      <c r="O9">
        <v>0.5</v>
      </c>
      <c r="P9">
        <v>1</v>
      </c>
      <c r="Q9">
        <v>1</v>
      </c>
      <c r="R9">
        <v>0</v>
      </c>
      <c r="S9">
        <v>2</v>
      </c>
    </row>
    <row r="10" spans="1:19" ht="17" x14ac:dyDescent="0.25">
      <c r="A10" s="13" t="s">
        <v>9</v>
      </c>
      <c r="B10">
        <v>1</v>
      </c>
      <c r="C10">
        <v>2</v>
      </c>
      <c r="D10">
        <v>1</v>
      </c>
      <c r="E10">
        <v>2</v>
      </c>
      <c r="F10">
        <v>0.5</v>
      </c>
      <c r="G10">
        <v>1</v>
      </c>
      <c r="H10">
        <v>1</v>
      </c>
      <c r="I10">
        <v>2</v>
      </c>
      <c r="J10">
        <v>1</v>
      </c>
      <c r="K10">
        <v>0</v>
      </c>
      <c r="L10">
        <v>1</v>
      </c>
      <c r="M10">
        <v>0.5</v>
      </c>
      <c r="N10">
        <v>2</v>
      </c>
      <c r="O10">
        <v>1</v>
      </c>
      <c r="P10">
        <v>1</v>
      </c>
      <c r="Q10">
        <v>1</v>
      </c>
      <c r="R10">
        <v>2</v>
      </c>
      <c r="S10">
        <v>1</v>
      </c>
    </row>
    <row r="11" spans="1:19" ht="17" x14ac:dyDescent="0.25">
      <c r="A11" s="13" t="s">
        <v>10</v>
      </c>
      <c r="B11">
        <v>1</v>
      </c>
      <c r="C11">
        <v>1</v>
      </c>
      <c r="D11">
        <v>1</v>
      </c>
      <c r="E11">
        <v>0.5</v>
      </c>
      <c r="F11">
        <v>2</v>
      </c>
      <c r="G11">
        <v>1</v>
      </c>
      <c r="H11">
        <v>2</v>
      </c>
      <c r="I11">
        <v>1</v>
      </c>
      <c r="J11">
        <v>1</v>
      </c>
      <c r="K11">
        <v>1</v>
      </c>
      <c r="L11">
        <v>1</v>
      </c>
      <c r="M11">
        <v>2</v>
      </c>
      <c r="N11">
        <v>0.5</v>
      </c>
      <c r="O11">
        <v>1</v>
      </c>
      <c r="P11">
        <v>1</v>
      </c>
      <c r="Q11">
        <v>1</v>
      </c>
      <c r="R11">
        <v>0.5</v>
      </c>
      <c r="S11">
        <v>1</v>
      </c>
    </row>
    <row r="12" spans="1:19" ht="17" x14ac:dyDescent="0.25">
      <c r="A12" s="13" t="s">
        <v>11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2</v>
      </c>
      <c r="I12">
        <v>2</v>
      </c>
      <c r="J12">
        <v>1</v>
      </c>
      <c r="K12">
        <v>1</v>
      </c>
      <c r="L12">
        <v>0.5</v>
      </c>
      <c r="M12">
        <v>1</v>
      </c>
      <c r="N12">
        <v>1</v>
      </c>
      <c r="O12">
        <v>1</v>
      </c>
      <c r="P12">
        <v>1</v>
      </c>
      <c r="Q12">
        <v>0</v>
      </c>
      <c r="R12">
        <v>0.5</v>
      </c>
      <c r="S12">
        <v>1</v>
      </c>
    </row>
    <row r="13" spans="1:19" ht="17" x14ac:dyDescent="0.25">
      <c r="A13" s="13" t="s">
        <v>12</v>
      </c>
      <c r="B13">
        <v>1</v>
      </c>
      <c r="C13">
        <v>0.5</v>
      </c>
      <c r="D13">
        <v>1</v>
      </c>
      <c r="E13">
        <v>1</v>
      </c>
      <c r="F13">
        <v>2</v>
      </c>
      <c r="G13">
        <v>1</v>
      </c>
      <c r="H13">
        <v>0.5</v>
      </c>
      <c r="I13">
        <v>0.5</v>
      </c>
      <c r="J13">
        <v>1</v>
      </c>
      <c r="K13">
        <v>0.5</v>
      </c>
      <c r="L13">
        <v>2</v>
      </c>
      <c r="M13">
        <v>1</v>
      </c>
      <c r="N13">
        <v>1</v>
      </c>
      <c r="O13">
        <v>0.5</v>
      </c>
      <c r="P13">
        <v>1</v>
      </c>
      <c r="Q13">
        <v>2</v>
      </c>
      <c r="R13">
        <v>0.5</v>
      </c>
      <c r="S13">
        <v>0.5</v>
      </c>
    </row>
    <row r="14" spans="1:19" ht="17" x14ac:dyDescent="0.25">
      <c r="A14" s="13" t="s">
        <v>13</v>
      </c>
      <c r="B14">
        <v>1</v>
      </c>
      <c r="C14">
        <v>2</v>
      </c>
      <c r="D14">
        <v>1</v>
      </c>
      <c r="E14">
        <v>1</v>
      </c>
      <c r="F14">
        <v>1</v>
      </c>
      <c r="G14">
        <v>2</v>
      </c>
      <c r="H14">
        <v>0.5</v>
      </c>
      <c r="I14">
        <v>1</v>
      </c>
      <c r="J14">
        <v>0.5</v>
      </c>
      <c r="K14">
        <v>2</v>
      </c>
      <c r="L14">
        <v>1</v>
      </c>
      <c r="M14">
        <v>2</v>
      </c>
      <c r="N14">
        <v>1</v>
      </c>
      <c r="O14">
        <v>1</v>
      </c>
      <c r="P14">
        <v>1</v>
      </c>
      <c r="Q14">
        <v>1</v>
      </c>
      <c r="R14">
        <v>0.5</v>
      </c>
      <c r="S14">
        <v>1</v>
      </c>
    </row>
    <row r="15" spans="1:19" ht="17" x14ac:dyDescent="0.25">
      <c r="A15" s="13" t="s">
        <v>14</v>
      </c>
      <c r="B15">
        <v>0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2</v>
      </c>
      <c r="M15">
        <v>1</v>
      </c>
      <c r="N15">
        <v>1</v>
      </c>
      <c r="O15">
        <v>2</v>
      </c>
      <c r="P15">
        <v>1</v>
      </c>
      <c r="Q15">
        <v>0.5</v>
      </c>
      <c r="R15">
        <v>1</v>
      </c>
      <c r="S15">
        <v>1</v>
      </c>
    </row>
    <row r="16" spans="1:19" ht="17" x14ac:dyDescent="0.25">
      <c r="A16" s="13" t="s">
        <v>15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2</v>
      </c>
      <c r="Q16">
        <v>1</v>
      </c>
      <c r="R16">
        <v>0.5</v>
      </c>
      <c r="S16">
        <v>0</v>
      </c>
    </row>
    <row r="17" spans="1:19" ht="17" x14ac:dyDescent="0.25">
      <c r="A17" s="13" t="s">
        <v>16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0.5</v>
      </c>
      <c r="I17">
        <v>1</v>
      </c>
      <c r="J17">
        <v>1</v>
      </c>
      <c r="K17">
        <v>1</v>
      </c>
      <c r="L17">
        <v>2</v>
      </c>
      <c r="M17">
        <v>1</v>
      </c>
      <c r="N17">
        <v>1</v>
      </c>
      <c r="O17">
        <v>2</v>
      </c>
      <c r="P17">
        <v>1</v>
      </c>
      <c r="Q17">
        <v>0.5</v>
      </c>
      <c r="R17">
        <v>1</v>
      </c>
      <c r="S17">
        <v>0.5</v>
      </c>
    </row>
    <row r="18" spans="1:19" ht="17" x14ac:dyDescent="0.25">
      <c r="A18" s="13" t="s">
        <v>17</v>
      </c>
      <c r="B18">
        <v>1</v>
      </c>
      <c r="C18">
        <v>0.5</v>
      </c>
      <c r="D18">
        <v>0.5</v>
      </c>
      <c r="E18">
        <v>0.5</v>
      </c>
      <c r="F18">
        <v>1</v>
      </c>
      <c r="G18">
        <v>2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2</v>
      </c>
      <c r="O18">
        <v>1</v>
      </c>
      <c r="P18">
        <v>1</v>
      </c>
      <c r="Q18">
        <v>1</v>
      </c>
      <c r="R18">
        <v>0.5</v>
      </c>
      <c r="S18">
        <v>2</v>
      </c>
    </row>
    <row r="19" spans="1:19" ht="17" x14ac:dyDescent="0.25">
      <c r="A19" s="13" t="s">
        <v>18</v>
      </c>
      <c r="B19">
        <v>1</v>
      </c>
      <c r="C19">
        <v>0.5</v>
      </c>
      <c r="D19">
        <v>1</v>
      </c>
      <c r="E19">
        <v>1</v>
      </c>
      <c r="F19">
        <v>1</v>
      </c>
      <c r="G19">
        <v>1</v>
      </c>
      <c r="H19">
        <v>2</v>
      </c>
      <c r="I19">
        <v>0.5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2</v>
      </c>
      <c r="Q19">
        <v>2</v>
      </c>
      <c r="R19">
        <v>0.5</v>
      </c>
      <c r="S19">
        <v>1</v>
      </c>
    </row>
    <row r="22" spans="1:19" ht="17" x14ac:dyDescent="0.25">
      <c r="A22" s="13" t="s">
        <v>19</v>
      </c>
      <c r="B22" s="14" t="s">
        <v>20</v>
      </c>
    </row>
  </sheetData>
  <hyperlinks>
    <hyperlink ref="B22" r:id="rId1" xr:uid="{86729434-85F6-AA47-8D13-C198526A046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9C1C-D30A-8A45-AEF3-1A6BD10676CA}">
  <sheetPr codeName="Sheet2"/>
  <dimension ref="A1:V139"/>
  <sheetViews>
    <sheetView workbookViewId="0">
      <selection activeCell="B84" sqref="B84"/>
    </sheetView>
  </sheetViews>
  <sheetFormatPr baseColWidth="10" defaultColWidth="11" defaultRowHeight="16" x14ac:dyDescent="0.2"/>
  <sheetData>
    <row r="1" spans="1:22" ht="18" x14ac:dyDescent="0.2">
      <c r="A1" s="15" t="s">
        <v>21</v>
      </c>
    </row>
    <row r="3" spans="1:22" x14ac:dyDescent="0.2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28</v>
      </c>
      <c r="H3" t="s">
        <v>29</v>
      </c>
      <c r="I3" t="s">
        <v>30</v>
      </c>
      <c r="J3" t="s">
        <v>31</v>
      </c>
      <c r="K3" t="s">
        <v>32</v>
      </c>
      <c r="L3" t="s">
        <v>33</v>
      </c>
      <c r="M3" t="s">
        <v>34</v>
      </c>
      <c r="N3" t="s">
        <v>35</v>
      </c>
      <c r="O3" t="s">
        <v>36</v>
      </c>
      <c r="P3" t="s">
        <v>37</v>
      </c>
      <c r="Q3" t="s">
        <v>38</v>
      </c>
      <c r="R3" t="s">
        <v>39</v>
      </c>
      <c r="S3" t="s">
        <v>40</v>
      </c>
      <c r="T3" t="s">
        <v>41</v>
      </c>
      <c r="U3" t="s">
        <v>42</v>
      </c>
      <c r="V3" t="s">
        <v>43</v>
      </c>
    </row>
    <row r="4" spans="1:22" x14ac:dyDescent="0.2">
      <c r="A4">
        <v>1</v>
      </c>
      <c r="B4" t="s">
        <v>44</v>
      </c>
      <c r="C4">
        <v>2019</v>
      </c>
      <c r="D4">
        <v>18</v>
      </c>
      <c r="E4">
        <v>26.8</v>
      </c>
      <c r="F4">
        <v>34.700000000000003</v>
      </c>
      <c r="G4">
        <v>3</v>
      </c>
      <c r="H4">
        <v>33</v>
      </c>
      <c r="I4">
        <v>270</v>
      </c>
      <c r="J4">
        <v>3</v>
      </c>
      <c r="K4">
        <v>2</v>
      </c>
      <c r="L4">
        <v>1</v>
      </c>
      <c r="M4">
        <v>1</v>
      </c>
      <c r="N4">
        <v>1</v>
      </c>
      <c r="O4">
        <v>1</v>
      </c>
      <c r="P4">
        <v>3</v>
      </c>
      <c r="Q4">
        <v>0</v>
      </c>
      <c r="R4">
        <v>0.67</v>
      </c>
      <c r="S4">
        <v>0.33</v>
      </c>
      <c r="T4">
        <v>1</v>
      </c>
      <c r="U4">
        <v>0.33</v>
      </c>
      <c r="V4">
        <v>0.67</v>
      </c>
    </row>
    <row r="5" spans="1:22" x14ac:dyDescent="0.2">
      <c r="A5">
        <v>2</v>
      </c>
      <c r="B5" t="s">
        <v>45</v>
      </c>
      <c r="C5">
        <v>2019</v>
      </c>
      <c r="D5">
        <v>18</v>
      </c>
      <c r="E5">
        <v>25.4</v>
      </c>
      <c r="F5">
        <v>61.3</v>
      </c>
      <c r="G5">
        <v>4</v>
      </c>
      <c r="H5">
        <v>44</v>
      </c>
      <c r="I5">
        <v>390</v>
      </c>
      <c r="J5">
        <v>4.3</v>
      </c>
      <c r="K5">
        <v>8</v>
      </c>
      <c r="L5">
        <v>4</v>
      </c>
      <c r="M5">
        <v>8</v>
      </c>
      <c r="N5">
        <v>0</v>
      </c>
      <c r="O5">
        <v>1</v>
      </c>
      <c r="P5">
        <v>2</v>
      </c>
      <c r="Q5">
        <v>0</v>
      </c>
      <c r="R5">
        <v>1.85</v>
      </c>
      <c r="S5">
        <v>0.92</v>
      </c>
      <c r="T5">
        <v>2.77</v>
      </c>
      <c r="U5">
        <v>1.85</v>
      </c>
      <c r="V5">
        <v>2.77</v>
      </c>
    </row>
    <row r="6" spans="1:22" x14ac:dyDescent="0.2">
      <c r="A6">
        <v>3</v>
      </c>
      <c r="B6" t="s">
        <v>46</v>
      </c>
      <c r="C6">
        <v>2019</v>
      </c>
      <c r="D6">
        <v>18</v>
      </c>
      <c r="E6">
        <v>29.7</v>
      </c>
      <c r="F6">
        <v>51.5</v>
      </c>
      <c r="G6">
        <v>4</v>
      </c>
      <c r="H6">
        <v>44</v>
      </c>
      <c r="I6">
        <v>390</v>
      </c>
      <c r="J6">
        <v>4.3</v>
      </c>
      <c r="K6">
        <v>7</v>
      </c>
      <c r="L6">
        <v>3</v>
      </c>
      <c r="M6">
        <v>5</v>
      </c>
      <c r="N6">
        <v>2</v>
      </c>
      <c r="O6">
        <v>3</v>
      </c>
      <c r="P6">
        <v>7</v>
      </c>
      <c r="Q6">
        <v>0</v>
      </c>
      <c r="R6">
        <v>1.62</v>
      </c>
      <c r="S6">
        <v>0.69</v>
      </c>
      <c r="T6">
        <v>2.31</v>
      </c>
      <c r="U6">
        <v>1.1499999999999999</v>
      </c>
      <c r="V6">
        <v>1.85</v>
      </c>
    </row>
    <row r="7" spans="1:22" x14ac:dyDescent="0.2">
      <c r="A7">
        <v>4</v>
      </c>
      <c r="B7" t="s">
        <v>47</v>
      </c>
      <c r="C7">
        <v>2019</v>
      </c>
      <c r="D7">
        <v>20</v>
      </c>
      <c r="E7">
        <v>27.7</v>
      </c>
      <c r="F7">
        <v>36</v>
      </c>
      <c r="G7">
        <v>4</v>
      </c>
      <c r="H7">
        <v>44</v>
      </c>
      <c r="I7">
        <v>360</v>
      </c>
      <c r="J7">
        <v>4</v>
      </c>
      <c r="K7">
        <v>3</v>
      </c>
      <c r="L7">
        <v>3</v>
      </c>
      <c r="M7">
        <v>3</v>
      </c>
      <c r="N7">
        <v>0</v>
      </c>
      <c r="O7">
        <v>0</v>
      </c>
      <c r="P7">
        <v>6</v>
      </c>
      <c r="Q7">
        <v>0</v>
      </c>
      <c r="R7">
        <v>0.75</v>
      </c>
      <c r="S7">
        <v>0.75</v>
      </c>
      <c r="T7">
        <v>1.5</v>
      </c>
      <c r="U7">
        <v>0.75</v>
      </c>
      <c r="V7">
        <v>1.5</v>
      </c>
    </row>
    <row r="8" spans="1:22" x14ac:dyDescent="0.2">
      <c r="A8">
        <v>5</v>
      </c>
      <c r="B8" t="s">
        <v>48</v>
      </c>
      <c r="C8">
        <v>2019</v>
      </c>
      <c r="D8">
        <v>16</v>
      </c>
      <c r="E8">
        <v>27</v>
      </c>
      <c r="F8">
        <v>63</v>
      </c>
      <c r="G8">
        <v>4</v>
      </c>
      <c r="H8">
        <v>44</v>
      </c>
      <c r="I8">
        <v>360</v>
      </c>
      <c r="J8">
        <v>4</v>
      </c>
      <c r="K8">
        <v>4</v>
      </c>
      <c r="L8">
        <v>3</v>
      </c>
      <c r="M8">
        <v>4</v>
      </c>
      <c r="N8">
        <v>0</v>
      </c>
      <c r="O8">
        <v>1</v>
      </c>
      <c r="P8">
        <v>2</v>
      </c>
      <c r="Q8">
        <v>0</v>
      </c>
      <c r="R8">
        <v>1</v>
      </c>
      <c r="S8">
        <v>0.75</v>
      </c>
      <c r="T8">
        <v>1.75</v>
      </c>
      <c r="U8">
        <v>1</v>
      </c>
      <c r="V8">
        <v>1.75</v>
      </c>
    </row>
    <row r="9" spans="1:22" x14ac:dyDescent="0.2">
      <c r="A9">
        <v>6</v>
      </c>
      <c r="B9" t="s">
        <v>49</v>
      </c>
      <c r="C9">
        <v>2019</v>
      </c>
      <c r="D9">
        <v>18</v>
      </c>
      <c r="E9">
        <v>26.8</v>
      </c>
      <c r="F9">
        <v>42</v>
      </c>
      <c r="G9">
        <v>3</v>
      </c>
      <c r="H9">
        <v>33</v>
      </c>
      <c r="I9">
        <v>270</v>
      </c>
      <c r="J9">
        <v>3</v>
      </c>
      <c r="K9">
        <v>1</v>
      </c>
      <c r="L9">
        <v>1</v>
      </c>
      <c r="M9">
        <v>1</v>
      </c>
      <c r="N9">
        <v>0</v>
      </c>
      <c r="O9">
        <v>1</v>
      </c>
      <c r="P9">
        <v>5</v>
      </c>
      <c r="Q9">
        <v>0</v>
      </c>
      <c r="R9">
        <v>0.33</v>
      </c>
      <c r="S9">
        <v>0.33</v>
      </c>
      <c r="T9">
        <v>0.67</v>
      </c>
      <c r="U9">
        <v>0.33</v>
      </c>
      <c r="V9">
        <v>0.67</v>
      </c>
    </row>
    <row r="10" spans="1:22" x14ac:dyDescent="0.2">
      <c r="A10">
        <v>7</v>
      </c>
      <c r="B10" t="s">
        <v>50</v>
      </c>
      <c r="C10">
        <v>2019</v>
      </c>
      <c r="D10">
        <v>17</v>
      </c>
      <c r="E10">
        <v>26.6</v>
      </c>
      <c r="F10">
        <v>47</v>
      </c>
      <c r="G10">
        <v>4</v>
      </c>
      <c r="H10">
        <v>44</v>
      </c>
      <c r="I10">
        <v>360</v>
      </c>
      <c r="J10">
        <v>4</v>
      </c>
      <c r="K10">
        <v>1</v>
      </c>
      <c r="L10">
        <v>1</v>
      </c>
      <c r="M10">
        <v>1</v>
      </c>
      <c r="N10">
        <v>0</v>
      </c>
      <c r="O10">
        <v>0</v>
      </c>
      <c r="P10">
        <v>5</v>
      </c>
      <c r="Q10">
        <v>0</v>
      </c>
      <c r="R10">
        <v>0.25</v>
      </c>
      <c r="S10">
        <v>0.25</v>
      </c>
      <c r="T10">
        <v>0.5</v>
      </c>
      <c r="U10">
        <v>0.25</v>
      </c>
      <c r="V10">
        <v>0.5</v>
      </c>
    </row>
    <row r="11" spans="1:22" x14ac:dyDescent="0.2">
      <c r="A11">
        <v>8</v>
      </c>
      <c r="B11" t="s">
        <v>51</v>
      </c>
      <c r="C11">
        <v>2019</v>
      </c>
      <c r="D11">
        <v>22</v>
      </c>
      <c r="E11">
        <v>27.8</v>
      </c>
      <c r="F11">
        <v>60.4</v>
      </c>
      <c r="G11">
        <v>7</v>
      </c>
      <c r="H11">
        <v>77</v>
      </c>
      <c r="I11">
        <v>630</v>
      </c>
      <c r="J11">
        <v>7</v>
      </c>
      <c r="K11">
        <v>13</v>
      </c>
      <c r="L11">
        <v>12</v>
      </c>
      <c r="M11">
        <v>12</v>
      </c>
      <c r="N11">
        <v>1</v>
      </c>
      <c r="O11">
        <v>4</v>
      </c>
      <c r="P11">
        <v>1</v>
      </c>
      <c r="Q11">
        <v>1</v>
      </c>
      <c r="R11">
        <v>1.86</v>
      </c>
      <c r="S11">
        <v>1.71</v>
      </c>
      <c r="T11">
        <v>3.57</v>
      </c>
      <c r="U11">
        <v>1.71</v>
      </c>
      <c r="V11">
        <v>3.43</v>
      </c>
    </row>
    <row r="12" spans="1:22" x14ac:dyDescent="0.2">
      <c r="A12">
        <v>9</v>
      </c>
      <c r="B12" t="s">
        <v>52</v>
      </c>
      <c r="C12">
        <v>2019</v>
      </c>
      <c r="D12">
        <v>17</v>
      </c>
      <c r="E12">
        <v>27.8</v>
      </c>
      <c r="F12">
        <v>58.8</v>
      </c>
      <c r="G12">
        <v>5</v>
      </c>
      <c r="H12">
        <v>55</v>
      </c>
      <c r="I12">
        <v>480</v>
      </c>
      <c r="J12">
        <v>5.3</v>
      </c>
      <c r="K12">
        <v>10</v>
      </c>
      <c r="L12">
        <v>8</v>
      </c>
      <c r="M12">
        <v>8</v>
      </c>
      <c r="N12">
        <v>2</v>
      </c>
      <c r="O12">
        <v>2</v>
      </c>
      <c r="P12">
        <v>2</v>
      </c>
      <c r="Q12">
        <v>0</v>
      </c>
      <c r="R12">
        <v>1.87</v>
      </c>
      <c r="S12">
        <v>1.5</v>
      </c>
      <c r="T12">
        <v>3.38</v>
      </c>
      <c r="U12">
        <v>1.5</v>
      </c>
      <c r="V12">
        <v>3</v>
      </c>
    </row>
    <row r="13" spans="1:22" x14ac:dyDescent="0.2">
      <c r="A13">
        <v>10</v>
      </c>
      <c r="B13" t="s">
        <v>53</v>
      </c>
      <c r="C13">
        <v>2019</v>
      </c>
      <c r="D13">
        <v>19</v>
      </c>
      <c r="E13">
        <v>25.5</v>
      </c>
      <c r="F13">
        <v>57.2</v>
      </c>
      <c r="G13">
        <v>5</v>
      </c>
      <c r="H13">
        <v>55</v>
      </c>
      <c r="I13">
        <v>450</v>
      </c>
      <c r="J13">
        <v>5</v>
      </c>
      <c r="K13">
        <v>10</v>
      </c>
      <c r="L13">
        <v>4</v>
      </c>
      <c r="M13">
        <v>9</v>
      </c>
      <c r="N13">
        <v>1</v>
      </c>
      <c r="O13">
        <v>1</v>
      </c>
      <c r="P13">
        <v>2</v>
      </c>
      <c r="Q13">
        <v>0</v>
      </c>
      <c r="R13">
        <v>2</v>
      </c>
      <c r="S13">
        <v>0.8</v>
      </c>
      <c r="T13">
        <v>2.8</v>
      </c>
      <c r="U13">
        <v>1.8</v>
      </c>
      <c r="V13">
        <v>2.6</v>
      </c>
    </row>
    <row r="14" spans="1:22" x14ac:dyDescent="0.2">
      <c r="A14">
        <v>11</v>
      </c>
      <c r="B14" t="s">
        <v>54</v>
      </c>
      <c r="C14">
        <v>2019</v>
      </c>
      <c r="D14">
        <v>17</v>
      </c>
      <c r="E14">
        <v>26.5</v>
      </c>
      <c r="F14">
        <v>43.4</v>
      </c>
      <c r="G14">
        <v>5</v>
      </c>
      <c r="H14">
        <v>55</v>
      </c>
      <c r="I14">
        <v>450</v>
      </c>
      <c r="J14">
        <v>5</v>
      </c>
      <c r="K14">
        <v>9</v>
      </c>
      <c r="L14">
        <v>6</v>
      </c>
      <c r="M14">
        <v>8</v>
      </c>
      <c r="N14">
        <v>1</v>
      </c>
      <c r="O14">
        <v>1</v>
      </c>
      <c r="P14">
        <v>4</v>
      </c>
      <c r="Q14">
        <v>0</v>
      </c>
      <c r="R14">
        <v>1.8</v>
      </c>
      <c r="S14">
        <v>1.2</v>
      </c>
      <c r="T14">
        <v>3</v>
      </c>
      <c r="U14">
        <v>1.6</v>
      </c>
      <c r="V14">
        <v>2.8</v>
      </c>
    </row>
    <row r="15" spans="1:22" x14ac:dyDescent="0.2">
      <c r="A15">
        <v>12</v>
      </c>
      <c r="B15" t="s">
        <v>55</v>
      </c>
      <c r="C15">
        <v>2019</v>
      </c>
      <c r="D15">
        <v>20</v>
      </c>
      <c r="E15">
        <v>22.9</v>
      </c>
      <c r="F15">
        <v>36.700000000000003</v>
      </c>
      <c r="G15">
        <v>3</v>
      </c>
      <c r="H15">
        <v>33</v>
      </c>
      <c r="I15">
        <v>270</v>
      </c>
      <c r="J15">
        <v>3</v>
      </c>
      <c r="K15">
        <v>1</v>
      </c>
      <c r="L15">
        <v>1</v>
      </c>
      <c r="M15">
        <v>1</v>
      </c>
      <c r="N15">
        <v>0</v>
      </c>
      <c r="O15">
        <v>0</v>
      </c>
      <c r="P15">
        <v>4</v>
      </c>
      <c r="Q15">
        <v>0</v>
      </c>
      <c r="R15">
        <v>0.33</v>
      </c>
      <c r="S15">
        <v>0.33</v>
      </c>
      <c r="T15">
        <v>0.67</v>
      </c>
      <c r="U15">
        <v>0.33</v>
      </c>
      <c r="V15">
        <v>0.67</v>
      </c>
    </row>
    <row r="16" spans="1:22" x14ac:dyDescent="0.2">
      <c r="A16">
        <v>13</v>
      </c>
      <c r="B16" t="s">
        <v>56</v>
      </c>
      <c r="C16">
        <v>2019</v>
      </c>
      <c r="D16">
        <v>17</v>
      </c>
      <c r="E16">
        <v>24.8</v>
      </c>
      <c r="F16">
        <v>53.8</v>
      </c>
      <c r="G16">
        <v>4</v>
      </c>
      <c r="H16">
        <v>44</v>
      </c>
      <c r="I16">
        <v>360</v>
      </c>
      <c r="J16">
        <v>4</v>
      </c>
      <c r="K16">
        <v>3</v>
      </c>
      <c r="L16">
        <v>2</v>
      </c>
      <c r="M16">
        <v>2</v>
      </c>
      <c r="N16">
        <v>1</v>
      </c>
      <c r="O16">
        <v>1</v>
      </c>
      <c r="P16">
        <v>4</v>
      </c>
      <c r="Q16">
        <v>0</v>
      </c>
      <c r="R16">
        <v>0.75</v>
      </c>
      <c r="S16">
        <v>0.5</v>
      </c>
      <c r="T16">
        <v>1.25</v>
      </c>
      <c r="U16">
        <v>0.5</v>
      </c>
      <c r="V16">
        <v>1</v>
      </c>
    </row>
    <row r="17" spans="1:22" x14ac:dyDescent="0.2">
      <c r="A17">
        <v>14</v>
      </c>
      <c r="B17" t="s">
        <v>57</v>
      </c>
      <c r="C17">
        <v>2019</v>
      </c>
      <c r="D17">
        <v>19</v>
      </c>
      <c r="E17">
        <v>26.9</v>
      </c>
      <c r="F17">
        <v>52</v>
      </c>
      <c r="G17">
        <v>3</v>
      </c>
      <c r="H17">
        <v>33</v>
      </c>
      <c r="I17">
        <v>270</v>
      </c>
      <c r="J17">
        <v>3</v>
      </c>
      <c r="K17">
        <v>1</v>
      </c>
      <c r="L17">
        <v>1</v>
      </c>
      <c r="M17">
        <v>1</v>
      </c>
      <c r="N17">
        <v>0</v>
      </c>
      <c r="O17">
        <v>0</v>
      </c>
      <c r="P17">
        <v>4</v>
      </c>
      <c r="Q17">
        <v>0</v>
      </c>
      <c r="R17">
        <v>0.33</v>
      </c>
      <c r="S17">
        <v>0.33</v>
      </c>
      <c r="T17">
        <v>0.67</v>
      </c>
      <c r="U17">
        <v>0.33</v>
      </c>
      <c r="V17">
        <v>0.67</v>
      </c>
    </row>
    <row r="18" spans="1:22" x14ac:dyDescent="0.2">
      <c r="A18">
        <v>15</v>
      </c>
      <c r="B18" t="s">
        <v>58</v>
      </c>
      <c r="C18">
        <v>2019</v>
      </c>
      <c r="D18">
        <v>16</v>
      </c>
      <c r="E18">
        <v>26.1</v>
      </c>
      <c r="F18">
        <v>57.1</v>
      </c>
      <c r="G18">
        <v>7</v>
      </c>
      <c r="H18">
        <v>77</v>
      </c>
      <c r="I18">
        <v>660</v>
      </c>
      <c r="J18">
        <v>7.3</v>
      </c>
      <c r="K18">
        <v>11</v>
      </c>
      <c r="L18">
        <v>7</v>
      </c>
      <c r="M18">
        <v>10</v>
      </c>
      <c r="N18">
        <v>1</v>
      </c>
      <c r="O18">
        <v>1</v>
      </c>
      <c r="P18">
        <v>0</v>
      </c>
      <c r="Q18">
        <v>0</v>
      </c>
      <c r="R18">
        <v>1.5</v>
      </c>
      <c r="S18">
        <v>0.95</v>
      </c>
      <c r="T18">
        <v>2.4500000000000002</v>
      </c>
      <c r="U18">
        <v>1.36</v>
      </c>
      <c r="V18">
        <v>2.3199999999999998</v>
      </c>
    </row>
    <row r="19" spans="1:22" x14ac:dyDescent="0.2">
      <c r="A19">
        <v>16</v>
      </c>
      <c r="B19" t="s">
        <v>59</v>
      </c>
      <c r="C19">
        <v>2019</v>
      </c>
      <c r="D19">
        <v>17</v>
      </c>
      <c r="E19">
        <v>27.6</v>
      </c>
      <c r="F19">
        <v>39.299999999999997</v>
      </c>
      <c r="G19">
        <v>3</v>
      </c>
      <c r="H19">
        <v>33</v>
      </c>
      <c r="I19">
        <v>270</v>
      </c>
      <c r="J19">
        <v>3</v>
      </c>
      <c r="K19">
        <v>0</v>
      </c>
      <c r="L19">
        <v>0</v>
      </c>
      <c r="M19">
        <v>0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2">
      <c r="A20">
        <v>17</v>
      </c>
      <c r="B20" t="s">
        <v>60</v>
      </c>
      <c r="C20">
        <v>2019</v>
      </c>
      <c r="D20">
        <v>20</v>
      </c>
      <c r="E20">
        <v>25.7</v>
      </c>
      <c r="F20">
        <v>34.799999999999997</v>
      </c>
      <c r="G20">
        <v>4</v>
      </c>
      <c r="H20">
        <v>44</v>
      </c>
      <c r="I20">
        <v>360</v>
      </c>
      <c r="J20">
        <v>4</v>
      </c>
      <c r="K20">
        <v>1</v>
      </c>
      <c r="L20">
        <v>1</v>
      </c>
      <c r="M20">
        <v>1</v>
      </c>
      <c r="N20">
        <v>0</v>
      </c>
      <c r="O20">
        <v>0</v>
      </c>
      <c r="P20">
        <v>6</v>
      </c>
      <c r="Q20">
        <v>1</v>
      </c>
      <c r="R20">
        <v>0.25</v>
      </c>
      <c r="S20">
        <v>0.25</v>
      </c>
      <c r="T20">
        <v>0.5</v>
      </c>
      <c r="U20">
        <v>0.25</v>
      </c>
      <c r="V20">
        <v>0.5</v>
      </c>
    </row>
    <row r="21" spans="1:22" x14ac:dyDescent="0.2">
      <c r="A21">
        <v>18</v>
      </c>
      <c r="B21" t="s">
        <v>61</v>
      </c>
      <c r="C21">
        <v>2019</v>
      </c>
      <c r="D21">
        <v>17</v>
      </c>
      <c r="E21">
        <v>26.8</v>
      </c>
      <c r="F21">
        <v>50.2</v>
      </c>
      <c r="G21">
        <v>5</v>
      </c>
      <c r="H21">
        <v>55</v>
      </c>
      <c r="I21">
        <v>480</v>
      </c>
      <c r="J21">
        <v>5.3</v>
      </c>
      <c r="K21">
        <v>5</v>
      </c>
      <c r="L21">
        <v>3</v>
      </c>
      <c r="M21">
        <v>3</v>
      </c>
      <c r="N21">
        <v>2</v>
      </c>
      <c r="O21">
        <v>2</v>
      </c>
      <c r="P21">
        <v>1</v>
      </c>
      <c r="Q21">
        <v>0</v>
      </c>
      <c r="R21">
        <v>0.94</v>
      </c>
      <c r="S21">
        <v>0.56000000000000005</v>
      </c>
      <c r="T21">
        <v>1.5</v>
      </c>
      <c r="U21">
        <v>0.56000000000000005</v>
      </c>
      <c r="V21">
        <v>1.1299999999999999</v>
      </c>
    </row>
    <row r="22" spans="1:22" x14ac:dyDescent="0.2">
      <c r="A22">
        <v>19</v>
      </c>
      <c r="B22" t="s">
        <v>62</v>
      </c>
      <c r="C22">
        <v>2019</v>
      </c>
      <c r="D22">
        <v>19</v>
      </c>
      <c r="E22">
        <v>26.4</v>
      </c>
      <c r="F22">
        <v>47</v>
      </c>
      <c r="G22">
        <v>3</v>
      </c>
      <c r="H22">
        <v>33</v>
      </c>
      <c r="I22">
        <v>270</v>
      </c>
      <c r="J22">
        <v>3</v>
      </c>
      <c r="K22">
        <v>5</v>
      </c>
      <c r="L22">
        <v>3</v>
      </c>
      <c r="M22">
        <v>5</v>
      </c>
      <c r="N22">
        <v>0</v>
      </c>
      <c r="O22">
        <v>0</v>
      </c>
      <c r="P22">
        <v>6</v>
      </c>
      <c r="Q22">
        <v>0</v>
      </c>
      <c r="R22">
        <v>1.67</v>
      </c>
      <c r="S22">
        <v>1</v>
      </c>
      <c r="T22">
        <v>2.67</v>
      </c>
      <c r="U22">
        <v>1.67</v>
      </c>
      <c r="V22">
        <v>2.67</v>
      </c>
    </row>
    <row r="23" spans="1:22" x14ac:dyDescent="0.2">
      <c r="A23">
        <v>20</v>
      </c>
      <c r="B23" t="s">
        <v>63</v>
      </c>
      <c r="C23">
        <v>2019</v>
      </c>
      <c r="D23">
        <v>19</v>
      </c>
      <c r="E23">
        <v>27.5</v>
      </c>
      <c r="F23">
        <v>38</v>
      </c>
      <c r="G23">
        <v>3</v>
      </c>
      <c r="H23">
        <v>33</v>
      </c>
      <c r="I23">
        <v>270</v>
      </c>
      <c r="J23">
        <v>3</v>
      </c>
      <c r="K23">
        <v>1</v>
      </c>
      <c r="L23">
        <v>1</v>
      </c>
      <c r="M23">
        <v>1</v>
      </c>
      <c r="N23">
        <v>0</v>
      </c>
      <c r="O23">
        <v>0</v>
      </c>
      <c r="P23">
        <v>7</v>
      </c>
      <c r="Q23">
        <v>1</v>
      </c>
      <c r="R23">
        <v>0.33</v>
      </c>
      <c r="S23">
        <v>0.33</v>
      </c>
      <c r="T23">
        <v>0.67</v>
      </c>
      <c r="U23">
        <v>0.33</v>
      </c>
      <c r="V23">
        <v>0.67</v>
      </c>
    </row>
    <row r="24" spans="1:22" x14ac:dyDescent="0.2">
      <c r="A24">
        <v>21</v>
      </c>
      <c r="B24" t="s">
        <v>64</v>
      </c>
      <c r="C24">
        <v>2019</v>
      </c>
      <c r="D24">
        <v>19</v>
      </c>
      <c r="E24">
        <v>25.2</v>
      </c>
      <c r="F24">
        <v>62.5</v>
      </c>
      <c r="G24">
        <v>4</v>
      </c>
      <c r="H24">
        <v>44</v>
      </c>
      <c r="I24">
        <v>360</v>
      </c>
      <c r="J24">
        <v>4</v>
      </c>
      <c r="K24">
        <v>4</v>
      </c>
      <c r="L24">
        <v>2</v>
      </c>
      <c r="M24">
        <v>2</v>
      </c>
      <c r="N24">
        <v>2</v>
      </c>
      <c r="O24">
        <v>2</v>
      </c>
      <c r="P24">
        <v>1</v>
      </c>
      <c r="Q24">
        <v>0</v>
      </c>
      <c r="R24">
        <v>1</v>
      </c>
      <c r="S24">
        <v>0.5</v>
      </c>
      <c r="T24">
        <v>1.5</v>
      </c>
      <c r="U24">
        <v>0.5</v>
      </c>
      <c r="V24">
        <v>1</v>
      </c>
    </row>
    <row r="25" spans="1:22" x14ac:dyDescent="0.2">
      <c r="A25">
        <v>22</v>
      </c>
      <c r="B25" t="s">
        <v>65</v>
      </c>
      <c r="C25">
        <v>2019</v>
      </c>
      <c r="D25">
        <v>20</v>
      </c>
      <c r="E25">
        <v>28.5</v>
      </c>
      <c r="F25">
        <v>48.4</v>
      </c>
      <c r="G25">
        <v>7</v>
      </c>
      <c r="H25">
        <v>77</v>
      </c>
      <c r="I25">
        <v>660</v>
      </c>
      <c r="J25">
        <v>7.3</v>
      </c>
      <c r="K25">
        <v>12</v>
      </c>
      <c r="L25">
        <v>7</v>
      </c>
      <c r="M25">
        <v>11</v>
      </c>
      <c r="N25">
        <v>1</v>
      </c>
      <c r="O25">
        <v>1</v>
      </c>
      <c r="P25">
        <v>2</v>
      </c>
      <c r="Q25">
        <v>0</v>
      </c>
      <c r="R25">
        <v>1.64</v>
      </c>
      <c r="S25">
        <v>0.95</v>
      </c>
      <c r="T25">
        <v>2.59</v>
      </c>
      <c r="U25">
        <v>1.5</v>
      </c>
      <c r="V25">
        <v>2.4500000000000002</v>
      </c>
    </row>
    <row r="26" spans="1:22" x14ac:dyDescent="0.2">
      <c r="A26">
        <v>23</v>
      </c>
      <c r="B26" t="s">
        <v>66</v>
      </c>
      <c r="C26">
        <v>2019</v>
      </c>
      <c r="D26">
        <v>18</v>
      </c>
      <c r="E26">
        <v>27.8</v>
      </c>
      <c r="F26">
        <v>30</v>
      </c>
      <c r="G26">
        <v>3</v>
      </c>
      <c r="H26">
        <v>33</v>
      </c>
      <c r="I26">
        <v>270</v>
      </c>
      <c r="J26">
        <v>3</v>
      </c>
      <c r="K26">
        <v>1</v>
      </c>
      <c r="L26">
        <v>1</v>
      </c>
      <c r="M26">
        <v>1</v>
      </c>
      <c r="N26">
        <v>0</v>
      </c>
      <c r="O26">
        <v>0</v>
      </c>
      <c r="P26">
        <v>5</v>
      </c>
      <c r="Q26">
        <v>0</v>
      </c>
      <c r="R26">
        <v>0.33</v>
      </c>
      <c r="S26">
        <v>0.33</v>
      </c>
      <c r="T26">
        <v>0.67</v>
      </c>
      <c r="U26">
        <v>0.33</v>
      </c>
      <c r="V26">
        <v>0.67</v>
      </c>
    </row>
    <row r="27" spans="1:22" x14ac:dyDescent="0.2">
      <c r="A27">
        <v>24</v>
      </c>
      <c r="B27" t="s">
        <v>67</v>
      </c>
      <c r="C27">
        <v>2019</v>
      </c>
      <c r="D27">
        <v>21</v>
      </c>
      <c r="E27">
        <v>28.8</v>
      </c>
      <c r="F27">
        <v>56</v>
      </c>
      <c r="G27">
        <v>7</v>
      </c>
      <c r="H27">
        <v>77</v>
      </c>
      <c r="I27">
        <v>630</v>
      </c>
      <c r="J27">
        <v>7</v>
      </c>
      <c r="K27">
        <v>25</v>
      </c>
      <c r="L27">
        <v>17</v>
      </c>
      <c r="M27">
        <v>22</v>
      </c>
      <c r="N27">
        <v>3</v>
      </c>
      <c r="O27">
        <v>4</v>
      </c>
      <c r="P27">
        <v>0</v>
      </c>
      <c r="Q27">
        <v>0</v>
      </c>
      <c r="R27">
        <v>3.57</v>
      </c>
      <c r="S27">
        <v>2.4300000000000002</v>
      </c>
      <c r="T27">
        <v>6</v>
      </c>
      <c r="U27">
        <v>3.14</v>
      </c>
      <c r="V27">
        <v>5.57</v>
      </c>
    </row>
    <row r="28" spans="1:22" x14ac:dyDescent="0.2">
      <c r="A28">
        <v>25</v>
      </c>
      <c r="B28" t="s">
        <v>45</v>
      </c>
      <c r="C28">
        <v>2015</v>
      </c>
      <c r="D28">
        <v>17</v>
      </c>
      <c r="E28">
        <v>23.6</v>
      </c>
      <c r="F28">
        <v>46.2</v>
      </c>
      <c r="G28">
        <v>5</v>
      </c>
      <c r="H28">
        <v>55</v>
      </c>
      <c r="I28">
        <v>450</v>
      </c>
      <c r="J28">
        <v>5</v>
      </c>
      <c r="K28">
        <v>5</v>
      </c>
      <c r="L28">
        <v>4</v>
      </c>
      <c r="M28">
        <v>5</v>
      </c>
      <c r="N28">
        <v>0</v>
      </c>
      <c r="O28">
        <v>0</v>
      </c>
      <c r="P28">
        <v>0</v>
      </c>
      <c r="Q28">
        <v>0</v>
      </c>
      <c r="R28">
        <v>1</v>
      </c>
      <c r="S28">
        <v>0.8</v>
      </c>
      <c r="T28">
        <v>1.8</v>
      </c>
      <c r="U28">
        <v>1</v>
      </c>
      <c r="V28">
        <v>1.8</v>
      </c>
    </row>
    <row r="29" spans="1:22" x14ac:dyDescent="0.2">
      <c r="A29">
        <v>26</v>
      </c>
      <c r="B29" t="s">
        <v>46</v>
      </c>
      <c r="C29">
        <v>2015</v>
      </c>
      <c r="D29">
        <v>20</v>
      </c>
      <c r="E29">
        <v>27.4</v>
      </c>
      <c r="F29">
        <v>59</v>
      </c>
      <c r="G29">
        <v>4</v>
      </c>
      <c r="H29">
        <v>44</v>
      </c>
      <c r="I29">
        <v>360</v>
      </c>
      <c r="J29">
        <v>4</v>
      </c>
      <c r="K29">
        <v>4</v>
      </c>
      <c r="L29">
        <v>1</v>
      </c>
      <c r="M29">
        <v>3</v>
      </c>
      <c r="N29">
        <v>1</v>
      </c>
      <c r="O29">
        <v>1</v>
      </c>
      <c r="P29">
        <v>1</v>
      </c>
      <c r="Q29">
        <v>0</v>
      </c>
      <c r="R29">
        <v>1</v>
      </c>
      <c r="S29">
        <v>0.25</v>
      </c>
      <c r="T29">
        <v>1.25</v>
      </c>
      <c r="U29">
        <v>0.75</v>
      </c>
      <c r="V29">
        <v>1</v>
      </c>
    </row>
    <row r="30" spans="1:22" x14ac:dyDescent="0.2">
      <c r="A30">
        <v>27</v>
      </c>
      <c r="B30" t="s">
        <v>47</v>
      </c>
      <c r="C30">
        <v>2015</v>
      </c>
      <c r="D30">
        <v>17</v>
      </c>
      <c r="E30">
        <v>25.1</v>
      </c>
      <c r="F30">
        <v>48.8</v>
      </c>
      <c r="G30">
        <v>4</v>
      </c>
      <c r="H30">
        <v>44</v>
      </c>
      <c r="I30">
        <v>360</v>
      </c>
      <c r="J30">
        <v>4</v>
      </c>
      <c r="K30">
        <v>9</v>
      </c>
      <c r="L30">
        <v>5</v>
      </c>
      <c r="M30">
        <v>5</v>
      </c>
      <c r="N30">
        <v>4</v>
      </c>
      <c r="O30">
        <v>4</v>
      </c>
      <c r="P30">
        <v>6</v>
      </c>
      <c r="Q30">
        <v>0</v>
      </c>
      <c r="R30">
        <v>2.25</v>
      </c>
      <c r="S30">
        <v>1.25</v>
      </c>
      <c r="T30">
        <v>3.5</v>
      </c>
      <c r="U30">
        <v>1.25</v>
      </c>
      <c r="V30">
        <v>2.5</v>
      </c>
    </row>
    <row r="31" spans="1:22" x14ac:dyDescent="0.2">
      <c r="A31">
        <v>28</v>
      </c>
      <c r="B31" t="s">
        <v>48</v>
      </c>
      <c r="C31">
        <v>2015</v>
      </c>
      <c r="D31">
        <v>18</v>
      </c>
      <c r="E31">
        <v>27.2</v>
      </c>
      <c r="F31">
        <v>55</v>
      </c>
      <c r="G31">
        <v>5</v>
      </c>
      <c r="H31">
        <v>55</v>
      </c>
      <c r="I31">
        <v>450</v>
      </c>
      <c r="J31">
        <v>5</v>
      </c>
      <c r="K31">
        <v>4</v>
      </c>
      <c r="L31">
        <v>1</v>
      </c>
      <c r="M31">
        <v>3</v>
      </c>
      <c r="N31">
        <v>1</v>
      </c>
      <c r="O31">
        <v>1</v>
      </c>
      <c r="P31">
        <v>3</v>
      </c>
      <c r="Q31">
        <v>0</v>
      </c>
      <c r="R31">
        <v>0.8</v>
      </c>
      <c r="S31">
        <v>0.2</v>
      </c>
      <c r="T31">
        <v>1</v>
      </c>
      <c r="U31">
        <v>0.6</v>
      </c>
      <c r="V31">
        <v>0.8</v>
      </c>
    </row>
    <row r="32" spans="1:22" x14ac:dyDescent="0.2">
      <c r="A32">
        <v>29</v>
      </c>
      <c r="B32" t="s">
        <v>50</v>
      </c>
      <c r="C32">
        <v>2015</v>
      </c>
      <c r="D32">
        <v>18</v>
      </c>
      <c r="E32">
        <v>23.6</v>
      </c>
      <c r="F32">
        <v>48.6</v>
      </c>
      <c r="G32">
        <v>5</v>
      </c>
      <c r="H32">
        <v>55</v>
      </c>
      <c r="I32">
        <v>450</v>
      </c>
      <c r="J32">
        <v>5</v>
      </c>
      <c r="K32">
        <v>4</v>
      </c>
      <c r="L32">
        <v>2</v>
      </c>
      <c r="M32">
        <v>3</v>
      </c>
      <c r="N32">
        <v>1</v>
      </c>
      <c r="O32">
        <v>1</v>
      </c>
      <c r="P32">
        <v>2</v>
      </c>
      <c r="Q32">
        <v>0</v>
      </c>
      <c r="R32">
        <v>0.8</v>
      </c>
      <c r="S32">
        <v>0.4</v>
      </c>
      <c r="T32">
        <v>1.2</v>
      </c>
      <c r="U32">
        <v>0.6</v>
      </c>
      <c r="V32">
        <v>1</v>
      </c>
    </row>
    <row r="33" spans="1:22" x14ac:dyDescent="0.2">
      <c r="A33">
        <v>30</v>
      </c>
      <c r="B33" t="s">
        <v>68</v>
      </c>
      <c r="C33">
        <v>2015</v>
      </c>
      <c r="D33">
        <v>18</v>
      </c>
      <c r="E33">
        <v>24.3</v>
      </c>
      <c r="F33">
        <v>44.3</v>
      </c>
      <c r="G33">
        <v>4</v>
      </c>
      <c r="H33">
        <v>44</v>
      </c>
      <c r="I33">
        <v>360</v>
      </c>
      <c r="J33">
        <v>4</v>
      </c>
      <c r="K33">
        <v>4</v>
      </c>
      <c r="L33">
        <v>4</v>
      </c>
      <c r="M33">
        <v>4</v>
      </c>
      <c r="N33">
        <v>0</v>
      </c>
      <c r="O33">
        <v>0</v>
      </c>
      <c r="P33">
        <v>8</v>
      </c>
      <c r="Q33">
        <v>0</v>
      </c>
      <c r="R33">
        <v>1</v>
      </c>
      <c r="S33">
        <v>1</v>
      </c>
      <c r="T33">
        <v>2</v>
      </c>
      <c r="U33">
        <v>1</v>
      </c>
      <c r="V33">
        <v>2</v>
      </c>
    </row>
    <row r="34" spans="1:22" x14ac:dyDescent="0.2">
      <c r="A34">
        <v>31</v>
      </c>
      <c r="B34" t="s">
        <v>69</v>
      </c>
      <c r="C34">
        <v>2015</v>
      </c>
      <c r="D34">
        <v>15</v>
      </c>
      <c r="E34">
        <v>25</v>
      </c>
      <c r="F34">
        <v>42.3</v>
      </c>
      <c r="G34">
        <v>3</v>
      </c>
      <c r="H34">
        <v>33</v>
      </c>
      <c r="I34">
        <v>270</v>
      </c>
      <c r="J34">
        <v>3</v>
      </c>
      <c r="K34">
        <v>3</v>
      </c>
      <c r="L34">
        <v>3</v>
      </c>
      <c r="M34">
        <v>3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2</v>
      </c>
      <c r="U34">
        <v>1</v>
      </c>
      <c r="V34">
        <v>2</v>
      </c>
    </row>
    <row r="35" spans="1:22" x14ac:dyDescent="0.2">
      <c r="A35">
        <v>32</v>
      </c>
      <c r="B35" t="s">
        <v>70</v>
      </c>
      <c r="C35">
        <v>2015</v>
      </c>
      <c r="D35">
        <v>19</v>
      </c>
      <c r="E35">
        <v>25</v>
      </c>
      <c r="F35">
        <v>45</v>
      </c>
      <c r="G35">
        <v>3</v>
      </c>
      <c r="H35">
        <v>33</v>
      </c>
      <c r="I35">
        <v>270</v>
      </c>
      <c r="J35">
        <v>3</v>
      </c>
      <c r="K35">
        <v>3</v>
      </c>
      <c r="L35">
        <v>0</v>
      </c>
      <c r="M35">
        <v>3</v>
      </c>
      <c r="N35">
        <v>0</v>
      </c>
      <c r="O35">
        <v>0</v>
      </c>
      <c r="P35">
        <v>8</v>
      </c>
      <c r="Q35">
        <v>0</v>
      </c>
      <c r="R35">
        <v>1</v>
      </c>
      <c r="S35">
        <v>0</v>
      </c>
      <c r="T35">
        <v>1</v>
      </c>
      <c r="U35">
        <v>1</v>
      </c>
      <c r="V35">
        <v>1</v>
      </c>
    </row>
    <row r="36" spans="1:22" x14ac:dyDescent="0.2">
      <c r="A36">
        <v>33</v>
      </c>
      <c r="B36" t="s">
        <v>71</v>
      </c>
      <c r="C36">
        <v>2015</v>
      </c>
      <c r="D36">
        <v>19</v>
      </c>
      <c r="E36">
        <v>23.4</v>
      </c>
      <c r="F36">
        <v>38.700000000000003</v>
      </c>
      <c r="G36">
        <v>3</v>
      </c>
      <c r="H36">
        <v>33</v>
      </c>
      <c r="I36">
        <v>270</v>
      </c>
      <c r="J36">
        <v>3</v>
      </c>
      <c r="K36">
        <v>1</v>
      </c>
      <c r="L36">
        <v>0</v>
      </c>
      <c r="M36">
        <v>0</v>
      </c>
      <c r="N36">
        <v>1</v>
      </c>
      <c r="O36">
        <v>1</v>
      </c>
      <c r="P36">
        <v>6</v>
      </c>
      <c r="Q36">
        <v>1</v>
      </c>
      <c r="R36">
        <v>0.33</v>
      </c>
      <c r="S36">
        <v>0</v>
      </c>
      <c r="T36">
        <v>0.33</v>
      </c>
      <c r="U36">
        <v>0</v>
      </c>
      <c r="V36">
        <v>0</v>
      </c>
    </row>
    <row r="37" spans="1:22" x14ac:dyDescent="0.2">
      <c r="A37">
        <v>34</v>
      </c>
      <c r="B37" t="s">
        <v>51</v>
      </c>
      <c r="C37">
        <v>2015</v>
      </c>
      <c r="D37">
        <v>22</v>
      </c>
      <c r="E37">
        <v>27.6</v>
      </c>
      <c r="F37">
        <v>48.1</v>
      </c>
      <c r="G37">
        <v>7</v>
      </c>
      <c r="H37">
        <v>77</v>
      </c>
      <c r="I37">
        <v>660</v>
      </c>
      <c r="J37">
        <v>7.3</v>
      </c>
      <c r="K37">
        <v>10</v>
      </c>
      <c r="L37">
        <v>4</v>
      </c>
      <c r="M37">
        <v>7</v>
      </c>
      <c r="N37">
        <v>3</v>
      </c>
      <c r="O37">
        <v>3</v>
      </c>
      <c r="P37">
        <v>3</v>
      </c>
      <c r="Q37">
        <v>0</v>
      </c>
      <c r="R37">
        <v>1.36</v>
      </c>
      <c r="S37">
        <v>0.55000000000000004</v>
      </c>
      <c r="T37">
        <v>1.91</v>
      </c>
      <c r="U37">
        <v>0.95</v>
      </c>
      <c r="V37">
        <v>1.5</v>
      </c>
    </row>
    <row r="38" spans="1:22" x14ac:dyDescent="0.2">
      <c r="A38">
        <v>35</v>
      </c>
      <c r="B38" t="s">
        <v>52</v>
      </c>
      <c r="C38">
        <v>2015</v>
      </c>
      <c r="D38">
        <v>19</v>
      </c>
      <c r="E38">
        <v>27.3</v>
      </c>
      <c r="F38">
        <v>53.6</v>
      </c>
      <c r="G38">
        <v>5</v>
      </c>
      <c r="H38">
        <v>55</v>
      </c>
      <c r="I38">
        <v>480</v>
      </c>
      <c r="J38">
        <v>5.3</v>
      </c>
      <c r="K38">
        <v>9</v>
      </c>
      <c r="L38">
        <v>7</v>
      </c>
      <c r="M38">
        <v>9</v>
      </c>
      <c r="N38">
        <v>0</v>
      </c>
      <c r="O38">
        <v>0</v>
      </c>
      <c r="P38">
        <v>0</v>
      </c>
      <c r="Q38">
        <v>0</v>
      </c>
      <c r="R38">
        <v>1.69</v>
      </c>
      <c r="S38">
        <v>1.31</v>
      </c>
      <c r="T38">
        <v>3</v>
      </c>
      <c r="U38">
        <v>1.69</v>
      </c>
      <c r="V38">
        <v>3</v>
      </c>
    </row>
    <row r="39" spans="1:22" x14ac:dyDescent="0.2">
      <c r="A39">
        <v>36</v>
      </c>
      <c r="B39" t="s">
        <v>53</v>
      </c>
      <c r="C39">
        <v>2015</v>
      </c>
      <c r="D39">
        <v>21</v>
      </c>
      <c r="E39">
        <v>26.9</v>
      </c>
      <c r="F39">
        <v>54.7</v>
      </c>
      <c r="G39">
        <v>7</v>
      </c>
      <c r="H39">
        <v>77</v>
      </c>
      <c r="I39">
        <v>690</v>
      </c>
      <c r="J39">
        <v>7.7</v>
      </c>
      <c r="K39">
        <v>20</v>
      </c>
      <c r="L39">
        <v>11</v>
      </c>
      <c r="M39">
        <v>18</v>
      </c>
      <c r="N39">
        <v>2</v>
      </c>
      <c r="O39">
        <v>2</v>
      </c>
      <c r="P39">
        <v>1</v>
      </c>
      <c r="Q39">
        <v>0</v>
      </c>
      <c r="R39">
        <v>2.61</v>
      </c>
      <c r="S39">
        <v>1.43</v>
      </c>
      <c r="T39">
        <v>4.04</v>
      </c>
      <c r="U39">
        <v>2.35</v>
      </c>
      <c r="V39">
        <v>3.78</v>
      </c>
    </row>
    <row r="40" spans="1:22" x14ac:dyDescent="0.2">
      <c r="A40">
        <v>37</v>
      </c>
      <c r="B40" t="s">
        <v>56</v>
      </c>
      <c r="C40">
        <v>2015</v>
      </c>
      <c r="D40">
        <v>23</v>
      </c>
      <c r="E40">
        <v>27.9</v>
      </c>
      <c r="F40">
        <v>55.1</v>
      </c>
      <c r="G40">
        <v>7</v>
      </c>
      <c r="H40">
        <v>77</v>
      </c>
      <c r="I40">
        <v>630</v>
      </c>
      <c r="J40">
        <v>7</v>
      </c>
      <c r="K40">
        <v>9</v>
      </c>
      <c r="L40">
        <v>5</v>
      </c>
      <c r="M40">
        <v>7</v>
      </c>
      <c r="N40">
        <v>2</v>
      </c>
      <c r="O40">
        <v>2</v>
      </c>
      <c r="P40">
        <v>1</v>
      </c>
      <c r="Q40">
        <v>0</v>
      </c>
      <c r="R40">
        <v>1.29</v>
      </c>
      <c r="S40">
        <v>0.71</v>
      </c>
      <c r="T40">
        <v>2</v>
      </c>
      <c r="U40">
        <v>1</v>
      </c>
      <c r="V40">
        <v>1.71</v>
      </c>
    </row>
    <row r="41" spans="1:22" x14ac:dyDescent="0.2">
      <c r="A41">
        <v>38</v>
      </c>
      <c r="B41" t="s">
        <v>57</v>
      </c>
      <c r="C41">
        <v>2015</v>
      </c>
      <c r="D41">
        <v>19</v>
      </c>
      <c r="E41">
        <v>26.1</v>
      </c>
      <c r="F41">
        <v>43.8</v>
      </c>
      <c r="G41">
        <v>4</v>
      </c>
      <c r="H41">
        <v>44</v>
      </c>
      <c r="I41">
        <v>360</v>
      </c>
      <c r="J41">
        <v>4</v>
      </c>
      <c r="K41">
        <v>4</v>
      </c>
      <c r="L41">
        <v>3</v>
      </c>
      <c r="M41">
        <v>3</v>
      </c>
      <c r="N41">
        <v>1</v>
      </c>
      <c r="O41">
        <v>1</v>
      </c>
      <c r="P41">
        <v>5</v>
      </c>
      <c r="Q41">
        <v>0</v>
      </c>
      <c r="R41">
        <v>1</v>
      </c>
      <c r="S41">
        <v>0.75</v>
      </c>
      <c r="T41">
        <v>1.75</v>
      </c>
      <c r="U41">
        <v>0.75</v>
      </c>
      <c r="V41">
        <v>1.5</v>
      </c>
    </row>
    <row r="42" spans="1:22" x14ac:dyDescent="0.2">
      <c r="A42">
        <v>39</v>
      </c>
      <c r="B42" t="s">
        <v>72</v>
      </c>
      <c r="C42">
        <v>2015</v>
      </c>
      <c r="D42">
        <v>17</v>
      </c>
      <c r="E42">
        <v>24.3</v>
      </c>
      <c r="F42">
        <v>52.3</v>
      </c>
      <c r="G42">
        <v>3</v>
      </c>
      <c r="H42">
        <v>33</v>
      </c>
      <c r="I42">
        <v>270</v>
      </c>
      <c r="J42">
        <v>3</v>
      </c>
      <c r="K42">
        <v>2</v>
      </c>
      <c r="L42">
        <v>1</v>
      </c>
      <c r="M42">
        <v>2</v>
      </c>
      <c r="N42">
        <v>0</v>
      </c>
      <c r="O42">
        <v>0</v>
      </c>
      <c r="P42">
        <v>4</v>
      </c>
      <c r="Q42">
        <v>0</v>
      </c>
      <c r="R42">
        <v>0.67</v>
      </c>
      <c r="S42">
        <v>0.33</v>
      </c>
      <c r="T42">
        <v>1</v>
      </c>
      <c r="U42">
        <v>0.67</v>
      </c>
      <c r="V42">
        <v>1</v>
      </c>
    </row>
    <row r="43" spans="1:22" x14ac:dyDescent="0.2">
      <c r="A43">
        <v>40</v>
      </c>
      <c r="B43" t="s">
        <v>58</v>
      </c>
      <c r="C43">
        <v>2015</v>
      </c>
      <c r="D43">
        <v>18</v>
      </c>
      <c r="E43">
        <v>24.3</v>
      </c>
      <c r="F43">
        <v>49</v>
      </c>
      <c r="G43">
        <v>4</v>
      </c>
      <c r="H43">
        <v>44</v>
      </c>
      <c r="I43">
        <v>360</v>
      </c>
      <c r="J43">
        <v>4</v>
      </c>
      <c r="K43">
        <v>3</v>
      </c>
      <c r="L43">
        <v>3</v>
      </c>
      <c r="M43">
        <v>3</v>
      </c>
      <c r="N43">
        <v>0</v>
      </c>
      <c r="O43">
        <v>0</v>
      </c>
      <c r="P43">
        <v>3</v>
      </c>
      <c r="Q43">
        <v>0</v>
      </c>
      <c r="R43">
        <v>0.75</v>
      </c>
      <c r="S43">
        <v>0.75</v>
      </c>
      <c r="T43">
        <v>1.5</v>
      </c>
      <c r="U43">
        <v>0.75</v>
      </c>
      <c r="V43">
        <v>1.5</v>
      </c>
    </row>
    <row r="44" spans="1:22" x14ac:dyDescent="0.2">
      <c r="A44">
        <v>41</v>
      </c>
      <c r="B44" t="s">
        <v>59</v>
      </c>
      <c r="C44">
        <v>2015</v>
      </c>
      <c r="D44">
        <v>15</v>
      </c>
      <c r="E44">
        <v>24.9</v>
      </c>
      <c r="F44">
        <v>46.7</v>
      </c>
      <c r="G44">
        <v>3</v>
      </c>
      <c r="H44">
        <v>33</v>
      </c>
      <c r="I44">
        <v>270</v>
      </c>
      <c r="J44">
        <v>3</v>
      </c>
      <c r="K44">
        <v>2</v>
      </c>
      <c r="L44">
        <v>2</v>
      </c>
      <c r="M44">
        <v>2</v>
      </c>
      <c r="N44">
        <v>0</v>
      </c>
      <c r="O44">
        <v>0</v>
      </c>
      <c r="P44">
        <v>4</v>
      </c>
      <c r="Q44">
        <v>0</v>
      </c>
      <c r="R44">
        <v>0.67</v>
      </c>
      <c r="S44">
        <v>0.67</v>
      </c>
      <c r="T44">
        <v>1.33</v>
      </c>
      <c r="U44">
        <v>0.67</v>
      </c>
      <c r="V44">
        <v>1.33</v>
      </c>
    </row>
    <row r="45" spans="1:22" x14ac:dyDescent="0.2">
      <c r="A45">
        <v>42</v>
      </c>
      <c r="B45" t="s">
        <v>60</v>
      </c>
      <c r="C45">
        <v>2015</v>
      </c>
      <c r="D45">
        <v>17</v>
      </c>
      <c r="E45">
        <v>24.6</v>
      </c>
      <c r="F45">
        <v>48.3</v>
      </c>
      <c r="G45">
        <v>3</v>
      </c>
      <c r="H45">
        <v>33</v>
      </c>
      <c r="I45">
        <v>270</v>
      </c>
      <c r="J45">
        <v>3</v>
      </c>
      <c r="K45">
        <v>3</v>
      </c>
      <c r="L45">
        <v>3</v>
      </c>
      <c r="M45">
        <v>3</v>
      </c>
      <c r="N45">
        <v>0</v>
      </c>
      <c r="O45">
        <v>0</v>
      </c>
      <c r="P45">
        <v>6</v>
      </c>
      <c r="Q45">
        <v>1</v>
      </c>
      <c r="R45">
        <v>1</v>
      </c>
      <c r="S45">
        <v>1</v>
      </c>
      <c r="T45">
        <v>2</v>
      </c>
      <c r="U45">
        <v>1</v>
      </c>
      <c r="V45">
        <v>2</v>
      </c>
    </row>
    <row r="46" spans="1:22" x14ac:dyDescent="0.2">
      <c r="A46">
        <v>43</v>
      </c>
      <c r="B46" t="s">
        <v>61</v>
      </c>
      <c r="C46">
        <v>2015</v>
      </c>
      <c r="D46">
        <v>18</v>
      </c>
      <c r="E46">
        <v>26.7</v>
      </c>
      <c r="F46">
        <v>54.5</v>
      </c>
      <c r="G46">
        <v>4</v>
      </c>
      <c r="H46">
        <v>44</v>
      </c>
      <c r="I46">
        <v>360</v>
      </c>
      <c r="J46">
        <v>4</v>
      </c>
      <c r="K46">
        <v>9</v>
      </c>
      <c r="L46">
        <v>6</v>
      </c>
      <c r="M46">
        <v>9</v>
      </c>
      <c r="N46">
        <v>0</v>
      </c>
      <c r="O46">
        <v>0</v>
      </c>
      <c r="P46">
        <v>1</v>
      </c>
      <c r="Q46">
        <v>0</v>
      </c>
      <c r="R46">
        <v>2.25</v>
      </c>
      <c r="S46">
        <v>1.5</v>
      </c>
      <c r="T46">
        <v>3.75</v>
      </c>
      <c r="U46">
        <v>2.25</v>
      </c>
      <c r="V46">
        <v>3.75</v>
      </c>
    </row>
    <row r="47" spans="1:22" x14ac:dyDescent="0.2">
      <c r="A47">
        <v>44</v>
      </c>
      <c r="B47" t="s">
        <v>64</v>
      </c>
      <c r="C47">
        <v>2015</v>
      </c>
      <c r="D47">
        <v>17</v>
      </c>
      <c r="E47">
        <v>25.3</v>
      </c>
      <c r="F47">
        <v>50.7</v>
      </c>
      <c r="G47">
        <v>3</v>
      </c>
      <c r="H47">
        <v>33</v>
      </c>
      <c r="I47">
        <v>270</v>
      </c>
      <c r="J47">
        <v>3</v>
      </c>
      <c r="K47">
        <v>2</v>
      </c>
      <c r="L47">
        <v>2</v>
      </c>
      <c r="M47">
        <v>2</v>
      </c>
      <c r="N47">
        <v>0</v>
      </c>
      <c r="O47">
        <v>0</v>
      </c>
      <c r="P47">
        <v>3</v>
      </c>
      <c r="Q47">
        <v>0</v>
      </c>
      <c r="R47">
        <v>0.67</v>
      </c>
      <c r="S47">
        <v>0.67</v>
      </c>
      <c r="T47">
        <v>1.33</v>
      </c>
      <c r="U47">
        <v>0.67</v>
      </c>
      <c r="V47">
        <v>1.33</v>
      </c>
    </row>
    <row r="48" spans="1:22" x14ac:dyDescent="0.2">
      <c r="A48">
        <v>45</v>
      </c>
      <c r="B48" t="s">
        <v>65</v>
      </c>
      <c r="C48">
        <v>2015</v>
      </c>
      <c r="D48">
        <v>18</v>
      </c>
      <c r="E48">
        <v>28.1</v>
      </c>
      <c r="F48">
        <v>49.3</v>
      </c>
      <c r="G48">
        <v>4</v>
      </c>
      <c r="H48">
        <v>44</v>
      </c>
      <c r="I48">
        <v>360</v>
      </c>
      <c r="J48">
        <v>4</v>
      </c>
      <c r="K48">
        <v>4</v>
      </c>
      <c r="L48">
        <v>2</v>
      </c>
      <c r="M48">
        <v>4</v>
      </c>
      <c r="N48">
        <v>0</v>
      </c>
      <c r="O48">
        <v>0</v>
      </c>
      <c r="P48">
        <v>0</v>
      </c>
      <c r="Q48">
        <v>0</v>
      </c>
      <c r="R48">
        <v>1</v>
      </c>
      <c r="S48">
        <v>0.5</v>
      </c>
      <c r="T48">
        <v>1.5</v>
      </c>
      <c r="U48">
        <v>1</v>
      </c>
      <c r="V48">
        <v>1.5</v>
      </c>
    </row>
    <row r="49" spans="1:22" x14ac:dyDescent="0.2">
      <c r="A49">
        <v>46</v>
      </c>
      <c r="B49" t="s">
        <v>73</v>
      </c>
      <c r="C49">
        <v>2015</v>
      </c>
      <c r="D49">
        <v>17</v>
      </c>
      <c r="E49">
        <v>25</v>
      </c>
      <c r="F49">
        <v>55.3</v>
      </c>
      <c r="G49">
        <v>4</v>
      </c>
      <c r="H49">
        <v>44</v>
      </c>
      <c r="I49">
        <v>360</v>
      </c>
      <c r="J49">
        <v>4</v>
      </c>
      <c r="K49">
        <v>9</v>
      </c>
      <c r="L49">
        <v>7</v>
      </c>
      <c r="M49">
        <v>8</v>
      </c>
      <c r="N49">
        <v>1</v>
      </c>
      <c r="O49">
        <v>1</v>
      </c>
      <c r="P49">
        <v>4</v>
      </c>
      <c r="Q49">
        <v>0</v>
      </c>
      <c r="R49">
        <v>2.25</v>
      </c>
      <c r="S49">
        <v>1.75</v>
      </c>
      <c r="T49">
        <v>4</v>
      </c>
      <c r="U49">
        <v>2</v>
      </c>
      <c r="V49">
        <v>3.75</v>
      </c>
    </row>
    <row r="50" spans="1:22" x14ac:dyDescent="0.2">
      <c r="A50">
        <v>47</v>
      </c>
      <c r="B50" t="s">
        <v>66</v>
      </c>
      <c r="C50">
        <v>2015</v>
      </c>
      <c r="D50">
        <v>17</v>
      </c>
      <c r="E50">
        <v>25.7</v>
      </c>
      <c r="F50">
        <v>40</v>
      </c>
      <c r="G50">
        <v>3</v>
      </c>
      <c r="H50">
        <v>33</v>
      </c>
      <c r="I50">
        <v>270</v>
      </c>
      <c r="J50">
        <v>3</v>
      </c>
      <c r="K50">
        <v>3</v>
      </c>
      <c r="L50">
        <v>3</v>
      </c>
      <c r="M50">
        <v>3</v>
      </c>
      <c r="N50">
        <v>0</v>
      </c>
      <c r="O50">
        <v>0</v>
      </c>
      <c r="P50">
        <v>3</v>
      </c>
      <c r="Q50">
        <v>0</v>
      </c>
      <c r="R50">
        <v>1</v>
      </c>
      <c r="S50">
        <v>1</v>
      </c>
      <c r="T50">
        <v>2</v>
      </c>
      <c r="U50">
        <v>1</v>
      </c>
      <c r="V50">
        <v>2</v>
      </c>
    </row>
    <row r="51" spans="1:22" x14ac:dyDescent="0.2">
      <c r="A51">
        <v>48</v>
      </c>
      <c r="B51" t="s">
        <v>67</v>
      </c>
      <c r="C51">
        <v>2015</v>
      </c>
      <c r="D51">
        <v>20</v>
      </c>
      <c r="E51">
        <v>28.4</v>
      </c>
      <c r="F51">
        <v>52.9</v>
      </c>
      <c r="G51">
        <v>7</v>
      </c>
      <c r="H51">
        <v>77</v>
      </c>
      <c r="I51">
        <v>630</v>
      </c>
      <c r="J51">
        <v>7</v>
      </c>
      <c r="K51">
        <v>14</v>
      </c>
      <c r="L51">
        <v>7</v>
      </c>
      <c r="M51">
        <v>12</v>
      </c>
      <c r="N51">
        <v>2</v>
      </c>
      <c r="O51">
        <v>2</v>
      </c>
      <c r="P51">
        <v>2</v>
      </c>
      <c r="Q51">
        <v>0</v>
      </c>
      <c r="R51">
        <v>2</v>
      </c>
      <c r="S51">
        <v>1</v>
      </c>
      <c r="T51">
        <v>3</v>
      </c>
      <c r="U51">
        <v>1.71</v>
      </c>
      <c r="V51">
        <v>2.71</v>
      </c>
    </row>
    <row r="52" spans="1:22" x14ac:dyDescent="0.2">
      <c r="A52">
        <v>49</v>
      </c>
      <c r="B52" t="s">
        <v>45</v>
      </c>
      <c r="C52">
        <v>2011</v>
      </c>
      <c r="D52">
        <v>20</v>
      </c>
      <c r="E52">
        <v>22.8</v>
      </c>
      <c r="F52">
        <v>53.5</v>
      </c>
      <c r="G52">
        <v>4</v>
      </c>
      <c r="H52">
        <v>44</v>
      </c>
      <c r="I52">
        <v>360</v>
      </c>
      <c r="J52">
        <v>4</v>
      </c>
      <c r="K52">
        <v>6</v>
      </c>
      <c r="L52">
        <v>6</v>
      </c>
      <c r="M52">
        <v>6</v>
      </c>
      <c r="N52">
        <v>0</v>
      </c>
      <c r="O52">
        <v>0</v>
      </c>
      <c r="P52">
        <v>0</v>
      </c>
      <c r="Q52">
        <v>0</v>
      </c>
      <c r="R52">
        <v>1.5</v>
      </c>
      <c r="S52">
        <v>1.5</v>
      </c>
      <c r="T52">
        <v>3</v>
      </c>
      <c r="U52">
        <v>1.5</v>
      </c>
      <c r="V52">
        <v>3</v>
      </c>
    </row>
    <row r="53" spans="1:22" x14ac:dyDescent="0.2">
      <c r="A53">
        <v>50</v>
      </c>
      <c r="B53" t="s">
        <v>46</v>
      </c>
      <c r="C53">
        <v>2011</v>
      </c>
      <c r="D53">
        <v>16</v>
      </c>
      <c r="E53">
        <v>27</v>
      </c>
      <c r="F53">
        <v>53.3</v>
      </c>
      <c r="G53">
        <v>4</v>
      </c>
      <c r="H53">
        <v>44</v>
      </c>
      <c r="I53">
        <v>390</v>
      </c>
      <c r="J53">
        <v>4.3</v>
      </c>
      <c r="K53">
        <v>9</v>
      </c>
      <c r="L53">
        <v>6</v>
      </c>
      <c r="M53">
        <v>7</v>
      </c>
      <c r="N53">
        <v>2</v>
      </c>
      <c r="O53">
        <v>2</v>
      </c>
      <c r="P53">
        <v>0</v>
      </c>
      <c r="Q53">
        <v>0</v>
      </c>
      <c r="R53">
        <v>2.08</v>
      </c>
      <c r="S53">
        <v>1.38</v>
      </c>
      <c r="T53">
        <v>3.46</v>
      </c>
      <c r="U53">
        <v>1.62</v>
      </c>
      <c r="V53">
        <v>3</v>
      </c>
    </row>
    <row r="54" spans="1:22" x14ac:dyDescent="0.2">
      <c r="A54">
        <v>51</v>
      </c>
      <c r="B54" t="s">
        <v>48</v>
      </c>
      <c r="C54">
        <v>2011</v>
      </c>
      <c r="D54">
        <v>19</v>
      </c>
      <c r="E54">
        <v>25.9</v>
      </c>
      <c r="F54">
        <v>47.3</v>
      </c>
      <c r="G54">
        <v>3</v>
      </c>
      <c r="H54">
        <v>33</v>
      </c>
      <c r="I54">
        <v>270</v>
      </c>
      <c r="J54">
        <v>3</v>
      </c>
      <c r="K54">
        <v>1</v>
      </c>
      <c r="L54">
        <v>0</v>
      </c>
      <c r="M54">
        <v>1</v>
      </c>
      <c r="N54">
        <v>0</v>
      </c>
      <c r="O54">
        <v>0</v>
      </c>
      <c r="P54">
        <v>0</v>
      </c>
      <c r="Q54">
        <v>0</v>
      </c>
      <c r="R54">
        <v>0.33</v>
      </c>
      <c r="S54">
        <v>0</v>
      </c>
      <c r="T54">
        <v>0.33</v>
      </c>
      <c r="U54">
        <v>0.33</v>
      </c>
      <c r="V54">
        <v>0.33</v>
      </c>
    </row>
    <row r="55" spans="1:22" x14ac:dyDescent="0.2">
      <c r="A55">
        <v>52</v>
      </c>
      <c r="B55" t="s">
        <v>68</v>
      </c>
      <c r="C55">
        <v>2011</v>
      </c>
      <c r="D55">
        <v>17</v>
      </c>
      <c r="E55">
        <v>22.4</v>
      </c>
      <c r="F55">
        <v>49.3</v>
      </c>
      <c r="G55">
        <v>3</v>
      </c>
      <c r="H55">
        <v>33</v>
      </c>
      <c r="I55">
        <v>270</v>
      </c>
      <c r="J55">
        <v>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 x14ac:dyDescent="0.2">
      <c r="A56">
        <v>53</v>
      </c>
      <c r="B56" t="s">
        <v>51</v>
      </c>
      <c r="C56">
        <v>2011</v>
      </c>
      <c r="D56">
        <v>18</v>
      </c>
      <c r="E56">
        <v>26.9</v>
      </c>
      <c r="F56">
        <v>49.3</v>
      </c>
      <c r="G56">
        <v>4</v>
      </c>
      <c r="H56">
        <v>44</v>
      </c>
      <c r="I56">
        <v>390</v>
      </c>
      <c r="J56">
        <v>4.3</v>
      </c>
      <c r="K56">
        <v>6</v>
      </c>
      <c r="L56">
        <v>7</v>
      </c>
      <c r="M56">
        <v>6</v>
      </c>
      <c r="N56">
        <v>0</v>
      </c>
      <c r="O56">
        <v>0</v>
      </c>
      <c r="P56">
        <v>0</v>
      </c>
      <c r="Q56">
        <v>0</v>
      </c>
      <c r="R56">
        <v>1.38</v>
      </c>
      <c r="S56">
        <v>1.62</v>
      </c>
      <c r="T56">
        <v>3</v>
      </c>
      <c r="U56">
        <v>1.38</v>
      </c>
      <c r="V56">
        <v>3</v>
      </c>
    </row>
    <row r="57" spans="1:22" x14ac:dyDescent="0.2">
      <c r="A57">
        <v>54</v>
      </c>
      <c r="B57" t="s">
        <v>74</v>
      </c>
      <c r="C57">
        <v>2011</v>
      </c>
      <c r="D57">
        <v>15</v>
      </c>
      <c r="E57">
        <v>26.1</v>
      </c>
      <c r="F57">
        <v>40.700000000000003</v>
      </c>
      <c r="G57">
        <v>3</v>
      </c>
      <c r="H57">
        <v>33</v>
      </c>
      <c r="I57">
        <v>270</v>
      </c>
      <c r="J57">
        <v>3</v>
      </c>
      <c r="K57">
        <v>2</v>
      </c>
      <c r="L57">
        <v>0</v>
      </c>
      <c r="M57">
        <v>2</v>
      </c>
      <c r="N57">
        <v>0</v>
      </c>
      <c r="O57">
        <v>0</v>
      </c>
      <c r="R57">
        <v>0.67</v>
      </c>
      <c r="S57">
        <v>0</v>
      </c>
      <c r="T57">
        <v>0.67</v>
      </c>
      <c r="U57">
        <v>0.67</v>
      </c>
      <c r="V57">
        <v>0.67</v>
      </c>
    </row>
    <row r="58" spans="1:22" x14ac:dyDescent="0.2">
      <c r="A58">
        <v>55</v>
      </c>
      <c r="B58" t="s">
        <v>52</v>
      </c>
      <c r="C58">
        <v>2011</v>
      </c>
      <c r="D58">
        <v>20</v>
      </c>
      <c r="E58">
        <v>26.7</v>
      </c>
      <c r="F58">
        <v>52.3</v>
      </c>
      <c r="G58">
        <v>6</v>
      </c>
      <c r="H58">
        <v>66</v>
      </c>
      <c r="I58">
        <v>570</v>
      </c>
      <c r="J58">
        <v>6.3</v>
      </c>
      <c r="K58">
        <v>10</v>
      </c>
      <c r="L58">
        <v>9</v>
      </c>
      <c r="M58">
        <v>10</v>
      </c>
      <c r="N58">
        <v>0</v>
      </c>
      <c r="O58">
        <v>0</v>
      </c>
      <c r="P58">
        <v>0</v>
      </c>
      <c r="Q58">
        <v>0</v>
      </c>
      <c r="R58">
        <v>1.58</v>
      </c>
      <c r="S58">
        <v>1.42</v>
      </c>
      <c r="T58">
        <v>3</v>
      </c>
      <c r="U58">
        <v>1.58</v>
      </c>
      <c r="V58">
        <v>3</v>
      </c>
    </row>
    <row r="59" spans="1:22" x14ac:dyDescent="0.2">
      <c r="A59">
        <v>56</v>
      </c>
      <c r="B59" t="s">
        <v>53</v>
      </c>
      <c r="C59">
        <v>2011</v>
      </c>
      <c r="D59">
        <v>17</v>
      </c>
      <c r="E59">
        <v>26.4</v>
      </c>
      <c r="F59">
        <v>50</v>
      </c>
      <c r="G59">
        <v>4</v>
      </c>
      <c r="H59">
        <v>44</v>
      </c>
      <c r="I59">
        <v>390</v>
      </c>
      <c r="J59">
        <v>4.3</v>
      </c>
      <c r="K59">
        <v>7</v>
      </c>
      <c r="L59">
        <v>6</v>
      </c>
      <c r="M59">
        <v>6</v>
      </c>
      <c r="N59">
        <v>1</v>
      </c>
      <c r="O59">
        <v>1</v>
      </c>
      <c r="P59">
        <v>0</v>
      </c>
      <c r="Q59">
        <v>0</v>
      </c>
      <c r="R59">
        <v>1.62</v>
      </c>
      <c r="S59">
        <v>1.38</v>
      </c>
      <c r="T59">
        <v>3</v>
      </c>
      <c r="U59">
        <v>1.38</v>
      </c>
      <c r="V59">
        <v>2.77</v>
      </c>
    </row>
    <row r="60" spans="1:22" x14ac:dyDescent="0.2">
      <c r="A60">
        <v>57</v>
      </c>
      <c r="B60" t="s">
        <v>56</v>
      </c>
      <c r="C60">
        <v>2011</v>
      </c>
      <c r="D60">
        <v>18</v>
      </c>
      <c r="E60">
        <v>25.4</v>
      </c>
      <c r="F60">
        <v>56.5</v>
      </c>
      <c r="G60">
        <v>6</v>
      </c>
      <c r="H60">
        <v>66</v>
      </c>
      <c r="I60">
        <v>600</v>
      </c>
      <c r="J60">
        <v>6.7</v>
      </c>
      <c r="K60">
        <v>12</v>
      </c>
      <c r="L60">
        <v>10</v>
      </c>
      <c r="M60">
        <v>12</v>
      </c>
      <c r="N60">
        <v>0</v>
      </c>
      <c r="O60">
        <v>0</v>
      </c>
      <c r="P60">
        <v>0</v>
      </c>
      <c r="Q60">
        <v>0</v>
      </c>
      <c r="R60">
        <v>1.8</v>
      </c>
      <c r="S60">
        <v>1.5</v>
      </c>
      <c r="T60">
        <v>3.3</v>
      </c>
      <c r="U60">
        <v>1.8</v>
      </c>
      <c r="V60">
        <v>3.3</v>
      </c>
    </row>
    <row r="61" spans="1:22" x14ac:dyDescent="0.2">
      <c r="A61">
        <v>58</v>
      </c>
      <c r="B61" t="s">
        <v>75</v>
      </c>
      <c r="C61">
        <v>2011</v>
      </c>
      <c r="D61">
        <v>17</v>
      </c>
      <c r="E61">
        <v>21.1</v>
      </c>
      <c r="F61">
        <v>50.7</v>
      </c>
      <c r="G61">
        <v>3</v>
      </c>
      <c r="H61">
        <v>33</v>
      </c>
      <c r="I61">
        <v>270</v>
      </c>
      <c r="J61">
        <v>3</v>
      </c>
      <c r="K61">
        <v>0</v>
      </c>
      <c r="L61">
        <v>0</v>
      </c>
      <c r="M61">
        <v>0</v>
      </c>
      <c r="N61">
        <v>0</v>
      </c>
      <c r="O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 x14ac:dyDescent="0.2">
      <c r="A62">
        <v>59</v>
      </c>
      <c r="B62" t="s">
        <v>72</v>
      </c>
      <c r="C62">
        <v>2011</v>
      </c>
      <c r="D62">
        <v>18</v>
      </c>
      <c r="E62">
        <v>23.1</v>
      </c>
      <c r="F62">
        <v>47.7</v>
      </c>
      <c r="G62">
        <v>3</v>
      </c>
      <c r="H62">
        <v>33</v>
      </c>
      <c r="I62">
        <v>270</v>
      </c>
      <c r="J62">
        <v>3</v>
      </c>
      <c r="K62">
        <v>3</v>
      </c>
      <c r="L62">
        <v>3</v>
      </c>
      <c r="M62">
        <v>3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2</v>
      </c>
      <c r="U62">
        <v>1</v>
      </c>
      <c r="V62">
        <v>2</v>
      </c>
    </row>
    <row r="63" spans="1:22" x14ac:dyDescent="0.2">
      <c r="A63">
        <v>60</v>
      </c>
      <c r="B63" t="s">
        <v>59</v>
      </c>
      <c r="C63">
        <v>2011</v>
      </c>
      <c r="D63">
        <v>16</v>
      </c>
      <c r="E63">
        <v>24.4</v>
      </c>
      <c r="F63">
        <v>45.7</v>
      </c>
      <c r="G63">
        <v>3</v>
      </c>
      <c r="H63">
        <v>33</v>
      </c>
      <c r="I63">
        <v>270</v>
      </c>
      <c r="J63">
        <v>3</v>
      </c>
      <c r="K63">
        <v>4</v>
      </c>
      <c r="L63">
        <v>3</v>
      </c>
      <c r="M63">
        <v>4</v>
      </c>
      <c r="N63">
        <v>0</v>
      </c>
      <c r="O63">
        <v>0</v>
      </c>
      <c r="P63">
        <v>0</v>
      </c>
      <c r="Q63">
        <v>0</v>
      </c>
      <c r="R63">
        <v>1.33</v>
      </c>
      <c r="S63">
        <v>1</v>
      </c>
      <c r="T63">
        <v>2.33</v>
      </c>
      <c r="U63">
        <v>1.33</v>
      </c>
      <c r="V63">
        <v>2.33</v>
      </c>
    </row>
    <row r="64" spans="1:22" x14ac:dyDescent="0.2">
      <c r="A64">
        <v>61</v>
      </c>
      <c r="B64" t="s">
        <v>60</v>
      </c>
      <c r="C64">
        <v>2011</v>
      </c>
      <c r="D64">
        <v>17</v>
      </c>
      <c r="E64">
        <v>24.3</v>
      </c>
      <c r="F64">
        <v>50.7</v>
      </c>
      <c r="G64">
        <v>3</v>
      </c>
      <c r="H64">
        <v>33</v>
      </c>
      <c r="I64">
        <v>270</v>
      </c>
      <c r="J64">
        <v>3</v>
      </c>
      <c r="K64">
        <v>1</v>
      </c>
      <c r="L64">
        <v>0</v>
      </c>
      <c r="M64">
        <v>1</v>
      </c>
      <c r="N64">
        <v>0</v>
      </c>
      <c r="O64">
        <v>0</v>
      </c>
      <c r="P64">
        <v>0</v>
      </c>
      <c r="Q64">
        <v>0</v>
      </c>
      <c r="R64">
        <v>0.33</v>
      </c>
      <c r="S64">
        <v>0</v>
      </c>
      <c r="T64">
        <v>0.33</v>
      </c>
      <c r="U64">
        <v>0.33</v>
      </c>
      <c r="V64">
        <v>0.33</v>
      </c>
    </row>
    <row r="65" spans="1:22" x14ac:dyDescent="0.2">
      <c r="A65">
        <v>62</v>
      </c>
      <c r="B65" t="s">
        <v>61</v>
      </c>
      <c r="C65">
        <v>2011</v>
      </c>
      <c r="D65">
        <v>18</v>
      </c>
      <c r="E65">
        <v>24.7</v>
      </c>
      <c r="F65">
        <v>50.7</v>
      </c>
      <c r="G65">
        <v>3</v>
      </c>
      <c r="H65">
        <v>33</v>
      </c>
      <c r="I65">
        <v>270</v>
      </c>
      <c r="J65">
        <v>3</v>
      </c>
      <c r="K65">
        <v>2</v>
      </c>
      <c r="L65">
        <v>1</v>
      </c>
      <c r="M65">
        <v>2</v>
      </c>
      <c r="N65">
        <v>0</v>
      </c>
      <c r="O65">
        <v>0</v>
      </c>
      <c r="P65">
        <v>0</v>
      </c>
      <c r="Q65">
        <v>0</v>
      </c>
      <c r="R65">
        <v>0.67</v>
      </c>
      <c r="S65">
        <v>0.33</v>
      </c>
      <c r="T65">
        <v>1</v>
      </c>
      <c r="U65">
        <v>0.67</v>
      </c>
      <c r="V65">
        <v>1</v>
      </c>
    </row>
    <row r="66" spans="1:22" x14ac:dyDescent="0.2">
      <c r="A66">
        <v>63</v>
      </c>
      <c r="B66" t="s">
        <v>65</v>
      </c>
      <c r="C66">
        <v>2011</v>
      </c>
      <c r="D66">
        <v>19</v>
      </c>
      <c r="E66">
        <v>28.4</v>
      </c>
      <c r="F66">
        <v>45.3</v>
      </c>
      <c r="G66">
        <v>6</v>
      </c>
      <c r="H66">
        <v>66</v>
      </c>
      <c r="I66">
        <v>540</v>
      </c>
      <c r="J66">
        <v>6</v>
      </c>
      <c r="K66">
        <v>10</v>
      </c>
      <c r="L66">
        <v>4</v>
      </c>
      <c r="M66">
        <v>9</v>
      </c>
      <c r="N66">
        <v>1</v>
      </c>
      <c r="O66">
        <v>1</v>
      </c>
      <c r="P66">
        <v>0</v>
      </c>
      <c r="Q66">
        <v>0</v>
      </c>
      <c r="R66">
        <v>1.67</v>
      </c>
      <c r="S66">
        <v>0.67</v>
      </c>
      <c r="T66">
        <v>2.33</v>
      </c>
      <c r="U66">
        <v>1.5</v>
      </c>
      <c r="V66">
        <v>2.17</v>
      </c>
    </row>
    <row r="67" spans="1:22" x14ac:dyDescent="0.2">
      <c r="A67">
        <v>64</v>
      </c>
      <c r="B67" t="s">
        <v>67</v>
      </c>
      <c r="C67">
        <v>2011</v>
      </c>
      <c r="D67">
        <v>18</v>
      </c>
      <c r="E67">
        <v>28.3</v>
      </c>
      <c r="F67">
        <v>50.5</v>
      </c>
      <c r="G67">
        <v>6</v>
      </c>
      <c r="H67">
        <v>66</v>
      </c>
      <c r="I67">
        <v>600</v>
      </c>
      <c r="J67">
        <v>6.7</v>
      </c>
      <c r="K67">
        <v>12</v>
      </c>
      <c r="L67">
        <v>9</v>
      </c>
      <c r="M67">
        <v>12</v>
      </c>
      <c r="N67">
        <v>0</v>
      </c>
      <c r="O67">
        <v>0</v>
      </c>
      <c r="P67">
        <v>0</v>
      </c>
      <c r="Q67">
        <v>0</v>
      </c>
      <c r="R67">
        <v>1.8</v>
      </c>
      <c r="S67">
        <v>1.35</v>
      </c>
      <c r="T67">
        <v>3.15</v>
      </c>
      <c r="U67">
        <v>1.8</v>
      </c>
      <c r="V67">
        <v>3.15</v>
      </c>
    </row>
    <row r="68" spans="1:22" x14ac:dyDescent="0.2">
      <c r="A68">
        <v>65</v>
      </c>
      <c r="B68" t="s">
        <v>44</v>
      </c>
      <c r="C68">
        <v>2007</v>
      </c>
      <c r="D68">
        <v>19</v>
      </c>
      <c r="E68">
        <v>21</v>
      </c>
      <c r="F68">
        <v>38.299999999999997</v>
      </c>
      <c r="G68">
        <v>3</v>
      </c>
      <c r="H68">
        <v>33</v>
      </c>
      <c r="I68">
        <v>270</v>
      </c>
      <c r="J68">
        <v>3</v>
      </c>
      <c r="K68">
        <v>1</v>
      </c>
      <c r="L68">
        <v>0</v>
      </c>
      <c r="M68">
        <v>1</v>
      </c>
      <c r="N68">
        <v>0</v>
      </c>
      <c r="O68">
        <v>0</v>
      </c>
      <c r="R68">
        <v>0.33</v>
      </c>
      <c r="S68">
        <v>0</v>
      </c>
      <c r="T68">
        <v>0.33</v>
      </c>
      <c r="U68">
        <v>0.33</v>
      </c>
      <c r="V68">
        <v>0.33</v>
      </c>
    </row>
    <row r="69" spans="1:22" x14ac:dyDescent="0.2">
      <c r="A69">
        <v>66</v>
      </c>
      <c r="B69" t="s">
        <v>45</v>
      </c>
      <c r="C69">
        <v>2007</v>
      </c>
      <c r="D69">
        <v>18</v>
      </c>
      <c r="E69">
        <v>24.7</v>
      </c>
      <c r="F69">
        <v>48.3</v>
      </c>
      <c r="G69">
        <v>4</v>
      </c>
      <c r="H69">
        <v>44</v>
      </c>
      <c r="I69">
        <v>360</v>
      </c>
      <c r="J69">
        <v>4</v>
      </c>
      <c r="K69">
        <v>9</v>
      </c>
      <c r="L69">
        <v>6</v>
      </c>
      <c r="M69">
        <v>9</v>
      </c>
      <c r="N69">
        <v>0</v>
      </c>
      <c r="O69">
        <v>0</v>
      </c>
      <c r="R69">
        <v>2.25</v>
      </c>
      <c r="S69">
        <v>1.5</v>
      </c>
      <c r="T69">
        <v>3.75</v>
      </c>
      <c r="U69">
        <v>2.25</v>
      </c>
      <c r="V69">
        <v>3.75</v>
      </c>
    </row>
    <row r="70" spans="1:22" x14ac:dyDescent="0.2">
      <c r="A70">
        <v>67</v>
      </c>
      <c r="B70" t="s">
        <v>46</v>
      </c>
      <c r="C70">
        <v>2007</v>
      </c>
      <c r="D70">
        <v>16</v>
      </c>
      <c r="E70">
        <v>25.7</v>
      </c>
      <c r="F70">
        <v>61.3</v>
      </c>
      <c r="G70">
        <v>6</v>
      </c>
      <c r="H70">
        <v>66</v>
      </c>
      <c r="I70">
        <v>540</v>
      </c>
      <c r="J70">
        <v>6</v>
      </c>
      <c r="K70">
        <v>16</v>
      </c>
      <c r="L70">
        <v>7</v>
      </c>
      <c r="M70">
        <v>16</v>
      </c>
      <c r="N70">
        <v>0</v>
      </c>
      <c r="O70">
        <v>0</v>
      </c>
      <c r="R70">
        <v>2.67</v>
      </c>
      <c r="S70">
        <v>1.17</v>
      </c>
      <c r="T70">
        <v>3.83</v>
      </c>
      <c r="U70">
        <v>2.67</v>
      </c>
      <c r="V70">
        <v>3.83</v>
      </c>
    </row>
    <row r="71" spans="1:22" x14ac:dyDescent="0.2">
      <c r="A71">
        <v>68</v>
      </c>
      <c r="B71" t="s">
        <v>48</v>
      </c>
      <c r="C71">
        <v>2007</v>
      </c>
      <c r="D71">
        <v>18</v>
      </c>
      <c r="E71">
        <v>23.8</v>
      </c>
      <c r="F71">
        <v>39.299999999999997</v>
      </c>
      <c r="G71">
        <v>3</v>
      </c>
      <c r="H71">
        <v>33</v>
      </c>
      <c r="I71">
        <v>270</v>
      </c>
      <c r="J71">
        <v>3</v>
      </c>
      <c r="K71">
        <v>7</v>
      </c>
      <c r="L71">
        <v>3</v>
      </c>
      <c r="M71">
        <v>7</v>
      </c>
      <c r="N71">
        <v>0</v>
      </c>
      <c r="O71">
        <v>0</v>
      </c>
      <c r="R71">
        <v>2.33</v>
      </c>
      <c r="S71">
        <v>1</v>
      </c>
      <c r="T71">
        <v>3.33</v>
      </c>
      <c r="U71">
        <v>2.33</v>
      </c>
      <c r="V71">
        <v>3.33</v>
      </c>
    </row>
    <row r="72" spans="1:22" x14ac:dyDescent="0.2">
      <c r="A72">
        <v>69</v>
      </c>
      <c r="B72" t="s">
        <v>50</v>
      </c>
      <c r="C72">
        <v>2007</v>
      </c>
      <c r="D72">
        <v>18</v>
      </c>
      <c r="E72">
        <v>24.9</v>
      </c>
      <c r="F72">
        <v>47.3</v>
      </c>
      <c r="G72">
        <v>4</v>
      </c>
      <c r="H72">
        <v>44</v>
      </c>
      <c r="I72">
        <v>360</v>
      </c>
      <c r="J72">
        <v>4</v>
      </c>
      <c r="K72">
        <v>5</v>
      </c>
      <c r="L72">
        <v>0</v>
      </c>
      <c r="M72">
        <v>5</v>
      </c>
      <c r="N72">
        <v>0</v>
      </c>
      <c r="O72">
        <v>0</v>
      </c>
      <c r="R72">
        <v>1.25</v>
      </c>
      <c r="S72">
        <v>0</v>
      </c>
      <c r="T72">
        <v>1.25</v>
      </c>
      <c r="U72">
        <v>1.25</v>
      </c>
      <c r="V72">
        <v>1.25</v>
      </c>
    </row>
    <row r="73" spans="1:22" x14ac:dyDescent="0.2">
      <c r="A73">
        <v>70</v>
      </c>
      <c r="B73" t="s">
        <v>76</v>
      </c>
      <c r="C73">
        <v>2007</v>
      </c>
      <c r="D73">
        <v>16</v>
      </c>
      <c r="E73">
        <v>26.9</v>
      </c>
      <c r="F73">
        <v>50.7</v>
      </c>
      <c r="G73">
        <v>3</v>
      </c>
      <c r="H73">
        <v>33</v>
      </c>
      <c r="I73">
        <v>270</v>
      </c>
      <c r="J73">
        <v>3</v>
      </c>
      <c r="K73">
        <v>4</v>
      </c>
      <c r="L73">
        <v>2</v>
      </c>
      <c r="M73">
        <v>4</v>
      </c>
      <c r="N73">
        <v>0</v>
      </c>
      <c r="O73">
        <v>0</v>
      </c>
      <c r="R73">
        <v>1.33</v>
      </c>
      <c r="S73">
        <v>0.67</v>
      </c>
      <c r="T73">
        <v>2</v>
      </c>
      <c r="U73">
        <v>1.33</v>
      </c>
      <c r="V73">
        <v>2</v>
      </c>
    </row>
    <row r="74" spans="1:22" x14ac:dyDescent="0.2">
      <c r="A74">
        <v>71</v>
      </c>
      <c r="B74" t="s">
        <v>51</v>
      </c>
      <c r="C74">
        <v>2007</v>
      </c>
      <c r="D74">
        <v>18</v>
      </c>
      <c r="E74">
        <v>24.8</v>
      </c>
      <c r="F74">
        <v>52.5</v>
      </c>
      <c r="G74">
        <v>4</v>
      </c>
      <c r="H74">
        <v>44</v>
      </c>
      <c r="I74">
        <v>360</v>
      </c>
      <c r="J74">
        <v>4</v>
      </c>
      <c r="K74">
        <v>7</v>
      </c>
      <c r="L74">
        <v>5</v>
      </c>
      <c r="M74">
        <v>5</v>
      </c>
      <c r="N74">
        <v>2</v>
      </c>
      <c r="O74">
        <v>2</v>
      </c>
      <c r="R74">
        <v>1.75</v>
      </c>
      <c r="S74">
        <v>1.25</v>
      </c>
      <c r="T74">
        <v>3</v>
      </c>
      <c r="U74">
        <v>1.25</v>
      </c>
      <c r="V74">
        <v>2.5</v>
      </c>
    </row>
    <row r="75" spans="1:22" x14ac:dyDescent="0.2">
      <c r="A75">
        <v>72</v>
      </c>
      <c r="B75" t="s">
        <v>53</v>
      </c>
      <c r="C75">
        <v>2007</v>
      </c>
      <c r="D75">
        <v>17</v>
      </c>
      <c r="E75">
        <v>26.5</v>
      </c>
      <c r="F75">
        <v>49.5</v>
      </c>
      <c r="G75">
        <v>6</v>
      </c>
      <c r="H75">
        <v>66</v>
      </c>
      <c r="I75">
        <v>540</v>
      </c>
      <c r="J75">
        <v>6</v>
      </c>
      <c r="K75">
        <v>20</v>
      </c>
      <c r="L75">
        <v>11</v>
      </c>
      <c r="M75">
        <v>19</v>
      </c>
      <c r="N75">
        <v>1</v>
      </c>
      <c r="O75">
        <v>1</v>
      </c>
      <c r="R75">
        <v>3.33</v>
      </c>
      <c r="S75">
        <v>1.83</v>
      </c>
      <c r="T75">
        <v>5.17</v>
      </c>
      <c r="U75">
        <v>3.17</v>
      </c>
      <c r="V75">
        <v>5</v>
      </c>
    </row>
    <row r="76" spans="1:22" x14ac:dyDescent="0.2">
      <c r="A76">
        <v>73</v>
      </c>
      <c r="B76" t="s">
        <v>77</v>
      </c>
      <c r="C76">
        <v>2007</v>
      </c>
      <c r="D76">
        <v>19</v>
      </c>
      <c r="E76">
        <v>24.5</v>
      </c>
      <c r="F76">
        <v>52.3</v>
      </c>
      <c r="G76">
        <v>3</v>
      </c>
      <c r="H76">
        <v>33</v>
      </c>
      <c r="I76">
        <v>270</v>
      </c>
      <c r="J76">
        <v>3</v>
      </c>
      <c r="K76">
        <v>3</v>
      </c>
      <c r="L76">
        <v>0</v>
      </c>
      <c r="M76">
        <v>2</v>
      </c>
      <c r="N76">
        <v>1</v>
      </c>
      <c r="O76">
        <v>1</v>
      </c>
      <c r="R76">
        <v>1</v>
      </c>
      <c r="S76">
        <v>0</v>
      </c>
      <c r="T76">
        <v>1</v>
      </c>
      <c r="U76">
        <v>0.67</v>
      </c>
      <c r="V76">
        <v>0.67</v>
      </c>
    </row>
    <row r="77" spans="1:22" x14ac:dyDescent="0.2">
      <c r="A77">
        <v>74</v>
      </c>
      <c r="B77" t="s">
        <v>56</v>
      </c>
      <c r="C77">
        <v>2007</v>
      </c>
      <c r="D77">
        <v>16</v>
      </c>
      <c r="E77">
        <v>24.7</v>
      </c>
      <c r="F77">
        <v>56</v>
      </c>
      <c r="G77">
        <v>3</v>
      </c>
      <c r="H77">
        <v>33</v>
      </c>
      <c r="I77">
        <v>270</v>
      </c>
      <c r="J77">
        <v>3</v>
      </c>
      <c r="K77">
        <v>3</v>
      </c>
      <c r="L77">
        <v>0</v>
      </c>
      <c r="M77">
        <v>3</v>
      </c>
      <c r="N77">
        <v>0</v>
      </c>
      <c r="O77">
        <v>0</v>
      </c>
      <c r="R77">
        <v>1</v>
      </c>
      <c r="S77">
        <v>0</v>
      </c>
      <c r="T77">
        <v>1</v>
      </c>
      <c r="U77">
        <v>1</v>
      </c>
      <c r="V77">
        <v>1</v>
      </c>
    </row>
    <row r="78" spans="1:22" x14ac:dyDescent="0.2">
      <c r="A78">
        <v>75</v>
      </c>
      <c r="B78" t="s">
        <v>75</v>
      </c>
      <c r="C78">
        <v>2007</v>
      </c>
      <c r="D78">
        <v>15</v>
      </c>
      <c r="E78">
        <v>22.8</v>
      </c>
      <c r="F78">
        <v>52.8</v>
      </c>
      <c r="G78">
        <v>4</v>
      </c>
      <c r="H78">
        <v>44</v>
      </c>
      <c r="I78">
        <v>360</v>
      </c>
      <c r="J78">
        <v>4</v>
      </c>
      <c r="K78">
        <v>5</v>
      </c>
      <c r="L78">
        <v>1</v>
      </c>
      <c r="M78">
        <v>5</v>
      </c>
      <c r="N78">
        <v>0</v>
      </c>
      <c r="O78">
        <v>0</v>
      </c>
      <c r="R78">
        <v>1.25</v>
      </c>
      <c r="S78">
        <v>0.25</v>
      </c>
      <c r="T78">
        <v>1.5</v>
      </c>
      <c r="U78">
        <v>1.25</v>
      </c>
      <c r="V78">
        <v>1.5</v>
      </c>
    </row>
    <row r="79" spans="1:22" x14ac:dyDescent="0.2">
      <c r="A79">
        <v>76</v>
      </c>
      <c r="B79" t="s">
        <v>59</v>
      </c>
      <c r="C79">
        <v>2007</v>
      </c>
      <c r="D79">
        <v>18</v>
      </c>
      <c r="E79">
        <v>24.5</v>
      </c>
      <c r="F79">
        <v>39.700000000000003</v>
      </c>
      <c r="G79">
        <v>3</v>
      </c>
      <c r="H79">
        <v>33</v>
      </c>
      <c r="I79">
        <v>270</v>
      </c>
      <c r="J79">
        <v>3</v>
      </c>
      <c r="K79">
        <v>0</v>
      </c>
      <c r="L79">
        <v>0</v>
      </c>
      <c r="M79">
        <v>0</v>
      </c>
      <c r="N79">
        <v>0</v>
      </c>
      <c r="O79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1:22" x14ac:dyDescent="0.2">
      <c r="A80">
        <v>77</v>
      </c>
      <c r="B80" t="s">
        <v>60</v>
      </c>
      <c r="C80">
        <v>2007</v>
      </c>
      <c r="D80">
        <v>15</v>
      </c>
      <c r="E80">
        <v>23.6</v>
      </c>
      <c r="F80">
        <v>51</v>
      </c>
      <c r="G80">
        <v>3</v>
      </c>
      <c r="H80">
        <v>33</v>
      </c>
      <c r="I80">
        <v>270</v>
      </c>
      <c r="J80">
        <v>3</v>
      </c>
      <c r="K80">
        <v>1</v>
      </c>
      <c r="L80">
        <v>0</v>
      </c>
      <c r="M80">
        <v>1</v>
      </c>
      <c r="N80">
        <v>0</v>
      </c>
      <c r="O80">
        <v>0</v>
      </c>
      <c r="R80">
        <v>0.33</v>
      </c>
      <c r="S80">
        <v>0</v>
      </c>
      <c r="T80">
        <v>0.33</v>
      </c>
      <c r="U80">
        <v>0.33</v>
      </c>
      <c r="V80">
        <v>0.33</v>
      </c>
    </row>
    <row r="81" spans="1:22" x14ac:dyDescent="0.2">
      <c r="A81">
        <v>78</v>
      </c>
      <c r="B81" t="s">
        <v>61</v>
      </c>
      <c r="C81">
        <v>2007</v>
      </c>
      <c r="D81">
        <v>19</v>
      </c>
      <c r="E81">
        <v>26.3</v>
      </c>
      <c r="F81">
        <v>53.7</v>
      </c>
      <c r="G81">
        <v>6</v>
      </c>
      <c r="H81">
        <v>66</v>
      </c>
      <c r="I81">
        <v>540</v>
      </c>
      <c r="J81">
        <v>6</v>
      </c>
      <c r="K81">
        <v>12</v>
      </c>
      <c r="L81">
        <v>10</v>
      </c>
      <c r="M81">
        <v>11</v>
      </c>
      <c r="N81">
        <v>1</v>
      </c>
      <c r="O81">
        <v>1</v>
      </c>
      <c r="R81">
        <v>2</v>
      </c>
      <c r="S81">
        <v>1.67</v>
      </c>
      <c r="T81">
        <v>3.67</v>
      </c>
      <c r="U81">
        <v>1.83</v>
      </c>
      <c r="V81">
        <v>3.5</v>
      </c>
    </row>
    <row r="82" spans="1:22" x14ac:dyDescent="0.2">
      <c r="A82">
        <v>79</v>
      </c>
      <c r="B82" t="s">
        <v>65</v>
      </c>
      <c r="C82">
        <v>2007</v>
      </c>
      <c r="D82">
        <v>16</v>
      </c>
      <c r="E82">
        <v>26.1</v>
      </c>
      <c r="F82">
        <v>49.7</v>
      </c>
      <c r="G82">
        <v>3</v>
      </c>
      <c r="H82">
        <v>33</v>
      </c>
      <c r="I82">
        <v>270</v>
      </c>
      <c r="J82">
        <v>3</v>
      </c>
      <c r="K82">
        <v>3</v>
      </c>
      <c r="L82">
        <v>3</v>
      </c>
      <c r="M82">
        <v>3</v>
      </c>
      <c r="N82">
        <v>0</v>
      </c>
      <c r="O82">
        <v>0</v>
      </c>
      <c r="R82">
        <v>1</v>
      </c>
      <c r="S82">
        <v>1</v>
      </c>
      <c r="T82">
        <v>2</v>
      </c>
      <c r="U82">
        <v>1</v>
      </c>
      <c r="V82">
        <v>2</v>
      </c>
    </row>
    <row r="83" spans="1:22" x14ac:dyDescent="0.2">
      <c r="A83">
        <v>80</v>
      </c>
      <c r="B83" t="s">
        <v>67</v>
      </c>
      <c r="C83">
        <v>2007</v>
      </c>
      <c r="D83">
        <v>18</v>
      </c>
      <c r="E83">
        <v>26.7</v>
      </c>
      <c r="F83">
        <v>46.5</v>
      </c>
      <c r="G83">
        <v>6</v>
      </c>
      <c r="H83">
        <v>66</v>
      </c>
      <c r="I83">
        <v>540</v>
      </c>
      <c r="J83">
        <v>6</v>
      </c>
      <c r="K83">
        <v>12</v>
      </c>
      <c r="L83">
        <v>3</v>
      </c>
      <c r="M83">
        <v>11</v>
      </c>
      <c r="N83">
        <v>1</v>
      </c>
      <c r="O83">
        <v>1</v>
      </c>
      <c r="R83">
        <v>2</v>
      </c>
      <c r="S83">
        <v>0.5</v>
      </c>
      <c r="T83">
        <v>2.5</v>
      </c>
      <c r="U83">
        <v>1.83</v>
      </c>
      <c r="V83">
        <v>2.33</v>
      </c>
    </row>
    <row r="84" spans="1:22" x14ac:dyDescent="0.2">
      <c r="A84">
        <v>81</v>
      </c>
      <c r="B84" t="s">
        <v>44</v>
      </c>
      <c r="C84">
        <v>2003</v>
      </c>
      <c r="D84">
        <v>16</v>
      </c>
      <c r="E84">
        <v>23</v>
      </c>
      <c r="F84">
        <v>49</v>
      </c>
      <c r="G84">
        <v>3</v>
      </c>
      <c r="H84">
        <v>33</v>
      </c>
      <c r="I84">
        <v>270</v>
      </c>
      <c r="J84">
        <v>3</v>
      </c>
      <c r="K84">
        <v>1</v>
      </c>
      <c r="L84">
        <v>0</v>
      </c>
      <c r="M84">
        <v>1</v>
      </c>
      <c r="N84">
        <v>0</v>
      </c>
      <c r="O84">
        <v>0</v>
      </c>
      <c r="R84">
        <v>0.33</v>
      </c>
      <c r="S84">
        <v>0</v>
      </c>
      <c r="T84">
        <v>0.33</v>
      </c>
      <c r="U84">
        <v>0.33</v>
      </c>
      <c r="V84">
        <v>0.33</v>
      </c>
    </row>
    <row r="85" spans="1:22" x14ac:dyDescent="0.2">
      <c r="A85">
        <v>82</v>
      </c>
      <c r="B85" t="s">
        <v>45</v>
      </c>
      <c r="C85">
        <v>2003</v>
      </c>
      <c r="D85">
        <v>16</v>
      </c>
      <c r="E85">
        <v>23.4</v>
      </c>
      <c r="F85">
        <v>49</v>
      </c>
      <c r="G85">
        <v>3</v>
      </c>
      <c r="H85">
        <v>33</v>
      </c>
      <c r="I85">
        <v>270</v>
      </c>
      <c r="J85">
        <v>3</v>
      </c>
      <c r="K85">
        <v>3</v>
      </c>
      <c r="L85">
        <v>0</v>
      </c>
      <c r="M85">
        <v>3</v>
      </c>
      <c r="N85">
        <v>0</v>
      </c>
      <c r="O85">
        <v>0</v>
      </c>
      <c r="R85">
        <v>1</v>
      </c>
      <c r="S85">
        <v>0</v>
      </c>
      <c r="T85">
        <v>1</v>
      </c>
      <c r="U85">
        <v>1</v>
      </c>
      <c r="V85">
        <v>1</v>
      </c>
    </row>
    <row r="86" spans="1:22" x14ac:dyDescent="0.2">
      <c r="A86">
        <v>83</v>
      </c>
      <c r="B86" t="s">
        <v>46</v>
      </c>
      <c r="C86">
        <v>2003</v>
      </c>
      <c r="D86">
        <v>16</v>
      </c>
      <c r="E86">
        <v>22.4</v>
      </c>
      <c r="F86">
        <v>55</v>
      </c>
      <c r="G86">
        <v>4</v>
      </c>
      <c r="H86">
        <v>44</v>
      </c>
      <c r="I86">
        <v>360</v>
      </c>
      <c r="J86">
        <v>4</v>
      </c>
      <c r="K86">
        <v>9</v>
      </c>
      <c r="L86">
        <v>0</v>
      </c>
      <c r="M86">
        <v>9</v>
      </c>
      <c r="N86">
        <v>0</v>
      </c>
      <c r="O86">
        <v>0</v>
      </c>
      <c r="R86">
        <v>2.25</v>
      </c>
      <c r="S86">
        <v>0</v>
      </c>
      <c r="T86">
        <v>2.25</v>
      </c>
      <c r="U86">
        <v>2.25</v>
      </c>
      <c r="V86">
        <v>2.25</v>
      </c>
    </row>
    <row r="87" spans="1:22" x14ac:dyDescent="0.2">
      <c r="A87">
        <v>84</v>
      </c>
      <c r="B87" t="s">
        <v>48</v>
      </c>
      <c r="C87">
        <v>2003</v>
      </c>
      <c r="D87">
        <v>17</v>
      </c>
      <c r="E87">
        <v>22.7</v>
      </c>
      <c r="F87">
        <v>41.7</v>
      </c>
      <c r="G87">
        <v>6</v>
      </c>
      <c r="H87">
        <v>66</v>
      </c>
      <c r="I87">
        <v>540</v>
      </c>
      <c r="J87">
        <v>6</v>
      </c>
      <c r="K87">
        <v>10</v>
      </c>
      <c r="L87">
        <v>0</v>
      </c>
      <c r="M87">
        <v>10</v>
      </c>
      <c r="N87">
        <v>0</v>
      </c>
      <c r="O87">
        <v>0</v>
      </c>
      <c r="R87">
        <v>1.67</v>
      </c>
      <c r="S87">
        <v>0</v>
      </c>
      <c r="T87">
        <v>1.67</v>
      </c>
      <c r="U87">
        <v>1.67</v>
      </c>
      <c r="V87">
        <v>1.67</v>
      </c>
    </row>
    <row r="88" spans="1:22" x14ac:dyDescent="0.2">
      <c r="A88">
        <v>85</v>
      </c>
      <c r="B88" t="s">
        <v>50</v>
      </c>
      <c r="C88">
        <v>2003</v>
      </c>
      <c r="D88">
        <v>18</v>
      </c>
      <c r="E88">
        <v>27</v>
      </c>
      <c r="F88">
        <v>61</v>
      </c>
      <c r="G88">
        <v>4</v>
      </c>
      <c r="H88">
        <v>44</v>
      </c>
      <c r="I88">
        <v>360</v>
      </c>
      <c r="J88">
        <v>4</v>
      </c>
      <c r="K88">
        <v>3</v>
      </c>
      <c r="L88">
        <v>0</v>
      </c>
      <c r="M88">
        <v>3</v>
      </c>
      <c r="N88">
        <v>0</v>
      </c>
      <c r="O88">
        <v>0</v>
      </c>
      <c r="R88">
        <v>0.75</v>
      </c>
      <c r="S88">
        <v>0</v>
      </c>
      <c r="T88">
        <v>0.75</v>
      </c>
      <c r="U88">
        <v>0.75</v>
      </c>
      <c r="V88">
        <v>0.75</v>
      </c>
    </row>
    <row r="89" spans="1:22" x14ac:dyDescent="0.2">
      <c r="A89">
        <v>86</v>
      </c>
      <c r="B89" t="s">
        <v>52</v>
      </c>
      <c r="C89">
        <v>2003</v>
      </c>
      <c r="D89">
        <v>17</v>
      </c>
      <c r="E89">
        <v>25.2</v>
      </c>
      <c r="F89">
        <v>46.3</v>
      </c>
      <c r="G89">
        <v>3</v>
      </c>
      <c r="H89">
        <v>33</v>
      </c>
      <c r="I89">
        <v>270</v>
      </c>
      <c r="J89">
        <v>3</v>
      </c>
      <c r="K89">
        <v>2</v>
      </c>
      <c r="L89">
        <v>0</v>
      </c>
      <c r="M89">
        <v>2</v>
      </c>
      <c r="N89">
        <v>0</v>
      </c>
      <c r="O89">
        <v>0</v>
      </c>
      <c r="R89">
        <v>0.67</v>
      </c>
      <c r="S89">
        <v>0</v>
      </c>
      <c r="T89">
        <v>0.67</v>
      </c>
      <c r="U89">
        <v>0.67</v>
      </c>
      <c r="V89">
        <v>0.67</v>
      </c>
    </row>
    <row r="90" spans="1:22" x14ac:dyDescent="0.2">
      <c r="A90">
        <v>87</v>
      </c>
      <c r="B90" t="s">
        <v>53</v>
      </c>
      <c r="C90">
        <v>2003</v>
      </c>
      <c r="D90">
        <v>19</v>
      </c>
      <c r="E90">
        <v>27</v>
      </c>
      <c r="F90">
        <v>51.8</v>
      </c>
      <c r="G90">
        <v>6</v>
      </c>
      <c r="H90">
        <v>66</v>
      </c>
      <c r="I90">
        <v>570</v>
      </c>
      <c r="J90">
        <v>6.3</v>
      </c>
      <c r="K90">
        <v>25</v>
      </c>
      <c r="L90">
        <v>0</v>
      </c>
      <c r="M90">
        <v>25</v>
      </c>
      <c r="N90">
        <v>0</v>
      </c>
      <c r="O90">
        <v>0</v>
      </c>
      <c r="R90">
        <v>3.95</v>
      </c>
      <c r="S90">
        <v>0</v>
      </c>
      <c r="T90">
        <v>3.95</v>
      </c>
      <c r="U90">
        <v>3.95</v>
      </c>
      <c r="V90">
        <v>3.95</v>
      </c>
    </row>
    <row r="91" spans="1:22" x14ac:dyDescent="0.2">
      <c r="A91">
        <v>88</v>
      </c>
      <c r="B91" t="s">
        <v>77</v>
      </c>
      <c r="C91">
        <v>2003</v>
      </c>
      <c r="D91">
        <v>15</v>
      </c>
      <c r="E91">
        <v>25.4</v>
      </c>
      <c r="F91">
        <v>47.7</v>
      </c>
      <c r="G91">
        <v>3</v>
      </c>
      <c r="H91">
        <v>33</v>
      </c>
      <c r="I91">
        <v>270</v>
      </c>
      <c r="J91">
        <v>3</v>
      </c>
      <c r="K91">
        <v>2</v>
      </c>
      <c r="L91">
        <v>0</v>
      </c>
      <c r="M91">
        <v>2</v>
      </c>
      <c r="N91">
        <v>0</v>
      </c>
      <c r="O91">
        <v>0</v>
      </c>
      <c r="R91">
        <v>0.67</v>
      </c>
      <c r="S91">
        <v>0</v>
      </c>
      <c r="T91">
        <v>0.67</v>
      </c>
      <c r="U91">
        <v>0.67</v>
      </c>
      <c r="V91">
        <v>0.67</v>
      </c>
    </row>
    <row r="92" spans="1:22" x14ac:dyDescent="0.2">
      <c r="A92">
        <v>89</v>
      </c>
      <c r="B92" t="s">
        <v>56</v>
      </c>
      <c r="C92">
        <v>2003</v>
      </c>
      <c r="D92">
        <v>16</v>
      </c>
      <c r="E92">
        <v>24.2</v>
      </c>
      <c r="F92">
        <v>54.7</v>
      </c>
      <c r="G92">
        <v>3</v>
      </c>
      <c r="H92">
        <v>33</v>
      </c>
      <c r="I92">
        <v>270</v>
      </c>
      <c r="J92">
        <v>3</v>
      </c>
      <c r="K92">
        <v>7</v>
      </c>
      <c r="L92">
        <v>0</v>
      </c>
      <c r="M92">
        <v>7</v>
      </c>
      <c r="N92">
        <v>0</v>
      </c>
      <c r="O92">
        <v>0</v>
      </c>
      <c r="R92">
        <v>2.33</v>
      </c>
      <c r="S92">
        <v>0</v>
      </c>
      <c r="T92">
        <v>2.33</v>
      </c>
      <c r="U92">
        <v>2.33</v>
      </c>
      <c r="V92">
        <v>2.33</v>
      </c>
    </row>
    <row r="93" spans="1:22" x14ac:dyDescent="0.2">
      <c r="A93">
        <v>90</v>
      </c>
      <c r="B93" t="s">
        <v>75</v>
      </c>
      <c r="C93">
        <v>2003</v>
      </c>
      <c r="D93">
        <v>15</v>
      </c>
      <c r="E93">
        <v>24.6</v>
      </c>
      <c r="F93">
        <v>52.3</v>
      </c>
      <c r="G93">
        <v>3</v>
      </c>
      <c r="H93">
        <v>33</v>
      </c>
      <c r="I93">
        <v>270</v>
      </c>
      <c r="J93">
        <v>3</v>
      </c>
      <c r="K93">
        <v>3</v>
      </c>
      <c r="L93">
        <v>0</v>
      </c>
      <c r="M93">
        <v>3</v>
      </c>
      <c r="N93">
        <v>0</v>
      </c>
      <c r="O93">
        <v>0</v>
      </c>
      <c r="R93">
        <v>1</v>
      </c>
      <c r="S93">
        <v>0</v>
      </c>
      <c r="T93">
        <v>1</v>
      </c>
      <c r="U93">
        <v>1</v>
      </c>
      <c r="V93">
        <v>1</v>
      </c>
    </row>
    <row r="94" spans="1:22" x14ac:dyDescent="0.2">
      <c r="A94">
        <v>91</v>
      </c>
      <c r="B94" t="s">
        <v>57</v>
      </c>
      <c r="C94">
        <v>2003</v>
      </c>
      <c r="D94">
        <v>18</v>
      </c>
      <c r="E94">
        <v>22.2</v>
      </c>
      <c r="F94">
        <v>48.7</v>
      </c>
      <c r="G94">
        <v>3</v>
      </c>
      <c r="H94">
        <v>33</v>
      </c>
      <c r="I94">
        <v>270</v>
      </c>
      <c r="J94">
        <v>3</v>
      </c>
      <c r="K94">
        <v>1</v>
      </c>
      <c r="L94">
        <v>0</v>
      </c>
      <c r="M94">
        <v>1</v>
      </c>
      <c r="N94">
        <v>0</v>
      </c>
      <c r="O94">
        <v>0</v>
      </c>
      <c r="R94">
        <v>0.33</v>
      </c>
      <c r="S94">
        <v>0</v>
      </c>
      <c r="T94">
        <v>0.33</v>
      </c>
      <c r="U94">
        <v>0.33</v>
      </c>
      <c r="V94">
        <v>0.33</v>
      </c>
    </row>
    <row r="95" spans="1:22" x14ac:dyDescent="0.2">
      <c r="A95">
        <v>92</v>
      </c>
      <c r="B95" t="s">
        <v>60</v>
      </c>
      <c r="C95">
        <v>2003</v>
      </c>
      <c r="D95">
        <v>16</v>
      </c>
      <c r="E95">
        <v>24.7</v>
      </c>
      <c r="F95">
        <v>51.3</v>
      </c>
      <c r="G95">
        <v>3</v>
      </c>
      <c r="H95">
        <v>33</v>
      </c>
      <c r="I95">
        <v>270</v>
      </c>
      <c r="J95">
        <v>3</v>
      </c>
      <c r="K95">
        <v>0</v>
      </c>
      <c r="L95">
        <v>0</v>
      </c>
      <c r="M95">
        <v>0</v>
      </c>
      <c r="N95">
        <v>0</v>
      </c>
      <c r="O95">
        <v>0</v>
      </c>
      <c r="R95">
        <v>0</v>
      </c>
      <c r="S95">
        <v>0</v>
      </c>
      <c r="T95">
        <v>0</v>
      </c>
      <c r="U95">
        <v>0</v>
      </c>
      <c r="V95">
        <v>0</v>
      </c>
    </row>
    <row r="96" spans="1:22" x14ac:dyDescent="0.2">
      <c r="A96">
        <v>93</v>
      </c>
      <c r="B96" t="s">
        <v>61</v>
      </c>
      <c r="C96">
        <v>2003</v>
      </c>
      <c r="D96">
        <v>16</v>
      </c>
      <c r="E96">
        <v>25.3</v>
      </c>
      <c r="F96">
        <v>48</v>
      </c>
      <c r="G96">
        <v>4</v>
      </c>
      <c r="H96">
        <v>44</v>
      </c>
      <c r="I96">
        <v>360</v>
      </c>
      <c r="J96">
        <v>4</v>
      </c>
      <c r="K96">
        <v>10</v>
      </c>
      <c r="L96">
        <v>1</v>
      </c>
      <c r="M96">
        <v>10</v>
      </c>
      <c r="N96">
        <v>0</v>
      </c>
      <c r="O96">
        <v>0</v>
      </c>
      <c r="R96">
        <v>2.5</v>
      </c>
      <c r="S96">
        <v>0.25</v>
      </c>
      <c r="T96">
        <v>2.75</v>
      </c>
      <c r="U96">
        <v>2.5</v>
      </c>
      <c r="V96">
        <v>2.75</v>
      </c>
    </row>
    <row r="97" spans="1:22" x14ac:dyDescent="0.2">
      <c r="A97">
        <v>94</v>
      </c>
      <c r="B97" t="s">
        <v>78</v>
      </c>
      <c r="C97">
        <v>2003</v>
      </c>
      <c r="D97">
        <v>17</v>
      </c>
      <c r="E97">
        <v>28.1</v>
      </c>
      <c r="F97">
        <v>45</v>
      </c>
      <c r="G97">
        <v>4</v>
      </c>
      <c r="H97">
        <v>44</v>
      </c>
      <c r="I97">
        <v>360</v>
      </c>
      <c r="J97">
        <v>4</v>
      </c>
      <c r="K97">
        <v>5</v>
      </c>
      <c r="L97">
        <v>1</v>
      </c>
      <c r="M97">
        <v>5</v>
      </c>
      <c r="N97">
        <v>0</v>
      </c>
      <c r="O97">
        <v>0</v>
      </c>
      <c r="R97">
        <v>1.25</v>
      </c>
      <c r="S97">
        <v>0.25</v>
      </c>
      <c r="T97">
        <v>1.5</v>
      </c>
      <c r="U97">
        <v>1.25</v>
      </c>
      <c r="V97">
        <v>1.5</v>
      </c>
    </row>
    <row r="98" spans="1:22" x14ac:dyDescent="0.2">
      <c r="A98">
        <v>95</v>
      </c>
      <c r="B98" t="s">
        <v>65</v>
      </c>
      <c r="C98">
        <v>2003</v>
      </c>
      <c r="D98">
        <v>18</v>
      </c>
      <c r="E98">
        <v>25.9</v>
      </c>
      <c r="F98">
        <v>48.2</v>
      </c>
      <c r="G98">
        <v>6</v>
      </c>
      <c r="H98">
        <v>66</v>
      </c>
      <c r="I98">
        <v>570</v>
      </c>
      <c r="J98">
        <v>6.3</v>
      </c>
      <c r="K98">
        <v>10</v>
      </c>
      <c r="L98">
        <v>0</v>
      </c>
      <c r="M98">
        <v>10</v>
      </c>
      <c r="N98">
        <v>0</v>
      </c>
      <c r="O98">
        <v>0</v>
      </c>
      <c r="R98">
        <v>1.58</v>
      </c>
      <c r="S98">
        <v>0</v>
      </c>
      <c r="T98">
        <v>1.58</v>
      </c>
      <c r="U98">
        <v>1.58</v>
      </c>
      <c r="V98">
        <v>1.58</v>
      </c>
    </row>
    <row r="99" spans="1:22" x14ac:dyDescent="0.2">
      <c r="A99">
        <v>96</v>
      </c>
      <c r="B99" t="s">
        <v>67</v>
      </c>
      <c r="C99">
        <v>2003</v>
      </c>
      <c r="D99">
        <v>18</v>
      </c>
      <c r="E99">
        <v>28.1</v>
      </c>
      <c r="F99">
        <v>52.8</v>
      </c>
      <c r="G99">
        <v>6</v>
      </c>
      <c r="H99">
        <v>66</v>
      </c>
      <c r="I99">
        <v>540</v>
      </c>
      <c r="J99">
        <v>6</v>
      </c>
      <c r="K99">
        <v>15</v>
      </c>
      <c r="L99">
        <v>4</v>
      </c>
      <c r="M99">
        <v>15</v>
      </c>
      <c r="N99">
        <v>0</v>
      </c>
      <c r="O99">
        <v>0</v>
      </c>
      <c r="R99">
        <v>2.5</v>
      </c>
      <c r="S99">
        <v>0.67</v>
      </c>
      <c r="T99">
        <v>3.17</v>
      </c>
      <c r="U99">
        <v>2.5</v>
      </c>
      <c r="V99">
        <v>3.17</v>
      </c>
    </row>
    <row r="100" spans="1:22" x14ac:dyDescent="0.2">
      <c r="A100">
        <v>97</v>
      </c>
      <c r="B100" t="s">
        <v>45</v>
      </c>
      <c r="C100">
        <v>1999</v>
      </c>
      <c r="D100">
        <v>17</v>
      </c>
      <c r="E100">
        <v>25</v>
      </c>
      <c r="G100">
        <v>3</v>
      </c>
      <c r="H100">
        <v>33</v>
      </c>
      <c r="I100">
        <v>270</v>
      </c>
      <c r="J100">
        <v>3</v>
      </c>
      <c r="K100">
        <v>3</v>
      </c>
      <c r="L100">
        <v>1</v>
      </c>
      <c r="M100">
        <v>3</v>
      </c>
      <c r="N100">
        <v>0</v>
      </c>
      <c r="O100">
        <v>0</v>
      </c>
      <c r="R100">
        <v>1</v>
      </c>
      <c r="S100">
        <v>0.33</v>
      </c>
      <c r="T100">
        <v>1.33</v>
      </c>
      <c r="U100">
        <v>1</v>
      </c>
      <c r="V100">
        <v>1.33</v>
      </c>
    </row>
    <row r="101" spans="1:22" x14ac:dyDescent="0.2">
      <c r="A101">
        <v>98</v>
      </c>
      <c r="B101" t="s">
        <v>46</v>
      </c>
      <c r="C101">
        <v>1999</v>
      </c>
      <c r="D101">
        <v>15</v>
      </c>
      <c r="E101">
        <v>25</v>
      </c>
      <c r="G101">
        <v>6</v>
      </c>
      <c r="H101">
        <v>66</v>
      </c>
      <c r="I101">
        <v>554</v>
      </c>
      <c r="J101">
        <v>6.2</v>
      </c>
      <c r="K101">
        <v>16</v>
      </c>
      <c r="L101">
        <v>10</v>
      </c>
      <c r="M101">
        <v>16</v>
      </c>
      <c r="N101">
        <v>0</v>
      </c>
      <c r="O101">
        <v>0</v>
      </c>
      <c r="R101">
        <v>2.6</v>
      </c>
      <c r="S101">
        <v>1.62</v>
      </c>
      <c r="T101">
        <v>4.22</v>
      </c>
      <c r="U101">
        <v>2.6</v>
      </c>
      <c r="V101">
        <v>4.22</v>
      </c>
    </row>
    <row r="102" spans="1:22" x14ac:dyDescent="0.2">
      <c r="A102">
        <v>99</v>
      </c>
      <c r="B102" t="s">
        <v>48</v>
      </c>
      <c r="C102">
        <v>1999</v>
      </c>
      <c r="D102">
        <v>15</v>
      </c>
      <c r="E102">
        <v>25.9</v>
      </c>
      <c r="G102">
        <v>3</v>
      </c>
      <c r="H102">
        <v>33</v>
      </c>
      <c r="I102">
        <v>270</v>
      </c>
      <c r="J102">
        <v>3</v>
      </c>
      <c r="K102">
        <v>3</v>
      </c>
      <c r="L102">
        <v>3</v>
      </c>
      <c r="M102">
        <v>3</v>
      </c>
      <c r="N102">
        <v>0</v>
      </c>
      <c r="O102">
        <v>0</v>
      </c>
      <c r="R102">
        <v>1</v>
      </c>
      <c r="S102">
        <v>1</v>
      </c>
      <c r="T102">
        <v>2</v>
      </c>
      <c r="U102">
        <v>1</v>
      </c>
      <c r="V102">
        <v>2</v>
      </c>
    </row>
    <row r="103" spans="1:22" x14ac:dyDescent="0.2">
      <c r="A103">
        <v>100</v>
      </c>
      <c r="B103" t="s">
        <v>50</v>
      </c>
      <c r="C103">
        <v>1999</v>
      </c>
      <c r="D103">
        <v>14</v>
      </c>
      <c r="E103">
        <v>26.6</v>
      </c>
      <c r="G103">
        <v>6</v>
      </c>
      <c r="H103">
        <v>66</v>
      </c>
      <c r="I103">
        <v>570</v>
      </c>
      <c r="J103">
        <v>6.3</v>
      </c>
      <c r="K103">
        <v>19</v>
      </c>
      <c r="L103">
        <v>9</v>
      </c>
      <c r="M103">
        <v>18</v>
      </c>
      <c r="N103">
        <v>1</v>
      </c>
      <c r="O103">
        <v>1</v>
      </c>
      <c r="R103">
        <v>3</v>
      </c>
      <c r="S103">
        <v>1.42</v>
      </c>
      <c r="T103">
        <v>4.42</v>
      </c>
      <c r="U103">
        <v>2.84</v>
      </c>
      <c r="V103">
        <v>4.26</v>
      </c>
    </row>
    <row r="104" spans="1:22" x14ac:dyDescent="0.2">
      <c r="A104">
        <v>101</v>
      </c>
      <c r="B104" t="s">
        <v>76</v>
      </c>
      <c r="C104">
        <v>1999</v>
      </c>
      <c r="D104">
        <v>17</v>
      </c>
      <c r="E104">
        <v>25.5</v>
      </c>
      <c r="G104">
        <v>3</v>
      </c>
      <c r="H104">
        <v>33</v>
      </c>
      <c r="I104">
        <v>270</v>
      </c>
      <c r="J104">
        <v>3</v>
      </c>
      <c r="K104">
        <v>1</v>
      </c>
      <c r="L104">
        <v>0</v>
      </c>
      <c r="M104">
        <v>1</v>
      </c>
      <c r="N104">
        <v>0</v>
      </c>
      <c r="O104">
        <v>0</v>
      </c>
      <c r="R104">
        <v>0.33</v>
      </c>
      <c r="S104">
        <v>0</v>
      </c>
      <c r="T104">
        <v>0.33</v>
      </c>
      <c r="U104">
        <v>0.33</v>
      </c>
      <c r="V104">
        <v>0.33</v>
      </c>
    </row>
    <row r="105" spans="1:22" x14ac:dyDescent="0.2">
      <c r="A105">
        <v>102</v>
      </c>
      <c r="B105" t="s">
        <v>53</v>
      </c>
      <c r="C105">
        <v>1999</v>
      </c>
      <c r="D105">
        <v>18</v>
      </c>
      <c r="E105">
        <v>24.4</v>
      </c>
      <c r="G105">
        <v>4</v>
      </c>
      <c r="H105">
        <v>44</v>
      </c>
      <c r="I105">
        <v>360</v>
      </c>
      <c r="J105">
        <v>4</v>
      </c>
      <c r="K105">
        <v>11</v>
      </c>
      <c r="L105">
        <v>4</v>
      </c>
      <c r="M105">
        <v>11</v>
      </c>
      <c r="N105">
        <v>0</v>
      </c>
      <c r="O105">
        <v>0</v>
      </c>
      <c r="R105">
        <v>2.75</v>
      </c>
      <c r="S105">
        <v>1</v>
      </c>
      <c r="T105">
        <v>3.75</v>
      </c>
      <c r="U105">
        <v>2.75</v>
      </c>
      <c r="V105">
        <v>3.75</v>
      </c>
    </row>
    <row r="106" spans="1:22" x14ac:dyDescent="0.2">
      <c r="A106">
        <v>103</v>
      </c>
      <c r="B106" t="s">
        <v>77</v>
      </c>
      <c r="C106">
        <v>1999</v>
      </c>
      <c r="D106">
        <v>16</v>
      </c>
      <c r="E106">
        <v>23.6</v>
      </c>
      <c r="G106">
        <v>3</v>
      </c>
      <c r="H106">
        <v>33</v>
      </c>
      <c r="I106">
        <v>270</v>
      </c>
      <c r="J106">
        <v>3</v>
      </c>
      <c r="K106">
        <v>1</v>
      </c>
      <c r="L106">
        <v>0</v>
      </c>
      <c r="M106">
        <v>1</v>
      </c>
      <c r="N106">
        <v>0</v>
      </c>
      <c r="O106">
        <v>0</v>
      </c>
      <c r="R106">
        <v>0.33</v>
      </c>
      <c r="S106">
        <v>0</v>
      </c>
      <c r="T106">
        <v>0.33</v>
      </c>
      <c r="U106">
        <v>0.33</v>
      </c>
      <c r="V106">
        <v>0.33</v>
      </c>
    </row>
    <row r="107" spans="1:22" x14ac:dyDescent="0.2">
      <c r="A107">
        <v>104</v>
      </c>
      <c r="B107" t="s">
        <v>54</v>
      </c>
      <c r="C107">
        <v>1999</v>
      </c>
      <c r="D107">
        <v>17</v>
      </c>
      <c r="E107">
        <v>26.7</v>
      </c>
      <c r="G107">
        <v>3</v>
      </c>
      <c r="H107">
        <v>33</v>
      </c>
      <c r="I107">
        <v>270</v>
      </c>
      <c r="J107">
        <v>3</v>
      </c>
      <c r="K107">
        <v>3</v>
      </c>
      <c r="L107">
        <v>1</v>
      </c>
      <c r="M107">
        <v>3</v>
      </c>
      <c r="N107">
        <v>0</v>
      </c>
      <c r="O107">
        <v>0</v>
      </c>
      <c r="R107">
        <v>1</v>
      </c>
      <c r="S107">
        <v>0.33</v>
      </c>
      <c r="T107">
        <v>1.33</v>
      </c>
      <c r="U107">
        <v>1</v>
      </c>
      <c r="V107">
        <v>1.33</v>
      </c>
    </row>
    <row r="108" spans="1:22" x14ac:dyDescent="0.2">
      <c r="A108">
        <v>105</v>
      </c>
      <c r="B108" t="s">
        <v>56</v>
      </c>
      <c r="C108">
        <v>1999</v>
      </c>
      <c r="D108">
        <v>15</v>
      </c>
      <c r="E108">
        <v>23</v>
      </c>
      <c r="G108">
        <v>3</v>
      </c>
      <c r="H108">
        <v>33</v>
      </c>
      <c r="I108">
        <v>270</v>
      </c>
      <c r="J108">
        <v>3</v>
      </c>
      <c r="K108">
        <v>1</v>
      </c>
      <c r="L108">
        <v>1</v>
      </c>
      <c r="M108">
        <v>1</v>
      </c>
      <c r="N108">
        <v>0</v>
      </c>
      <c r="O108">
        <v>0</v>
      </c>
      <c r="R108">
        <v>0.33</v>
      </c>
      <c r="S108">
        <v>0.33</v>
      </c>
      <c r="T108">
        <v>0.67</v>
      </c>
      <c r="U108">
        <v>0.33</v>
      </c>
      <c r="V108">
        <v>0.67</v>
      </c>
    </row>
    <row r="109" spans="1:22" x14ac:dyDescent="0.2">
      <c r="A109">
        <v>106</v>
      </c>
      <c r="B109" t="s">
        <v>75</v>
      </c>
      <c r="C109">
        <v>1999</v>
      </c>
      <c r="D109">
        <v>16</v>
      </c>
      <c r="E109">
        <v>24.5</v>
      </c>
      <c r="G109">
        <v>3</v>
      </c>
      <c r="H109">
        <v>33</v>
      </c>
      <c r="I109">
        <v>270</v>
      </c>
      <c r="J109">
        <v>3</v>
      </c>
      <c r="K109">
        <v>4</v>
      </c>
      <c r="L109">
        <v>2</v>
      </c>
      <c r="M109">
        <v>4</v>
      </c>
      <c r="N109">
        <v>0</v>
      </c>
      <c r="O109">
        <v>0</v>
      </c>
      <c r="R109">
        <v>1.33</v>
      </c>
      <c r="S109">
        <v>0.67</v>
      </c>
      <c r="T109">
        <v>2</v>
      </c>
      <c r="U109">
        <v>1.33</v>
      </c>
      <c r="V109">
        <v>2</v>
      </c>
    </row>
    <row r="110" spans="1:22" x14ac:dyDescent="0.2">
      <c r="A110">
        <v>107</v>
      </c>
      <c r="B110" t="s">
        <v>72</v>
      </c>
      <c r="C110">
        <v>1999</v>
      </c>
      <c r="D110">
        <v>15</v>
      </c>
      <c r="E110">
        <v>21.5</v>
      </c>
      <c r="G110">
        <v>3</v>
      </c>
      <c r="H110">
        <v>33</v>
      </c>
      <c r="I110">
        <v>270</v>
      </c>
      <c r="J110">
        <v>3</v>
      </c>
      <c r="K110">
        <v>1</v>
      </c>
      <c r="L110">
        <v>0</v>
      </c>
      <c r="M110">
        <v>1</v>
      </c>
      <c r="N110">
        <v>0</v>
      </c>
      <c r="O110">
        <v>0</v>
      </c>
      <c r="R110">
        <v>0.33</v>
      </c>
      <c r="S110">
        <v>0</v>
      </c>
      <c r="T110">
        <v>0.33</v>
      </c>
      <c r="U110">
        <v>0.33</v>
      </c>
      <c r="V110">
        <v>0.33</v>
      </c>
    </row>
    <row r="111" spans="1:22" x14ac:dyDescent="0.2">
      <c r="A111">
        <v>108</v>
      </c>
      <c r="B111" t="s">
        <v>60</v>
      </c>
      <c r="C111">
        <v>1999</v>
      </c>
      <c r="D111">
        <v>16</v>
      </c>
      <c r="E111">
        <v>23.5</v>
      </c>
      <c r="G111">
        <v>4</v>
      </c>
      <c r="H111">
        <v>44</v>
      </c>
      <c r="I111">
        <v>374</v>
      </c>
      <c r="J111">
        <v>4.2</v>
      </c>
      <c r="K111">
        <v>8</v>
      </c>
      <c r="L111">
        <v>3</v>
      </c>
      <c r="M111">
        <v>8</v>
      </c>
      <c r="N111">
        <v>0</v>
      </c>
      <c r="O111">
        <v>0</v>
      </c>
      <c r="R111">
        <v>1.93</v>
      </c>
      <c r="S111">
        <v>0.72</v>
      </c>
      <c r="T111">
        <v>2.65</v>
      </c>
      <c r="U111">
        <v>1.93</v>
      </c>
      <c r="V111">
        <v>2.65</v>
      </c>
    </row>
    <row r="112" spans="1:22" x14ac:dyDescent="0.2">
      <c r="A112">
        <v>109</v>
      </c>
      <c r="B112" t="s">
        <v>61</v>
      </c>
      <c r="C112">
        <v>1999</v>
      </c>
      <c r="D112">
        <v>19</v>
      </c>
      <c r="E112">
        <v>25.1</v>
      </c>
      <c r="G112">
        <v>6</v>
      </c>
      <c r="H112">
        <v>66</v>
      </c>
      <c r="I112">
        <v>540</v>
      </c>
      <c r="J112">
        <v>6</v>
      </c>
      <c r="K112">
        <v>15</v>
      </c>
      <c r="L112">
        <v>10</v>
      </c>
      <c r="M112">
        <v>15</v>
      </c>
      <c r="N112">
        <v>0</v>
      </c>
      <c r="O112">
        <v>0</v>
      </c>
      <c r="R112">
        <v>2.5</v>
      </c>
      <c r="S112">
        <v>1.67</v>
      </c>
      <c r="T112">
        <v>4.17</v>
      </c>
      <c r="U112">
        <v>2.5</v>
      </c>
      <c r="V112">
        <v>4.17</v>
      </c>
    </row>
    <row r="113" spans="1:22" x14ac:dyDescent="0.2">
      <c r="A113">
        <v>110</v>
      </c>
      <c r="B113" t="s">
        <v>78</v>
      </c>
      <c r="C113">
        <v>1999</v>
      </c>
      <c r="D113">
        <v>15</v>
      </c>
      <c r="E113">
        <v>25.6</v>
      </c>
      <c r="G113">
        <v>4</v>
      </c>
      <c r="H113">
        <v>44</v>
      </c>
      <c r="I113">
        <v>360</v>
      </c>
      <c r="J113">
        <v>4</v>
      </c>
      <c r="K113">
        <v>10</v>
      </c>
      <c r="L113">
        <v>9</v>
      </c>
      <c r="M113">
        <v>10</v>
      </c>
      <c r="N113">
        <v>0</v>
      </c>
      <c r="O113">
        <v>0</v>
      </c>
      <c r="R113">
        <v>2.5</v>
      </c>
      <c r="S113">
        <v>2.25</v>
      </c>
      <c r="T113">
        <v>4.75</v>
      </c>
      <c r="U113">
        <v>2.5</v>
      </c>
      <c r="V113">
        <v>4.75</v>
      </c>
    </row>
    <row r="114" spans="1:22" x14ac:dyDescent="0.2">
      <c r="A114">
        <v>111</v>
      </c>
      <c r="B114" t="s">
        <v>65</v>
      </c>
      <c r="C114">
        <v>1999</v>
      </c>
      <c r="D114">
        <v>17</v>
      </c>
      <c r="E114">
        <v>24.6</v>
      </c>
      <c r="G114">
        <v>4</v>
      </c>
      <c r="H114">
        <v>44</v>
      </c>
      <c r="I114">
        <v>360</v>
      </c>
      <c r="J114">
        <v>4</v>
      </c>
      <c r="K114">
        <v>7</v>
      </c>
      <c r="L114">
        <v>5</v>
      </c>
      <c r="M114">
        <v>7</v>
      </c>
      <c r="N114">
        <v>0</v>
      </c>
      <c r="O114">
        <v>0</v>
      </c>
      <c r="R114">
        <v>1.75</v>
      </c>
      <c r="S114">
        <v>1.25</v>
      </c>
      <c r="T114">
        <v>3</v>
      </c>
      <c r="U114">
        <v>1.75</v>
      </c>
      <c r="V114">
        <v>3</v>
      </c>
    </row>
    <row r="115" spans="1:22" x14ac:dyDescent="0.2">
      <c r="A115">
        <v>112</v>
      </c>
      <c r="B115" t="s">
        <v>67</v>
      </c>
      <c r="C115">
        <v>1999</v>
      </c>
      <c r="D115">
        <v>18</v>
      </c>
      <c r="E115">
        <v>27.4</v>
      </c>
      <c r="G115">
        <v>6</v>
      </c>
      <c r="H115">
        <v>66</v>
      </c>
      <c r="I115">
        <v>570</v>
      </c>
      <c r="J115">
        <v>6.3</v>
      </c>
      <c r="K115">
        <v>17</v>
      </c>
      <c r="L115">
        <v>15</v>
      </c>
      <c r="M115">
        <v>16</v>
      </c>
      <c r="N115">
        <v>1</v>
      </c>
      <c r="O115">
        <v>1</v>
      </c>
      <c r="R115">
        <v>2.68</v>
      </c>
      <c r="S115">
        <v>2.37</v>
      </c>
      <c r="T115">
        <v>5.05</v>
      </c>
      <c r="U115">
        <v>2.5299999999999998</v>
      </c>
      <c r="V115">
        <v>4.8899999999999997</v>
      </c>
    </row>
    <row r="116" spans="1:22" x14ac:dyDescent="0.2">
      <c r="A116">
        <v>113</v>
      </c>
      <c r="B116" t="s">
        <v>45</v>
      </c>
      <c r="C116">
        <v>1995</v>
      </c>
      <c r="D116">
        <v>17</v>
      </c>
      <c r="E116">
        <v>25</v>
      </c>
      <c r="G116">
        <v>3</v>
      </c>
      <c r="H116">
        <v>33</v>
      </c>
      <c r="I116">
        <v>270</v>
      </c>
      <c r="J116">
        <v>3</v>
      </c>
      <c r="K116">
        <v>3</v>
      </c>
      <c r="L116">
        <v>0</v>
      </c>
      <c r="M116">
        <v>3</v>
      </c>
      <c r="N116">
        <v>0</v>
      </c>
      <c r="O116">
        <v>0</v>
      </c>
      <c r="R116">
        <v>1</v>
      </c>
      <c r="S116">
        <v>0</v>
      </c>
      <c r="T116">
        <v>1</v>
      </c>
      <c r="U116">
        <v>1</v>
      </c>
      <c r="V116">
        <v>1</v>
      </c>
    </row>
    <row r="117" spans="1:22" x14ac:dyDescent="0.2">
      <c r="A117">
        <v>114</v>
      </c>
      <c r="B117" t="s">
        <v>46</v>
      </c>
      <c r="C117">
        <v>1995</v>
      </c>
      <c r="D117">
        <v>16</v>
      </c>
      <c r="E117">
        <v>27.9</v>
      </c>
      <c r="G117">
        <v>3</v>
      </c>
      <c r="H117">
        <v>33</v>
      </c>
      <c r="I117">
        <v>270</v>
      </c>
      <c r="J117">
        <v>3</v>
      </c>
      <c r="K117">
        <v>3</v>
      </c>
      <c r="L117">
        <v>1</v>
      </c>
      <c r="M117">
        <v>3</v>
      </c>
      <c r="N117">
        <v>0</v>
      </c>
      <c r="O117">
        <v>0</v>
      </c>
      <c r="R117">
        <v>1</v>
      </c>
      <c r="S117">
        <v>0.33</v>
      </c>
      <c r="T117">
        <v>1.33</v>
      </c>
      <c r="U117">
        <v>1</v>
      </c>
      <c r="V117">
        <v>1.33</v>
      </c>
    </row>
    <row r="118" spans="1:22" x14ac:dyDescent="0.2">
      <c r="A118">
        <v>115</v>
      </c>
      <c r="B118" t="s">
        <v>48</v>
      </c>
      <c r="C118">
        <v>1995</v>
      </c>
      <c r="D118">
        <v>15</v>
      </c>
      <c r="E118">
        <v>26.2</v>
      </c>
      <c r="G118">
        <v>3</v>
      </c>
      <c r="H118">
        <v>33</v>
      </c>
      <c r="I118">
        <v>270</v>
      </c>
      <c r="J118">
        <v>3</v>
      </c>
      <c r="K118">
        <v>5</v>
      </c>
      <c r="L118">
        <v>0</v>
      </c>
      <c r="M118">
        <v>5</v>
      </c>
      <c r="N118">
        <v>0</v>
      </c>
      <c r="O118">
        <v>0</v>
      </c>
      <c r="R118">
        <v>1.67</v>
      </c>
      <c r="S118">
        <v>0</v>
      </c>
      <c r="T118">
        <v>1.67</v>
      </c>
      <c r="U118">
        <v>1.67</v>
      </c>
      <c r="V118">
        <v>1.67</v>
      </c>
    </row>
    <row r="119" spans="1:22" x14ac:dyDescent="0.2">
      <c r="A119">
        <v>116</v>
      </c>
      <c r="B119" t="s">
        <v>50</v>
      </c>
      <c r="C119">
        <v>1995</v>
      </c>
      <c r="D119">
        <v>16</v>
      </c>
      <c r="E119">
        <v>24.3</v>
      </c>
      <c r="G119">
        <v>6</v>
      </c>
      <c r="H119">
        <v>66</v>
      </c>
      <c r="I119">
        <v>570</v>
      </c>
      <c r="J119">
        <v>6.3</v>
      </c>
      <c r="K119">
        <v>11</v>
      </c>
      <c r="L119">
        <v>0</v>
      </c>
      <c r="M119">
        <v>11</v>
      </c>
      <c r="N119">
        <v>0</v>
      </c>
      <c r="O119">
        <v>0</v>
      </c>
      <c r="R119">
        <v>1.74</v>
      </c>
      <c r="S119">
        <v>0</v>
      </c>
      <c r="T119">
        <v>1.74</v>
      </c>
      <c r="U119">
        <v>1.74</v>
      </c>
      <c r="V119">
        <v>1.74</v>
      </c>
    </row>
    <row r="120" spans="1:22" x14ac:dyDescent="0.2">
      <c r="A120">
        <v>117</v>
      </c>
      <c r="B120" t="s">
        <v>76</v>
      </c>
      <c r="C120">
        <v>1995</v>
      </c>
      <c r="D120">
        <v>17</v>
      </c>
      <c r="E120">
        <v>21.3</v>
      </c>
      <c r="G120">
        <v>4</v>
      </c>
      <c r="H120">
        <v>44</v>
      </c>
      <c r="I120">
        <v>360</v>
      </c>
      <c r="J120">
        <v>4</v>
      </c>
      <c r="K120">
        <v>7</v>
      </c>
      <c r="L120">
        <v>0</v>
      </c>
      <c r="M120">
        <v>7</v>
      </c>
      <c r="N120">
        <v>0</v>
      </c>
      <c r="O120">
        <v>0</v>
      </c>
      <c r="R120">
        <v>1.75</v>
      </c>
      <c r="S120">
        <v>0</v>
      </c>
      <c r="T120">
        <v>1.75</v>
      </c>
      <c r="U120">
        <v>1.75</v>
      </c>
      <c r="V120">
        <v>1.75</v>
      </c>
    </row>
    <row r="121" spans="1:22" x14ac:dyDescent="0.2">
      <c r="A121">
        <v>118</v>
      </c>
      <c r="B121" t="s">
        <v>51</v>
      </c>
      <c r="C121">
        <v>1995</v>
      </c>
      <c r="D121">
        <v>16</v>
      </c>
      <c r="E121">
        <v>27.8</v>
      </c>
      <c r="G121">
        <v>4</v>
      </c>
      <c r="H121">
        <v>44</v>
      </c>
      <c r="I121">
        <v>360</v>
      </c>
      <c r="J121">
        <v>4</v>
      </c>
      <c r="K121">
        <v>6</v>
      </c>
      <c r="L121">
        <v>0</v>
      </c>
      <c r="M121">
        <v>6</v>
      </c>
      <c r="N121">
        <v>0</v>
      </c>
      <c r="O121">
        <v>0</v>
      </c>
      <c r="R121">
        <v>1.5</v>
      </c>
      <c r="S121">
        <v>0</v>
      </c>
      <c r="T121">
        <v>1.5</v>
      </c>
      <c r="U121">
        <v>1.5</v>
      </c>
      <c r="V121">
        <v>1.5</v>
      </c>
    </row>
    <row r="122" spans="1:22" x14ac:dyDescent="0.2">
      <c r="A122">
        <v>119</v>
      </c>
      <c r="B122" t="s">
        <v>53</v>
      </c>
      <c r="C122">
        <v>1995</v>
      </c>
      <c r="D122">
        <v>17</v>
      </c>
      <c r="E122">
        <v>25.3</v>
      </c>
      <c r="G122">
        <v>6</v>
      </c>
      <c r="H122">
        <v>66</v>
      </c>
      <c r="I122">
        <v>540</v>
      </c>
      <c r="J122">
        <v>6</v>
      </c>
      <c r="K122">
        <v>13</v>
      </c>
      <c r="L122">
        <v>0</v>
      </c>
      <c r="M122">
        <v>13</v>
      </c>
      <c r="N122">
        <v>0</v>
      </c>
      <c r="O122">
        <v>0</v>
      </c>
      <c r="R122">
        <v>2.17</v>
      </c>
      <c r="S122">
        <v>0</v>
      </c>
      <c r="T122">
        <v>2.17</v>
      </c>
      <c r="U122">
        <v>2.17</v>
      </c>
      <c r="V122">
        <v>2.17</v>
      </c>
    </row>
    <row r="123" spans="1:22" x14ac:dyDescent="0.2">
      <c r="A123">
        <v>120</v>
      </c>
      <c r="B123" t="s">
        <v>56</v>
      </c>
      <c r="C123">
        <v>1995</v>
      </c>
      <c r="D123">
        <v>14</v>
      </c>
      <c r="E123">
        <v>22.6</v>
      </c>
      <c r="G123">
        <v>4</v>
      </c>
      <c r="H123">
        <v>44</v>
      </c>
      <c r="I123">
        <v>360</v>
      </c>
      <c r="J123">
        <v>4</v>
      </c>
      <c r="K123">
        <v>2</v>
      </c>
      <c r="L123">
        <v>0</v>
      </c>
      <c r="M123">
        <v>2</v>
      </c>
      <c r="N123">
        <v>0</v>
      </c>
      <c r="O123">
        <v>0</v>
      </c>
      <c r="R123">
        <v>0.5</v>
      </c>
      <c r="S123">
        <v>0</v>
      </c>
      <c r="T123">
        <v>0.5</v>
      </c>
      <c r="U123">
        <v>0.5</v>
      </c>
      <c r="V123">
        <v>0.5</v>
      </c>
    </row>
    <row r="124" spans="1:22" x14ac:dyDescent="0.2">
      <c r="A124">
        <v>121</v>
      </c>
      <c r="B124" t="s">
        <v>60</v>
      </c>
      <c r="C124">
        <v>1995</v>
      </c>
      <c r="D124">
        <v>16</v>
      </c>
      <c r="E124">
        <v>20.6</v>
      </c>
      <c r="G124">
        <v>3</v>
      </c>
      <c r="H124">
        <v>33</v>
      </c>
      <c r="I124">
        <v>270</v>
      </c>
      <c r="J124">
        <v>3</v>
      </c>
      <c r="K124">
        <v>5</v>
      </c>
      <c r="L124">
        <v>0</v>
      </c>
      <c r="M124">
        <v>5</v>
      </c>
      <c r="N124">
        <v>0</v>
      </c>
      <c r="O124">
        <v>0</v>
      </c>
      <c r="R124">
        <v>1.67</v>
      </c>
      <c r="S124">
        <v>0</v>
      </c>
      <c r="T124">
        <v>1.67</v>
      </c>
      <c r="U124">
        <v>1.67</v>
      </c>
      <c r="V124">
        <v>1.67</v>
      </c>
    </row>
    <row r="125" spans="1:22" x14ac:dyDescent="0.2">
      <c r="A125">
        <v>122</v>
      </c>
      <c r="B125" t="s">
        <v>61</v>
      </c>
      <c r="C125">
        <v>1995</v>
      </c>
      <c r="D125">
        <v>17</v>
      </c>
      <c r="E125">
        <v>24.6</v>
      </c>
      <c r="G125">
        <v>6</v>
      </c>
      <c r="H125">
        <v>66</v>
      </c>
      <c r="I125">
        <v>540</v>
      </c>
      <c r="J125">
        <v>6</v>
      </c>
      <c r="K125">
        <v>23</v>
      </c>
      <c r="L125">
        <v>0</v>
      </c>
      <c r="M125">
        <v>23</v>
      </c>
      <c r="N125">
        <v>0</v>
      </c>
      <c r="O125">
        <v>0</v>
      </c>
      <c r="R125">
        <v>3.83</v>
      </c>
      <c r="S125">
        <v>0</v>
      </c>
      <c r="T125">
        <v>3.83</v>
      </c>
      <c r="U125">
        <v>3.83</v>
      </c>
      <c r="V125">
        <v>3.83</v>
      </c>
    </row>
    <row r="126" spans="1:22" x14ac:dyDescent="0.2">
      <c r="A126">
        <v>123</v>
      </c>
      <c r="B126" t="s">
        <v>65</v>
      </c>
      <c r="C126">
        <v>1995</v>
      </c>
      <c r="D126">
        <v>18</v>
      </c>
      <c r="E126">
        <v>27.5</v>
      </c>
      <c r="G126">
        <v>4</v>
      </c>
      <c r="H126">
        <v>44</v>
      </c>
      <c r="I126">
        <v>390</v>
      </c>
      <c r="J126">
        <v>4.3</v>
      </c>
      <c r="K126">
        <v>6</v>
      </c>
      <c r="L126">
        <v>0</v>
      </c>
      <c r="M126">
        <v>6</v>
      </c>
      <c r="N126">
        <v>0</v>
      </c>
      <c r="O126">
        <v>0</v>
      </c>
      <c r="R126">
        <v>1.38</v>
      </c>
      <c r="S126">
        <v>0</v>
      </c>
      <c r="T126">
        <v>1.38</v>
      </c>
      <c r="U126">
        <v>1.38</v>
      </c>
      <c r="V126">
        <v>1.38</v>
      </c>
    </row>
    <row r="127" spans="1:22" x14ac:dyDescent="0.2">
      <c r="A127">
        <v>124</v>
      </c>
      <c r="B127" t="s">
        <v>67</v>
      </c>
      <c r="C127">
        <v>1995</v>
      </c>
      <c r="D127">
        <v>18</v>
      </c>
      <c r="E127">
        <v>24.1</v>
      </c>
      <c r="G127">
        <v>6</v>
      </c>
      <c r="H127">
        <v>66</v>
      </c>
      <c r="I127">
        <v>540</v>
      </c>
      <c r="J127">
        <v>6</v>
      </c>
      <c r="K127">
        <v>15</v>
      </c>
      <c r="L127">
        <v>4</v>
      </c>
      <c r="M127">
        <v>15</v>
      </c>
      <c r="N127">
        <v>0</v>
      </c>
      <c r="O127">
        <v>0</v>
      </c>
      <c r="R127">
        <v>2.5</v>
      </c>
      <c r="S127">
        <v>0.67</v>
      </c>
      <c r="T127">
        <v>3.17</v>
      </c>
      <c r="U127">
        <v>2.5</v>
      </c>
      <c r="V127">
        <v>3.17</v>
      </c>
    </row>
    <row r="128" spans="1:22" x14ac:dyDescent="0.2">
      <c r="A128">
        <v>125</v>
      </c>
      <c r="B128" t="s">
        <v>46</v>
      </c>
      <c r="C128">
        <v>1991</v>
      </c>
      <c r="D128">
        <v>17</v>
      </c>
      <c r="E128">
        <v>25.7</v>
      </c>
      <c r="G128">
        <v>3</v>
      </c>
      <c r="H128">
        <v>33</v>
      </c>
      <c r="I128">
        <v>240</v>
      </c>
      <c r="J128">
        <v>2.7</v>
      </c>
      <c r="K128">
        <v>1</v>
      </c>
      <c r="L128">
        <v>0</v>
      </c>
      <c r="M128">
        <v>1</v>
      </c>
      <c r="N128">
        <v>0</v>
      </c>
      <c r="O128">
        <v>0</v>
      </c>
      <c r="R128">
        <v>0.37</v>
      </c>
      <c r="S128">
        <v>0</v>
      </c>
      <c r="T128">
        <v>0.37</v>
      </c>
      <c r="U128">
        <v>0.37</v>
      </c>
      <c r="V128">
        <v>0.37</v>
      </c>
    </row>
    <row r="129" spans="1:22" x14ac:dyDescent="0.2">
      <c r="A129">
        <v>126</v>
      </c>
      <c r="B129" t="s">
        <v>50</v>
      </c>
      <c r="C129">
        <v>1991</v>
      </c>
      <c r="D129">
        <v>15</v>
      </c>
      <c r="E129">
        <v>22.1</v>
      </c>
      <c r="G129">
        <v>4</v>
      </c>
      <c r="H129">
        <v>44</v>
      </c>
      <c r="I129">
        <v>320</v>
      </c>
      <c r="J129">
        <v>3.6</v>
      </c>
      <c r="K129">
        <v>10</v>
      </c>
      <c r="L129">
        <v>3</v>
      </c>
      <c r="M129">
        <v>10</v>
      </c>
      <c r="N129">
        <v>0</v>
      </c>
      <c r="O129">
        <v>0</v>
      </c>
      <c r="R129">
        <v>2.81</v>
      </c>
      <c r="S129">
        <v>0.84</v>
      </c>
      <c r="T129">
        <v>3.66</v>
      </c>
      <c r="U129">
        <v>2.81</v>
      </c>
      <c r="V129">
        <v>3.66</v>
      </c>
    </row>
    <row r="130" spans="1:22" x14ac:dyDescent="0.2">
      <c r="A130">
        <v>127</v>
      </c>
      <c r="B130" t="s">
        <v>79</v>
      </c>
      <c r="C130">
        <v>1991</v>
      </c>
      <c r="D130">
        <v>16</v>
      </c>
      <c r="E130">
        <v>21.2</v>
      </c>
      <c r="G130">
        <v>4</v>
      </c>
      <c r="H130">
        <v>44</v>
      </c>
      <c r="I130">
        <v>320</v>
      </c>
      <c r="J130">
        <v>3.6</v>
      </c>
      <c r="K130">
        <v>2</v>
      </c>
      <c r="L130">
        <v>1</v>
      </c>
      <c r="M130">
        <v>2</v>
      </c>
      <c r="N130">
        <v>0</v>
      </c>
      <c r="O130">
        <v>0</v>
      </c>
      <c r="R130">
        <v>0.56000000000000005</v>
      </c>
      <c r="S130">
        <v>0.28000000000000003</v>
      </c>
      <c r="T130">
        <v>0.84</v>
      </c>
      <c r="U130">
        <v>0.56000000000000005</v>
      </c>
      <c r="V130">
        <v>0.84</v>
      </c>
    </row>
    <row r="131" spans="1:22" x14ac:dyDescent="0.2">
      <c r="A131">
        <v>128</v>
      </c>
      <c r="B131" t="s">
        <v>76</v>
      </c>
      <c r="C131">
        <v>1991</v>
      </c>
      <c r="D131">
        <v>15</v>
      </c>
      <c r="E131">
        <v>23.8</v>
      </c>
      <c r="G131">
        <v>4</v>
      </c>
      <c r="H131">
        <v>44</v>
      </c>
      <c r="I131">
        <v>340</v>
      </c>
      <c r="J131">
        <v>3.8</v>
      </c>
      <c r="K131">
        <v>7</v>
      </c>
      <c r="L131">
        <v>5</v>
      </c>
      <c r="M131">
        <v>5</v>
      </c>
      <c r="N131">
        <v>2</v>
      </c>
      <c r="O131">
        <v>2</v>
      </c>
      <c r="R131">
        <v>1.85</v>
      </c>
      <c r="S131">
        <v>1.32</v>
      </c>
      <c r="T131">
        <v>3.18</v>
      </c>
      <c r="U131">
        <v>1.32</v>
      </c>
      <c r="V131">
        <v>2.65</v>
      </c>
    </row>
    <row r="132" spans="1:22" x14ac:dyDescent="0.2">
      <c r="A132">
        <v>129</v>
      </c>
      <c r="B132" t="s">
        <v>53</v>
      </c>
      <c r="C132">
        <v>1991</v>
      </c>
      <c r="D132">
        <v>18</v>
      </c>
      <c r="E132">
        <v>23.8</v>
      </c>
      <c r="G132">
        <v>6</v>
      </c>
      <c r="H132">
        <v>66</v>
      </c>
      <c r="I132">
        <v>500</v>
      </c>
      <c r="J132">
        <v>5.6</v>
      </c>
      <c r="K132">
        <v>13</v>
      </c>
      <c r="L132">
        <v>9</v>
      </c>
      <c r="M132">
        <v>12</v>
      </c>
      <c r="N132">
        <v>1</v>
      </c>
      <c r="O132">
        <v>1</v>
      </c>
      <c r="R132">
        <v>2.34</v>
      </c>
      <c r="S132">
        <v>1.62</v>
      </c>
      <c r="T132">
        <v>3.96</v>
      </c>
      <c r="U132">
        <v>2.16</v>
      </c>
      <c r="V132">
        <v>3.78</v>
      </c>
    </row>
    <row r="133" spans="1:22" x14ac:dyDescent="0.2">
      <c r="A133">
        <v>130</v>
      </c>
      <c r="B133" t="s">
        <v>54</v>
      </c>
      <c r="C133">
        <v>1991</v>
      </c>
      <c r="D133">
        <v>17</v>
      </c>
      <c r="E133">
        <v>24.2</v>
      </c>
      <c r="G133">
        <v>4</v>
      </c>
      <c r="H133">
        <v>44</v>
      </c>
      <c r="I133">
        <v>340</v>
      </c>
      <c r="J133">
        <v>3.8</v>
      </c>
      <c r="K133">
        <v>8</v>
      </c>
      <c r="L133">
        <v>5</v>
      </c>
      <c r="M133">
        <v>8</v>
      </c>
      <c r="N133">
        <v>0</v>
      </c>
      <c r="O133">
        <v>0</v>
      </c>
      <c r="R133">
        <v>2.12</v>
      </c>
      <c r="S133">
        <v>1.32</v>
      </c>
      <c r="T133">
        <v>3.44</v>
      </c>
      <c r="U133">
        <v>2.12</v>
      </c>
      <c r="V133">
        <v>3.44</v>
      </c>
    </row>
    <row r="134" spans="1:22" x14ac:dyDescent="0.2">
      <c r="A134">
        <v>131</v>
      </c>
      <c r="B134" t="s">
        <v>56</v>
      </c>
      <c r="C134">
        <v>1991</v>
      </c>
      <c r="D134">
        <v>13</v>
      </c>
      <c r="E134">
        <v>24.3</v>
      </c>
      <c r="G134">
        <v>3</v>
      </c>
      <c r="H134">
        <v>33</v>
      </c>
      <c r="I134">
        <v>240</v>
      </c>
      <c r="J134">
        <v>2.7</v>
      </c>
      <c r="K134">
        <v>0</v>
      </c>
      <c r="L134">
        <v>0</v>
      </c>
      <c r="M134">
        <v>0</v>
      </c>
      <c r="N134">
        <v>0</v>
      </c>
      <c r="O134">
        <v>0</v>
      </c>
      <c r="R134">
        <v>0</v>
      </c>
      <c r="S134">
        <v>0</v>
      </c>
      <c r="T134">
        <v>0</v>
      </c>
      <c r="U134">
        <v>0</v>
      </c>
      <c r="V134">
        <v>0</v>
      </c>
    </row>
    <row r="135" spans="1:22" x14ac:dyDescent="0.2">
      <c r="A135">
        <v>132</v>
      </c>
      <c r="B135" t="s">
        <v>59</v>
      </c>
      <c r="C135">
        <v>1991</v>
      </c>
      <c r="D135">
        <v>15</v>
      </c>
      <c r="E135">
        <v>25.5</v>
      </c>
      <c r="G135">
        <v>3</v>
      </c>
      <c r="H135">
        <v>33</v>
      </c>
      <c r="I135">
        <v>240</v>
      </c>
      <c r="J135">
        <v>2.7</v>
      </c>
      <c r="K135">
        <v>1</v>
      </c>
      <c r="L135">
        <v>1</v>
      </c>
      <c r="M135">
        <v>1</v>
      </c>
      <c r="N135">
        <v>0</v>
      </c>
      <c r="O135">
        <v>0</v>
      </c>
      <c r="R135">
        <v>0.37</v>
      </c>
      <c r="S135">
        <v>0.37</v>
      </c>
      <c r="T135">
        <v>0.75</v>
      </c>
      <c r="U135">
        <v>0.37</v>
      </c>
      <c r="V135">
        <v>0.75</v>
      </c>
    </row>
    <row r="136" spans="1:22" x14ac:dyDescent="0.2">
      <c r="A136">
        <v>133</v>
      </c>
      <c r="B136" t="s">
        <v>60</v>
      </c>
      <c r="C136">
        <v>1991</v>
      </c>
      <c r="D136">
        <v>17</v>
      </c>
      <c r="E136">
        <v>18.2</v>
      </c>
      <c r="G136">
        <v>3</v>
      </c>
      <c r="H136">
        <v>33</v>
      </c>
      <c r="I136">
        <v>240</v>
      </c>
      <c r="J136">
        <v>2.7</v>
      </c>
      <c r="K136">
        <v>0</v>
      </c>
      <c r="L136">
        <v>0</v>
      </c>
      <c r="M136">
        <v>0</v>
      </c>
      <c r="N136">
        <v>0</v>
      </c>
      <c r="O136">
        <v>0</v>
      </c>
      <c r="R136">
        <v>0</v>
      </c>
      <c r="S136">
        <v>0</v>
      </c>
      <c r="T136">
        <v>0</v>
      </c>
      <c r="U136">
        <v>0</v>
      </c>
      <c r="V136">
        <v>0</v>
      </c>
    </row>
    <row r="137" spans="1:22" x14ac:dyDescent="0.2">
      <c r="A137">
        <v>134</v>
      </c>
      <c r="B137" t="s">
        <v>61</v>
      </c>
      <c r="C137">
        <v>1991</v>
      </c>
      <c r="D137">
        <v>15</v>
      </c>
      <c r="E137">
        <v>24.1</v>
      </c>
      <c r="G137">
        <v>6</v>
      </c>
      <c r="H137">
        <v>66</v>
      </c>
      <c r="I137">
        <v>500</v>
      </c>
      <c r="J137">
        <v>5.6</v>
      </c>
      <c r="K137">
        <v>13</v>
      </c>
      <c r="L137">
        <v>6</v>
      </c>
      <c r="M137">
        <v>12</v>
      </c>
      <c r="N137">
        <v>1</v>
      </c>
      <c r="O137">
        <v>1</v>
      </c>
      <c r="R137">
        <v>2.34</v>
      </c>
      <c r="S137">
        <v>1.08</v>
      </c>
      <c r="T137">
        <v>3.42</v>
      </c>
      <c r="U137">
        <v>2.16</v>
      </c>
      <c r="V137">
        <v>3.24</v>
      </c>
    </row>
    <row r="138" spans="1:22" x14ac:dyDescent="0.2">
      <c r="A138">
        <v>135</v>
      </c>
      <c r="B138" t="s">
        <v>65</v>
      </c>
      <c r="C138">
        <v>1991</v>
      </c>
      <c r="D138">
        <v>18</v>
      </c>
      <c r="E138">
        <v>25.4</v>
      </c>
      <c r="G138">
        <v>6</v>
      </c>
      <c r="H138">
        <v>66</v>
      </c>
      <c r="I138">
        <v>480</v>
      </c>
      <c r="J138">
        <v>5.3</v>
      </c>
      <c r="K138">
        <v>17</v>
      </c>
      <c r="L138">
        <v>11</v>
      </c>
      <c r="M138">
        <v>16</v>
      </c>
      <c r="N138">
        <v>1</v>
      </c>
      <c r="O138">
        <v>1</v>
      </c>
      <c r="R138">
        <v>3.19</v>
      </c>
      <c r="S138">
        <v>2.06</v>
      </c>
      <c r="T138">
        <v>5.25</v>
      </c>
      <c r="U138">
        <v>3</v>
      </c>
      <c r="V138">
        <v>5.0599999999999996</v>
      </c>
    </row>
    <row r="139" spans="1:22" x14ac:dyDescent="0.2">
      <c r="A139">
        <v>136</v>
      </c>
      <c r="B139" t="s">
        <v>67</v>
      </c>
      <c r="C139">
        <v>1991</v>
      </c>
      <c r="D139">
        <v>16</v>
      </c>
      <c r="E139">
        <v>23</v>
      </c>
      <c r="G139">
        <v>6</v>
      </c>
      <c r="H139">
        <v>66</v>
      </c>
      <c r="I139">
        <v>480</v>
      </c>
      <c r="J139">
        <v>5.3</v>
      </c>
      <c r="K139">
        <v>25</v>
      </c>
      <c r="L139">
        <v>11</v>
      </c>
      <c r="M139">
        <v>24</v>
      </c>
      <c r="N139">
        <v>1</v>
      </c>
      <c r="O139">
        <v>1</v>
      </c>
      <c r="R139">
        <v>4.6900000000000004</v>
      </c>
      <c r="S139">
        <v>2.06</v>
      </c>
      <c r="T139">
        <v>6.75</v>
      </c>
      <c r="U139">
        <v>4.5</v>
      </c>
      <c r="V139">
        <v>6.56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0406-2CE0-974B-A965-9344DF73EFE8}">
  <sheetPr codeName="Sheet3"/>
  <dimension ref="A1:P162"/>
  <sheetViews>
    <sheetView topLeftCell="A10" zoomScale="140" zoomScaleNormal="140" workbookViewId="0">
      <selection activeCell="B160" sqref="B160"/>
    </sheetView>
  </sheetViews>
  <sheetFormatPr baseColWidth="10" defaultColWidth="11" defaultRowHeight="16" x14ac:dyDescent="0.2"/>
  <sheetData>
    <row r="1" spans="1:16" x14ac:dyDescent="0.2">
      <c r="A1" s="12" t="s">
        <v>80</v>
      </c>
    </row>
    <row r="2" spans="1:16" ht="17" thickBot="1" x14ac:dyDescent="0.25"/>
    <row r="3" spans="1:16" x14ac:dyDescent="0.2">
      <c r="B3" s="3">
        <v>1</v>
      </c>
      <c r="C3" s="4">
        <v>2</v>
      </c>
      <c r="D3" s="5">
        <v>3</v>
      </c>
    </row>
    <row r="4" spans="1:16" x14ac:dyDescent="0.2">
      <c r="B4" s="6">
        <v>4</v>
      </c>
      <c r="C4">
        <v>5</v>
      </c>
      <c r="D4" s="7">
        <v>6</v>
      </c>
    </row>
    <row r="5" spans="1:16" ht="17" thickBot="1" x14ac:dyDescent="0.25">
      <c r="B5" s="8">
        <v>7</v>
      </c>
      <c r="C5" s="9">
        <v>8</v>
      </c>
      <c r="D5" s="10">
        <v>9</v>
      </c>
    </row>
    <row r="7" spans="1:16" x14ac:dyDescent="0.2">
      <c r="A7" s="11" t="s">
        <v>81</v>
      </c>
    </row>
    <row r="9" spans="1:16" x14ac:dyDescent="0.2">
      <c r="B9" s="17">
        <f>B3</f>
        <v>1</v>
      </c>
      <c r="C9" s="2"/>
      <c r="D9" s="2"/>
      <c r="F9" s="2">
        <f>B$3</f>
        <v>1</v>
      </c>
      <c r="G9" s="2"/>
      <c r="H9" s="2"/>
      <c r="J9" s="2">
        <f>$B3</f>
        <v>1</v>
      </c>
      <c r="K9" s="2"/>
      <c r="L9" s="2"/>
      <c r="N9" s="2">
        <f>$B$3</f>
        <v>1</v>
      </c>
      <c r="O9" s="2"/>
      <c r="P9" s="2"/>
    </row>
    <row r="10" spans="1:16" x14ac:dyDescent="0.2">
      <c r="B10" s="2"/>
      <c r="C10" s="2"/>
      <c r="D10" s="2"/>
      <c r="F10" s="2"/>
      <c r="G10" s="2"/>
      <c r="H10" s="2"/>
      <c r="J10" s="2"/>
      <c r="K10" s="2"/>
      <c r="L10" s="2"/>
      <c r="N10" s="2"/>
      <c r="O10" s="2"/>
      <c r="P10" s="2"/>
    </row>
    <row r="11" spans="1:16" x14ac:dyDescent="0.2">
      <c r="B11" s="2"/>
      <c r="C11" s="2"/>
      <c r="D11" s="2"/>
      <c r="F11" s="2"/>
      <c r="G11" s="2"/>
      <c r="H11" s="2"/>
      <c r="J11" s="2"/>
      <c r="K11" s="2"/>
      <c r="L11" s="2"/>
      <c r="N11" s="2"/>
      <c r="O11" s="2"/>
      <c r="P11" s="2"/>
    </row>
    <row r="13" spans="1:16" s="1" customFormat="1" x14ac:dyDescent="0.2"/>
    <row r="14" spans="1:16" x14ac:dyDescent="0.2">
      <c r="A14" s="12" t="s">
        <v>82</v>
      </c>
    </row>
    <row r="16" spans="1:16" x14ac:dyDescent="0.2">
      <c r="A16" s="11" t="s">
        <v>83</v>
      </c>
      <c r="C16" s="11" t="s">
        <v>84</v>
      </c>
      <c r="E16" s="11" t="s">
        <v>84</v>
      </c>
      <c r="G16" s="11" t="s">
        <v>85</v>
      </c>
      <c r="I16" s="11" t="s">
        <v>86</v>
      </c>
    </row>
    <row r="18" spans="1:9" x14ac:dyDescent="0.2">
      <c r="A18" s="2" t="str" cm="1">
        <f t="array" ref="A18:A153">IF(matches_played&gt;6,squad,"")</f>
        <v/>
      </c>
      <c r="C18" s="2" t="str" cm="1">
        <f t="array" ref="C18:C153">_xlfn.IFS(matches_played&gt;6,squad,year=2019,"bla")</f>
        <v>bla</v>
      </c>
      <c r="E18" s="2" t="str" cm="1">
        <f t="array" ref="E18:E153">_xlfn.IFS(matches_played&gt;6,squad,year=2019,"bla",TRUE,"")</f>
        <v>bla</v>
      </c>
      <c r="G18" s="2">
        <f>_xlfn.MAXIFS(matches_played,squad,"Australia")</f>
        <v>5</v>
      </c>
      <c r="I18" s="16">
        <f>_xlfn.MINIFS(matches_played,squad,"Australia",year,"&gt;2010")</f>
        <v>4</v>
      </c>
    </row>
    <row r="19" spans="1:9" x14ac:dyDescent="0.2">
      <c r="A19" s="2" t="str">
        <v/>
      </c>
      <c r="C19" s="2" t="str">
        <v>bla</v>
      </c>
      <c r="E19" s="2" t="str">
        <v>bla</v>
      </c>
    </row>
    <row r="20" spans="1:9" x14ac:dyDescent="0.2">
      <c r="A20" s="2" t="str">
        <v/>
      </c>
      <c r="C20" s="2" t="str">
        <v>bla</v>
      </c>
      <c r="E20" s="2" t="str">
        <v>bla</v>
      </c>
    </row>
    <row r="21" spans="1:9" x14ac:dyDescent="0.2">
      <c r="A21" s="2" t="str">
        <v/>
      </c>
      <c r="C21" s="2" t="str">
        <v>bla</v>
      </c>
      <c r="E21" s="2" t="str">
        <v>bla</v>
      </c>
    </row>
    <row r="22" spans="1:9" x14ac:dyDescent="0.2">
      <c r="A22" s="2" t="str">
        <v/>
      </c>
      <c r="C22" s="2" t="str">
        <v>bla</v>
      </c>
      <c r="E22" s="2" t="str">
        <v>bla</v>
      </c>
    </row>
    <row r="23" spans="1:9" x14ac:dyDescent="0.2">
      <c r="A23" s="2" t="str">
        <v/>
      </c>
      <c r="C23" s="2" t="str">
        <v>bla</v>
      </c>
      <c r="E23" s="2" t="str">
        <v>bla</v>
      </c>
    </row>
    <row r="24" spans="1:9" x14ac:dyDescent="0.2">
      <c r="A24" s="2" t="str">
        <v/>
      </c>
      <c r="C24" s="2" t="str">
        <v>bla</v>
      </c>
      <c r="E24" s="2" t="str">
        <v>bla</v>
      </c>
    </row>
    <row r="25" spans="1:9" x14ac:dyDescent="0.2">
      <c r="A25" s="2" t="str">
        <v>England</v>
      </c>
      <c r="C25" s="2" t="str">
        <v>England</v>
      </c>
      <c r="E25" s="2" t="str">
        <v>England</v>
      </c>
    </row>
    <row r="26" spans="1:9" x14ac:dyDescent="0.2">
      <c r="A26" s="2" t="str">
        <v/>
      </c>
      <c r="C26" s="2" t="str">
        <v>bla</v>
      </c>
      <c r="E26" s="2" t="str">
        <v>bla</v>
      </c>
    </row>
    <row r="27" spans="1:9" x14ac:dyDescent="0.2">
      <c r="A27" s="2" t="str">
        <v/>
      </c>
      <c r="C27" s="2" t="str">
        <v>bla</v>
      </c>
      <c r="E27" s="2" t="str">
        <v>bla</v>
      </c>
    </row>
    <row r="28" spans="1:9" x14ac:dyDescent="0.2">
      <c r="A28" s="2" t="str">
        <v/>
      </c>
      <c r="C28" s="2" t="str">
        <v>bla</v>
      </c>
      <c r="E28" s="2" t="str">
        <v>bla</v>
      </c>
    </row>
    <row r="29" spans="1:9" x14ac:dyDescent="0.2">
      <c r="A29" s="2" t="str">
        <v/>
      </c>
      <c r="C29" s="2" t="str">
        <v>bla</v>
      </c>
      <c r="E29" s="2" t="str">
        <v>bla</v>
      </c>
      <c r="H29" s="16"/>
    </row>
    <row r="30" spans="1:9" x14ac:dyDescent="0.2">
      <c r="A30" s="2" t="str">
        <v/>
      </c>
      <c r="C30" s="2" t="str">
        <v>bla</v>
      </c>
      <c r="E30" s="2" t="str">
        <v>bla</v>
      </c>
    </row>
    <row r="31" spans="1:9" x14ac:dyDescent="0.2">
      <c r="A31" s="2" t="str">
        <v/>
      </c>
      <c r="C31" s="2" t="str">
        <v>bla</v>
      </c>
      <c r="E31" s="2" t="str">
        <v>bla</v>
      </c>
    </row>
    <row r="32" spans="1:9" x14ac:dyDescent="0.2">
      <c r="A32" s="2" t="str">
        <v>Netherlands</v>
      </c>
      <c r="C32" s="2" t="str">
        <v>Netherlands</v>
      </c>
      <c r="E32" s="2" t="str">
        <v>Netherlands</v>
      </c>
    </row>
    <row r="33" spans="1:5" x14ac:dyDescent="0.2">
      <c r="A33" s="2" t="str">
        <v/>
      </c>
      <c r="C33" s="2" t="str">
        <v>bla</v>
      </c>
      <c r="E33" s="2" t="str">
        <v>bla</v>
      </c>
    </row>
    <row r="34" spans="1:5" x14ac:dyDescent="0.2">
      <c r="A34" s="2" t="str">
        <v/>
      </c>
      <c r="C34" s="2" t="str">
        <v>bla</v>
      </c>
      <c r="E34" s="2" t="str">
        <v>bla</v>
      </c>
    </row>
    <row r="35" spans="1:5" x14ac:dyDescent="0.2">
      <c r="A35" s="2" t="str">
        <v/>
      </c>
      <c r="C35" s="2" t="str">
        <v>bla</v>
      </c>
      <c r="E35" s="2" t="str">
        <v>bla</v>
      </c>
    </row>
    <row r="36" spans="1:5" x14ac:dyDescent="0.2">
      <c r="A36" s="2" t="str">
        <v/>
      </c>
      <c r="C36" s="2" t="str">
        <v>bla</v>
      </c>
      <c r="E36" s="2" t="str">
        <v>bla</v>
      </c>
    </row>
    <row r="37" spans="1:5" x14ac:dyDescent="0.2">
      <c r="A37" s="2" t="str">
        <v/>
      </c>
      <c r="C37" s="2" t="str">
        <v>bla</v>
      </c>
      <c r="E37" s="2" t="str">
        <v>bla</v>
      </c>
    </row>
    <row r="38" spans="1:5" x14ac:dyDescent="0.2">
      <c r="A38" s="2" t="str">
        <v/>
      </c>
      <c r="C38" s="2" t="str">
        <v>bla</v>
      </c>
      <c r="E38" s="2" t="str">
        <v>bla</v>
      </c>
    </row>
    <row r="39" spans="1:5" x14ac:dyDescent="0.2">
      <c r="A39" s="2" t="str">
        <v>Sweden</v>
      </c>
      <c r="C39" s="2" t="str">
        <v>Sweden</v>
      </c>
      <c r="E39" s="2" t="str">
        <v>Sweden</v>
      </c>
    </row>
    <row r="40" spans="1:5" x14ac:dyDescent="0.2">
      <c r="A40" s="2" t="str">
        <v/>
      </c>
      <c r="C40" s="2" t="str">
        <v>bla</v>
      </c>
      <c r="E40" s="2" t="str">
        <v>bla</v>
      </c>
    </row>
    <row r="41" spans="1:5" x14ac:dyDescent="0.2">
      <c r="A41" s="2" t="str">
        <v>USA</v>
      </c>
      <c r="C41" s="2" t="str">
        <v>USA</v>
      </c>
      <c r="E41" s="2" t="str">
        <v>USA</v>
      </c>
    </row>
    <row r="42" spans="1:5" x14ac:dyDescent="0.2">
      <c r="A42" s="2" t="str">
        <v/>
      </c>
      <c r="C42" s="2" t="e">
        <v>#N/A</v>
      </c>
      <c r="E42" s="2" t="str">
        <v/>
      </c>
    </row>
    <row r="43" spans="1:5" x14ac:dyDescent="0.2">
      <c r="A43" s="2" t="str">
        <v/>
      </c>
      <c r="C43" s="2" t="e">
        <v>#N/A</v>
      </c>
      <c r="E43" s="2" t="str">
        <v/>
      </c>
    </row>
    <row r="44" spans="1:5" x14ac:dyDescent="0.2">
      <c r="A44" s="2" t="str">
        <v/>
      </c>
      <c r="C44" s="2" t="e">
        <v>#N/A</v>
      </c>
      <c r="E44" s="2" t="str">
        <v/>
      </c>
    </row>
    <row r="45" spans="1:5" x14ac:dyDescent="0.2">
      <c r="A45" s="2" t="str">
        <v/>
      </c>
      <c r="C45" s="2" t="e">
        <v>#N/A</v>
      </c>
      <c r="E45" s="2" t="str">
        <v/>
      </c>
    </row>
    <row r="46" spans="1:5" x14ac:dyDescent="0.2">
      <c r="A46" s="2" t="str">
        <v/>
      </c>
      <c r="C46" s="2" t="e">
        <v>#N/A</v>
      </c>
      <c r="E46" s="2" t="str">
        <v/>
      </c>
    </row>
    <row r="47" spans="1:5" x14ac:dyDescent="0.2">
      <c r="A47" s="2" t="str">
        <v/>
      </c>
      <c r="C47" s="2" t="e">
        <v>#N/A</v>
      </c>
      <c r="E47" s="2" t="str">
        <v/>
      </c>
    </row>
    <row r="48" spans="1:5" x14ac:dyDescent="0.2">
      <c r="A48" s="2" t="str">
        <v/>
      </c>
      <c r="C48" s="2" t="e">
        <v>#N/A</v>
      </c>
      <c r="E48" s="2" t="str">
        <v/>
      </c>
    </row>
    <row r="49" spans="1:5" x14ac:dyDescent="0.2">
      <c r="A49" s="2" t="str">
        <v/>
      </c>
      <c r="C49" s="2" t="e">
        <v>#N/A</v>
      </c>
      <c r="E49" s="2" t="str">
        <v/>
      </c>
    </row>
    <row r="50" spans="1:5" x14ac:dyDescent="0.2">
      <c r="A50" s="2" t="str">
        <v/>
      </c>
      <c r="C50" s="2" t="e">
        <v>#N/A</v>
      </c>
      <c r="E50" s="2" t="str">
        <v/>
      </c>
    </row>
    <row r="51" spans="1:5" x14ac:dyDescent="0.2">
      <c r="A51" s="2" t="str">
        <v>England</v>
      </c>
      <c r="C51" s="2" t="str">
        <v>England</v>
      </c>
      <c r="E51" s="2" t="str">
        <v>England</v>
      </c>
    </row>
    <row r="52" spans="1:5" x14ac:dyDescent="0.2">
      <c r="A52" s="2" t="str">
        <v/>
      </c>
      <c r="C52" s="2" t="e">
        <v>#N/A</v>
      </c>
      <c r="E52" s="2" t="str">
        <v/>
      </c>
    </row>
    <row r="53" spans="1:5" x14ac:dyDescent="0.2">
      <c r="A53" s="2" t="str">
        <v>Germany</v>
      </c>
      <c r="C53" s="2" t="str">
        <v>Germany</v>
      </c>
      <c r="E53" s="2" t="str">
        <v>Germany</v>
      </c>
    </row>
    <row r="54" spans="1:5" x14ac:dyDescent="0.2">
      <c r="A54" s="2" t="str">
        <v>Japan</v>
      </c>
      <c r="C54" s="2" t="str">
        <v>Japan</v>
      </c>
      <c r="E54" s="2" t="str">
        <v>Japan</v>
      </c>
    </row>
    <row r="55" spans="1:5" x14ac:dyDescent="0.2">
      <c r="A55" s="2" t="str">
        <v/>
      </c>
      <c r="C55" s="2" t="e">
        <v>#N/A</v>
      </c>
      <c r="E55" s="2" t="str">
        <v/>
      </c>
    </row>
    <row r="56" spans="1:5" x14ac:dyDescent="0.2">
      <c r="A56" s="2" t="str">
        <v/>
      </c>
      <c r="C56" s="2" t="e">
        <v>#N/A</v>
      </c>
      <c r="E56" s="2" t="str">
        <v/>
      </c>
    </row>
    <row r="57" spans="1:5" hidden="1" x14ac:dyDescent="0.2">
      <c r="A57" s="2" t="str">
        <v/>
      </c>
      <c r="C57" s="2" t="e">
        <v>#N/A</v>
      </c>
      <c r="E57" s="2" t="str">
        <v/>
      </c>
    </row>
    <row r="58" spans="1:5" hidden="1" x14ac:dyDescent="0.2">
      <c r="A58" s="2" t="str">
        <v/>
      </c>
      <c r="C58" s="2" t="e">
        <v>#N/A</v>
      </c>
      <c r="E58" s="2" t="str">
        <v/>
      </c>
    </row>
    <row r="59" spans="1:5" hidden="1" x14ac:dyDescent="0.2">
      <c r="A59" s="2" t="str">
        <v/>
      </c>
      <c r="C59" s="2" t="e">
        <v>#N/A</v>
      </c>
      <c r="E59" s="2" t="str">
        <v/>
      </c>
    </row>
    <row r="60" spans="1:5" hidden="1" x14ac:dyDescent="0.2">
      <c r="A60" s="2" t="str">
        <v/>
      </c>
      <c r="C60" s="2" t="e">
        <v>#N/A</v>
      </c>
      <c r="E60" s="2" t="str">
        <v/>
      </c>
    </row>
    <row r="61" spans="1:5" hidden="1" x14ac:dyDescent="0.2">
      <c r="A61" s="2" t="str">
        <v/>
      </c>
      <c r="C61" s="2" t="e">
        <v>#N/A</v>
      </c>
      <c r="E61" s="2" t="str">
        <v/>
      </c>
    </row>
    <row r="62" spans="1:5" hidden="1" x14ac:dyDescent="0.2">
      <c r="A62" s="2" t="str">
        <v/>
      </c>
      <c r="C62" s="2" t="e">
        <v>#N/A</v>
      </c>
      <c r="E62" s="2" t="str">
        <v/>
      </c>
    </row>
    <row r="63" spans="1:5" hidden="1" x14ac:dyDescent="0.2">
      <c r="A63" s="2" t="str">
        <v/>
      </c>
      <c r="C63" s="2" t="e">
        <v>#N/A</v>
      </c>
      <c r="E63" s="2" t="str">
        <v/>
      </c>
    </row>
    <row r="64" spans="1:5" hidden="1" x14ac:dyDescent="0.2">
      <c r="A64" s="2" t="str">
        <v/>
      </c>
      <c r="C64" s="2" t="e">
        <v>#N/A</v>
      </c>
      <c r="E64" s="2" t="str">
        <v/>
      </c>
    </row>
    <row r="65" spans="1:5" hidden="1" x14ac:dyDescent="0.2">
      <c r="A65" s="2" t="str">
        <v>USA</v>
      </c>
      <c r="C65" s="2" t="str">
        <v>USA</v>
      </c>
      <c r="E65" s="2" t="str">
        <v>USA</v>
      </c>
    </row>
    <row r="66" spans="1:5" hidden="1" x14ac:dyDescent="0.2">
      <c r="A66" s="2" t="str">
        <v/>
      </c>
      <c r="C66" s="2" t="e">
        <v>#N/A</v>
      </c>
      <c r="E66" s="2" t="str">
        <v/>
      </c>
    </row>
    <row r="67" spans="1:5" hidden="1" x14ac:dyDescent="0.2">
      <c r="A67" s="2" t="str">
        <v/>
      </c>
      <c r="C67" s="2" t="e">
        <v>#N/A</v>
      </c>
      <c r="E67" s="2" t="str">
        <v/>
      </c>
    </row>
    <row r="68" spans="1:5" hidden="1" x14ac:dyDescent="0.2">
      <c r="A68" s="2" t="str">
        <v/>
      </c>
      <c r="C68" s="2" t="e">
        <v>#N/A</v>
      </c>
      <c r="E68" s="2" t="str">
        <v/>
      </c>
    </row>
    <row r="69" spans="1:5" hidden="1" x14ac:dyDescent="0.2">
      <c r="A69" s="2" t="str">
        <v/>
      </c>
      <c r="C69" s="2" t="e">
        <v>#N/A</v>
      </c>
      <c r="E69" s="2" t="str">
        <v/>
      </c>
    </row>
    <row r="70" spans="1:5" hidden="1" x14ac:dyDescent="0.2">
      <c r="A70" s="2" t="str">
        <v/>
      </c>
      <c r="C70" s="2" t="e">
        <v>#N/A</v>
      </c>
      <c r="E70" s="2" t="str">
        <v/>
      </c>
    </row>
    <row r="71" spans="1:5" hidden="1" x14ac:dyDescent="0.2">
      <c r="A71" s="2" t="str">
        <v/>
      </c>
      <c r="C71" s="2" t="e">
        <v>#N/A</v>
      </c>
      <c r="E71" s="2" t="str">
        <v/>
      </c>
    </row>
    <row r="72" spans="1:5" hidden="1" x14ac:dyDescent="0.2">
      <c r="A72" s="2" t="str">
        <v/>
      </c>
      <c r="C72" s="2" t="e">
        <v>#N/A</v>
      </c>
      <c r="E72" s="2" t="str">
        <v/>
      </c>
    </row>
    <row r="73" spans="1:5" hidden="1" x14ac:dyDescent="0.2">
      <c r="A73" s="2" t="str">
        <v/>
      </c>
      <c r="C73" s="2" t="e">
        <v>#N/A</v>
      </c>
      <c r="E73" s="2" t="str">
        <v/>
      </c>
    </row>
    <row r="74" spans="1:5" hidden="1" x14ac:dyDescent="0.2">
      <c r="A74" s="2" t="str">
        <v/>
      </c>
      <c r="C74" s="2" t="e">
        <v>#N/A</v>
      </c>
      <c r="E74" s="2" t="str">
        <v/>
      </c>
    </row>
    <row r="75" spans="1:5" hidden="1" x14ac:dyDescent="0.2">
      <c r="A75" s="2" t="str">
        <v/>
      </c>
      <c r="C75" s="2" t="e">
        <v>#N/A</v>
      </c>
      <c r="E75" s="2" t="str">
        <v/>
      </c>
    </row>
    <row r="76" spans="1:5" hidden="1" x14ac:dyDescent="0.2">
      <c r="A76" s="2" t="str">
        <v/>
      </c>
      <c r="C76" s="2" t="e">
        <v>#N/A</v>
      </c>
      <c r="E76" s="2" t="str">
        <v/>
      </c>
    </row>
    <row r="77" spans="1:5" hidden="1" x14ac:dyDescent="0.2">
      <c r="A77" s="2" t="str">
        <v/>
      </c>
      <c r="C77" s="2" t="e">
        <v>#N/A</v>
      </c>
      <c r="E77" s="2" t="str">
        <v/>
      </c>
    </row>
    <row r="78" spans="1:5" hidden="1" x14ac:dyDescent="0.2">
      <c r="A78" s="2" t="str">
        <v/>
      </c>
      <c r="C78" s="2" t="e">
        <v>#N/A</v>
      </c>
      <c r="E78" s="2" t="str">
        <v/>
      </c>
    </row>
    <row r="79" spans="1:5" hidden="1" x14ac:dyDescent="0.2">
      <c r="A79" s="2" t="str">
        <v/>
      </c>
      <c r="C79" s="2" t="e">
        <v>#N/A</v>
      </c>
      <c r="E79" s="2" t="str">
        <v/>
      </c>
    </row>
    <row r="80" spans="1:5" hidden="1" x14ac:dyDescent="0.2">
      <c r="A80" s="2" t="str">
        <v/>
      </c>
      <c r="C80" s="2" t="e">
        <v>#N/A</v>
      </c>
      <c r="E80" s="2" t="str">
        <v/>
      </c>
    </row>
    <row r="81" spans="1:5" hidden="1" x14ac:dyDescent="0.2">
      <c r="A81" s="2" t="str">
        <v/>
      </c>
      <c r="C81" s="2" t="e">
        <v>#N/A</v>
      </c>
      <c r="E81" s="2" t="str">
        <v/>
      </c>
    </row>
    <row r="82" spans="1:5" hidden="1" x14ac:dyDescent="0.2">
      <c r="A82" s="2" t="str">
        <v/>
      </c>
      <c r="C82" s="2" t="e">
        <v>#N/A</v>
      </c>
      <c r="E82" s="2" t="str">
        <v/>
      </c>
    </row>
    <row r="83" spans="1:5" hidden="1" x14ac:dyDescent="0.2">
      <c r="A83" s="2" t="str">
        <v/>
      </c>
      <c r="C83" s="2" t="e">
        <v>#N/A</v>
      </c>
      <c r="E83" s="2" t="str">
        <v/>
      </c>
    </row>
    <row r="84" spans="1:5" hidden="1" x14ac:dyDescent="0.2">
      <c r="A84" s="2" t="str">
        <v/>
      </c>
      <c r="C84" s="2" t="e">
        <v>#N/A</v>
      </c>
      <c r="E84" s="2" t="str">
        <v/>
      </c>
    </row>
    <row r="85" spans="1:5" hidden="1" x14ac:dyDescent="0.2">
      <c r="A85" s="2" t="str">
        <v/>
      </c>
      <c r="C85" s="2" t="e">
        <v>#N/A</v>
      </c>
      <c r="E85" s="2" t="str">
        <v/>
      </c>
    </row>
    <row r="86" spans="1:5" hidden="1" x14ac:dyDescent="0.2">
      <c r="A86" s="2" t="str">
        <v/>
      </c>
      <c r="C86" s="2" t="e">
        <v>#N/A</v>
      </c>
      <c r="E86" s="2" t="str">
        <v/>
      </c>
    </row>
    <row r="87" spans="1:5" hidden="1" x14ac:dyDescent="0.2">
      <c r="A87" s="2" t="str">
        <v/>
      </c>
      <c r="C87" s="2" t="e">
        <v>#N/A</v>
      </c>
      <c r="E87" s="2" t="str">
        <v/>
      </c>
    </row>
    <row r="88" spans="1:5" hidden="1" x14ac:dyDescent="0.2">
      <c r="A88" s="2" t="str">
        <v/>
      </c>
      <c r="C88" s="2" t="e">
        <v>#N/A</v>
      </c>
      <c r="E88" s="2" t="str">
        <v/>
      </c>
    </row>
    <row r="89" spans="1:5" hidden="1" x14ac:dyDescent="0.2">
      <c r="A89" s="2" t="str">
        <v/>
      </c>
      <c r="C89" s="2" t="e">
        <v>#N/A</v>
      </c>
      <c r="E89" s="2" t="str">
        <v/>
      </c>
    </row>
    <row r="90" spans="1:5" hidden="1" x14ac:dyDescent="0.2">
      <c r="A90" s="2" t="str">
        <v/>
      </c>
      <c r="C90" s="2" t="e">
        <v>#N/A</v>
      </c>
      <c r="E90" s="2" t="str">
        <v/>
      </c>
    </row>
    <row r="91" spans="1:5" hidden="1" x14ac:dyDescent="0.2">
      <c r="A91" s="2" t="str">
        <v/>
      </c>
      <c r="C91" s="2" t="e">
        <v>#N/A</v>
      </c>
      <c r="E91" s="2" t="str">
        <v/>
      </c>
    </row>
    <row r="92" spans="1:5" hidden="1" x14ac:dyDescent="0.2">
      <c r="A92" s="2" t="str">
        <v/>
      </c>
      <c r="C92" s="2" t="e">
        <v>#N/A</v>
      </c>
      <c r="E92" s="2" t="str">
        <v/>
      </c>
    </row>
    <row r="93" spans="1:5" hidden="1" x14ac:dyDescent="0.2">
      <c r="A93" s="2" t="str">
        <v/>
      </c>
      <c r="C93" s="2" t="e">
        <v>#N/A</v>
      </c>
      <c r="E93" s="2" t="str">
        <v/>
      </c>
    </row>
    <row r="94" spans="1:5" hidden="1" x14ac:dyDescent="0.2">
      <c r="A94" s="2" t="str">
        <v/>
      </c>
      <c r="C94" s="2" t="e">
        <v>#N/A</v>
      </c>
      <c r="E94" s="2" t="str">
        <v/>
      </c>
    </row>
    <row r="95" spans="1:5" hidden="1" x14ac:dyDescent="0.2">
      <c r="A95" s="2" t="str">
        <v/>
      </c>
      <c r="C95" s="2" t="e">
        <v>#N/A</v>
      </c>
      <c r="E95" s="2" t="str">
        <v/>
      </c>
    </row>
    <row r="96" spans="1:5" hidden="1" x14ac:dyDescent="0.2">
      <c r="A96" s="2" t="str">
        <v/>
      </c>
      <c r="C96" s="2" t="e">
        <v>#N/A</v>
      </c>
      <c r="E96" s="2" t="str">
        <v/>
      </c>
    </row>
    <row r="97" spans="1:5" hidden="1" x14ac:dyDescent="0.2">
      <c r="A97" s="2" t="str">
        <v/>
      </c>
      <c r="C97" s="2" t="e">
        <v>#N/A</v>
      </c>
      <c r="E97" s="2" t="str">
        <v/>
      </c>
    </row>
    <row r="98" spans="1:5" hidden="1" x14ac:dyDescent="0.2">
      <c r="A98" s="2" t="str">
        <v/>
      </c>
      <c r="C98" s="2" t="e">
        <v>#N/A</v>
      </c>
      <c r="E98" s="2" t="str">
        <v/>
      </c>
    </row>
    <row r="99" spans="1:5" hidden="1" x14ac:dyDescent="0.2">
      <c r="A99" s="2" t="str">
        <v/>
      </c>
      <c r="C99" s="2" t="e">
        <v>#N/A</v>
      </c>
      <c r="E99" s="2" t="str">
        <v/>
      </c>
    </row>
    <row r="100" spans="1:5" hidden="1" x14ac:dyDescent="0.2">
      <c r="A100" s="2" t="str">
        <v/>
      </c>
      <c r="C100" s="2" t="e">
        <v>#N/A</v>
      </c>
      <c r="E100" s="2" t="str">
        <v/>
      </c>
    </row>
    <row r="101" spans="1:5" hidden="1" x14ac:dyDescent="0.2">
      <c r="A101" s="2" t="str">
        <v/>
      </c>
      <c r="C101" s="2" t="e">
        <v>#N/A</v>
      </c>
      <c r="E101" s="2" t="str">
        <v/>
      </c>
    </row>
    <row r="102" spans="1:5" hidden="1" x14ac:dyDescent="0.2">
      <c r="A102" s="2" t="str">
        <v/>
      </c>
      <c r="C102" s="2" t="e">
        <v>#N/A</v>
      </c>
      <c r="E102" s="2" t="str">
        <v/>
      </c>
    </row>
    <row r="103" spans="1:5" hidden="1" x14ac:dyDescent="0.2">
      <c r="A103" s="2" t="str">
        <v/>
      </c>
      <c r="C103" s="2" t="e">
        <v>#N/A</v>
      </c>
      <c r="E103" s="2" t="str">
        <v/>
      </c>
    </row>
    <row r="104" spans="1:5" hidden="1" x14ac:dyDescent="0.2">
      <c r="A104" s="2" t="str">
        <v/>
      </c>
      <c r="C104" s="2" t="e">
        <v>#N/A</v>
      </c>
      <c r="E104" s="2" t="str">
        <v/>
      </c>
    </row>
    <row r="105" spans="1:5" hidden="1" x14ac:dyDescent="0.2">
      <c r="A105" s="2" t="str">
        <v/>
      </c>
      <c r="C105" s="2" t="e">
        <v>#N/A</v>
      </c>
      <c r="E105" s="2" t="str">
        <v/>
      </c>
    </row>
    <row r="106" spans="1:5" hidden="1" x14ac:dyDescent="0.2">
      <c r="A106" s="2" t="str">
        <v/>
      </c>
      <c r="C106" s="2" t="e">
        <v>#N/A</v>
      </c>
      <c r="E106" s="2" t="str">
        <v/>
      </c>
    </row>
    <row r="107" spans="1:5" hidden="1" x14ac:dyDescent="0.2">
      <c r="A107" s="2" t="str">
        <v/>
      </c>
      <c r="C107" s="2" t="e">
        <v>#N/A</v>
      </c>
      <c r="E107" s="2" t="str">
        <v/>
      </c>
    </row>
    <row r="108" spans="1:5" hidden="1" x14ac:dyDescent="0.2">
      <c r="A108" s="2" t="str">
        <v/>
      </c>
      <c r="C108" s="2" t="e">
        <v>#N/A</v>
      </c>
      <c r="E108" s="2" t="str">
        <v/>
      </c>
    </row>
    <row r="109" spans="1:5" hidden="1" x14ac:dyDescent="0.2">
      <c r="A109" s="2" t="str">
        <v/>
      </c>
      <c r="C109" s="2" t="e">
        <v>#N/A</v>
      </c>
      <c r="E109" s="2" t="str">
        <v/>
      </c>
    </row>
    <row r="110" spans="1:5" hidden="1" x14ac:dyDescent="0.2">
      <c r="A110" s="2" t="str">
        <v/>
      </c>
      <c r="C110" s="2" t="e">
        <v>#N/A</v>
      </c>
      <c r="E110" s="2" t="str">
        <v/>
      </c>
    </row>
    <row r="111" spans="1:5" hidden="1" x14ac:dyDescent="0.2">
      <c r="A111" s="2" t="str">
        <v/>
      </c>
      <c r="C111" s="2" t="e">
        <v>#N/A</v>
      </c>
      <c r="E111" s="2" t="str">
        <v/>
      </c>
    </row>
    <row r="112" spans="1:5" hidden="1" x14ac:dyDescent="0.2">
      <c r="A112" s="2" t="str">
        <v/>
      </c>
      <c r="C112" s="2" t="e">
        <v>#N/A</v>
      </c>
      <c r="E112" s="2" t="str">
        <v/>
      </c>
    </row>
    <row r="113" spans="1:5" hidden="1" x14ac:dyDescent="0.2">
      <c r="A113" s="2" t="str">
        <v/>
      </c>
      <c r="C113" s="2" t="e">
        <v>#N/A</v>
      </c>
      <c r="E113" s="2" t="str">
        <v/>
      </c>
    </row>
    <row r="114" spans="1:5" hidden="1" x14ac:dyDescent="0.2">
      <c r="A114" s="2" t="str">
        <v/>
      </c>
      <c r="C114" s="2" t="e">
        <v>#N/A</v>
      </c>
      <c r="E114" s="2" t="str">
        <v/>
      </c>
    </row>
    <row r="115" spans="1:5" hidden="1" x14ac:dyDescent="0.2">
      <c r="A115" s="2" t="str">
        <v/>
      </c>
      <c r="C115" s="2" t="e">
        <v>#N/A</v>
      </c>
      <c r="E115" s="2" t="str">
        <v/>
      </c>
    </row>
    <row r="116" spans="1:5" hidden="1" x14ac:dyDescent="0.2">
      <c r="A116" s="2" t="str">
        <v/>
      </c>
      <c r="C116" s="2" t="e">
        <v>#N/A</v>
      </c>
      <c r="E116" s="2" t="str">
        <v/>
      </c>
    </row>
    <row r="117" spans="1:5" hidden="1" x14ac:dyDescent="0.2">
      <c r="A117" s="2" t="str">
        <v/>
      </c>
      <c r="C117" s="2" t="e">
        <v>#N/A</v>
      </c>
      <c r="E117" s="2" t="str">
        <v/>
      </c>
    </row>
    <row r="118" spans="1:5" hidden="1" x14ac:dyDescent="0.2">
      <c r="A118" s="2" t="str">
        <v/>
      </c>
      <c r="C118" s="2" t="e">
        <v>#N/A</v>
      </c>
      <c r="E118" s="2" t="str">
        <v/>
      </c>
    </row>
    <row r="119" spans="1:5" hidden="1" x14ac:dyDescent="0.2">
      <c r="A119" s="2" t="str">
        <v/>
      </c>
      <c r="C119" s="2" t="e">
        <v>#N/A</v>
      </c>
      <c r="E119" s="2" t="str">
        <v/>
      </c>
    </row>
    <row r="120" spans="1:5" hidden="1" x14ac:dyDescent="0.2">
      <c r="A120" s="2" t="str">
        <v/>
      </c>
      <c r="C120" s="2" t="e">
        <v>#N/A</v>
      </c>
      <c r="E120" s="2" t="str">
        <v/>
      </c>
    </row>
    <row r="121" spans="1:5" hidden="1" x14ac:dyDescent="0.2">
      <c r="A121" s="2" t="str">
        <v/>
      </c>
      <c r="C121" s="2" t="e">
        <v>#N/A</v>
      </c>
      <c r="E121" s="2" t="str">
        <v/>
      </c>
    </row>
    <row r="122" spans="1:5" hidden="1" x14ac:dyDescent="0.2">
      <c r="A122" s="2" t="str">
        <v/>
      </c>
      <c r="C122" s="2" t="e">
        <v>#N/A</v>
      </c>
      <c r="E122" s="2" t="str">
        <v/>
      </c>
    </row>
    <row r="123" spans="1:5" hidden="1" x14ac:dyDescent="0.2">
      <c r="A123" s="2" t="str">
        <v/>
      </c>
      <c r="C123" s="2" t="e">
        <v>#N/A</v>
      </c>
      <c r="E123" s="2" t="str">
        <v/>
      </c>
    </row>
    <row r="124" spans="1:5" hidden="1" x14ac:dyDescent="0.2">
      <c r="A124" s="2" t="str">
        <v/>
      </c>
      <c r="C124" s="2" t="e">
        <v>#N/A</v>
      </c>
      <c r="E124" s="2" t="str">
        <v/>
      </c>
    </row>
    <row r="125" spans="1:5" hidden="1" x14ac:dyDescent="0.2">
      <c r="A125" s="2" t="str">
        <v/>
      </c>
      <c r="C125" s="2" t="e">
        <v>#N/A</v>
      </c>
      <c r="E125" s="2" t="str">
        <v/>
      </c>
    </row>
    <row r="126" spans="1:5" hidden="1" x14ac:dyDescent="0.2">
      <c r="A126" s="2" t="str">
        <v/>
      </c>
      <c r="C126" s="2" t="e">
        <v>#N/A</v>
      </c>
      <c r="E126" s="2" t="str">
        <v/>
      </c>
    </row>
    <row r="127" spans="1:5" hidden="1" x14ac:dyDescent="0.2">
      <c r="A127" s="2" t="str">
        <v/>
      </c>
      <c r="C127" s="2" t="e">
        <v>#N/A</v>
      </c>
      <c r="E127" s="2" t="str">
        <v/>
      </c>
    </row>
    <row r="128" spans="1:5" hidden="1" x14ac:dyDescent="0.2">
      <c r="A128" s="2" t="str">
        <v/>
      </c>
      <c r="C128" s="2" t="e">
        <v>#N/A</v>
      </c>
      <c r="E128" s="2" t="str">
        <v/>
      </c>
    </row>
    <row r="129" spans="1:5" hidden="1" x14ac:dyDescent="0.2">
      <c r="A129" s="2" t="str">
        <v/>
      </c>
      <c r="C129" s="2" t="e">
        <v>#N/A</v>
      </c>
      <c r="E129" s="2" t="str">
        <v/>
      </c>
    </row>
    <row r="130" spans="1:5" hidden="1" x14ac:dyDescent="0.2">
      <c r="A130" s="2" t="str">
        <v/>
      </c>
      <c r="C130" s="2" t="e">
        <v>#N/A</v>
      </c>
      <c r="E130" s="2" t="str">
        <v/>
      </c>
    </row>
    <row r="131" spans="1:5" hidden="1" x14ac:dyDescent="0.2">
      <c r="A131" s="2" t="str">
        <v/>
      </c>
      <c r="C131" s="2" t="e">
        <v>#N/A</v>
      </c>
      <c r="E131" s="2" t="str">
        <v/>
      </c>
    </row>
    <row r="132" spans="1:5" hidden="1" x14ac:dyDescent="0.2">
      <c r="A132" s="2" t="str">
        <v/>
      </c>
      <c r="C132" s="2" t="e">
        <v>#N/A</v>
      </c>
      <c r="E132" s="2" t="str">
        <v/>
      </c>
    </row>
    <row r="133" spans="1:5" hidden="1" x14ac:dyDescent="0.2">
      <c r="A133" s="2" t="str">
        <v/>
      </c>
      <c r="C133" s="2" t="e">
        <v>#N/A</v>
      </c>
      <c r="E133" s="2" t="str">
        <v/>
      </c>
    </row>
    <row r="134" spans="1:5" hidden="1" x14ac:dyDescent="0.2">
      <c r="A134" s="2" t="str">
        <v/>
      </c>
      <c r="C134" s="2" t="e">
        <v>#N/A</v>
      </c>
      <c r="E134" s="2" t="str">
        <v/>
      </c>
    </row>
    <row r="135" spans="1:5" hidden="1" x14ac:dyDescent="0.2">
      <c r="A135" s="2" t="str">
        <v/>
      </c>
      <c r="C135" s="2" t="e">
        <v>#N/A</v>
      </c>
      <c r="E135" s="2" t="str">
        <v/>
      </c>
    </row>
    <row r="136" spans="1:5" hidden="1" x14ac:dyDescent="0.2">
      <c r="A136" s="2" t="str">
        <v/>
      </c>
      <c r="C136" s="2" t="e">
        <v>#N/A</v>
      </c>
      <c r="E136" s="2" t="str">
        <v/>
      </c>
    </row>
    <row r="137" spans="1:5" hidden="1" x14ac:dyDescent="0.2">
      <c r="A137" s="2" t="str">
        <v/>
      </c>
      <c r="C137" s="2" t="e">
        <v>#N/A</v>
      </c>
      <c r="E137" s="2" t="str">
        <v/>
      </c>
    </row>
    <row r="138" spans="1:5" hidden="1" x14ac:dyDescent="0.2">
      <c r="A138" s="2" t="str">
        <v/>
      </c>
      <c r="C138" s="2" t="e">
        <v>#N/A</v>
      </c>
      <c r="E138" s="2" t="str">
        <v/>
      </c>
    </row>
    <row r="139" spans="1:5" hidden="1" x14ac:dyDescent="0.2">
      <c r="A139" s="2" t="str">
        <v/>
      </c>
      <c r="C139" s="2" t="e">
        <v>#N/A</v>
      </c>
      <c r="E139" s="2" t="str">
        <v/>
      </c>
    </row>
    <row r="140" spans="1:5" hidden="1" x14ac:dyDescent="0.2">
      <c r="A140" s="2" t="str">
        <v/>
      </c>
      <c r="C140" s="2" t="e">
        <v>#N/A</v>
      </c>
      <c r="E140" s="2" t="str">
        <v/>
      </c>
    </row>
    <row r="141" spans="1:5" hidden="1" x14ac:dyDescent="0.2">
      <c r="A141" s="2" t="str">
        <v/>
      </c>
      <c r="C141" s="2" t="e">
        <v>#N/A</v>
      </c>
      <c r="E141" s="2" t="str">
        <v/>
      </c>
    </row>
    <row r="142" spans="1:5" hidden="1" x14ac:dyDescent="0.2">
      <c r="A142" s="2" t="str">
        <v/>
      </c>
      <c r="C142" s="2" t="e">
        <v>#N/A</v>
      </c>
      <c r="E142" s="2" t="str">
        <v/>
      </c>
    </row>
    <row r="143" spans="1:5" hidden="1" x14ac:dyDescent="0.2">
      <c r="A143" s="2" t="str">
        <v/>
      </c>
      <c r="C143" s="2" t="e">
        <v>#N/A</v>
      </c>
      <c r="E143" s="2" t="str">
        <v/>
      </c>
    </row>
    <row r="144" spans="1:5" hidden="1" x14ac:dyDescent="0.2">
      <c r="A144" s="2" t="str">
        <v/>
      </c>
      <c r="C144" s="2" t="e">
        <v>#N/A</v>
      </c>
      <c r="E144" s="2" t="str">
        <v/>
      </c>
    </row>
    <row r="145" spans="1:9" hidden="1" x14ac:dyDescent="0.2">
      <c r="A145" s="2" t="str">
        <v/>
      </c>
      <c r="C145" s="2" t="e">
        <v>#N/A</v>
      </c>
      <c r="E145" s="2" t="str">
        <v/>
      </c>
    </row>
    <row r="146" spans="1:9" hidden="1" x14ac:dyDescent="0.2">
      <c r="A146" s="2" t="str">
        <v/>
      </c>
      <c r="C146" s="2" t="e">
        <v>#N/A</v>
      </c>
      <c r="E146" s="2" t="str">
        <v/>
      </c>
    </row>
    <row r="147" spans="1:9" hidden="1" x14ac:dyDescent="0.2">
      <c r="A147" s="2" t="str">
        <v/>
      </c>
      <c r="C147" s="2" t="e">
        <v>#N/A</v>
      </c>
      <c r="E147" s="2" t="str">
        <v/>
      </c>
    </row>
    <row r="148" spans="1:9" hidden="1" x14ac:dyDescent="0.2">
      <c r="A148" s="2" t="str">
        <v/>
      </c>
      <c r="C148" s="2" t="e">
        <v>#N/A</v>
      </c>
      <c r="E148" s="2" t="str">
        <v/>
      </c>
    </row>
    <row r="149" spans="1:9" hidden="1" x14ac:dyDescent="0.2">
      <c r="A149" s="2" t="str">
        <v/>
      </c>
      <c r="C149" s="2" t="e">
        <v>#N/A</v>
      </c>
      <c r="E149" s="2" t="str">
        <v/>
      </c>
    </row>
    <row r="150" spans="1:9" hidden="1" x14ac:dyDescent="0.2">
      <c r="A150" s="2" t="str">
        <v/>
      </c>
      <c r="C150" s="2" t="e">
        <v>#N/A</v>
      </c>
      <c r="E150" s="2" t="str">
        <v/>
      </c>
    </row>
    <row r="151" spans="1:9" hidden="1" x14ac:dyDescent="0.2">
      <c r="A151" s="2" t="str">
        <v/>
      </c>
      <c r="C151" s="2" t="e">
        <v>#N/A</v>
      </c>
      <c r="E151" s="2" t="str">
        <v/>
      </c>
    </row>
    <row r="152" spans="1:9" hidden="1" x14ac:dyDescent="0.2">
      <c r="A152" s="2" t="str">
        <v/>
      </c>
      <c r="C152" s="2" t="e">
        <v>#N/A</v>
      </c>
      <c r="E152" s="2" t="str">
        <v/>
      </c>
    </row>
    <row r="153" spans="1:9" hidden="1" x14ac:dyDescent="0.2">
      <c r="A153" s="2" t="str">
        <v/>
      </c>
      <c r="C153" s="2" t="e">
        <v>#N/A</v>
      </c>
      <c r="E153" s="2" t="str">
        <v/>
      </c>
    </row>
    <row r="155" spans="1:9" s="1" customFormat="1" x14ac:dyDescent="0.2"/>
    <row r="156" spans="1:9" x14ac:dyDescent="0.2">
      <c r="A156" s="12" t="s">
        <v>88</v>
      </c>
    </row>
    <row r="158" spans="1:9" x14ac:dyDescent="0.2">
      <c r="A158" t="s">
        <v>87</v>
      </c>
    </row>
    <row r="160" spans="1:9" x14ac:dyDescent="0.2">
      <c r="A160" s="2" cm="1">
        <f t="array" ref="A160:C162">TRANSPOSE(B3:D5)</f>
        <v>1</v>
      </c>
      <c r="B160" s="2">
        <v>4</v>
      </c>
      <c r="C160" s="2">
        <v>7</v>
      </c>
      <c r="E160" s="2" cm="1">
        <f t="array" ref="E160:E162">TRANSPOSE(B3:D3)</f>
        <v>1</v>
      </c>
      <c r="G160" s="2" cm="1">
        <f t="array" ref="G160:I160">TRANSPOSE(B3:B5)</f>
        <v>1</v>
      </c>
      <c r="H160" s="2">
        <v>4</v>
      </c>
      <c r="I160" s="2">
        <v>7</v>
      </c>
    </row>
    <row r="161" spans="1:5" x14ac:dyDescent="0.2">
      <c r="A161" s="2">
        <v>2</v>
      </c>
      <c r="B161" s="2">
        <v>5</v>
      </c>
      <c r="C161" s="2">
        <v>8</v>
      </c>
      <c r="E161" s="2">
        <v>2</v>
      </c>
    </row>
    <row r="162" spans="1:5" x14ac:dyDescent="0.2">
      <c r="A162" s="2">
        <v>3</v>
      </c>
      <c r="B162" s="2">
        <v>6</v>
      </c>
      <c r="C162" s="2">
        <v>9</v>
      </c>
      <c r="E162" s="2">
        <v>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Pokemon data</vt:lpstr>
      <vt:lpstr>FIFA WWC</vt:lpstr>
      <vt:lpstr>M6.1 - Assumed Knowledge</vt:lpstr>
      <vt:lpstr>age</vt:lpstr>
      <vt:lpstr>assists</vt:lpstr>
      <vt:lpstr>assists_per_90</vt:lpstr>
      <vt:lpstr>Attacking</vt:lpstr>
      <vt:lpstr>Bug</vt:lpstr>
      <vt:lpstr>Dark</vt:lpstr>
      <vt:lpstr>Dragon</vt:lpstr>
      <vt:lpstr>Electric</vt:lpstr>
      <vt:lpstr>Fairy</vt:lpstr>
      <vt:lpstr>FiFA</vt:lpstr>
      <vt:lpstr>Fighting</vt:lpstr>
      <vt:lpstr>Fire</vt:lpstr>
      <vt:lpstr>Flying</vt:lpstr>
      <vt:lpstr>Ghost</vt:lpstr>
      <vt:lpstr>goals</vt:lpstr>
      <vt:lpstr>goals_minus_penalty_kicks_per_90</vt:lpstr>
      <vt:lpstr>goals_per_90</vt:lpstr>
      <vt:lpstr>goals_plus_assists_minus_penalty_kicks_per_90</vt:lpstr>
      <vt:lpstr>goals_plus_assists_per_90</vt:lpstr>
      <vt:lpstr>Grass</vt:lpstr>
      <vt:lpstr>Ground</vt:lpstr>
      <vt:lpstr>Ice</vt:lpstr>
      <vt:lpstr>id</vt:lpstr>
      <vt:lpstr>matches_played</vt:lpstr>
      <vt:lpstr>min_playing_time</vt:lpstr>
      <vt:lpstr>minutes_played_90s</vt:lpstr>
      <vt:lpstr>non_penalty_goals</vt:lpstr>
      <vt:lpstr>Normal</vt:lpstr>
      <vt:lpstr>penalty_kicks_attempted</vt:lpstr>
      <vt:lpstr>penalty_kicks_made</vt:lpstr>
      <vt:lpstr>players</vt:lpstr>
      <vt:lpstr>Poison</vt:lpstr>
      <vt:lpstr>pokemon</vt:lpstr>
      <vt:lpstr>possesion</vt:lpstr>
      <vt:lpstr>Psychic</vt:lpstr>
      <vt:lpstr>red_cards</vt:lpstr>
      <vt:lpstr>Rock</vt:lpstr>
      <vt:lpstr>squad</vt:lpstr>
      <vt:lpstr>starts</vt:lpstr>
      <vt:lpstr>Steel</vt:lpstr>
      <vt:lpstr>Water</vt:lpstr>
      <vt:lpstr>year</vt:lpstr>
      <vt:lpstr>yellow_cards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Benjamin Avanzi</cp:lastModifiedBy>
  <cp:revision/>
  <dcterms:created xsi:type="dcterms:W3CDTF">2023-08-17T06:53:41Z</dcterms:created>
  <dcterms:modified xsi:type="dcterms:W3CDTF">2024-07-19T06:20:03Z</dcterms:modified>
  <cp:category/>
  <cp:contentStatus/>
</cp:coreProperties>
</file>