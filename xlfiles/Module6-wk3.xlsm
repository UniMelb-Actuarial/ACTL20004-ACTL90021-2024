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defaultThemeVersion="166925"/>
  <mc:AlternateContent xmlns:mc="http://schemas.openxmlformats.org/markup-compatibility/2006">
    <mc:Choice Requires="x15">
      <x15ac:absPath xmlns:x15ac="http://schemas.microsoft.com/office/spreadsheetml/2010/11/ac" url="/Users/bavanzi/Dropbox/Mac (3)/Documents/GitHub/ACTL20004-ACTL90021-2024/xlfiles/"/>
    </mc:Choice>
  </mc:AlternateContent>
  <xr:revisionPtr revIDLastSave="0" documentId="13_ncr:1_{FFE640BE-710C-8B48-B85C-3BCCBFF81D2D}" xr6:coauthVersionLast="47" xr6:coauthVersionMax="47" xr10:uidLastSave="{00000000-0000-0000-0000-000000000000}"/>
  <bookViews>
    <workbookView xWindow="55540" yWindow="1460" windowWidth="29040" windowHeight="15840" firstSheet="1" activeTab="5" xr2:uid="{B7D3D78A-6740-C744-9570-1357A85CE16F}"/>
  </bookViews>
  <sheets>
    <sheet name="Pokemon data" sheetId="2" r:id="rId1"/>
    <sheet name="FIFA WWC" sheetId="3" r:id="rId2"/>
    <sheet name="M6.1 - Assumed Knowledge" sheetId="1" r:id="rId3"/>
    <sheet name="M6.2 - Pivot table" sheetId="6" r:id="rId4"/>
    <sheet name="M6.2 - Pivot chart" sheetId="8" r:id="rId5"/>
    <sheet name="M6.3 - Dynamic arrays" sheetId="9" r:id="rId6"/>
  </sheets>
  <definedNames>
    <definedName name="age">'FIFA WWC'!$E$4:$E$139</definedName>
    <definedName name="assists">'FIFA WWC'!$L$4:$L$139</definedName>
    <definedName name="assists_per_90">'FIFA WWC'!$S$4:$S$139</definedName>
    <definedName name="Attacking">'Pokemon data'!$A$2:$A$19</definedName>
    <definedName name="Bug">'Pokemon data'!$M$2:$M$19</definedName>
    <definedName name="Dark">'Pokemon data'!$Q$2:$Q$19</definedName>
    <definedName name="Dragon">'Pokemon data'!$P$2:$P$19</definedName>
    <definedName name="Electric">'Pokemon data'!$E$2:$E$19</definedName>
    <definedName name="Fairy">'Pokemon data'!$S$2:$S$19</definedName>
    <definedName name="FiFA">'FIFA WWC'!$A$3:$V$139</definedName>
    <definedName name="Fighting">'Pokemon data'!$H$2:$H$19</definedName>
    <definedName name="Fire">'Pokemon data'!$C$2:$C$19</definedName>
    <definedName name="Flying">'Pokemon data'!$K$2:$K$19</definedName>
    <definedName name="Ghost">'Pokemon data'!$O$2:$O$19</definedName>
    <definedName name="goals">'FIFA WWC'!$K$4:$K$139</definedName>
    <definedName name="goals_minus_penalty_kicks_per_90">'FIFA WWC'!$U$4:$U$139</definedName>
    <definedName name="goals_per_90">'FIFA WWC'!$R$4:$R$139</definedName>
    <definedName name="goals_plus_assists_minus_penalty_kicks_per_90">'FIFA WWC'!$V$4:$V$139</definedName>
    <definedName name="goals_plus_assists_per_90">'FIFA WWC'!$T$4:$T$139</definedName>
    <definedName name="Grass">'Pokemon data'!$F$2:$F$19</definedName>
    <definedName name="Ground">'Pokemon data'!$J$2:$J$19</definedName>
    <definedName name="Ice">'Pokemon data'!$G$2:$G$19</definedName>
    <definedName name="id">'FIFA WWC'!$A$4:$A$139</definedName>
    <definedName name="loss_ratios">'M6.3 - Dynamic arrays'!$B$188:$B$191</definedName>
    <definedName name="lossratios">'M6.3 - Dynamic arrays'!$C$31:$F$35</definedName>
    <definedName name="matches_played">'FIFA WWC'!$G$4:$G$139</definedName>
    <definedName name="min_playing_time">'FIFA WWC'!$I$4:$I$139</definedName>
    <definedName name="minutes_played_90s">'FIFA WWC'!$J$4:$J$139</definedName>
    <definedName name="monthly_profit">#REF!</definedName>
    <definedName name="months">#REF!</definedName>
    <definedName name="non_penalty_goals">'FIFA WWC'!$M$4:$M$139</definedName>
    <definedName name="Normal">'Pokemon data'!$B$2:$S$2</definedName>
    <definedName name="penalty_kicks_attempted">'FIFA WWC'!$O$4:$O$139</definedName>
    <definedName name="penalty_kicks_made">'FIFA WWC'!$N$4:$N$139</definedName>
    <definedName name="players">'FIFA WWC'!$D$4:$D$139</definedName>
    <definedName name="Poison">'Pokemon data'!$I$2:$I$19</definedName>
    <definedName name="pokemon">'Pokemon data'!$A$1:$S$19</definedName>
    <definedName name="possesion">'FIFA WWC'!$F$4:$F$139</definedName>
    <definedName name="products">'M6.3 - Dynamic arrays'!$E$197:$E$201</definedName>
    <definedName name="Psychic">'Pokemon data'!$L$2:$L$19</definedName>
    <definedName name="red_cards">'FIFA WWC'!$Q$4:$Q$139</definedName>
    <definedName name="Rock">'Pokemon data'!$N$2:$N$19</definedName>
    <definedName name="Slicer_squad">#N/A</definedName>
    <definedName name="squad">'FIFA WWC'!$B$4:$B$139</definedName>
    <definedName name="starts">'FIFA WWC'!$H$4:$H$139</definedName>
    <definedName name="Steel">'Pokemon data'!$R$2:$R$19</definedName>
    <definedName name="tblProduct">'M6.3 - Dynamic arrays'!$E$196:$E$201</definedName>
    <definedName name="Water">'Pokemon data'!$D$2:$D$19</definedName>
    <definedName name="weekly_profit">#REF!</definedName>
    <definedName name="year">'FIFA WWC'!$C$4:$C$139</definedName>
    <definedName name="yellow_cards">'FIFA WWC'!$P$4:$P$139</definedName>
  </definedNames>
  <calcPr calcId="191028"/>
  <pivotCaches>
    <pivotCache cacheId="38"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06" i="9" l="1"/>
  <c r="N205" i="9"/>
  <c r="T198" i="9"/>
  <c r="N199" i="9"/>
  <c r="N200" i="9"/>
  <c r="N201" i="9"/>
  <c r="N198" i="9"/>
  <c r="H198" i="9" a="1"/>
  <c r="H198" i="9" s="1"/>
  <c r="H188" i="9" a="1"/>
  <c r="H188" i="9" s="1"/>
  <c r="H152" i="9" a="1"/>
  <c r="H152" i="9" s="1"/>
  <c r="A152" i="9"/>
  <c r="I33" i="9" a="1"/>
  <c r="I33" i="9" s="1"/>
  <c r="I34" i="9" a="1"/>
  <c r="I34" i="9" s="1"/>
  <c r="I35" i="9" a="1"/>
  <c r="I35" i="9" s="1"/>
  <c r="I32" i="9" a="1"/>
  <c r="I32" i="9" s="1"/>
  <c r="C7" i="9"/>
  <c r="B7" i="9" a="1"/>
  <c r="B7" i="9" s="1"/>
  <c r="B3" i="9" a="1"/>
  <c r="B3" i="9" s="1"/>
  <c r="G160" i="1" a="1"/>
  <c r="G160" i="1" s="1"/>
  <c r="E160" i="1" a="1"/>
  <c r="E160" i="1" s="1"/>
  <c r="A160" i="1" a="1"/>
  <c r="A160" i="1" s="1"/>
  <c r="I18" i="1"/>
  <c r="G18" i="1"/>
  <c r="E18" i="1" a="1"/>
  <c r="E18" i="1" s="1"/>
  <c r="C18" i="1" a="1"/>
  <c r="C18" i="1" s="1"/>
  <c r="A18" i="1" a="1"/>
  <c r="A18" i="1" s="1"/>
  <c r="N9" i="1"/>
  <c r="J9" i="1"/>
  <c r="F9" i="1"/>
  <c r="B9" i="1"/>
  <c r="R210" i="9" a="1"/>
  <c r="R210" i="9"/>
  <c r="N210" i="9"/>
  <c r="N209" i="9"/>
  <c r="H207" i="9"/>
  <c r="B187" i="9" a="1"/>
  <c r="B187" i="9"/>
  <c r="F176" i="9" a="1"/>
  <c r="F176" i="9" s="1"/>
  <c r="A176" i="9" a="1"/>
  <c r="A176" i="9" s="1"/>
  <c r="A12" i="9" a="1"/>
  <c r="A12" i="9" s="1"/>
  <c r="H37" i="9"/>
  <c r="I37" i="9" s="1" a="1"/>
  <c r="I37" i="9" s="1"/>
  <c r="H32" i="9" a="1"/>
  <c r="H32" i="9" s="1"/>
  <c r="M32" i="9" s="1" a="1"/>
  <c r="M32" i="9" s="1"/>
  <c r="K12" i="9" a="1"/>
  <c r="K12" i="9" s="1"/>
  <c r="H12" i="9" a="1"/>
  <c r="H12" i="9" s="1"/>
  <c r="E153" i="9" s="1"/>
  <c r="C15" i="9" a="1"/>
  <c r="C15" i="9" s="1"/>
  <c r="C16" i="9" a="1"/>
  <c r="C16" i="9" s="1"/>
  <c r="C17" i="9" a="1"/>
  <c r="C17" i="9" s="1"/>
  <c r="C18" i="9" a="1"/>
  <c r="C18" i="9" s="1"/>
  <c r="C19" i="9" a="1"/>
  <c r="C19" i="9" s="1"/>
  <c r="C20" i="9" a="1"/>
  <c r="C20" i="9" s="1"/>
  <c r="C14" i="9" a="1"/>
  <c r="C14" i="9" s="1"/>
  <c r="T197" i="9"/>
  <c r="L152" i="9"/>
  <c r="N197" i="9"/>
  <c r="N204" i="9"/>
  <c r="J37" i="9"/>
  <c r="O209" i="9"/>
  <c r="I152" i="9"/>
  <c r="I31" i="9"/>
  <c r="M31" i="9"/>
  <c r="B152" i="9"/>
  <c r="I12" i="9"/>
  <c r="F153" i="9"/>
  <c r="L12" i="9"/>
  <c r="G176" i="9"/>
  <c r="M189" i="9"/>
  <c r="B176" i="9"/>
  <c r="I206" i="9"/>
  <c r="O210" i="9"/>
  <c r="D152" i="9"/>
  <c r="H187" i="9"/>
  <c r="H197" i="9"/>
  <c r="I207" i="9"/>
  <c r="R209" i="9"/>
  <c r="F152" i="9"/>
  <c r="L153" i="9"/>
  <c r="D14" i="9" a="1"/>
  <c r="B12" i="9"/>
  <c r="M190" i="9" l="1" a="1"/>
  <c r="M190" i="9" s="1"/>
  <c r="T199" i="9"/>
  <c r="T200" i="9"/>
  <c r="T201" i="9"/>
  <c r="M35" i="9" a="1"/>
  <c r="M35" i="9" s="1"/>
  <c r="M34" i="9" a="1"/>
  <c r="M34" i="9" s="1"/>
  <c r="M33" i="9" a="1"/>
  <c r="M33" i="9" s="1"/>
  <c r="C152" i="9" a="1"/>
  <c r="C152" i="9" s="1"/>
  <c r="E152" i="9"/>
  <c r="K153" i="9"/>
  <c r="K152" i="9"/>
  <c r="D14"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tc={B8DFFE92-4C1F-834A-8B14-DF1C3BAE1D39}</author>
    <author>tc={956F094E-48EA-BD43-A476-97D9B87AF8A6}</author>
  </authors>
  <commentList>
    <comment ref="C16" authorId="0" shapeId="0" xr:uid="{B8DFFE92-4C1F-834A-8B14-DF1C3BAE1D39}">
      <text>
        <t>[Threaded comment]
Your version of Excel allows you to read this threaded comment; however, any edits to it will get removed if the file is opened in a newer version of Excel. Learn more: https://go.microsoft.com/fwlink/?linkid=870924
Comment:
    Note how the formula proceeds to the second condition only if the first is not verified.</t>
      </text>
    </comment>
    <comment ref="E16" authorId="1" shapeId="0" xr:uid="{956F094E-48EA-BD43-A476-97D9B87AF8A6}">
      <text>
        <t>[Threaded comment]
Your version of Excel allows you to read this threaded comment; however, any edits to it will get removed if the file is opened in a newer version of Excel. Learn more: https://go.microsoft.com/fwlink/?linkid=870924
Comment:
    note how the “TRUE” condition at the end (which is always true!!) is a catch all condition (default if none of the preceding conditions are verified)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<sst xmlns="http://schemas.openxmlformats.org/spreadsheetml/2006/main" count="313" uniqueCount="147">
  <si>
    <t>Attacking</t>
  </si>
  <si>
    <t>Normal</t>
  </si>
  <si>
    <t>Fire</t>
  </si>
  <si>
    <t>Water</t>
  </si>
  <si>
    <t>Electric</t>
  </si>
  <si>
    <t>Grass</t>
  </si>
  <si>
    <t>Ice</t>
  </si>
  <si>
    <t>Fighting</t>
  </si>
  <si>
    <t>Poison</t>
  </si>
  <si>
    <t>Ground</t>
  </si>
  <si>
    <t>Flying</t>
  </si>
  <si>
    <t>Psychic</t>
  </si>
  <si>
    <t>Bug</t>
  </si>
  <si>
    <t>Rock</t>
  </si>
  <si>
    <t>Ghost</t>
  </si>
  <si>
    <t>Dragon</t>
  </si>
  <si>
    <t>Dark</t>
  </si>
  <si>
    <t>Steel</t>
  </si>
  <si>
    <t>Fairy</t>
  </si>
  <si>
    <t>Source:</t>
  </si>
  <si>
    <t>https://github.com/zonination/pokemon-chart/blob/master/chart.csv</t>
  </si>
  <si>
    <t>FIFA Women's World Cup Stats (1991 - 2019)</t>
  </si>
  <si>
    <t>id</t>
  </si>
  <si>
    <t>squad</t>
  </si>
  <si>
    <t>year</t>
  </si>
  <si>
    <t>players</t>
  </si>
  <si>
    <t>age</t>
  </si>
  <si>
    <t>possesion</t>
  </si>
  <si>
    <t>matches_played</t>
  </si>
  <si>
    <t>starts</t>
  </si>
  <si>
    <t>min_playing_time</t>
  </si>
  <si>
    <t>minutes_played_90s</t>
  </si>
  <si>
    <t>goals</t>
  </si>
  <si>
    <t>assists</t>
  </si>
  <si>
    <t>non_penalty_goals</t>
  </si>
  <si>
    <t>penalty_kicks_made</t>
  </si>
  <si>
    <t>penalty_kicks_attempted</t>
  </si>
  <si>
    <t>yellow_cards</t>
  </si>
  <si>
    <t>red_cards</t>
  </si>
  <si>
    <t>goals_per_90</t>
  </si>
  <si>
    <t>assists_per_90</t>
  </si>
  <si>
    <t>goals_plus_assists_per_90</t>
  </si>
  <si>
    <t>goals_minus_penalty_kicks_per_90</t>
  </si>
  <si>
    <t>goals_plus_assists_minus_penalty_kicks_per_90</t>
  </si>
  <si>
    <t>Argentina</t>
  </si>
  <si>
    <t>Australia</t>
  </si>
  <si>
    <t>Brazil</t>
  </si>
  <si>
    <t>Cameroon</t>
  </si>
  <si>
    <t>Canada</t>
  </si>
  <si>
    <t>Chile</t>
  </si>
  <si>
    <t>China PR</t>
  </si>
  <si>
    <t>England</t>
  </si>
  <si>
    <t>France</t>
  </si>
  <si>
    <t>Germany</t>
  </si>
  <si>
    <t>Italy</t>
  </si>
  <si>
    <t>Jamaica</t>
  </si>
  <si>
    <t>Japan</t>
  </si>
  <si>
    <t>Korea Rep</t>
  </si>
  <si>
    <t>Netherlands</t>
  </si>
  <si>
    <t>New Zealand</t>
  </si>
  <si>
    <t>Nigeria</t>
  </si>
  <si>
    <t>Norway</t>
  </si>
  <si>
    <t>Scotland</t>
  </si>
  <si>
    <t>South Africa</t>
  </si>
  <si>
    <t>Spain</t>
  </si>
  <si>
    <t>Sweden</t>
  </si>
  <si>
    <t>Thailand</t>
  </si>
  <si>
    <t>USA</t>
  </si>
  <si>
    <t>Colombia</t>
  </si>
  <si>
    <t>Costa Rica</t>
  </si>
  <si>
    <t>C√¥te d'Ivoire</t>
  </si>
  <si>
    <t>Ecuador</t>
  </si>
  <si>
    <t>Mexico</t>
  </si>
  <si>
    <t>Switzerland</t>
  </si>
  <si>
    <t>Equ. Guinea</t>
  </si>
  <si>
    <t>Korea DPR</t>
  </si>
  <si>
    <t>Denmark</t>
  </si>
  <si>
    <t>Ghana</t>
  </si>
  <si>
    <t>Russia</t>
  </si>
  <si>
    <t>Chinese Taipei</t>
  </si>
  <si>
    <t>Absolute and mixed cell references: Chapter 7 EE19, pages 332-342</t>
  </si>
  <si>
    <t>Pull the formula in the top left corner right, and down, over the yellow area. Can you explain the differences?</t>
  </si>
  <si>
    <t>New Excel 2019 functions (IFS, MAXIFS, MINIFS): Chapter 8, pages 381-398</t>
  </si>
  <si>
    <t>Simple if:</t>
  </si>
  <si>
    <t>IFS</t>
  </si>
  <si>
    <t>MAXIFS</t>
  </si>
  <si>
    <t>MINIFS</t>
  </si>
  <si>
    <t>Paste with transpose will achieve the same as transpose:</t>
  </si>
  <si>
    <t>(All)</t>
  </si>
  <si>
    <t>Row Labels</t>
  </si>
  <si>
    <t>Sum of matches_played</t>
  </si>
  <si>
    <t>Sum of goals</t>
  </si>
  <si>
    <t>Grand Total</t>
  </si>
  <si>
    <t>Average of possesion</t>
  </si>
  <si>
    <t>Spilling</t>
  </si>
  <si>
    <t>Hello</t>
  </si>
  <si>
    <t>&lt;-  =LEN(B3:B6)</t>
  </si>
  <si>
    <t xml:space="preserve">World </t>
  </si>
  <si>
    <t>of</t>
  </si>
  <si>
    <t>Actuaries</t>
  </si>
  <si>
    <t>Think in vectors</t>
  </si>
  <si>
    <t>How often is Fire&gt;Water?</t>
  </si>
  <si>
    <t>For which type of pokemon?</t>
  </si>
  <si>
    <t>Loss ratios</t>
  </si>
  <si>
    <t>NSW</t>
  </si>
  <si>
    <t>VIC</t>
  </si>
  <si>
    <t>ACT</t>
  </si>
  <si>
    <t>Motor</t>
  </si>
  <si>
    <t>Liability</t>
  </si>
  <si>
    <t>Life</t>
  </si>
  <si>
    <t>Property</t>
  </si>
  <si>
    <t>The # sign</t>
  </si>
  <si>
    <t xml:space="preserve">Try to change to SEQUENCE(10) and compare sum differences above </t>
  </si>
  <si>
    <t>Some new formulas</t>
  </si>
  <si>
    <t>Which teams played 7 matches?</t>
  </si>
  <si>
    <t>Lookup functions</t>
  </si>
  <si>
    <t>VLOOKUP</t>
  </si>
  <si>
    <t>You can specify a lookup array and find all the corresponding values.</t>
  </si>
  <si>
    <t>Or return multiple columns as previouly shown</t>
  </si>
  <si>
    <t>You can even return multiple rows with different columns!</t>
  </si>
  <si>
    <t>We use 'Products' as the lookup array</t>
  </si>
  <si>
    <t>It must be at the first column of your table</t>
  </si>
  <si>
    <t>-&gt; returning 2nd and 4th column in first row</t>
  </si>
  <si>
    <t>and we select the 4th column to return values.</t>
  </si>
  <si>
    <t>-&gt; 1st and 3rd column in 2nd row</t>
  </si>
  <si>
    <t>-&gt; return N/A if value does not exist.</t>
  </si>
  <si>
    <t>-&gt; 4th and 2nd column in 3rd row</t>
  </si>
  <si>
    <r>
      <rPr>
        <b/>
        <sz val="12"/>
        <color rgb="FFFF0000"/>
        <rFont val="Calibri"/>
        <family val="2"/>
      </rPr>
      <t>XLOOKUP</t>
    </r>
    <r>
      <rPr>
        <sz val="12"/>
        <color rgb="FFFF0000"/>
        <rFont val="Calibri"/>
        <family val="2"/>
      </rPr>
      <t xml:space="preserve"> - We don't have to specify the column number.</t>
    </r>
  </si>
  <si>
    <t>Product</t>
  </si>
  <si>
    <t xml:space="preserve">Specifying return values if not found </t>
  </si>
  <si>
    <r>
      <t xml:space="preserve">MATCH </t>
    </r>
    <r>
      <rPr>
        <sz val="12"/>
        <color rgb="FFFF0000"/>
        <rFont val="Calibri"/>
        <family val="2"/>
        <scheme val="minor"/>
      </rPr>
      <t>- Matching the index of your lookup array</t>
    </r>
  </si>
  <si>
    <t>Combining with INDEX makes it works like a lookup function</t>
  </si>
  <si>
    <t>XLOOKUP does not require your lookup array in your data table</t>
  </si>
  <si>
    <t>However your lookup and return array need to have same length.</t>
  </si>
  <si>
    <t>Travel</t>
  </si>
  <si>
    <t>INDEX</t>
  </si>
  <si>
    <t>INDEX returns the value inside your array with specified index.</t>
  </si>
  <si>
    <t xml:space="preserve">How many goals did Argentina scored? </t>
  </si>
  <si>
    <t>Specifying search mode</t>
  </si>
  <si>
    <t>1: First to last; -1: Last to first</t>
  </si>
  <si>
    <r>
      <rPr>
        <b/>
        <sz val="12"/>
        <color rgb="FFFF0000"/>
        <rFont val="Calibri"/>
        <family val="2"/>
        <scheme val="minor"/>
      </rPr>
      <t>XMATCH</t>
    </r>
    <r>
      <rPr>
        <sz val="12"/>
        <color rgb="FFFF0000"/>
        <rFont val="Calibri"/>
        <family val="2"/>
        <scheme val="minor"/>
      </rPr>
      <t xml:space="preserve"> - allows specified search mode</t>
    </r>
  </si>
  <si>
    <t>allows lookup from the last item.</t>
  </si>
  <si>
    <t>Argentina went to world cup for multiple years.</t>
  </si>
  <si>
    <t>So there will be different number of goals if we search in different order.</t>
  </si>
  <si>
    <t>Paste special: Chapter 11, pages 518-530</t>
  </si>
  <si>
    <t>=SUM(LEN(B3#))</t>
  </si>
  <si>
    <t>=SUM(B3#)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</si>
</sst>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2"/>
      <color theme="1"/>
      <name val="Calibri"/>
      <family val="2"/>
      <scheme val="minor"/>
    </font>
    <font>
      <b/>
      <sz val="12"/>
      <color theme="1"/>
      <name val="Calibri"/>
      <family val="2"/>
      <scheme val="minor"/>
    </font>
    <font>
      <b/>
      <sz val="12"/>
      <color rgb="FFFF0000"/>
      <name val="Calibri"/>
      <family val="2"/>
      <scheme val="minor"/>
    </font>
    <font>
      <u/>
      <sz val="12"/>
      <color theme="10"/>
      <name val="Calibri"/>
      <family val="2"/>
      <scheme val="minor"/>
    </font>
    <font>
      <sz val="10"/>
      <color rgb="FF000000"/>
      <name val="Arial Unicode MS"/>
      <family val="2"/>
    </font>
    <font>
      <sz val="14"/>
      <color rgb="FF3C4043"/>
      <name val="Arial"/>
      <family val="2"/>
    </font>
    <font>
      <sz val="12"/>
      <color theme="1"/>
      <name val="Calibri"/>
      <family val="2"/>
      <scheme val="minor"/>
    </font>
    <font>
      <sz val="12"/>
      <color rgb="FFFF0000"/>
      <name val="Calibri"/>
      <family val="2"/>
      <scheme val="minor"/>
    </font>
    <font>
      <b/>
      <sz val="12"/>
      <color rgb="FFFF0000"/>
      <name val="Calibri"/>
      <family val="2"/>
    </font>
    <font>
      <sz val="12"/>
      <color rgb="FFFF0000"/>
      <name val="Calibri"/>
      <family val="2"/>
    </font>
    <font>
      <b/>
      <sz val="12"/>
      <color rgb="FFFF0000"/>
      <name val="Calibri"/>
      <family val="2"/>
      <scheme val="minor"/>
    </font>
    <font>
      <sz val="12"/>
      <color rgb="FFFF0000"/>
      <name val="Calibri"/>
      <family val="2"/>
      <scheme val="minor"/>
    </font>
    <font>
      <sz val="12"/>
      <color rgb="FF000000"/>
      <name val="Calibri"/>
      <family val="2"/>
      <scheme val="minor"/>
    </font>
  </fonts>
  <fills count="4">
    <fill>
      <patternFill patternType="none"/>
    </fill>
    <fill>
      <patternFill patternType="gray125"/>
    </fill>
    <fill>
      <patternFill patternType="solid">
        <fgColor rgb="FFFFFF00"/>
        <bgColor indexed="64"/>
      </patternFill>
    </fill>
    <fill>
      <patternFill patternType="solid">
        <fgColor rgb="FFFFFF00"/>
        <bgColor rgb="FF000000"/>
      </patternFill>
    </fill>
  </fills>
  <borders count="23">
    <border>
      <left/>
      <right/>
      <top/>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auto="1"/>
      </bottom>
      <diagonal/>
    </border>
    <border>
      <left/>
      <right/>
      <top style="thin">
        <color indexed="64"/>
      </top>
      <bottom style="double">
        <color indexed="64"/>
      </bottom>
      <diagonal/>
    </border>
    <border>
      <left/>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s>
  <cellStyleXfs count="3">
    <xf numFmtId="0" fontId="0" fillId="0" borderId="0"/>
    <xf numFmtId="0" fontId="3" fillId="0" borderId="0" applyNumberFormat="0" applyFill="0" applyBorder="0" applyAlignment="0" applyProtection="0"/>
    <xf numFmtId="9" fontId="6" fillId="0" borderId="0" applyFont="0" applyFill="0" applyBorder="0" applyAlignment="0" applyProtection="0"/>
  </cellStyleXfs>
  <cellXfs count="43">
    <xf numFmtId="0" fontId="0" fillId="0" borderId="0" xfId="0"/>
    <xf numFmtId="0" fontId="0" fillId="0" borderId="1" xfId="0" applyBorder="1"/>
    <xf numFmtId="0" fontId="0" fillId="2" borderId="0" xfId="0" applyFill="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1" fillId="0" borderId="0" xfId="0" applyFont="1"/>
    <xf numFmtId="0" fontId="2" fillId="0" borderId="0" xfId="0" applyFont="1"/>
    <xf numFmtId="0" fontId="4" fillId="0" borderId="0" xfId="0" applyFont="1"/>
    <xf numFmtId="0" fontId="3" fillId="0" borderId="0" xfId="1"/>
    <xf numFmtId="0" fontId="5" fillId="0" borderId="0" xfId="0" applyFont="1"/>
    <xf numFmtId="0" fontId="0" fillId="0" borderId="0" xfId="0" pivotButton="1"/>
    <xf numFmtId="0" fontId="0" fillId="0" borderId="0" xfId="0" applyAlignment="1">
      <alignment horizontal="left"/>
    </xf>
    <xf numFmtId="0" fontId="0" fillId="0" borderId="0" xfId="0" quotePrefix="1"/>
    <xf numFmtId="0" fontId="0" fillId="0" borderId="11" xfId="0" applyBorder="1"/>
    <xf numFmtId="0" fontId="0" fillId="0" borderId="10" xfId="0" applyBorder="1"/>
    <xf numFmtId="0" fontId="7" fillId="0" borderId="0" xfId="0" applyFont="1"/>
    <xf numFmtId="164" fontId="0" fillId="0" borderId="0" xfId="0" applyNumberFormat="1"/>
    <xf numFmtId="164" fontId="0" fillId="0" borderId="6" xfId="0" applyNumberFormat="1" applyBorder="1"/>
    <xf numFmtId="164" fontId="0" fillId="0" borderId="8" xfId="0" applyNumberFormat="1" applyBorder="1"/>
    <xf numFmtId="164" fontId="0" fillId="0" borderId="9" xfId="0" applyNumberFormat="1"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8" fillId="0" borderId="0" xfId="0" applyFont="1"/>
    <xf numFmtId="0" fontId="10" fillId="0" borderId="0" xfId="0" applyFont="1"/>
    <xf numFmtId="0" fontId="11" fillId="0" borderId="0" xfId="0" applyFont="1"/>
    <xf numFmtId="0" fontId="12" fillId="0" borderId="0" xfId="0" applyFont="1"/>
    <xf numFmtId="0" fontId="12" fillId="3" borderId="0" xfId="0" applyFont="1" applyFill="1" applyAlignment="1">
      <alignment wrapText="1"/>
    </xf>
    <xf numFmtId="0" fontId="0" fillId="0" borderId="10" xfId="0" quotePrefix="1" applyBorder="1"/>
  </cellXfs>
  <cellStyles count="3">
    <cellStyle name="Hyperlink" xfId="1" builtinId="8"/>
    <cellStyle name="Normal" xfId="0" builtinId="0"/>
    <cellStyle name="Per cent 2" xfId="2" xr:uid="{905027FE-9333-1A4A-81D0-E99E9246473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[Module6-wk3.xlsm]M6.2 - Pivot chart!PivotTable4</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'M6.2 - Pivot chart'!$B$3</c:f>
              <c:strCache>
                <c:ptCount val="1"/>
                <c:pt idx="0">
                  <c:v>Sum of matches_played</c:v>
                </c:pt>
              </c:strCache>
            </c:strRef>
          </c:tx>
          <c:spPr>
            <a:solidFill>
              <a:schemeClr val="accent1"/>
            </a:solidFill>
            <a:ln>
              <a:noFill/>
            </a:ln>
            <a:effectLst/>
          </c:spPr>
          <c:invertIfNegative val="0"/>
          <c:cat>
            <c:strRef>
              <c:f>'M6.2 - Pivot chart'!$A$4:$A$11</c:f>
              <c:strCache>
                <c:ptCount val="7"/>
                <c:pt idx="0">
                  <c:v>1995</c:v>
                </c:pt>
                <c:pt idx="1">
                  <c:v>1999</c:v>
                </c:pt>
                <c:pt idx="2">
                  <c:v>2003</c:v>
                </c:pt>
                <c:pt idx="3">
                  <c:v>2007</c:v>
                </c:pt>
                <c:pt idx="4">
                  <c:v>2011</c:v>
                </c:pt>
                <c:pt idx="5">
                  <c:v>2015</c:v>
                </c:pt>
                <c:pt idx="6">
                  <c:v>2019</c:v>
                </c:pt>
              </c:strCache>
            </c:strRef>
          </c:cat>
          <c:val>
            <c:numRef>
              <c:f>'M6.2 - Pivot chart'!$B$4:$B$11</c:f>
              <c:numCache>
                <c:formatCode>General</c:formatCode>
                <c:ptCount val="7"/>
                <c:pt idx="0">
                  <c:v>3</c:v>
                </c:pt>
                <c:pt idx="1">
                  <c:v>3</c:v>
                </c:pt>
                <c:pt idx="2">
                  <c:v>3</c:v>
                </c:pt>
                <c:pt idx="3">
                  <c:v>4</c:v>
                </c:pt>
                <c:pt idx="4">
                  <c:v>4</c:v>
                </c:pt>
                <c:pt idx="5">
                  <c:v>5</c:v>
                </c:pt>
                <c:pt idx="6">
                  <c:v>4</c:v>
                </c:pt>
              </c:numCache>
            </c:numRef>
          </c:val>
          <c:extLst>
            <c:ext xmlns:c16="http://schemas.microsoft.com/office/drawing/2014/chart" uri="{C3380CC4-5D6E-409C-BE32-E72D297353CC}">
              <c16:uniqueId val="{00000000-DB96-4667-A91C-18020170F659}"/>
            </c:ext>
          </c:extLst>
        </c:ser>
        <c:ser>
          <c:idx val="1"/>
          <c:order val="1"/>
          <c:tx>
            <c:strRef>
              <c:f>'M6.2 - Pivot chart'!$C$3</c:f>
              <c:strCache>
                <c:ptCount val="1"/>
                <c:pt idx="0">
                  <c:v>Sum of goals</c:v>
                </c:pt>
              </c:strCache>
            </c:strRef>
          </c:tx>
          <c:spPr>
            <a:solidFill>
              <a:schemeClr val="accent2"/>
            </a:solidFill>
            <a:ln>
              <a:noFill/>
            </a:ln>
            <a:effectLst/>
          </c:spPr>
          <c:invertIfNegative val="0"/>
          <c:cat>
            <c:strRef>
              <c:f>'M6.2 - Pivot chart'!$A$4:$A$11</c:f>
              <c:strCache>
                <c:ptCount val="7"/>
                <c:pt idx="0">
                  <c:v>1995</c:v>
                </c:pt>
                <c:pt idx="1">
                  <c:v>1999</c:v>
                </c:pt>
                <c:pt idx="2">
                  <c:v>2003</c:v>
                </c:pt>
                <c:pt idx="3">
                  <c:v>2007</c:v>
                </c:pt>
                <c:pt idx="4">
                  <c:v>2011</c:v>
                </c:pt>
                <c:pt idx="5">
                  <c:v>2015</c:v>
                </c:pt>
                <c:pt idx="6">
                  <c:v>2019</c:v>
                </c:pt>
              </c:strCache>
            </c:strRef>
          </c:cat>
          <c:val>
            <c:numRef>
              <c:f>'M6.2 - Pivot chart'!$C$4:$C$11</c:f>
              <c:numCache>
                <c:formatCode>General</c:formatCode>
                <c:ptCount val="7"/>
                <c:pt idx="0">
                  <c:v>3</c:v>
                </c:pt>
                <c:pt idx="1">
                  <c:v>3</c:v>
                </c:pt>
                <c:pt idx="2">
                  <c:v>3</c:v>
                </c:pt>
                <c:pt idx="3">
                  <c:v>9</c:v>
                </c:pt>
                <c:pt idx="4">
                  <c:v>6</c:v>
                </c:pt>
                <c:pt idx="5">
                  <c:v>5</c:v>
                </c:pt>
                <c:pt idx="6">
                  <c:v>8</c:v>
                </c:pt>
              </c:numCache>
            </c:numRef>
          </c:val>
          <c:extLst>
            <c:ext xmlns:c16="http://schemas.microsoft.com/office/drawing/2014/chart" uri="{C3380CC4-5D6E-409C-BE32-E72D297353CC}">
              <c16:uniqueId val="{00000001-DB96-4667-A91C-18020170F659}"/>
            </c:ext>
          </c:extLst>
        </c:ser>
        <c:dLbls>
          <c:showLegendKey val="0"/>
          <c:showVal val="0"/>
          <c:showCatName val="0"/>
          <c:showSerName val="0"/>
          <c:showPercent val="0"/>
          <c:showBubbleSize val="0"/>
        </c:dLbls>
        <c:gapWidth val="219"/>
        <c:axId val="408426607"/>
        <c:axId val="2039344704"/>
      </c:barChart>
      <c:lineChart>
        <c:grouping val="standard"/>
        <c:varyColors val="0"/>
        <c:ser>
          <c:idx val="2"/>
          <c:order val="2"/>
          <c:tx>
            <c:strRef>
              <c:f>'M6.2 - Pivot chart'!$D$3</c:f>
              <c:strCache>
                <c:ptCount val="1"/>
                <c:pt idx="0">
                  <c:v>Average of possesion</c:v>
                </c:pt>
              </c:strCache>
            </c:strRef>
          </c:tx>
          <c:spPr>
            <a:ln w="28575" cap="rnd">
              <a:solidFill>
                <a:schemeClr val="accent3"/>
              </a:solidFill>
              <a:round/>
            </a:ln>
            <a:effectLst/>
          </c:spPr>
          <c:marker>
            <c:symbol val="none"/>
          </c:marker>
          <c:cat>
            <c:strRef>
              <c:f>'M6.2 - Pivot chart'!$A$4:$A$11</c:f>
              <c:strCache>
                <c:ptCount val="7"/>
                <c:pt idx="0">
                  <c:v>1995</c:v>
                </c:pt>
                <c:pt idx="1">
                  <c:v>1999</c:v>
                </c:pt>
                <c:pt idx="2">
                  <c:v>2003</c:v>
                </c:pt>
                <c:pt idx="3">
                  <c:v>2007</c:v>
                </c:pt>
                <c:pt idx="4">
                  <c:v>2011</c:v>
                </c:pt>
                <c:pt idx="5">
                  <c:v>2015</c:v>
                </c:pt>
                <c:pt idx="6">
                  <c:v>2019</c:v>
                </c:pt>
              </c:strCache>
            </c:strRef>
          </c:cat>
          <c:val>
            <c:numRef>
              <c:f>'M6.2 - Pivot chart'!$D$4:$D$11</c:f>
              <c:numCache>
                <c:formatCode>General</c:formatCode>
                <c:ptCount val="7"/>
                <c:pt idx="2">
                  <c:v>49</c:v>
                </c:pt>
                <c:pt idx="3">
                  <c:v>48.3</c:v>
                </c:pt>
                <c:pt idx="4">
                  <c:v>53.5</c:v>
                </c:pt>
                <c:pt idx="5">
                  <c:v>46.2</c:v>
                </c:pt>
                <c:pt idx="6">
                  <c:v>61.3</c:v>
                </c:pt>
              </c:numCache>
            </c:numRef>
          </c:val>
          <c:smooth val="0"/>
          <c:extLst>
            <c:ext xmlns:c16="http://schemas.microsoft.com/office/drawing/2014/chart" uri="{C3380CC4-5D6E-409C-BE32-E72D297353CC}">
              <c16:uniqueId val="{00000002-DB96-4667-A91C-18020170F659}"/>
            </c:ext>
          </c:extLst>
        </c:ser>
        <c:dLbls>
          <c:showLegendKey val="0"/>
          <c:showVal val="0"/>
          <c:showCatName val="0"/>
          <c:showSerName val="0"/>
          <c:showPercent val="0"/>
          <c:showBubbleSize val="0"/>
        </c:dLbls>
        <c:marker val="1"/>
        <c:smooth val="0"/>
        <c:axId val="2091505488"/>
        <c:axId val="2091503760"/>
      </c:lineChart>
      <c:catAx>
        <c:axId val="408426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9344704"/>
        <c:crosses val="autoZero"/>
        <c:auto val="1"/>
        <c:lblAlgn val="ctr"/>
        <c:lblOffset val="100"/>
        <c:noMultiLvlLbl val="0"/>
      </c:catAx>
      <c:valAx>
        <c:axId val="2039344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26607"/>
        <c:crosses val="autoZero"/>
        <c:crossBetween val="between"/>
      </c:valAx>
      <c:valAx>
        <c:axId val="209150376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1505488"/>
        <c:crosses val="max"/>
        <c:crossBetween val="between"/>
      </c:valAx>
      <c:catAx>
        <c:axId val="2091505488"/>
        <c:scaling>
          <c:orientation val="minMax"/>
        </c:scaling>
        <c:delete val="1"/>
        <c:axPos val="b"/>
        <c:numFmt formatCode="General" sourceLinked="1"/>
        <c:majorTickMark val="out"/>
        <c:minorTickMark val="none"/>
        <c:tickLblPos val="nextTo"/>
        <c:crossAx val="20915037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10</xdr:col>
      <xdr:colOff>431800</xdr:colOff>
      <xdr:row>32</xdr:row>
      <xdr:rowOff>82550</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8686800" y="68389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88900</xdr:colOff>
      <xdr:row>16</xdr:row>
      <xdr:rowOff>25400</xdr:rowOff>
    </xdr:from>
    <xdr:to>
      <xdr:col>2</xdr:col>
      <xdr:colOff>304800</xdr:colOff>
      <xdr:row>29</xdr:row>
      <xdr:rowOff>3172</xdr:rowOff>
    </xdr:to>
    <mc:AlternateContent xmlns:mc="http://schemas.openxmlformats.org/markup-compatibility/2006" xmlns:a14="http://schemas.microsoft.com/office/drawing/2010/main">
      <mc:Choice Requires="a14">
        <xdr:graphicFrame macro="">
          <xdr:nvGraphicFramePr>
            <xdr:cNvPr id="3" name="squad">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squad"/>
            </a:graphicData>
          </a:graphic>
        </xdr:graphicFrame>
      </mc:Choice>
      <mc:Fallback xmlns="">
        <xdr:sp macro="" textlink="">
          <xdr:nvSpPr>
            <xdr:cNvPr id="0" name=""/>
            <xdr:cNvSpPr>
              <a:spLocks noTextEdit="1"/>
            </xdr:cNvSpPr>
          </xdr:nvSpPr>
          <xdr:spPr>
            <a:xfrm>
              <a:off x="1079500" y="32766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695325</xdr:colOff>
      <xdr:row>0</xdr:row>
      <xdr:rowOff>161925</xdr:rowOff>
    </xdr:from>
    <xdr:to>
      <xdr:col>18</xdr:col>
      <xdr:colOff>203200</xdr:colOff>
      <xdr:row>36</xdr:row>
      <xdr:rowOff>123825</xdr:rowOff>
    </xdr:to>
    <xdr:graphicFrame macro="">
      <xdr:nvGraphicFramePr>
        <xdr:cNvPr id="4" name="圖表 3">
          <a:extLst>
            <a:ext uri="{FF2B5EF4-FFF2-40B4-BE49-F238E27FC236}">
              <a16:creationId xmlns:a16="http://schemas.microsoft.com/office/drawing/2014/main" id="{00000000-0008-0000-0400-000004000000}"/>
            </a:ext>
            <a:ext uri="{147F2762-F138-4A5C-976F-8EAC2B608ADB}">
              <a16:predDERef xmlns:a16="http://schemas.microsoft.com/office/drawing/2014/main" pred="{391C3527-C6FA-3533-7E21-BBB72A6D53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enjamin Avanzi" id="{41D526D4-9D67-3148-83A7-7F4FDCAD8DB6}" userId="S::b.avanzi@unimelb.edu.au::4c1a0c65-cf17-4469-a7d7-15c887ee25bb"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158.870142939813" createdVersion="8" refreshedVersion="8" minRefreshableVersion="3" recordCount="136" xr:uid="{61FC52FC-B3E2-3643-BB68-795569812EE9}">
  <cacheSource type="worksheet">
    <worksheetSource ref="A3:V139" sheet="FIFA WWC"/>
  </cacheSource>
  <cacheFields count="22">
    <cacheField name="id" numFmtId="0">
      <sharedItems containsSemiMixedTypes="0" containsString="0" containsNumber="1" containsInteger="1" minValue="1" maxValue="136"/>
    </cacheField>
    <cacheField name="squad" numFmtId="0">
      <sharedItems count="36">
        <s v="Argentina"/>
        <s v="Australia"/>
        <s v="Brazil"/>
        <s v="Cameroon"/>
        <s v="Canada"/>
        <s v="Chile"/>
        <s v="China PR"/>
        <s v="England"/>
        <s v="France"/>
        <s v="Germany"/>
        <s v="Italy"/>
        <s v="Jamaica"/>
        <s v="Japan"/>
        <s v="Korea Rep"/>
        <s v="Netherlands"/>
        <s v="New Zealand"/>
        <s v="Nigeria"/>
        <s v="Norway"/>
        <s v="Scotland"/>
        <s v="South Africa"/>
        <s v="Spain"/>
        <s v="Sweden"/>
        <s v="Thailand"/>
        <s v="USA"/>
        <s v="Colombia"/>
        <s v="Costa Rica"/>
        <s v="C√¥te d'Ivoire"/>
        <s v="Ecuador"/>
        <s v="Mexico"/>
        <s v="Switzerland"/>
        <s v="Equ. Guinea"/>
        <s v="Korea DPR"/>
        <s v="Denmark"/>
        <s v="Ghana"/>
        <s v="Russia"/>
        <s v="Chinese Taipei"/>
      </sharedItems>
    </cacheField>
    <cacheField name="year" numFmtId="0">
      <sharedItems containsSemiMixedTypes="0" containsString="0" containsNumber="1" containsInteger="1" minValue="1991" maxValue="2019" count="8">
        <n v="2019"/>
        <n v="2015"/>
        <n v="2011"/>
        <n v="2007"/>
        <n v="2003"/>
        <n v="1999"/>
        <n v="1995"/>
        <n v="1991"/>
      </sharedItems>
    </cacheField>
    <cacheField name="players" numFmtId="0">
      <sharedItems containsSemiMixedTypes="0" containsString="0" containsNumber="1" containsInteger="1" minValue="13" maxValue="23" count="11">
        <n v="18"/>
        <n v="20"/>
        <n v="16"/>
        <n v="17"/>
        <n v="22"/>
        <n v="19"/>
        <n v="21"/>
        <n v="15"/>
        <n v="23"/>
        <n v="14"/>
        <n v="13"/>
      </sharedItems>
    </cacheField>
    <cacheField name="age" numFmtId="0">
      <sharedItems containsSemiMixedTypes="0" containsString="0" containsNumber="1" minValue="18.2" maxValue="29.7"/>
    </cacheField>
    <cacheField name="possesion" numFmtId="0">
      <sharedItems containsString="0" containsBlank="1" containsNumber="1" minValue="30" maxValue="63"/>
    </cacheField>
    <cacheField name="matches_played" numFmtId="0">
      <sharedItems containsSemiMixedTypes="0" containsString="0" containsNumber="1" containsInteger="1" minValue="3" maxValue="7" count="5">
        <n v="3"/>
        <n v="4"/>
        <n v="7"/>
        <n v="5"/>
        <n v="6"/>
      </sharedItems>
    </cacheField>
    <cacheField name="starts" numFmtId="0">
      <sharedItems containsSemiMixedTypes="0" containsString="0" containsNumber="1" containsInteger="1" minValue="33" maxValue="77"/>
    </cacheField>
    <cacheField name="min_playing_time" numFmtId="0">
      <sharedItems containsSemiMixedTypes="0" containsString="0" containsNumber="1" containsInteger="1" minValue="240" maxValue="690"/>
    </cacheField>
    <cacheField name="minutes_played_90s" numFmtId="0">
      <sharedItems containsSemiMixedTypes="0" containsString="0" containsNumber="1" minValue="2.7" maxValue="7.7"/>
    </cacheField>
    <cacheField name="goals" numFmtId="0">
      <sharedItems containsSemiMixedTypes="0" containsString="0" containsNumber="1" containsInteger="1" minValue="0" maxValue="25"/>
    </cacheField>
    <cacheField name="assists" numFmtId="0">
      <sharedItems containsSemiMixedTypes="0" containsString="0" containsNumber="1" containsInteger="1" minValue="0" maxValue="17"/>
    </cacheField>
    <cacheField name="non_penalty_goals" numFmtId="0">
      <sharedItems containsSemiMixedTypes="0" containsString="0" containsNumber="1" containsInteger="1" minValue="0" maxValue="25"/>
    </cacheField>
    <cacheField name="penalty_kicks_made" numFmtId="0">
      <sharedItems containsSemiMixedTypes="0" containsString="0" containsNumber="1" containsInteger="1" minValue="0" maxValue="4"/>
    </cacheField>
    <cacheField name="penalty_kicks_attempted" numFmtId="0">
      <sharedItems containsSemiMixedTypes="0" containsString="0" containsNumber="1" containsInteger="1" minValue="0" maxValue="4"/>
    </cacheField>
    <cacheField name="yellow_cards" numFmtId="0">
      <sharedItems containsString="0" containsBlank="1" containsNumber="1" containsInteger="1" minValue="0" maxValue="8"/>
    </cacheField>
    <cacheField name="red_cards" numFmtId="0">
      <sharedItems containsString="0" containsBlank="1" containsNumber="1" containsInteger="1" minValue="0" maxValue="1"/>
    </cacheField>
    <cacheField name="goals_per_90" numFmtId="0">
      <sharedItems containsSemiMixedTypes="0" containsString="0" containsNumber="1" minValue="0" maxValue="4.6900000000000004"/>
    </cacheField>
    <cacheField name="assists_per_90" numFmtId="0">
      <sharedItems containsSemiMixedTypes="0" containsString="0" containsNumber="1" minValue="0" maxValue="2.4300000000000002"/>
    </cacheField>
    <cacheField name="goals_plus_assists_per_90" numFmtId="0">
      <sharedItems containsSemiMixedTypes="0" containsString="0" containsNumber="1" minValue="0" maxValue="6.75"/>
    </cacheField>
    <cacheField name="goals_minus_penalty_kicks_per_90" numFmtId="0">
      <sharedItems containsSemiMixedTypes="0" containsString="0" containsNumber="1" minValue="0" maxValue="4.5"/>
    </cacheField>
    <cacheField name="goals_plus_assists_minus_penalty_kicks_per_90" numFmtId="0">
      <sharedItems containsSemiMixedTypes="0" containsString="0" containsNumber="1" minValue="0" maxValue="6.56"/>
    </cacheField>
  </cacheFields>
  <extLst>
    <ext xmlns:x14="http://schemas.microsoft.com/office/spreadsheetml/2009/9/main" uri="{725AE2AE-9491-48be-B2B4-4EB974FC3084}">
      <x14:pivotCacheDefinition pivotCacheId="16805936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6">
  <r>
    <n v="1"/>
    <x v="0"/>
    <x v="0"/>
    <x v="0"/>
    <n v="26.8"/>
    <n v="34.700000000000003"/>
    <x v="0"/>
    <n v="33"/>
    <n v="270"/>
    <n v="3"/>
    <n v="2"/>
    <n v="1"/>
    <n v="1"/>
    <n v="1"/>
    <n v="1"/>
    <n v="3"/>
    <n v="0"/>
    <n v="0.67"/>
    <n v="0.33"/>
    <n v="1"/>
    <n v="0.33"/>
    <n v="0.67"/>
  </r>
  <r>
    <n v="2"/>
    <x v="1"/>
    <x v="0"/>
    <x v="0"/>
    <n v="25.4"/>
    <n v="61.3"/>
    <x v="1"/>
    <n v="44"/>
    <n v="390"/>
    <n v="4.3"/>
    <n v="8"/>
    <n v="4"/>
    <n v="8"/>
    <n v="0"/>
    <n v="1"/>
    <n v="2"/>
    <n v="0"/>
    <n v="1.85"/>
    <n v="0.92"/>
    <n v="2.77"/>
    <n v="1.85"/>
    <n v="2.77"/>
  </r>
  <r>
    <n v="3"/>
    <x v="2"/>
    <x v="0"/>
    <x v="0"/>
    <n v="29.7"/>
    <n v="51.5"/>
    <x v="1"/>
    <n v="44"/>
    <n v="390"/>
    <n v="4.3"/>
    <n v="7"/>
    <n v="3"/>
    <n v="5"/>
    <n v="2"/>
    <n v="3"/>
    <n v="7"/>
    <n v="0"/>
    <n v="1.62"/>
    <n v="0.69"/>
    <n v="2.31"/>
    <n v="1.1499999999999999"/>
    <n v="1.85"/>
  </r>
  <r>
    <n v="4"/>
    <x v="3"/>
    <x v="0"/>
    <x v="1"/>
    <n v="27.7"/>
    <n v="36"/>
    <x v="1"/>
    <n v="44"/>
    <n v="360"/>
    <n v="4"/>
    <n v="3"/>
    <n v="3"/>
    <n v="3"/>
    <n v="0"/>
    <n v="0"/>
    <n v="6"/>
    <n v="0"/>
    <n v="0.75"/>
    <n v="0.75"/>
    <n v="1.5"/>
    <n v="0.75"/>
    <n v="1.5"/>
  </r>
  <r>
    <n v="5"/>
    <x v="4"/>
    <x v="0"/>
    <x v="2"/>
    <n v="27"/>
    <n v="63"/>
    <x v="1"/>
    <n v="44"/>
    <n v="360"/>
    <n v="4"/>
    <n v="4"/>
    <n v="3"/>
    <n v="4"/>
    <n v="0"/>
    <n v="1"/>
    <n v="2"/>
    <n v="0"/>
    <n v="1"/>
    <n v="0.75"/>
    <n v="1.75"/>
    <n v="1"/>
    <n v="1.75"/>
  </r>
  <r>
    <n v="6"/>
    <x v="5"/>
    <x v="0"/>
    <x v="0"/>
    <n v="26.8"/>
    <n v="42"/>
    <x v="0"/>
    <n v="33"/>
    <n v="270"/>
    <n v="3"/>
    <n v="1"/>
    <n v="1"/>
    <n v="1"/>
    <n v="0"/>
    <n v="1"/>
    <n v="5"/>
    <n v="0"/>
    <n v="0.33"/>
    <n v="0.33"/>
    <n v="0.67"/>
    <n v="0.33"/>
    <n v="0.67"/>
  </r>
  <r>
    <n v="7"/>
    <x v="6"/>
    <x v="0"/>
    <x v="3"/>
    <n v="26.6"/>
    <n v="47"/>
    <x v="1"/>
    <n v="44"/>
    <n v="360"/>
    <n v="4"/>
    <n v="1"/>
    <n v="1"/>
    <n v="1"/>
    <n v="0"/>
    <n v="0"/>
    <n v="5"/>
    <n v="0"/>
    <n v="0.25"/>
    <n v="0.25"/>
    <n v="0.5"/>
    <n v="0.25"/>
    <n v="0.5"/>
  </r>
  <r>
    <n v="8"/>
    <x v="7"/>
    <x v="0"/>
    <x v="4"/>
    <n v="27.8"/>
    <n v="60.4"/>
    <x v="2"/>
    <n v="77"/>
    <n v="630"/>
    <n v="7"/>
    <n v="13"/>
    <n v="12"/>
    <n v="12"/>
    <n v="1"/>
    <n v="4"/>
    <n v="1"/>
    <n v="1"/>
    <n v="1.86"/>
    <n v="1.71"/>
    <n v="3.57"/>
    <n v="1.71"/>
    <n v="3.43"/>
  </r>
  <r>
    <n v="9"/>
    <x v="8"/>
    <x v="0"/>
    <x v="3"/>
    <n v="27.8"/>
    <n v="58.8"/>
    <x v="3"/>
    <n v="55"/>
    <n v="480"/>
    <n v="5.3"/>
    <n v="10"/>
    <n v="8"/>
    <n v="8"/>
    <n v="2"/>
    <n v="2"/>
    <n v="2"/>
    <n v="0"/>
    <n v="1.87"/>
    <n v="1.5"/>
    <n v="3.38"/>
    <n v="1.5"/>
    <n v="3"/>
  </r>
  <r>
    <n v="10"/>
    <x v="9"/>
    <x v="0"/>
    <x v="5"/>
    <n v="25.5"/>
    <n v="57.2"/>
    <x v="3"/>
    <n v="55"/>
    <n v="450"/>
    <n v="5"/>
    <n v="10"/>
    <n v="4"/>
    <n v="9"/>
    <n v="1"/>
    <n v="1"/>
    <n v="2"/>
    <n v="0"/>
    <n v="2"/>
    <n v="0.8"/>
    <n v="2.8"/>
    <n v="1.8"/>
    <n v="2.6"/>
  </r>
  <r>
    <n v="11"/>
    <x v="10"/>
    <x v="0"/>
    <x v="3"/>
    <n v="26.5"/>
    <n v="43.4"/>
    <x v="3"/>
    <n v="55"/>
    <n v="450"/>
    <n v="5"/>
    <n v="9"/>
    <n v="6"/>
    <n v="8"/>
    <n v="1"/>
    <n v="1"/>
    <n v="4"/>
    <n v="0"/>
    <n v="1.8"/>
    <n v="1.2"/>
    <n v="3"/>
    <n v="1.6"/>
    <n v="2.8"/>
  </r>
  <r>
    <n v="12"/>
    <x v="11"/>
    <x v="0"/>
    <x v="1"/>
    <n v="22.9"/>
    <n v="36.700000000000003"/>
    <x v="0"/>
    <n v="33"/>
    <n v="270"/>
    <n v="3"/>
    <n v="1"/>
    <n v="1"/>
    <n v="1"/>
    <n v="0"/>
    <n v="0"/>
    <n v="4"/>
    <n v="0"/>
    <n v="0.33"/>
    <n v="0.33"/>
    <n v="0.67"/>
    <n v="0.33"/>
    <n v="0.67"/>
  </r>
  <r>
    <n v="13"/>
    <x v="12"/>
    <x v="0"/>
    <x v="3"/>
    <n v="24.8"/>
    <n v="53.8"/>
    <x v="1"/>
    <n v="44"/>
    <n v="360"/>
    <n v="4"/>
    <n v="3"/>
    <n v="2"/>
    <n v="2"/>
    <n v="1"/>
    <n v="1"/>
    <n v="4"/>
    <n v="0"/>
    <n v="0.75"/>
    <n v="0.5"/>
    <n v="1.25"/>
    <n v="0.5"/>
    <n v="1"/>
  </r>
  <r>
    <n v="14"/>
    <x v="13"/>
    <x v="0"/>
    <x v="5"/>
    <n v="26.9"/>
    <n v="52"/>
    <x v="0"/>
    <n v="33"/>
    <n v="270"/>
    <n v="3"/>
    <n v="1"/>
    <n v="1"/>
    <n v="1"/>
    <n v="0"/>
    <n v="0"/>
    <n v="4"/>
    <n v="0"/>
    <n v="0.33"/>
    <n v="0.33"/>
    <n v="0.67"/>
    <n v="0.33"/>
    <n v="0.67"/>
  </r>
  <r>
    <n v="15"/>
    <x v="14"/>
    <x v="0"/>
    <x v="2"/>
    <n v="26.1"/>
    <n v="57.1"/>
    <x v="2"/>
    <n v="77"/>
    <n v="660"/>
    <n v="7.3"/>
    <n v="11"/>
    <n v="7"/>
    <n v="10"/>
    <n v="1"/>
    <n v="1"/>
    <n v="0"/>
    <n v="0"/>
    <n v="1.5"/>
    <n v="0.95"/>
    <n v="2.4500000000000002"/>
    <n v="1.36"/>
    <n v="2.3199999999999998"/>
  </r>
  <r>
    <n v="16"/>
    <x v="15"/>
    <x v="0"/>
    <x v="3"/>
    <n v="27.6"/>
    <n v="39.299999999999997"/>
    <x v="0"/>
    <n v="33"/>
    <n v="270"/>
    <n v="3"/>
    <n v="0"/>
    <n v="0"/>
    <n v="0"/>
    <n v="0"/>
    <n v="0"/>
    <n v="1"/>
    <n v="0"/>
    <n v="0"/>
    <n v="0"/>
    <n v="0"/>
    <n v="0"/>
    <n v="0"/>
  </r>
  <r>
    <n v="17"/>
    <x v="16"/>
    <x v="0"/>
    <x v="1"/>
    <n v="25.7"/>
    <n v="34.799999999999997"/>
    <x v="1"/>
    <n v="44"/>
    <n v="360"/>
    <n v="4"/>
    <n v="1"/>
    <n v="1"/>
    <n v="1"/>
    <n v="0"/>
    <n v="0"/>
    <n v="6"/>
    <n v="1"/>
    <n v="0.25"/>
    <n v="0.25"/>
    <n v="0.5"/>
    <n v="0.25"/>
    <n v="0.5"/>
  </r>
  <r>
    <n v="18"/>
    <x v="17"/>
    <x v="0"/>
    <x v="3"/>
    <n v="26.8"/>
    <n v="50.2"/>
    <x v="3"/>
    <n v="55"/>
    <n v="480"/>
    <n v="5.3"/>
    <n v="5"/>
    <n v="3"/>
    <n v="3"/>
    <n v="2"/>
    <n v="2"/>
    <n v="1"/>
    <n v="0"/>
    <n v="0.94"/>
    <n v="0.56000000000000005"/>
    <n v="1.5"/>
    <n v="0.56000000000000005"/>
    <n v="1.1299999999999999"/>
  </r>
  <r>
    <n v="19"/>
    <x v="18"/>
    <x v="0"/>
    <x v="5"/>
    <n v="26.4"/>
    <n v="47"/>
    <x v="0"/>
    <n v="33"/>
    <n v="270"/>
    <n v="3"/>
    <n v="5"/>
    <n v="3"/>
    <n v="5"/>
    <n v="0"/>
    <n v="0"/>
    <n v="6"/>
    <n v="0"/>
    <n v="1.67"/>
    <n v="1"/>
    <n v="2.67"/>
    <n v="1.67"/>
    <n v="2.67"/>
  </r>
  <r>
    <n v="20"/>
    <x v="19"/>
    <x v="0"/>
    <x v="5"/>
    <n v="27.5"/>
    <n v="38"/>
    <x v="0"/>
    <n v="33"/>
    <n v="270"/>
    <n v="3"/>
    <n v="1"/>
    <n v="1"/>
    <n v="1"/>
    <n v="0"/>
    <n v="0"/>
    <n v="7"/>
    <n v="1"/>
    <n v="0.33"/>
    <n v="0.33"/>
    <n v="0.67"/>
    <n v="0.33"/>
    <n v="0.67"/>
  </r>
  <r>
    <n v="21"/>
    <x v="20"/>
    <x v="0"/>
    <x v="5"/>
    <n v="25.2"/>
    <n v="62.5"/>
    <x v="1"/>
    <n v="44"/>
    <n v="360"/>
    <n v="4"/>
    <n v="4"/>
    <n v="2"/>
    <n v="2"/>
    <n v="2"/>
    <n v="2"/>
    <n v="1"/>
    <n v="0"/>
    <n v="1"/>
    <n v="0.5"/>
    <n v="1.5"/>
    <n v="0.5"/>
    <n v="1"/>
  </r>
  <r>
    <n v="22"/>
    <x v="21"/>
    <x v="0"/>
    <x v="1"/>
    <n v="28.5"/>
    <n v="48.4"/>
    <x v="2"/>
    <n v="77"/>
    <n v="660"/>
    <n v="7.3"/>
    <n v="12"/>
    <n v="7"/>
    <n v="11"/>
    <n v="1"/>
    <n v="1"/>
    <n v="2"/>
    <n v="0"/>
    <n v="1.64"/>
    <n v="0.95"/>
    <n v="2.59"/>
    <n v="1.5"/>
    <n v="2.4500000000000002"/>
  </r>
  <r>
    <n v="23"/>
    <x v="22"/>
    <x v="0"/>
    <x v="0"/>
    <n v="27.8"/>
    <n v="30"/>
    <x v="0"/>
    <n v="33"/>
    <n v="270"/>
    <n v="3"/>
    <n v="1"/>
    <n v="1"/>
    <n v="1"/>
    <n v="0"/>
    <n v="0"/>
    <n v="5"/>
    <n v="0"/>
    <n v="0.33"/>
    <n v="0.33"/>
    <n v="0.67"/>
    <n v="0.33"/>
    <n v="0.67"/>
  </r>
  <r>
    <n v="24"/>
    <x v="23"/>
    <x v="0"/>
    <x v="6"/>
    <n v="28.8"/>
    <n v="56"/>
    <x v="2"/>
    <n v="77"/>
    <n v="630"/>
    <n v="7"/>
    <n v="25"/>
    <n v="17"/>
    <n v="22"/>
    <n v="3"/>
    <n v="4"/>
    <n v="0"/>
    <n v="0"/>
    <n v="3.57"/>
    <n v="2.4300000000000002"/>
    <n v="6"/>
    <n v="3.14"/>
    <n v="5.57"/>
  </r>
  <r>
    <n v="25"/>
    <x v="1"/>
    <x v="1"/>
    <x v="3"/>
    <n v="23.6"/>
    <n v="46.2"/>
    <x v="3"/>
    <n v="55"/>
    <n v="450"/>
    <n v="5"/>
    <n v="5"/>
    <n v="4"/>
    <n v="5"/>
    <n v="0"/>
    <n v="0"/>
    <n v="0"/>
    <n v="0"/>
    <n v="1"/>
    <n v="0.8"/>
    <n v="1.8"/>
    <n v="1"/>
    <n v="1.8"/>
  </r>
  <r>
    <n v="26"/>
    <x v="2"/>
    <x v="1"/>
    <x v="1"/>
    <n v="27.4"/>
    <n v="59"/>
    <x v="1"/>
    <n v="44"/>
    <n v="360"/>
    <n v="4"/>
    <n v="4"/>
    <n v="1"/>
    <n v="3"/>
    <n v="1"/>
    <n v="1"/>
    <n v="1"/>
    <n v="0"/>
    <n v="1"/>
    <n v="0.25"/>
    <n v="1.25"/>
    <n v="0.75"/>
    <n v="1"/>
  </r>
  <r>
    <n v="27"/>
    <x v="3"/>
    <x v="1"/>
    <x v="3"/>
    <n v="25.1"/>
    <n v="48.8"/>
    <x v="1"/>
    <n v="44"/>
    <n v="360"/>
    <n v="4"/>
    <n v="9"/>
    <n v="5"/>
    <n v="5"/>
    <n v="4"/>
    <n v="4"/>
    <n v="6"/>
    <n v="0"/>
    <n v="2.25"/>
    <n v="1.25"/>
    <n v="3.5"/>
    <n v="1.25"/>
    <n v="2.5"/>
  </r>
  <r>
    <n v="28"/>
    <x v="4"/>
    <x v="1"/>
    <x v="0"/>
    <n v="27.2"/>
    <n v="55"/>
    <x v="3"/>
    <n v="55"/>
    <n v="450"/>
    <n v="5"/>
    <n v="4"/>
    <n v="1"/>
    <n v="3"/>
    <n v="1"/>
    <n v="1"/>
    <n v="3"/>
    <n v="0"/>
    <n v="0.8"/>
    <n v="0.2"/>
    <n v="1"/>
    <n v="0.6"/>
    <n v="0.8"/>
  </r>
  <r>
    <n v="29"/>
    <x v="6"/>
    <x v="1"/>
    <x v="0"/>
    <n v="23.6"/>
    <n v="48.6"/>
    <x v="3"/>
    <n v="55"/>
    <n v="450"/>
    <n v="5"/>
    <n v="4"/>
    <n v="2"/>
    <n v="3"/>
    <n v="1"/>
    <n v="1"/>
    <n v="2"/>
    <n v="0"/>
    <n v="0.8"/>
    <n v="0.4"/>
    <n v="1.2"/>
    <n v="0.6"/>
    <n v="1"/>
  </r>
  <r>
    <n v="30"/>
    <x v="24"/>
    <x v="1"/>
    <x v="0"/>
    <n v="24.3"/>
    <n v="44.3"/>
    <x v="1"/>
    <n v="44"/>
    <n v="360"/>
    <n v="4"/>
    <n v="4"/>
    <n v="4"/>
    <n v="4"/>
    <n v="0"/>
    <n v="0"/>
    <n v="8"/>
    <n v="0"/>
    <n v="1"/>
    <n v="1"/>
    <n v="2"/>
    <n v="1"/>
    <n v="2"/>
  </r>
  <r>
    <n v="31"/>
    <x v="25"/>
    <x v="1"/>
    <x v="7"/>
    <n v="25"/>
    <n v="42.3"/>
    <x v="0"/>
    <n v="33"/>
    <n v="270"/>
    <n v="3"/>
    <n v="3"/>
    <n v="3"/>
    <n v="3"/>
    <n v="0"/>
    <n v="0"/>
    <n v="0"/>
    <n v="0"/>
    <n v="1"/>
    <n v="1"/>
    <n v="2"/>
    <n v="1"/>
    <n v="2"/>
  </r>
  <r>
    <n v="32"/>
    <x v="26"/>
    <x v="1"/>
    <x v="5"/>
    <n v="25"/>
    <n v="45"/>
    <x v="0"/>
    <n v="33"/>
    <n v="270"/>
    <n v="3"/>
    <n v="3"/>
    <n v="0"/>
    <n v="3"/>
    <n v="0"/>
    <n v="0"/>
    <n v="8"/>
    <n v="0"/>
    <n v="1"/>
    <n v="0"/>
    <n v="1"/>
    <n v="1"/>
    <n v="1"/>
  </r>
  <r>
    <n v="33"/>
    <x v="27"/>
    <x v="1"/>
    <x v="5"/>
    <n v="23.4"/>
    <n v="38.700000000000003"/>
    <x v="0"/>
    <n v="33"/>
    <n v="270"/>
    <n v="3"/>
    <n v="1"/>
    <n v="0"/>
    <n v="0"/>
    <n v="1"/>
    <n v="1"/>
    <n v="6"/>
    <n v="1"/>
    <n v="0.33"/>
    <n v="0"/>
    <n v="0.33"/>
    <n v="0"/>
    <n v="0"/>
  </r>
  <r>
    <n v="34"/>
    <x v="7"/>
    <x v="1"/>
    <x v="4"/>
    <n v="27.6"/>
    <n v="48.1"/>
    <x v="2"/>
    <n v="77"/>
    <n v="660"/>
    <n v="7.3"/>
    <n v="10"/>
    <n v="4"/>
    <n v="7"/>
    <n v="3"/>
    <n v="3"/>
    <n v="3"/>
    <n v="0"/>
    <n v="1.36"/>
    <n v="0.55000000000000004"/>
    <n v="1.91"/>
    <n v="0.95"/>
    <n v="1.5"/>
  </r>
  <r>
    <n v="35"/>
    <x v="8"/>
    <x v="1"/>
    <x v="5"/>
    <n v="27.3"/>
    <n v="53.6"/>
    <x v="3"/>
    <n v="55"/>
    <n v="480"/>
    <n v="5.3"/>
    <n v="9"/>
    <n v="7"/>
    <n v="9"/>
    <n v="0"/>
    <n v="0"/>
    <n v="0"/>
    <n v="0"/>
    <n v="1.69"/>
    <n v="1.31"/>
    <n v="3"/>
    <n v="1.69"/>
    <n v="3"/>
  </r>
  <r>
    <n v="36"/>
    <x v="9"/>
    <x v="1"/>
    <x v="6"/>
    <n v="26.9"/>
    <n v="54.7"/>
    <x v="2"/>
    <n v="77"/>
    <n v="690"/>
    <n v="7.7"/>
    <n v="20"/>
    <n v="11"/>
    <n v="18"/>
    <n v="2"/>
    <n v="2"/>
    <n v="1"/>
    <n v="0"/>
    <n v="2.61"/>
    <n v="1.43"/>
    <n v="4.04"/>
    <n v="2.35"/>
    <n v="3.78"/>
  </r>
  <r>
    <n v="37"/>
    <x v="12"/>
    <x v="1"/>
    <x v="8"/>
    <n v="27.9"/>
    <n v="55.1"/>
    <x v="2"/>
    <n v="77"/>
    <n v="630"/>
    <n v="7"/>
    <n v="9"/>
    <n v="5"/>
    <n v="7"/>
    <n v="2"/>
    <n v="2"/>
    <n v="1"/>
    <n v="0"/>
    <n v="1.29"/>
    <n v="0.71"/>
    <n v="2"/>
    <n v="1"/>
    <n v="1.71"/>
  </r>
  <r>
    <n v="38"/>
    <x v="13"/>
    <x v="1"/>
    <x v="5"/>
    <n v="26.1"/>
    <n v="43.8"/>
    <x v="1"/>
    <n v="44"/>
    <n v="360"/>
    <n v="4"/>
    <n v="4"/>
    <n v="3"/>
    <n v="3"/>
    <n v="1"/>
    <n v="1"/>
    <n v="5"/>
    <n v="0"/>
    <n v="1"/>
    <n v="0.75"/>
    <n v="1.75"/>
    <n v="0.75"/>
    <n v="1.5"/>
  </r>
  <r>
    <n v="39"/>
    <x v="28"/>
    <x v="1"/>
    <x v="3"/>
    <n v="24.3"/>
    <n v="52.3"/>
    <x v="0"/>
    <n v="33"/>
    <n v="270"/>
    <n v="3"/>
    <n v="2"/>
    <n v="1"/>
    <n v="2"/>
    <n v="0"/>
    <n v="0"/>
    <n v="4"/>
    <n v="0"/>
    <n v="0.67"/>
    <n v="0.33"/>
    <n v="1"/>
    <n v="0.67"/>
    <n v="1"/>
  </r>
  <r>
    <n v="40"/>
    <x v="14"/>
    <x v="1"/>
    <x v="0"/>
    <n v="24.3"/>
    <n v="49"/>
    <x v="1"/>
    <n v="44"/>
    <n v="360"/>
    <n v="4"/>
    <n v="3"/>
    <n v="3"/>
    <n v="3"/>
    <n v="0"/>
    <n v="0"/>
    <n v="3"/>
    <n v="0"/>
    <n v="0.75"/>
    <n v="0.75"/>
    <n v="1.5"/>
    <n v="0.75"/>
    <n v="1.5"/>
  </r>
  <r>
    <n v="41"/>
    <x v="15"/>
    <x v="1"/>
    <x v="7"/>
    <n v="24.9"/>
    <n v="46.7"/>
    <x v="0"/>
    <n v="33"/>
    <n v="270"/>
    <n v="3"/>
    <n v="2"/>
    <n v="2"/>
    <n v="2"/>
    <n v="0"/>
    <n v="0"/>
    <n v="4"/>
    <n v="0"/>
    <n v="0.67"/>
    <n v="0.67"/>
    <n v="1.33"/>
    <n v="0.67"/>
    <n v="1.33"/>
  </r>
  <r>
    <n v="42"/>
    <x v="16"/>
    <x v="1"/>
    <x v="3"/>
    <n v="24.6"/>
    <n v="48.3"/>
    <x v="0"/>
    <n v="33"/>
    <n v="270"/>
    <n v="3"/>
    <n v="3"/>
    <n v="3"/>
    <n v="3"/>
    <n v="0"/>
    <n v="0"/>
    <n v="6"/>
    <n v="1"/>
    <n v="1"/>
    <n v="1"/>
    <n v="2"/>
    <n v="1"/>
    <n v="2"/>
  </r>
  <r>
    <n v="43"/>
    <x v="17"/>
    <x v="1"/>
    <x v="0"/>
    <n v="26.7"/>
    <n v="54.5"/>
    <x v="1"/>
    <n v="44"/>
    <n v="360"/>
    <n v="4"/>
    <n v="9"/>
    <n v="6"/>
    <n v="9"/>
    <n v="0"/>
    <n v="0"/>
    <n v="1"/>
    <n v="0"/>
    <n v="2.25"/>
    <n v="1.5"/>
    <n v="3.75"/>
    <n v="2.25"/>
    <n v="3.75"/>
  </r>
  <r>
    <n v="44"/>
    <x v="20"/>
    <x v="1"/>
    <x v="3"/>
    <n v="25.3"/>
    <n v="50.7"/>
    <x v="0"/>
    <n v="33"/>
    <n v="270"/>
    <n v="3"/>
    <n v="2"/>
    <n v="2"/>
    <n v="2"/>
    <n v="0"/>
    <n v="0"/>
    <n v="3"/>
    <n v="0"/>
    <n v="0.67"/>
    <n v="0.67"/>
    <n v="1.33"/>
    <n v="0.67"/>
    <n v="1.33"/>
  </r>
  <r>
    <n v="45"/>
    <x v="21"/>
    <x v="1"/>
    <x v="0"/>
    <n v="28.1"/>
    <n v="49.3"/>
    <x v="1"/>
    <n v="44"/>
    <n v="360"/>
    <n v="4"/>
    <n v="4"/>
    <n v="2"/>
    <n v="4"/>
    <n v="0"/>
    <n v="0"/>
    <n v="0"/>
    <n v="0"/>
    <n v="1"/>
    <n v="0.5"/>
    <n v="1.5"/>
    <n v="1"/>
    <n v="1.5"/>
  </r>
  <r>
    <n v="46"/>
    <x v="29"/>
    <x v="1"/>
    <x v="3"/>
    <n v="25"/>
    <n v="55.3"/>
    <x v="1"/>
    <n v="44"/>
    <n v="360"/>
    <n v="4"/>
    <n v="9"/>
    <n v="7"/>
    <n v="8"/>
    <n v="1"/>
    <n v="1"/>
    <n v="4"/>
    <n v="0"/>
    <n v="2.25"/>
    <n v="1.75"/>
    <n v="4"/>
    <n v="2"/>
    <n v="3.75"/>
  </r>
  <r>
    <n v="47"/>
    <x v="22"/>
    <x v="1"/>
    <x v="3"/>
    <n v="25.7"/>
    <n v="40"/>
    <x v="0"/>
    <n v="33"/>
    <n v="270"/>
    <n v="3"/>
    <n v="3"/>
    <n v="3"/>
    <n v="3"/>
    <n v="0"/>
    <n v="0"/>
    <n v="3"/>
    <n v="0"/>
    <n v="1"/>
    <n v="1"/>
    <n v="2"/>
    <n v="1"/>
    <n v="2"/>
  </r>
  <r>
    <n v="48"/>
    <x v="23"/>
    <x v="1"/>
    <x v="1"/>
    <n v="28.4"/>
    <n v="52.9"/>
    <x v="2"/>
    <n v="77"/>
    <n v="630"/>
    <n v="7"/>
    <n v="14"/>
    <n v="7"/>
    <n v="12"/>
    <n v="2"/>
    <n v="2"/>
    <n v="2"/>
    <n v="0"/>
    <n v="2"/>
    <n v="1"/>
    <n v="3"/>
    <n v="1.71"/>
    <n v="2.71"/>
  </r>
  <r>
    <n v="49"/>
    <x v="1"/>
    <x v="2"/>
    <x v="1"/>
    <n v="22.8"/>
    <n v="53.5"/>
    <x v="1"/>
    <n v="44"/>
    <n v="360"/>
    <n v="4"/>
    <n v="6"/>
    <n v="6"/>
    <n v="6"/>
    <n v="0"/>
    <n v="0"/>
    <n v="0"/>
    <n v="0"/>
    <n v="1.5"/>
    <n v="1.5"/>
    <n v="3"/>
    <n v="1.5"/>
    <n v="3"/>
  </r>
  <r>
    <n v="50"/>
    <x v="2"/>
    <x v="2"/>
    <x v="2"/>
    <n v="27"/>
    <n v="53.3"/>
    <x v="1"/>
    <n v="44"/>
    <n v="390"/>
    <n v="4.3"/>
    <n v="9"/>
    <n v="6"/>
    <n v="7"/>
    <n v="2"/>
    <n v="2"/>
    <n v="0"/>
    <n v="0"/>
    <n v="2.08"/>
    <n v="1.38"/>
    <n v="3.46"/>
    <n v="1.62"/>
    <n v="3"/>
  </r>
  <r>
    <n v="51"/>
    <x v="4"/>
    <x v="2"/>
    <x v="5"/>
    <n v="25.9"/>
    <n v="47.3"/>
    <x v="0"/>
    <n v="33"/>
    <n v="270"/>
    <n v="3"/>
    <n v="1"/>
    <n v="0"/>
    <n v="1"/>
    <n v="0"/>
    <n v="0"/>
    <n v="0"/>
    <n v="0"/>
    <n v="0.33"/>
    <n v="0"/>
    <n v="0.33"/>
    <n v="0.33"/>
    <n v="0.33"/>
  </r>
  <r>
    <n v="52"/>
    <x v="24"/>
    <x v="2"/>
    <x v="3"/>
    <n v="22.4"/>
    <n v="49.3"/>
    <x v="0"/>
    <n v="33"/>
    <n v="270"/>
    <n v="3"/>
    <n v="0"/>
    <n v="0"/>
    <n v="0"/>
    <n v="0"/>
    <n v="0"/>
    <n v="0"/>
    <n v="0"/>
    <n v="0"/>
    <n v="0"/>
    <n v="0"/>
    <n v="0"/>
    <n v="0"/>
  </r>
  <r>
    <n v="53"/>
    <x v="7"/>
    <x v="2"/>
    <x v="0"/>
    <n v="26.9"/>
    <n v="49.3"/>
    <x v="1"/>
    <n v="44"/>
    <n v="390"/>
    <n v="4.3"/>
    <n v="6"/>
    <n v="7"/>
    <n v="6"/>
    <n v="0"/>
    <n v="0"/>
    <n v="0"/>
    <n v="0"/>
    <n v="1.38"/>
    <n v="1.62"/>
    <n v="3"/>
    <n v="1.38"/>
    <n v="3"/>
  </r>
  <r>
    <n v="54"/>
    <x v="30"/>
    <x v="2"/>
    <x v="7"/>
    <n v="26.1"/>
    <n v="40.700000000000003"/>
    <x v="0"/>
    <n v="33"/>
    <n v="270"/>
    <n v="3"/>
    <n v="2"/>
    <n v="0"/>
    <n v="2"/>
    <n v="0"/>
    <n v="0"/>
    <m/>
    <m/>
    <n v="0.67"/>
    <n v="0"/>
    <n v="0.67"/>
    <n v="0.67"/>
    <n v="0.67"/>
  </r>
  <r>
    <n v="55"/>
    <x v="8"/>
    <x v="2"/>
    <x v="1"/>
    <n v="26.7"/>
    <n v="52.3"/>
    <x v="4"/>
    <n v="66"/>
    <n v="570"/>
    <n v="6.3"/>
    <n v="10"/>
    <n v="9"/>
    <n v="10"/>
    <n v="0"/>
    <n v="0"/>
    <n v="0"/>
    <n v="0"/>
    <n v="1.58"/>
    <n v="1.42"/>
    <n v="3"/>
    <n v="1.58"/>
    <n v="3"/>
  </r>
  <r>
    <n v="56"/>
    <x v="9"/>
    <x v="2"/>
    <x v="3"/>
    <n v="26.4"/>
    <n v="50"/>
    <x v="1"/>
    <n v="44"/>
    <n v="390"/>
    <n v="4.3"/>
    <n v="7"/>
    <n v="6"/>
    <n v="6"/>
    <n v="1"/>
    <n v="1"/>
    <n v="0"/>
    <n v="0"/>
    <n v="1.62"/>
    <n v="1.38"/>
    <n v="3"/>
    <n v="1.38"/>
    <n v="2.77"/>
  </r>
  <r>
    <n v="57"/>
    <x v="12"/>
    <x v="2"/>
    <x v="0"/>
    <n v="25.4"/>
    <n v="56.5"/>
    <x v="4"/>
    <n v="66"/>
    <n v="600"/>
    <n v="6.7"/>
    <n v="12"/>
    <n v="10"/>
    <n v="12"/>
    <n v="0"/>
    <n v="0"/>
    <n v="0"/>
    <n v="0"/>
    <n v="1.8"/>
    <n v="1.5"/>
    <n v="3.3"/>
    <n v="1.8"/>
    <n v="3.3"/>
  </r>
  <r>
    <n v="58"/>
    <x v="31"/>
    <x v="2"/>
    <x v="3"/>
    <n v="21.1"/>
    <n v="50.7"/>
    <x v="0"/>
    <n v="33"/>
    <n v="270"/>
    <n v="3"/>
    <n v="0"/>
    <n v="0"/>
    <n v="0"/>
    <n v="0"/>
    <n v="0"/>
    <m/>
    <m/>
    <n v="0"/>
    <n v="0"/>
    <n v="0"/>
    <n v="0"/>
    <n v="0"/>
  </r>
  <r>
    <n v="59"/>
    <x v="28"/>
    <x v="2"/>
    <x v="0"/>
    <n v="23.1"/>
    <n v="47.7"/>
    <x v="0"/>
    <n v="33"/>
    <n v="270"/>
    <n v="3"/>
    <n v="3"/>
    <n v="3"/>
    <n v="3"/>
    <n v="0"/>
    <n v="0"/>
    <n v="0"/>
    <n v="0"/>
    <n v="1"/>
    <n v="1"/>
    <n v="2"/>
    <n v="1"/>
    <n v="2"/>
  </r>
  <r>
    <n v="60"/>
    <x v="15"/>
    <x v="2"/>
    <x v="2"/>
    <n v="24.4"/>
    <n v="45.7"/>
    <x v="0"/>
    <n v="33"/>
    <n v="270"/>
    <n v="3"/>
    <n v="4"/>
    <n v="3"/>
    <n v="4"/>
    <n v="0"/>
    <n v="0"/>
    <n v="0"/>
    <n v="0"/>
    <n v="1.33"/>
    <n v="1"/>
    <n v="2.33"/>
    <n v="1.33"/>
    <n v="2.33"/>
  </r>
  <r>
    <n v="61"/>
    <x v="16"/>
    <x v="2"/>
    <x v="3"/>
    <n v="24.3"/>
    <n v="50.7"/>
    <x v="0"/>
    <n v="33"/>
    <n v="270"/>
    <n v="3"/>
    <n v="1"/>
    <n v="0"/>
    <n v="1"/>
    <n v="0"/>
    <n v="0"/>
    <n v="0"/>
    <n v="0"/>
    <n v="0.33"/>
    <n v="0"/>
    <n v="0.33"/>
    <n v="0.33"/>
    <n v="0.33"/>
  </r>
  <r>
    <n v="62"/>
    <x v="17"/>
    <x v="2"/>
    <x v="0"/>
    <n v="24.7"/>
    <n v="50.7"/>
    <x v="0"/>
    <n v="33"/>
    <n v="270"/>
    <n v="3"/>
    <n v="2"/>
    <n v="1"/>
    <n v="2"/>
    <n v="0"/>
    <n v="0"/>
    <n v="0"/>
    <n v="0"/>
    <n v="0.67"/>
    <n v="0.33"/>
    <n v="1"/>
    <n v="0.67"/>
    <n v="1"/>
  </r>
  <r>
    <n v="63"/>
    <x v="21"/>
    <x v="2"/>
    <x v="5"/>
    <n v="28.4"/>
    <n v="45.3"/>
    <x v="4"/>
    <n v="66"/>
    <n v="540"/>
    <n v="6"/>
    <n v="10"/>
    <n v="4"/>
    <n v="9"/>
    <n v="1"/>
    <n v="1"/>
    <n v="0"/>
    <n v="0"/>
    <n v="1.67"/>
    <n v="0.67"/>
    <n v="2.33"/>
    <n v="1.5"/>
    <n v="2.17"/>
  </r>
  <r>
    <n v="64"/>
    <x v="23"/>
    <x v="2"/>
    <x v="0"/>
    <n v="28.3"/>
    <n v="50.5"/>
    <x v="4"/>
    <n v="66"/>
    <n v="600"/>
    <n v="6.7"/>
    <n v="12"/>
    <n v="9"/>
    <n v="12"/>
    <n v="0"/>
    <n v="0"/>
    <n v="0"/>
    <n v="0"/>
    <n v="1.8"/>
    <n v="1.35"/>
    <n v="3.15"/>
    <n v="1.8"/>
    <n v="3.15"/>
  </r>
  <r>
    <n v="65"/>
    <x v="0"/>
    <x v="3"/>
    <x v="5"/>
    <n v="21"/>
    <n v="38.299999999999997"/>
    <x v="0"/>
    <n v="33"/>
    <n v="270"/>
    <n v="3"/>
    <n v="1"/>
    <n v="0"/>
    <n v="1"/>
    <n v="0"/>
    <n v="0"/>
    <m/>
    <m/>
    <n v="0.33"/>
    <n v="0"/>
    <n v="0.33"/>
    <n v="0.33"/>
    <n v="0.33"/>
  </r>
  <r>
    <n v="66"/>
    <x v="1"/>
    <x v="3"/>
    <x v="0"/>
    <n v="24.7"/>
    <n v="48.3"/>
    <x v="1"/>
    <n v="44"/>
    <n v="360"/>
    <n v="4"/>
    <n v="9"/>
    <n v="6"/>
    <n v="9"/>
    <n v="0"/>
    <n v="0"/>
    <m/>
    <m/>
    <n v="2.25"/>
    <n v="1.5"/>
    <n v="3.75"/>
    <n v="2.25"/>
    <n v="3.75"/>
  </r>
  <r>
    <n v="67"/>
    <x v="2"/>
    <x v="3"/>
    <x v="2"/>
    <n v="25.7"/>
    <n v="61.3"/>
    <x v="4"/>
    <n v="66"/>
    <n v="540"/>
    <n v="6"/>
    <n v="16"/>
    <n v="7"/>
    <n v="16"/>
    <n v="0"/>
    <n v="0"/>
    <m/>
    <m/>
    <n v="2.67"/>
    <n v="1.17"/>
    <n v="3.83"/>
    <n v="2.67"/>
    <n v="3.83"/>
  </r>
  <r>
    <n v="68"/>
    <x v="4"/>
    <x v="3"/>
    <x v="0"/>
    <n v="23.8"/>
    <n v="39.299999999999997"/>
    <x v="0"/>
    <n v="33"/>
    <n v="270"/>
    <n v="3"/>
    <n v="7"/>
    <n v="3"/>
    <n v="7"/>
    <n v="0"/>
    <n v="0"/>
    <m/>
    <m/>
    <n v="2.33"/>
    <n v="1"/>
    <n v="3.33"/>
    <n v="2.33"/>
    <n v="3.33"/>
  </r>
  <r>
    <n v="69"/>
    <x v="6"/>
    <x v="3"/>
    <x v="0"/>
    <n v="24.9"/>
    <n v="47.3"/>
    <x v="1"/>
    <n v="44"/>
    <n v="360"/>
    <n v="4"/>
    <n v="5"/>
    <n v="0"/>
    <n v="5"/>
    <n v="0"/>
    <n v="0"/>
    <m/>
    <m/>
    <n v="1.25"/>
    <n v="0"/>
    <n v="1.25"/>
    <n v="1.25"/>
    <n v="1.25"/>
  </r>
  <r>
    <n v="70"/>
    <x v="32"/>
    <x v="3"/>
    <x v="2"/>
    <n v="26.9"/>
    <n v="50.7"/>
    <x v="0"/>
    <n v="33"/>
    <n v="270"/>
    <n v="3"/>
    <n v="4"/>
    <n v="2"/>
    <n v="4"/>
    <n v="0"/>
    <n v="0"/>
    <m/>
    <m/>
    <n v="1.33"/>
    <n v="0.67"/>
    <n v="2"/>
    <n v="1.33"/>
    <n v="2"/>
  </r>
  <r>
    <n v="71"/>
    <x v="7"/>
    <x v="3"/>
    <x v="0"/>
    <n v="24.8"/>
    <n v="52.5"/>
    <x v="1"/>
    <n v="44"/>
    <n v="360"/>
    <n v="4"/>
    <n v="7"/>
    <n v="5"/>
    <n v="5"/>
    <n v="2"/>
    <n v="2"/>
    <m/>
    <m/>
    <n v="1.75"/>
    <n v="1.25"/>
    <n v="3"/>
    <n v="1.25"/>
    <n v="2.5"/>
  </r>
  <r>
    <n v="72"/>
    <x v="9"/>
    <x v="3"/>
    <x v="3"/>
    <n v="26.5"/>
    <n v="49.5"/>
    <x v="4"/>
    <n v="66"/>
    <n v="540"/>
    <n v="6"/>
    <n v="20"/>
    <n v="11"/>
    <n v="19"/>
    <n v="1"/>
    <n v="1"/>
    <m/>
    <m/>
    <n v="3.33"/>
    <n v="1.83"/>
    <n v="5.17"/>
    <n v="3.17"/>
    <n v="5"/>
  </r>
  <r>
    <n v="73"/>
    <x v="33"/>
    <x v="3"/>
    <x v="5"/>
    <n v="24.5"/>
    <n v="52.3"/>
    <x v="0"/>
    <n v="33"/>
    <n v="270"/>
    <n v="3"/>
    <n v="3"/>
    <n v="0"/>
    <n v="2"/>
    <n v="1"/>
    <n v="1"/>
    <m/>
    <m/>
    <n v="1"/>
    <n v="0"/>
    <n v="1"/>
    <n v="0.67"/>
    <n v="0.67"/>
  </r>
  <r>
    <n v="74"/>
    <x v="12"/>
    <x v="3"/>
    <x v="2"/>
    <n v="24.7"/>
    <n v="56"/>
    <x v="0"/>
    <n v="33"/>
    <n v="270"/>
    <n v="3"/>
    <n v="3"/>
    <n v="0"/>
    <n v="3"/>
    <n v="0"/>
    <n v="0"/>
    <m/>
    <m/>
    <n v="1"/>
    <n v="0"/>
    <n v="1"/>
    <n v="1"/>
    <n v="1"/>
  </r>
  <r>
    <n v="75"/>
    <x v="31"/>
    <x v="3"/>
    <x v="7"/>
    <n v="22.8"/>
    <n v="52.8"/>
    <x v="1"/>
    <n v="44"/>
    <n v="360"/>
    <n v="4"/>
    <n v="5"/>
    <n v="1"/>
    <n v="5"/>
    <n v="0"/>
    <n v="0"/>
    <m/>
    <m/>
    <n v="1.25"/>
    <n v="0.25"/>
    <n v="1.5"/>
    <n v="1.25"/>
    <n v="1.5"/>
  </r>
  <r>
    <n v="76"/>
    <x v="15"/>
    <x v="3"/>
    <x v="0"/>
    <n v="24.5"/>
    <n v="39.700000000000003"/>
    <x v="0"/>
    <n v="33"/>
    <n v="270"/>
    <n v="3"/>
    <n v="0"/>
    <n v="0"/>
    <n v="0"/>
    <n v="0"/>
    <n v="0"/>
    <m/>
    <m/>
    <n v="0"/>
    <n v="0"/>
    <n v="0"/>
    <n v="0"/>
    <n v="0"/>
  </r>
  <r>
    <n v="77"/>
    <x v="16"/>
    <x v="3"/>
    <x v="7"/>
    <n v="23.6"/>
    <n v="51"/>
    <x v="0"/>
    <n v="33"/>
    <n v="270"/>
    <n v="3"/>
    <n v="1"/>
    <n v="0"/>
    <n v="1"/>
    <n v="0"/>
    <n v="0"/>
    <m/>
    <m/>
    <n v="0.33"/>
    <n v="0"/>
    <n v="0.33"/>
    <n v="0.33"/>
    <n v="0.33"/>
  </r>
  <r>
    <n v="78"/>
    <x v="17"/>
    <x v="3"/>
    <x v="5"/>
    <n v="26.3"/>
    <n v="53.7"/>
    <x v="4"/>
    <n v="66"/>
    <n v="540"/>
    <n v="6"/>
    <n v="12"/>
    <n v="10"/>
    <n v="11"/>
    <n v="1"/>
    <n v="1"/>
    <m/>
    <m/>
    <n v="2"/>
    <n v="1.67"/>
    <n v="3.67"/>
    <n v="1.83"/>
    <n v="3.5"/>
  </r>
  <r>
    <n v="79"/>
    <x v="21"/>
    <x v="3"/>
    <x v="2"/>
    <n v="26.1"/>
    <n v="49.7"/>
    <x v="0"/>
    <n v="33"/>
    <n v="270"/>
    <n v="3"/>
    <n v="3"/>
    <n v="3"/>
    <n v="3"/>
    <n v="0"/>
    <n v="0"/>
    <m/>
    <m/>
    <n v="1"/>
    <n v="1"/>
    <n v="2"/>
    <n v="1"/>
    <n v="2"/>
  </r>
  <r>
    <n v="80"/>
    <x v="23"/>
    <x v="3"/>
    <x v="0"/>
    <n v="26.7"/>
    <n v="46.5"/>
    <x v="4"/>
    <n v="66"/>
    <n v="540"/>
    <n v="6"/>
    <n v="12"/>
    <n v="3"/>
    <n v="11"/>
    <n v="1"/>
    <n v="1"/>
    <m/>
    <m/>
    <n v="2"/>
    <n v="0.5"/>
    <n v="2.5"/>
    <n v="1.83"/>
    <n v="2.33"/>
  </r>
  <r>
    <n v="81"/>
    <x v="0"/>
    <x v="4"/>
    <x v="2"/>
    <n v="23"/>
    <n v="49"/>
    <x v="0"/>
    <n v="33"/>
    <n v="270"/>
    <n v="3"/>
    <n v="1"/>
    <n v="0"/>
    <n v="1"/>
    <n v="0"/>
    <n v="0"/>
    <m/>
    <m/>
    <n v="0.33"/>
    <n v="0"/>
    <n v="0.33"/>
    <n v="0.33"/>
    <n v="0.33"/>
  </r>
  <r>
    <n v="82"/>
    <x v="1"/>
    <x v="4"/>
    <x v="2"/>
    <n v="23.4"/>
    <n v="49"/>
    <x v="0"/>
    <n v="33"/>
    <n v="270"/>
    <n v="3"/>
    <n v="3"/>
    <n v="0"/>
    <n v="3"/>
    <n v="0"/>
    <n v="0"/>
    <m/>
    <m/>
    <n v="1"/>
    <n v="0"/>
    <n v="1"/>
    <n v="1"/>
    <n v="1"/>
  </r>
  <r>
    <n v="83"/>
    <x v="2"/>
    <x v="4"/>
    <x v="2"/>
    <n v="22.4"/>
    <n v="55"/>
    <x v="1"/>
    <n v="44"/>
    <n v="360"/>
    <n v="4"/>
    <n v="9"/>
    <n v="0"/>
    <n v="9"/>
    <n v="0"/>
    <n v="0"/>
    <m/>
    <m/>
    <n v="2.25"/>
    <n v="0"/>
    <n v="2.25"/>
    <n v="2.25"/>
    <n v="2.25"/>
  </r>
  <r>
    <n v="84"/>
    <x v="4"/>
    <x v="4"/>
    <x v="3"/>
    <n v="22.7"/>
    <n v="41.7"/>
    <x v="4"/>
    <n v="66"/>
    <n v="540"/>
    <n v="6"/>
    <n v="10"/>
    <n v="0"/>
    <n v="10"/>
    <n v="0"/>
    <n v="0"/>
    <m/>
    <m/>
    <n v="1.67"/>
    <n v="0"/>
    <n v="1.67"/>
    <n v="1.67"/>
    <n v="1.67"/>
  </r>
  <r>
    <n v="85"/>
    <x v="6"/>
    <x v="4"/>
    <x v="0"/>
    <n v="27"/>
    <n v="61"/>
    <x v="1"/>
    <n v="44"/>
    <n v="360"/>
    <n v="4"/>
    <n v="3"/>
    <n v="0"/>
    <n v="3"/>
    <n v="0"/>
    <n v="0"/>
    <m/>
    <m/>
    <n v="0.75"/>
    <n v="0"/>
    <n v="0.75"/>
    <n v="0.75"/>
    <n v="0.75"/>
  </r>
  <r>
    <n v="86"/>
    <x v="8"/>
    <x v="4"/>
    <x v="3"/>
    <n v="25.2"/>
    <n v="46.3"/>
    <x v="0"/>
    <n v="33"/>
    <n v="270"/>
    <n v="3"/>
    <n v="2"/>
    <n v="0"/>
    <n v="2"/>
    <n v="0"/>
    <n v="0"/>
    <m/>
    <m/>
    <n v="0.67"/>
    <n v="0"/>
    <n v="0.67"/>
    <n v="0.67"/>
    <n v="0.67"/>
  </r>
  <r>
    <n v="87"/>
    <x v="9"/>
    <x v="4"/>
    <x v="5"/>
    <n v="27"/>
    <n v="51.8"/>
    <x v="4"/>
    <n v="66"/>
    <n v="570"/>
    <n v="6.3"/>
    <n v="25"/>
    <n v="0"/>
    <n v="25"/>
    <n v="0"/>
    <n v="0"/>
    <m/>
    <m/>
    <n v="3.95"/>
    <n v="0"/>
    <n v="3.95"/>
    <n v="3.95"/>
    <n v="3.95"/>
  </r>
  <r>
    <n v="88"/>
    <x v="33"/>
    <x v="4"/>
    <x v="7"/>
    <n v="25.4"/>
    <n v="47.7"/>
    <x v="0"/>
    <n v="33"/>
    <n v="270"/>
    <n v="3"/>
    <n v="2"/>
    <n v="0"/>
    <n v="2"/>
    <n v="0"/>
    <n v="0"/>
    <m/>
    <m/>
    <n v="0.67"/>
    <n v="0"/>
    <n v="0.67"/>
    <n v="0.67"/>
    <n v="0.67"/>
  </r>
  <r>
    <n v="89"/>
    <x v="12"/>
    <x v="4"/>
    <x v="2"/>
    <n v="24.2"/>
    <n v="54.7"/>
    <x v="0"/>
    <n v="33"/>
    <n v="270"/>
    <n v="3"/>
    <n v="7"/>
    <n v="0"/>
    <n v="7"/>
    <n v="0"/>
    <n v="0"/>
    <m/>
    <m/>
    <n v="2.33"/>
    <n v="0"/>
    <n v="2.33"/>
    <n v="2.33"/>
    <n v="2.33"/>
  </r>
  <r>
    <n v="90"/>
    <x v="31"/>
    <x v="4"/>
    <x v="7"/>
    <n v="24.6"/>
    <n v="52.3"/>
    <x v="0"/>
    <n v="33"/>
    <n v="270"/>
    <n v="3"/>
    <n v="3"/>
    <n v="0"/>
    <n v="3"/>
    <n v="0"/>
    <n v="0"/>
    <m/>
    <m/>
    <n v="1"/>
    <n v="0"/>
    <n v="1"/>
    <n v="1"/>
    <n v="1"/>
  </r>
  <r>
    <n v="91"/>
    <x v="13"/>
    <x v="4"/>
    <x v="0"/>
    <n v="22.2"/>
    <n v="48.7"/>
    <x v="0"/>
    <n v="33"/>
    <n v="270"/>
    <n v="3"/>
    <n v="1"/>
    <n v="0"/>
    <n v="1"/>
    <n v="0"/>
    <n v="0"/>
    <m/>
    <m/>
    <n v="0.33"/>
    <n v="0"/>
    <n v="0.33"/>
    <n v="0.33"/>
    <n v="0.33"/>
  </r>
  <r>
    <n v="92"/>
    <x v="16"/>
    <x v="4"/>
    <x v="2"/>
    <n v="24.7"/>
    <n v="51.3"/>
    <x v="0"/>
    <n v="33"/>
    <n v="270"/>
    <n v="3"/>
    <n v="0"/>
    <n v="0"/>
    <n v="0"/>
    <n v="0"/>
    <n v="0"/>
    <m/>
    <m/>
    <n v="0"/>
    <n v="0"/>
    <n v="0"/>
    <n v="0"/>
    <n v="0"/>
  </r>
  <r>
    <n v="93"/>
    <x v="17"/>
    <x v="4"/>
    <x v="2"/>
    <n v="25.3"/>
    <n v="48"/>
    <x v="1"/>
    <n v="44"/>
    <n v="360"/>
    <n v="4"/>
    <n v="10"/>
    <n v="1"/>
    <n v="10"/>
    <n v="0"/>
    <n v="0"/>
    <m/>
    <m/>
    <n v="2.5"/>
    <n v="0.25"/>
    <n v="2.75"/>
    <n v="2.5"/>
    <n v="2.75"/>
  </r>
  <r>
    <n v="94"/>
    <x v="34"/>
    <x v="4"/>
    <x v="3"/>
    <n v="28.1"/>
    <n v="45"/>
    <x v="1"/>
    <n v="44"/>
    <n v="360"/>
    <n v="4"/>
    <n v="5"/>
    <n v="1"/>
    <n v="5"/>
    <n v="0"/>
    <n v="0"/>
    <m/>
    <m/>
    <n v="1.25"/>
    <n v="0.25"/>
    <n v="1.5"/>
    <n v="1.25"/>
    <n v="1.5"/>
  </r>
  <r>
    <n v="95"/>
    <x v="21"/>
    <x v="4"/>
    <x v="0"/>
    <n v="25.9"/>
    <n v="48.2"/>
    <x v="4"/>
    <n v="66"/>
    <n v="570"/>
    <n v="6.3"/>
    <n v="10"/>
    <n v="0"/>
    <n v="10"/>
    <n v="0"/>
    <n v="0"/>
    <m/>
    <m/>
    <n v="1.58"/>
    <n v="0"/>
    <n v="1.58"/>
    <n v="1.58"/>
    <n v="1.58"/>
  </r>
  <r>
    <n v="96"/>
    <x v="23"/>
    <x v="4"/>
    <x v="0"/>
    <n v="28.1"/>
    <n v="52.8"/>
    <x v="4"/>
    <n v="66"/>
    <n v="540"/>
    <n v="6"/>
    <n v="15"/>
    <n v="4"/>
    <n v="15"/>
    <n v="0"/>
    <n v="0"/>
    <m/>
    <m/>
    <n v="2.5"/>
    <n v="0.67"/>
    <n v="3.17"/>
    <n v="2.5"/>
    <n v="3.17"/>
  </r>
  <r>
    <n v="97"/>
    <x v="1"/>
    <x v="5"/>
    <x v="3"/>
    <n v="25"/>
    <m/>
    <x v="0"/>
    <n v="33"/>
    <n v="270"/>
    <n v="3"/>
    <n v="3"/>
    <n v="1"/>
    <n v="3"/>
    <n v="0"/>
    <n v="0"/>
    <m/>
    <m/>
    <n v="1"/>
    <n v="0.33"/>
    <n v="1.33"/>
    <n v="1"/>
    <n v="1.33"/>
  </r>
  <r>
    <n v="98"/>
    <x v="2"/>
    <x v="5"/>
    <x v="7"/>
    <n v="25"/>
    <m/>
    <x v="4"/>
    <n v="66"/>
    <n v="554"/>
    <n v="6.2"/>
    <n v="16"/>
    <n v="10"/>
    <n v="16"/>
    <n v="0"/>
    <n v="0"/>
    <m/>
    <m/>
    <n v="2.6"/>
    <n v="1.62"/>
    <n v="4.22"/>
    <n v="2.6"/>
    <n v="4.22"/>
  </r>
  <r>
    <n v="99"/>
    <x v="4"/>
    <x v="5"/>
    <x v="7"/>
    <n v="25.9"/>
    <m/>
    <x v="0"/>
    <n v="33"/>
    <n v="270"/>
    <n v="3"/>
    <n v="3"/>
    <n v="3"/>
    <n v="3"/>
    <n v="0"/>
    <n v="0"/>
    <m/>
    <m/>
    <n v="1"/>
    <n v="1"/>
    <n v="2"/>
    <n v="1"/>
    <n v="2"/>
  </r>
  <r>
    <n v="100"/>
    <x v="6"/>
    <x v="5"/>
    <x v="9"/>
    <n v="26.6"/>
    <m/>
    <x v="4"/>
    <n v="66"/>
    <n v="570"/>
    <n v="6.3"/>
    <n v="19"/>
    <n v="9"/>
    <n v="18"/>
    <n v="1"/>
    <n v="1"/>
    <m/>
    <m/>
    <n v="3"/>
    <n v="1.42"/>
    <n v="4.42"/>
    <n v="2.84"/>
    <n v="4.26"/>
  </r>
  <r>
    <n v="101"/>
    <x v="32"/>
    <x v="5"/>
    <x v="3"/>
    <n v="25.5"/>
    <m/>
    <x v="0"/>
    <n v="33"/>
    <n v="270"/>
    <n v="3"/>
    <n v="1"/>
    <n v="0"/>
    <n v="1"/>
    <n v="0"/>
    <n v="0"/>
    <m/>
    <m/>
    <n v="0.33"/>
    <n v="0"/>
    <n v="0.33"/>
    <n v="0.33"/>
    <n v="0.33"/>
  </r>
  <r>
    <n v="102"/>
    <x v="9"/>
    <x v="5"/>
    <x v="0"/>
    <n v="24.4"/>
    <m/>
    <x v="1"/>
    <n v="44"/>
    <n v="360"/>
    <n v="4"/>
    <n v="11"/>
    <n v="4"/>
    <n v="11"/>
    <n v="0"/>
    <n v="0"/>
    <m/>
    <m/>
    <n v="2.75"/>
    <n v="1"/>
    <n v="3.75"/>
    <n v="2.75"/>
    <n v="3.75"/>
  </r>
  <r>
    <n v="103"/>
    <x v="33"/>
    <x v="5"/>
    <x v="2"/>
    <n v="23.6"/>
    <m/>
    <x v="0"/>
    <n v="33"/>
    <n v="270"/>
    <n v="3"/>
    <n v="1"/>
    <n v="0"/>
    <n v="1"/>
    <n v="0"/>
    <n v="0"/>
    <m/>
    <m/>
    <n v="0.33"/>
    <n v="0"/>
    <n v="0.33"/>
    <n v="0.33"/>
    <n v="0.33"/>
  </r>
  <r>
    <n v="104"/>
    <x v="10"/>
    <x v="5"/>
    <x v="3"/>
    <n v="26.7"/>
    <m/>
    <x v="0"/>
    <n v="33"/>
    <n v="270"/>
    <n v="3"/>
    <n v="3"/>
    <n v="1"/>
    <n v="3"/>
    <n v="0"/>
    <n v="0"/>
    <m/>
    <m/>
    <n v="1"/>
    <n v="0.33"/>
    <n v="1.33"/>
    <n v="1"/>
    <n v="1.33"/>
  </r>
  <r>
    <n v="105"/>
    <x v="12"/>
    <x v="5"/>
    <x v="7"/>
    <n v="23"/>
    <m/>
    <x v="0"/>
    <n v="33"/>
    <n v="270"/>
    <n v="3"/>
    <n v="1"/>
    <n v="1"/>
    <n v="1"/>
    <n v="0"/>
    <n v="0"/>
    <m/>
    <m/>
    <n v="0.33"/>
    <n v="0.33"/>
    <n v="0.67"/>
    <n v="0.33"/>
    <n v="0.67"/>
  </r>
  <r>
    <n v="106"/>
    <x v="31"/>
    <x v="5"/>
    <x v="2"/>
    <n v="24.5"/>
    <m/>
    <x v="0"/>
    <n v="33"/>
    <n v="270"/>
    <n v="3"/>
    <n v="4"/>
    <n v="2"/>
    <n v="4"/>
    <n v="0"/>
    <n v="0"/>
    <m/>
    <m/>
    <n v="1.33"/>
    <n v="0.67"/>
    <n v="2"/>
    <n v="1.33"/>
    <n v="2"/>
  </r>
  <r>
    <n v="107"/>
    <x v="28"/>
    <x v="5"/>
    <x v="7"/>
    <n v="21.5"/>
    <m/>
    <x v="0"/>
    <n v="33"/>
    <n v="270"/>
    <n v="3"/>
    <n v="1"/>
    <n v="0"/>
    <n v="1"/>
    <n v="0"/>
    <n v="0"/>
    <m/>
    <m/>
    <n v="0.33"/>
    <n v="0"/>
    <n v="0.33"/>
    <n v="0.33"/>
    <n v="0.33"/>
  </r>
  <r>
    <n v="108"/>
    <x v="16"/>
    <x v="5"/>
    <x v="2"/>
    <n v="23.5"/>
    <m/>
    <x v="1"/>
    <n v="44"/>
    <n v="374"/>
    <n v="4.2"/>
    <n v="8"/>
    <n v="3"/>
    <n v="8"/>
    <n v="0"/>
    <n v="0"/>
    <m/>
    <m/>
    <n v="1.93"/>
    <n v="0.72"/>
    <n v="2.65"/>
    <n v="1.93"/>
    <n v="2.65"/>
  </r>
  <r>
    <n v="109"/>
    <x v="17"/>
    <x v="5"/>
    <x v="5"/>
    <n v="25.1"/>
    <m/>
    <x v="4"/>
    <n v="66"/>
    <n v="540"/>
    <n v="6"/>
    <n v="15"/>
    <n v="10"/>
    <n v="15"/>
    <n v="0"/>
    <n v="0"/>
    <m/>
    <m/>
    <n v="2.5"/>
    <n v="1.67"/>
    <n v="4.17"/>
    <n v="2.5"/>
    <n v="4.17"/>
  </r>
  <r>
    <n v="110"/>
    <x v="34"/>
    <x v="5"/>
    <x v="7"/>
    <n v="25.6"/>
    <m/>
    <x v="1"/>
    <n v="44"/>
    <n v="360"/>
    <n v="4"/>
    <n v="10"/>
    <n v="9"/>
    <n v="10"/>
    <n v="0"/>
    <n v="0"/>
    <m/>
    <m/>
    <n v="2.5"/>
    <n v="2.25"/>
    <n v="4.75"/>
    <n v="2.5"/>
    <n v="4.75"/>
  </r>
  <r>
    <n v="111"/>
    <x v="21"/>
    <x v="5"/>
    <x v="3"/>
    <n v="24.6"/>
    <m/>
    <x v="1"/>
    <n v="44"/>
    <n v="360"/>
    <n v="4"/>
    <n v="7"/>
    <n v="5"/>
    <n v="7"/>
    <n v="0"/>
    <n v="0"/>
    <m/>
    <m/>
    <n v="1.75"/>
    <n v="1.25"/>
    <n v="3"/>
    <n v="1.75"/>
    <n v="3"/>
  </r>
  <r>
    <n v="112"/>
    <x v="23"/>
    <x v="5"/>
    <x v="0"/>
    <n v="27.4"/>
    <m/>
    <x v="4"/>
    <n v="66"/>
    <n v="570"/>
    <n v="6.3"/>
    <n v="17"/>
    <n v="15"/>
    <n v="16"/>
    <n v="1"/>
    <n v="1"/>
    <m/>
    <m/>
    <n v="2.68"/>
    <n v="2.37"/>
    <n v="5.05"/>
    <n v="2.5299999999999998"/>
    <n v="4.8899999999999997"/>
  </r>
  <r>
    <n v="113"/>
    <x v="1"/>
    <x v="6"/>
    <x v="3"/>
    <n v="25"/>
    <m/>
    <x v="0"/>
    <n v="33"/>
    <n v="270"/>
    <n v="3"/>
    <n v="3"/>
    <n v="0"/>
    <n v="3"/>
    <n v="0"/>
    <n v="0"/>
    <m/>
    <m/>
    <n v="1"/>
    <n v="0"/>
    <n v="1"/>
    <n v="1"/>
    <n v="1"/>
  </r>
  <r>
    <n v="114"/>
    <x v="2"/>
    <x v="6"/>
    <x v="2"/>
    <n v="27.9"/>
    <m/>
    <x v="0"/>
    <n v="33"/>
    <n v="270"/>
    <n v="3"/>
    <n v="3"/>
    <n v="1"/>
    <n v="3"/>
    <n v="0"/>
    <n v="0"/>
    <m/>
    <m/>
    <n v="1"/>
    <n v="0.33"/>
    <n v="1.33"/>
    <n v="1"/>
    <n v="1.33"/>
  </r>
  <r>
    <n v="115"/>
    <x v="4"/>
    <x v="6"/>
    <x v="7"/>
    <n v="26.2"/>
    <m/>
    <x v="0"/>
    <n v="33"/>
    <n v="270"/>
    <n v="3"/>
    <n v="5"/>
    <n v="0"/>
    <n v="5"/>
    <n v="0"/>
    <n v="0"/>
    <m/>
    <m/>
    <n v="1.67"/>
    <n v="0"/>
    <n v="1.67"/>
    <n v="1.67"/>
    <n v="1.67"/>
  </r>
  <r>
    <n v="116"/>
    <x v="6"/>
    <x v="6"/>
    <x v="2"/>
    <n v="24.3"/>
    <m/>
    <x v="4"/>
    <n v="66"/>
    <n v="570"/>
    <n v="6.3"/>
    <n v="11"/>
    <n v="0"/>
    <n v="11"/>
    <n v="0"/>
    <n v="0"/>
    <m/>
    <m/>
    <n v="1.74"/>
    <n v="0"/>
    <n v="1.74"/>
    <n v="1.74"/>
    <n v="1.74"/>
  </r>
  <r>
    <n v="117"/>
    <x v="32"/>
    <x v="6"/>
    <x v="3"/>
    <n v="21.3"/>
    <m/>
    <x v="1"/>
    <n v="44"/>
    <n v="360"/>
    <n v="4"/>
    <n v="7"/>
    <n v="0"/>
    <n v="7"/>
    <n v="0"/>
    <n v="0"/>
    <m/>
    <m/>
    <n v="1.75"/>
    <n v="0"/>
    <n v="1.75"/>
    <n v="1.75"/>
    <n v="1.75"/>
  </r>
  <r>
    <n v="118"/>
    <x v="7"/>
    <x v="6"/>
    <x v="2"/>
    <n v="27.8"/>
    <m/>
    <x v="1"/>
    <n v="44"/>
    <n v="360"/>
    <n v="4"/>
    <n v="6"/>
    <n v="0"/>
    <n v="6"/>
    <n v="0"/>
    <n v="0"/>
    <m/>
    <m/>
    <n v="1.5"/>
    <n v="0"/>
    <n v="1.5"/>
    <n v="1.5"/>
    <n v="1.5"/>
  </r>
  <r>
    <n v="119"/>
    <x v="9"/>
    <x v="6"/>
    <x v="3"/>
    <n v="25.3"/>
    <m/>
    <x v="4"/>
    <n v="66"/>
    <n v="540"/>
    <n v="6"/>
    <n v="13"/>
    <n v="0"/>
    <n v="13"/>
    <n v="0"/>
    <n v="0"/>
    <m/>
    <m/>
    <n v="2.17"/>
    <n v="0"/>
    <n v="2.17"/>
    <n v="2.17"/>
    <n v="2.17"/>
  </r>
  <r>
    <n v="120"/>
    <x v="12"/>
    <x v="6"/>
    <x v="9"/>
    <n v="22.6"/>
    <m/>
    <x v="1"/>
    <n v="44"/>
    <n v="360"/>
    <n v="4"/>
    <n v="2"/>
    <n v="0"/>
    <n v="2"/>
    <n v="0"/>
    <n v="0"/>
    <m/>
    <m/>
    <n v="0.5"/>
    <n v="0"/>
    <n v="0.5"/>
    <n v="0.5"/>
    <n v="0.5"/>
  </r>
  <r>
    <n v="121"/>
    <x v="16"/>
    <x v="6"/>
    <x v="2"/>
    <n v="20.6"/>
    <m/>
    <x v="0"/>
    <n v="33"/>
    <n v="270"/>
    <n v="3"/>
    <n v="5"/>
    <n v="0"/>
    <n v="5"/>
    <n v="0"/>
    <n v="0"/>
    <m/>
    <m/>
    <n v="1.67"/>
    <n v="0"/>
    <n v="1.67"/>
    <n v="1.67"/>
    <n v="1.67"/>
  </r>
  <r>
    <n v="122"/>
    <x v="17"/>
    <x v="6"/>
    <x v="3"/>
    <n v="24.6"/>
    <m/>
    <x v="4"/>
    <n v="66"/>
    <n v="540"/>
    <n v="6"/>
    <n v="23"/>
    <n v="0"/>
    <n v="23"/>
    <n v="0"/>
    <n v="0"/>
    <m/>
    <m/>
    <n v="3.83"/>
    <n v="0"/>
    <n v="3.83"/>
    <n v="3.83"/>
    <n v="3.83"/>
  </r>
  <r>
    <n v="123"/>
    <x v="21"/>
    <x v="6"/>
    <x v="0"/>
    <n v="27.5"/>
    <m/>
    <x v="1"/>
    <n v="44"/>
    <n v="390"/>
    <n v="4.3"/>
    <n v="6"/>
    <n v="0"/>
    <n v="6"/>
    <n v="0"/>
    <n v="0"/>
    <m/>
    <m/>
    <n v="1.38"/>
    <n v="0"/>
    <n v="1.38"/>
    <n v="1.38"/>
    <n v="1.38"/>
  </r>
  <r>
    <n v="124"/>
    <x v="23"/>
    <x v="6"/>
    <x v="0"/>
    <n v="24.1"/>
    <m/>
    <x v="4"/>
    <n v="66"/>
    <n v="540"/>
    <n v="6"/>
    <n v="15"/>
    <n v="4"/>
    <n v="15"/>
    <n v="0"/>
    <n v="0"/>
    <m/>
    <m/>
    <n v="2.5"/>
    <n v="0.67"/>
    <n v="3.17"/>
    <n v="2.5"/>
    <n v="3.17"/>
  </r>
  <r>
    <n v="125"/>
    <x v="2"/>
    <x v="7"/>
    <x v="3"/>
    <n v="25.7"/>
    <m/>
    <x v="0"/>
    <n v="33"/>
    <n v="240"/>
    <n v="2.7"/>
    <n v="1"/>
    <n v="0"/>
    <n v="1"/>
    <n v="0"/>
    <n v="0"/>
    <m/>
    <m/>
    <n v="0.37"/>
    <n v="0"/>
    <n v="0.37"/>
    <n v="0.37"/>
    <n v="0.37"/>
  </r>
  <r>
    <n v="126"/>
    <x v="6"/>
    <x v="7"/>
    <x v="7"/>
    <n v="22.1"/>
    <m/>
    <x v="1"/>
    <n v="44"/>
    <n v="320"/>
    <n v="3.6"/>
    <n v="10"/>
    <n v="3"/>
    <n v="10"/>
    <n v="0"/>
    <n v="0"/>
    <m/>
    <m/>
    <n v="2.81"/>
    <n v="0.84"/>
    <n v="3.66"/>
    <n v="2.81"/>
    <n v="3.66"/>
  </r>
  <r>
    <n v="127"/>
    <x v="35"/>
    <x v="7"/>
    <x v="2"/>
    <n v="21.2"/>
    <m/>
    <x v="1"/>
    <n v="44"/>
    <n v="320"/>
    <n v="3.6"/>
    <n v="2"/>
    <n v="1"/>
    <n v="2"/>
    <n v="0"/>
    <n v="0"/>
    <m/>
    <m/>
    <n v="0.56000000000000005"/>
    <n v="0.28000000000000003"/>
    <n v="0.84"/>
    <n v="0.56000000000000005"/>
    <n v="0.84"/>
  </r>
  <r>
    <n v="128"/>
    <x v="32"/>
    <x v="7"/>
    <x v="7"/>
    <n v="23.8"/>
    <m/>
    <x v="1"/>
    <n v="44"/>
    <n v="340"/>
    <n v="3.8"/>
    <n v="7"/>
    <n v="5"/>
    <n v="5"/>
    <n v="2"/>
    <n v="2"/>
    <m/>
    <m/>
    <n v="1.85"/>
    <n v="1.32"/>
    <n v="3.18"/>
    <n v="1.32"/>
    <n v="2.65"/>
  </r>
  <r>
    <n v="129"/>
    <x v="9"/>
    <x v="7"/>
    <x v="0"/>
    <n v="23.8"/>
    <m/>
    <x v="4"/>
    <n v="66"/>
    <n v="500"/>
    <n v="5.6"/>
    <n v="13"/>
    <n v="9"/>
    <n v="12"/>
    <n v="1"/>
    <n v="1"/>
    <m/>
    <m/>
    <n v="2.34"/>
    <n v="1.62"/>
    <n v="3.96"/>
    <n v="2.16"/>
    <n v="3.78"/>
  </r>
  <r>
    <n v="130"/>
    <x v="10"/>
    <x v="7"/>
    <x v="3"/>
    <n v="24.2"/>
    <m/>
    <x v="1"/>
    <n v="44"/>
    <n v="340"/>
    <n v="3.8"/>
    <n v="8"/>
    <n v="5"/>
    <n v="8"/>
    <n v="0"/>
    <n v="0"/>
    <m/>
    <m/>
    <n v="2.12"/>
    <n v="1.32"/>
    <n v="3.44"/>
    <n v="2.12"/>
    <n v="3.44"/>
  </r>
  <r>
    <n v="131"/>
    <x v="12"/>
    <x v="7"/>
    <x v="10"/>
    <n v="24.3"/>
    <m/>
    <x v="0"/>
    <n v="33"/>
    <n v="240"/>
    <n v="2.7"/>
    <n v="0"/>
    <n v="0"/>
    <n v="0"/>
    <n v="0"/>
    <n v="0"/>
    <m/>
    <m/>
    <n v="0"/>
    <n v="0"/>
    <n v="0"/>
    <n v="0"/>
    <n v="0"/>
  </r>
  <r>
    <n v="132"/>
    <x v="15"/>
    <x v="7"/>
    <x v="7"/>
    <n v="25.5"/>
    <m/>
    <x v="0"/>
    <n v="33"/>
    <n v="240"/>
    <n v="2.7"/>
    <n v="1"/>
    <n v="1"/>
    <n v="1"/>
    <n v="0"/>
    <n v="0"/>
    <m/>
    <m/>
    <n v="0.37"/>
    <n v="0.37"/>
    <n v="0.75"/>
    <n v="0.37"/>
    <n v="0.75"/>
  </r>
  <r>
    <n v="133"/>
    <x v="16"/>
    <x v="7"/>
    <x v="3"/>
    <n v="18.2"/>
    <m/>
    <x v="0"/>
    <n v="33"/>
    <n v="240"/>
    <n v="2.7"/>
    <n v="0"/>
    <n v="0"/>
    <n v="0"/>
    <n v="0"/>
    <n v="0"/>
    <m/>
    <m/>
    <n v="0"/>
    <n v="0"/>
    <n v="0"/>
    <n v="0"/>
    <n v="0"/>
  </r>
  <r>
    <n v="134"/>
    <x v="17"/>
    <x v="7"/>
    <x v="7"/>
    <n v="24.1"/>
    <m/>
    <x v="4"/>
    <n v="66"/>
    <n v="500"/>
    <n v="5.6"/>
    <n v="13"/>
    <n v="6"/>
    <n v="12"/>
    <n v="1"/>
    <n v="1"/>
    <m/>
    <m/>
    <n v="2.34"/>
    <n v="1.08"/>
    <n v="3.42"/>
    <n v="2.16"/>
    <n v="3.24"/>
  </r>
  <r>
    <n v="135"/>
    <x v="21"/>
    <x v="7"/>
    <x v="0"/>
    <n v="25.4"/>
    <m/>
    <x v="4"/>
    <n v="66"/>
    <n v="480"/>
    <n v="5.3"/>
    <n v="17"/>
    <n v="11"/>
    <n v="16"/>
    <n v="1"/>
    <n v="1"/>
    <m/>
    <m/>
    <n v="3.19"/>
    <n v="2.06"/>
    <n v="5.25"/>
    <n v="3"/>
    <n v="5.0599999999999996"/>
  </r>
  <r>
    <n v="136"/>
    <x v="23"/>
    <x v="7"/>
    <x v="2"/>
    <n v="23"/>
    <m/>
    <x v="4"/>
    <n v="66"/>
    <n v="480"/>
    <n v="5.3"/>
    <n v="25"/>
    <n v="11"/>
    <n v="24"/>
    <n v="1"/>
    <n v="1"/>
    <m/>
    <m/>
    <n v="4.6900000000000004"/>
    <n v="2.06"/>
    <n v="6.75"/>
    <n v="4.5"/>
    <n v="6.5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C5C0B95-95B2-0B43-AAB5-55D34F086EBC}" name="PivotTable2" cacheId="3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40" firstHeaderRow="0" firstDataRow="1" firstDataCol="1" rowPageCount="1" colPageCount="1"/>
  <pivotFields count="22">
    <pivotField showAll="0"/>
    <pivotField axis="axisRow" showAll="0">
      <items count="37">
        <item x="0"/>
        <item x="1"/>
        <item x="2"/>
        <item x="26"/>
        <item x="3"/>
        <item x="4"/>
        <item x="5"/>
        <item x="6"/>
        <item x="35"/>
        <item x="24"/>
        <item x="25"/>
        <item x="32"/>
        <item x="27"/>
        <item x="7"/>
        <item x="30"/>
        <item x="8"/>
        <item x="9"/>
        <item x="33"/>
        <item x="10"/>
        <item x="11"/>
        <item x="12"/>
        <item x="31"/>
        <item x="13"/>
        <item x="28"/>
        <item x="14"/>
        <item x="15"/>
        <item x="16"/>
        <item x="17"/>
        <item x="34"/>
        <item x="18"/>
        <item x="19"/>
        <item x="20"/>
        <item x="21"/>
        <item x="29"/>
        <item x="22"/>
        <item x="23"/>
        <item t="default"/>
      </items>
    </pivotField>
    <pivotField axis="axisPage" showAll="0">
      <items count="9">
        <item x="7"/>
        <item x="6"/>
        <item x="5"/>
        <item x="4"/>
        <item x="3"/>
        <item x="2"/>
        <item x="1"/>
        <item x="0"/>
        <item t="default"/>
      </items>
    </pivotField>
    <pivotField showAll="0"/>
    <pivotField showAll="0"/>
    <pivotField showAll="0"/>
    <pivotField dataField="1"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t="grand">
      <x/>
    </i>
  </rowItems>
  <colFields count="1">
    <field x="-2"/>
  </colFields>
  <colItems count="2">
    <i>
      <x/>
    </i>
    <i i="1">
      <x v="1"/>
    </i>
  </colItems>
  <pageFields count="1">
    <pageField fld="2" hier="-1"/>
  </pageFields>
  <dataFields count="2">
    <dataField name="Sum of matches_played" fld="6" baseField="0" baseItem="0"/>
    <dataField name="Sum of goals"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4287B85-2685-1048-B561-3F05CD3B0AA0}" name="PivotTable4" cacheId="3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D11" firstHeaderRow="0" firstDataRow="1" firstDataCol="1" rowPageCount="1" colPageCount="1"/>
  <pivotFields count="22">
    <pivotField showAll="0"/>
    <pivotField axis="axisPage" multipleItemSelectionAllowed="1" showAll="0">
      <items count="37">
        <item h="1" x="0"/>
        <item x="1"/>
        <item h="1" x="2"/>
        <item h="1" x="26"/>
        <item h="1" x="3"/>
        <item h="1" x="4"/>
        <item h="1" x="5"/>
        <item h="1" x="6"/>
        <item h="1" x="35"/>
        <item h="1" x="24"/>
        <item h="1" x="25"/>
        <item h="1" x="32"/>
        <item h="1" x="27"/>
        <item h="1" x="7"/>
        <item h="1" x="30"/>
        <item h="1" x="8"/>
        <item h="1" x="9"/>
        <item h="1" x="33"/>
        <item h="1" x="10"/>
        <item h="1" x="11"/>
        <item h="1" x="12"/>
        <item h="1" x="31"/>
        <item h="1" x="13"/>
        <item h="1" x="28"/>
        <item h="1" x="14"/>
        <item h="1" x="15"/>
        <item h="1" x="16"/>
        <item h="1" x="17"/>
        <item h="1" x="34"/>
        <item h="1" x="18"/>
        <item h="1" x="19"/>
        <item h="1" x="20"/>
        <item h="1" x="21"/>
        <item h="1" x="29"/>
        <item h="1" x="22"/>
        <item h="1" x="23"/>
        <item t="default"/>
      </items>
    </pivotField>
    <pivotField axis="axisRow" showAll="0">
      <items count="9">
        <item x="7"/>
        <item x="6"/>
        <item x="5"/>
        <item x="4"/>
        <item x="3"/>
        <item x="2"/>
        <item x="1"/>
        <item x="0"/>
        <item t="default"/>
      </items>
    </pivotField>
    <pivotField showAll="0"/>
    <pivotField showAll="0"/>
    <pivotField dataField="1" showAll="0"/>
    <pivotField dataField="1" showAll="0">
      <items count="6">
        <item x="0"/>
        <item x="1"/>
        <item x="3"/>
        <item x="4"/>
        <item x="2"/>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8">
    <i>
      <x v="1"/>
    </i>
    <i>
      <x v="2"/>
    </i>
    <i>
      <x v="3"/>
    </i>
    <i>
      <x v="4"/>
    </i>
    <i>
      <x v="5"/>
    </i>
    <i>
      <x v="6"/>
    </i>
    <i>
      <x v="7"/>
    </i>
    <i t="grand">
      <x/>
    </i>
  </rowItems>
  <colFields count="1">
    <field x="-2"/>
  </colFields>
  <colItems count="3">
    <i>
      <x/>
    </i>
    <i i="1">
      <x v="1"/>
    </i>
    <i i="2">
      <x v="2"/>
    </i>
  </colItems>
  <pageFields count="1">
    <pageField fld="1" hier="-1"/>
  </pageFields>
  <dataFields count="3">
    <dataField name="Sum of matches_played" fld="6" baseField="0" baseItem="0"/>
    <dataField name="Sum of goals" fld="10" baseField="0" baseItem="0"/>
    <dataField name="Average of possesion" fld="5" subtotal="average" baseField="0" baseItem="0"/>
  </dataFields>
  <chartFormats count="15">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1" format="5" series="1">
      <pivotArea type="data" outline="0" fieldPosition="0">
        <references count="1">
          <reference field="4294967294" count="1" selected="0">
            <x v="0"/>
          </reference>
        </references>
      </pivotArea>
    </chartFormat>
    <chartFormat chart="1" format="6" series="1">
      <pivotArea type="data" outline="0" fieldPosition="0">
        <references count="1">
          <reference field="4294967294" count="1" selected="0">
            <x v="1"/>
          </reference>
        </references>
      </pivotArea>
    </chartFormat>
    <chartFormat chart="1" format="7" series="1">
      <pivotArea type="data" outline="0" fieldPosition="0">
        <references count="1">
          <reference field="4294967294" count="1" selected="0">
            <x v="2"/>
          </reference>
        </references>
      </pivotArea>
    </chartFormat>
    <chartFormat chart="2" format="8"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1"/>
          </reference>
        </references>
      </pivotArea>
    </chartFormat>
    <chartFormat chart="2"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0"/>
          </reference>
        </references>
      </pivotArea>
    </chartFormat>
    <chartFormat chart="3" format="12" series="1">
      <pivotArea type="data" outline="0" fieldPosition="0">
        <references count="1">
          <reference field="4294967294" count="1" selected="0">
            <x v="1"/>
          </reference>
        </references>
      </pivotArea>
    </chartFormat>
    <chartFormat chart="3" format="13" series="1">
      <pivotArea type="data" outline="0" fieldPosition="0">
        <references count="1">
          <reference field="4294967294" count="1" selected="0">
            <x v="2"/>
          </reference>
        </references>
      </pivotArea>
    </chartFormat>
    <chartFormat chart="4" format="14" series="1">
      <pivotArea type="data" outline="0" fieldPosition="0">
        <references count="1">
          <reference field="4294967294" count="1" selected="0">
            <x v="0"/>
          </reference>
        </references>
      </pivotArea>
    </chartFormat>
    <chartFormat chart="4" format="15" series="1">
      <pivotArea type="data" outline="0" fieldPosition="0">
        <references count="1">
          <reference field="4294967294" count="1" selected="0">
            <x v="1"/>
          </reference>
        </references>
      </pivotArea>
    </chartFormat>
    <chartFormat chart="4" format="1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Matches, goals and possessio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quad" xr10:uid="{39507514-BCAA-DE4E-82BE-9CACED3CD5EA}" sourceName="squad">
  <pivotTables>
    <pivotTable tabId="8" name="PivotTable4"/>
  </pivotTables>
  <data>
    <tabular pivotCacheId="1680593638">
      <items count="36">
        <i x="0"/>
        <i x="1" s="1"/>
        <i x="2"/>
        <i x="26"/>
        <i x="3"/>
        <i x="4"/>
        <i x="5"/>
        <i x="6"/>
        <i x="35"/>
        <i x="24"/>
        <i x="25"/>
        <i x="32"/>
        <i x="27"/>
        <i x="7"/>
        <i x="30"/>
        <i x="8"/>
        <i x="9"/>
        <i x="33"/>
        <i x="10"/>
        <i x="11"/>
        <i x="12"/>
        <i x="31"/>
        <i x="13"/>
        <i x="28"/>
        <i x="14"/>
        <i x="15"/>
        <i x="16"/>
        <i x="17"/>
        <i x="34"/>
        <i x="18"/>
        <i x="19"/>
        <i x="20"/>
        <i x="21"/>
        <i x="29"/>
        <i x="22"/>
        <i x="2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quad" xr10:uid="{455DA9B7-5FDA-7249-9F52-1296C7E6A8F7}" cache="Slicer_squad" caption="squad" rowHeight="251883"/>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6" dT="2023-08-17T09:47:37.39" personId="{41D526D4-9D67-3148-83A7-7F4FDCAD8DB6}" id="{B8DFFE92-4C1F-834A-8B14-DF1C3BAE1D39}">
    <text>Note how the formula proceeds to the second condition only if the first is not verified.</text>
  </threadedComment>
  <threadedComment ref="E16" dT="2023-08-17T09:47:37.39" personId="{41D526D4-9D67-3148-83A7-7F4FDCAD8DB6}" id="{956F094E-48EA-BD43-A476-97D9B87AF8A6}">
    <text>note how the “TRUE” condition at the end (which is always true!!) is a catch all condition (default if none of the preceding conditions are verified)</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github.com/zonination/pokemon-chart/blob/master/chart.csv" TargetMode="Externa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5C904-E326-9543-B211-79A5D7A9CA2E}">
  <sheetPr codeName="Sheet1"/>
  <dimension ref="A1:S22"/>
  <sheetViews>
    <sheetView workbookViewId="0">
      <selection activeCell="B25" sqref="B25"/>
    </sheetView>
  </sheetViews>
  <sheetFormatPr baseColWidth="10" defaultColWidth="11" defaultRowHeight="16" x14ac:dyDescent="0.2"/>
  <sheetData>
    <row r="1" spans="1:19" ht="17" x14ac:dyDescent="0.25">
      <c r="A1" s="13"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row>
    <row r="2" spans="1:19" ht="17" x14ac:dyDescent="0.25">
      <c r="A2" s="13" t="s">
        <v>1</v>
      </c>
      <c r="B2">
        <v>1</v>
      </c>
      <c r="C2">
        <v>1</v>
      </c>
      <c r="D2">
        <v>1</v>
      </c>
      <c r="E2">
        <v>1</v>
      </c>
      <c r="F2">
        <v>1</v>
      </c>
      <c r="G2">
        <v>1</v>
      </c>
      <c r="H2">
        <v>1</v>
      </c>
      <c r="I2">
        <v>1</v>
      </c>
      <c r="J2">
        <v>1</v>
      </c>
      <c r="K2">
        <v>1</v>
      </c>
      <c r="L2">
        <v>1</v>
      </c>
      <c r="M2">
        <v>1</v>
      </c>
      <c r="N2">
        <v>0.5</v>
      </c>
      <c r="O2">
        <v>0</v>
      </c>
      <c r="P2">
        <v>1</v>
      </c>
      <c r="Q2">
        <v>1</v>
      </c>
      <c r="R2">
        <v>0.5</v>
      </c>
      <c r="S2">
        <v>1</v>
      </c>
    </row>
    <row r="3" spans="1:19" ht="17" x14ac:dyDescent="0.25">
      <c r="A3" s="13" t="s">
        <v>2</v>
      </c>
      <c r="B3">
        <v>1</v>
      </c>
      <c r="C3">
        <v>0.5</v>
      </c>
      <c r="D3">
        <v>0.5</v>
      </c>
      <c r="E3">
        <v>1</v>
      </c>
      <c r="F3">
        <v>2</v>
      </c>
      <c r="G3">
        <v>2</v>
      </c>
      <c r="H3">
        <v>1</v>
      </c>
      <c r="I3">
        <v>1</v>
      </c>
      <c r="J3">
        <v>1</v>
      </c>
      <c r="K3">
        <v>1</v>
      </c>
      <c r="L3">
        <v>1</v>
      </c>
      <c r="M3">
        <v>2</v>
      </c>
      <c r="N3">
        <v>0.5</v>
      </c>
      <c r="O3">
        <v>1</v>
      </c>
      <c r="P3">
        <v>0.5</v>
      </c>
      <c r="Q3">
        <v>1</v>
      </c>
      <c r="R3">
        <v>2</v>
      </c>
      <c r="S3">
        <v>1</v>
      </c>
    </row>
    <row r="4" spans="1:19" ht="17" x14ac:dyDescent="0.25">
      <c r="A4" s="13" t="s">
        <v>3</v>
      </c>
      <c r="B4">
        <v>1</v>
      </c>
      <c r="C4">
        <v>2</v>
      </c>
      <c r="D4">
        <v>0.5</v>
      </c>
      <c r="E4">
        <v>1</v>
      </c>
      <c r="F4">
        <v>0.5</v>
      </c>
      <c r="G4">
        <v>1</v>
      </c>
      <c r="H4">
        <v>1</v>
      </c>
      <c r="I4">
        <v>1</v>
      </c>
      <c r="J4">
        <v>2</v>
      </c>
      <c r="K4">
        <v>1</v>
      </c>
      <c r="L4">
        <v>1</v>
      </c>
      <c r="M4">
        <v>1</v>
      </c>
      <c r="N4">
        <v>2</v>
      </c>
      <c r="O4">
        <v>1</v>
      </c>
      <c r="P4">
        <v>0.5</v>
      </c>
      <c r="Q4">
        <v>1</v>
      </c>
      <c r="R4">
        <v>1</v>
      </c>
      <c r="S4">
        <v>1</v>
      </c>
    </row>
    <row r="5" spans="1:19" ht="17" x14ac:dyDescent="0.25">
      <c r="A5" s="13" t="s">
        <v>4</v>
      </c>
      <c r="B5">
        <v>1</v>
      </c>
      <c r="C5">
        <v>1</v>
      </c>
      <c r="D5">
        <v>2</v>
      </c>
      <c r="E5">
        <v>0.5</v>
      </c>
      <c r="F5">
        <v>0.5</v>
      </c>
      <c r="G5">
        <v>1</v>
      </c>
      <c r="H5">
        <v>1</v>
      </c>
      <c r="I5">
        <v>1</v>
      </c>
      <c r="J5">
        <v>0</v>
      </c>
      <c r="K5">
        <v>2</v>
      </c>
      <c r="L5">
        <v>1</v>
      </c>
      <c r="M5">
        <v>1</v>
      </c>
      <c r="N5">
        <v>1</v>
      </c>
      <c r="O5">
        <v>1</v>
      </c>
      <c r="P5">
        <v>0.5</v>
      </c>
      <c r="Q5">
        <v>1</v>
      </c>
      <c r="R5">
        <v>1</v>
      </c>
      <c r="S5">
        <v>1</v>
      </c>
    </row>
    <row r="6" spans="1:19" ht="17" x14ac:dyDescent="0.25">
      <c r="A6" s="13" t="s">
        <v>5</v>
      </c>
      <c r="B6">
        <v>1</v>
      </c>
      <c r="C6">
        <v>0.5</v>
      </c>
      <c r="D6">
        <v>2</v>
      </c>
      <c r="E6">
        <v>1</v>
      </c>
      <c r="F6">
        <v>0.5</v>
      </c>
      <c r="G6">
        <v>1</v>
      </c>
      <c r="H6">
        <v>1</v>
      </c>
      <c r="I6">
        <v>0.5</v>
      </c>
      <c r="J6">
        <v>2</v>
      </c>
      <c r="K6">
        <v>0.5</v>
      </c>
      <c r="L6">
        <v>1</v>
      </c>
      <c r="M6">
        <v>0.5</v>
      </c>
      <c r="N6">
        <v>2</v>
      </c>
      <c r="O6">
        <v>1</v>
      </c>
      <c r="P6">
        <v>0.5</v>
      </c>
      <c r="Q6">
        <v>1</v>
      </c>
      <c r="R6">
        <v>0.5</v>
      </c>
      <c r="S6">
        <v>1</v>
      </c>
    </row>
    <row r="7" spans="1:19" ht="17" x14ac:dyDescent="0.25">
      <c r="A7" s="13" t="s">
        <v>6</v>
      </c>
      <c r="B7">
        <v>1</v>
      </c>
      <c r="C7">
        <v>0.5</v>
      </c>
      <c r="D7">
        <v>0.5</v>
      </c>
      <c r="E7">
        <v>1</v>
      </c>
      <c r="F7">
        <v>2</v>
      </c>
      <c r="G7">
        <v>0.5</v>
      </c>
      <c r="H7">
        <v>1</v>
      </c>
      <c r="I7">
        <v>1</v>
      </c>
      <c r="J7">
        <v>2</v>
      </c>
      <c r="K7">
        <v>2</v>
      </c>
      <c r="L7">
        <v>1</v>
      </c>
      <c r="M7">
        <v>1</v>
      </c>
      <c r="N7">
        <v>1</v>
      </c>
      <c r="O7">
        <v>1</v>
      </c>
      <c r="P7">
        <v>2</v>
      </c>
      <c r="Q7">
        <v>1</v>
      </c>
      <c r="R7">
        <v>0.5</v>
      </c>
      <c r="S7">
        <v>1</v>
      </c>
    </row>
    <row r="8" spans="1:19" ht="17" x14ac:dyDescent="0.25">
      <c r="A8" s="13" t="s">
        <v>7</v>
      </c>
      <c r="B8">
        <v>2</v>
      </c>
      <c r="C8">
        <v>1</v>
      </c>
      <c r="D8">
        <v>1</v>
      </c>
      <c r="E8">
        <v>1</v>
      </c>
      <c r="F8">
        <v>1</v>
      </c>
      <c r="G8">
        <v>2</v>
      </c>
      <c r="H8">
        <v>1</v>
      </c>
      <c r="I8">
        <v>0.5</v>
      </c>
      <c r="J8">
        <v>1</v>
      </c>
      <c r="K8">
        <v>0.5</v>
      </c>
      <c r="L8">
        <v>0.5</v>
      </c>
      <c r="M8">
        <v>0.5</v>
      </c>
      <c r="N8">
        <v>2</v>
      </c>
      <c r="O8">
        <v>0</v>
      </c>
      <c r="P8">
        <v>1</v>
      </c>
      <c r="Q8">
        <v>2</v>
      </c>
      <c r="R8">
        <v>2</v>
      </c>
      <c r="S8">
        <v>0.5</v>
      </c>
    </row>
    <row r="9" spans="1:19" ht="17" x14ac:dyDescent="0.25">
      <c r="A9" s="13" t="s">
        <v>8</v>
      </c>
      <c r="B9">
        <v>1</v>
      </c>
      <c r="C9">
        <v>1</v>
      </c>
      <c r="D9">
        <v>1</v>
      </c>
      <c r="E9">
        <v>1</v>
      </c>
      <c r="F9">
        <v>2</v>
      </c>
      <c r="G9">
        <v>1</v>
      </c>
      <c r="H9">
        <v>1</v>
      </c>
      <c r="I9">
        <v>0.5</v>
      </c>
      <c r="J9">
        <v>0.5</v>
      </c>
      <c r="K9">
        <v>1</v>
      </c>
      <c r="L9">
        <v>1</v>
      </c>
      <c r="M9">
        <v>1</v>
      </c>
      <c r="N9">
        <v>0.5</v>
      </c>
      <c r="O9">
        <v>0.5</v>
      </c>
      <c r="P9">
        <v>1</v>
      </c>
      <c r="Q9">
        <v>1</v>
      </c>
      <c r="R9">
        <v>0</v>
      </c>
      <c r="S9">
        <v>2</v>
      </c>
    </row>
    <row r="10" spans="1:19" ht="17" x14ac:dyDescent="0.25">
      <c r="A10" s="13" t="s">
        <v>9</v>
      </c>
      <c r="B10">
        <v>1</v>
      </c>
      <c r="C10">
        <v>2</v>
      </c>
      <c r="D10">
        <v>1</v>
      </c>
      <c r="E10">
        <v>2</v>
      </c>
      <c r="F10">
        <v>0.5</v>
      </c>
      <c r="G10">
        <v>1</v>
      </c>
      <c r="H10">
        <v>1</v>
      </c>
      <c r="I10">
        <v>2</v>
      </c>
      <c r="J10">
        <v>1</v>
      </c>
      <c r="K10">
        <v>0</v>
      </c>
      <c r="L10">
        <v>1</v>
      </c>
      <c r="M10">
        <v>0.5</v>
      </c>
      <c r="N10">
        <v>2</v>
      </c>
      <c r="O10">
        <v>1</v>
      </c>
      <c r="P10">
        <v>1</v>
      </c>
      <c r="Q10">
        <v>1</v>
      </c>
      <c r="R10">
        <v>2</v>
      </c>
      <c r="S10">
        <v>1</v>
      </c>
    </row>
    <row r="11" spans="1:19" ht="17" x14ac:dyDescent="0.25">
      <c r="A11" s="13" t="s">
        <v>10</v>
      </c>
      <c r="B11">
        <v>1</v>
      </c>
      <c r="C11">
        <v>1</v>
      </c>
      <c r="D11">
        <v>1</v>
      </c>
      <c r="E11">
        <v>0.5</v>
      </c>
      <c r="F11">
        <v>2</v>
      </c>
      <c r="G11">
        <v>1</v>
      </c>
      <c r="H11">
        <v>2</v>
      </c>
      <c r="I11">
        <v>1</v>
      </c>
      <c r="J11">
        <v>1</v>
      </c>
      <c r="K11">
        <v>1</v>
      </c>
      <c r="L11">
        <v>1</v>
      </c>
      <c r="M11">
        <v>2</v>
      </c>
      <c r="N11">
        <v>0.5</v>
      </c>
      <c r="O11">
        <v>1</v>
      </c>
      <c r="P11">
        <v>1</v>
      </c>
      <c r="Q11">
        <v>1</v>
      </c>
      <c r="R11">
        <v>0.5</v>
      </c>
      <c r="S11">
        <v>1</v>
      </c>
    </row>
    <row r="12" spans="1:19" ht="17" x14ac:dyDescent="0.25">
      <c r="A12" s="13" t="s">
        <v>11</v>
      </c>
      <c r="B12">
        <v>1</v>
      </c>
      <c r="C12">
        <v>1</v>
      </c>
      <c r="D12">
        <v>1</v>
      </c>
      <c r="E12">
        <v>1</v>
      </c>
      <c r="F12">
        <v>1</v>
      </c>
      <c r="G12">
        <v>1</v>
      </c>
      <c r="H12">
        <v>2</v>
      </c>
      <c r="I12">
        <v>2</v>
      </c>
      <c r="J12">
        <v>1</v>
      </c>
      <c r="K12">
        <v>1</v>
      </c>
      <c r="L12">
        <v>0.5</v>
      </c>
      <c r="M12">
        <v>1</v>
      </c>
      <c r="N12">
        <v>1</v>
      </c>
      <c r="O12">
        <v>1</v>
      </c>
      <c r="P12">
        <v>1</v>
      </c>
      <c r="Q12">
        <v>0</v>
      </c>
      <c r="R12">
        <v>0.5</v>
      </c>
      <c r="S12">
        <v>1</v>
      </c>
    </row>
    <row r="13" spans="1:19" ht="17" x14ac:dyDescent="0.25">
      <c r="A13" s="13" t="s">
        <v>12</v>
      </c>
      <c r="B13">
        <v>1</v>
      </c>
      <c r="C13">
        <v>0.5</v>
      </c>
      <c r="D13">
        <v>1</v>
      </c>
      <c r="E13">
        <v>1</v>
      </c>
      <c r="F13">
        <v>2</v>
      </c>
      <c r="G13">
        <v>1</v>
      </c>
      <c r="H13">
        <v>0.5</v>
      </c>
      <c r="I13">
        <v>0.5</v>
      </c>
      <c r="J13">
        <v>1</v>
      </c>
      <c r="K13">
        <v>0.5</v>
      </c>
      <c r="L13">
        <v>2</v>
      </c>
      <c r="M13">
        <v>1</v>
      </c>
      <c r="N13">
        <v>1</v>
      </c>
      <c r="O13">
        <v>0.5</v>
      </c>
      <c r="P13">
        <v>1</v>
      </c>
      <c r="Q13">
        <v>2</v>
      </c>
      <c r="R13">
        <v>0.5</v>
      </c>
      <c r="S13">
        <v>0.5</v>
      </c>
    </row>
    <row r="14" spans="1:19" ht="17" x14ac:dyDescent="0.25">
      <c r="A14" s="13" t="s">
        <v>13</v>
      </c>
      <c r="B14">
        <v>1</v>
      </c>
      <c r="C14">
        <v>2</v>
      </c>
      <c r="D14">
        <v>1</v>
      </c>
      <c r="E14">
        <v>1</v>
      </c>
      <c r="F14">
        <v>1</v>
      </c>
      <c r="G14">
        <v>2</v>
      </c>
      <c r="H14">
        <v>0.5</v>
      </c>
      <c r="I14">
        <v>1</v>
      </c>
      <c r="J14">
        <v>0.5</v>
      </c>
      <c r="K14">
        <v>2</v>
      </c>
      <c r="L14">
        <v>1</v>
      </c>
      <c r="M14">
        <v>2</v>
      </c>
      <c r="N14">
        <v>1</v>
      </c>
      <c r="O14">
        <v>1</v>
      </c>
      <c r="P14">
        <v>1</v>
      </c>
      <c r="Q14">
        <v>1</v>
      </c>
      <c r="R14">
        <v>0.5</v>
      </c>
      <c r="S14">
        <v>1</v>
      </c>
    </row>
    <row r="15" spans="1:19" ht="17" x14ac:dyDescent="0.25">
      <c r="A15" s="13" t="s">
        <v>14</v>
      </c>
      <c r="B15">
        <v>0</v>
      </c>
      <c r="C15">
        <v>1</v>
      </c>
      <c r="D15">
        <v>1</v>
      </c>
      <c r="E15">
        <v>1</v>
      </c>
      <c r="F15">
        <v>1</v>
      </c>
      <c r="G15">
        <v>1</v>
      </c>
      <c r="H15">
        <v>1</v>
      </c>
      <c r="I15">
        <v>1</v>
      </c>
      <c r="J15">
        <v>1</v>
      </c>
      <c r="K15">
        <v>1</v>
      </c>
      <c r="L15">
        <v>2</v>
      </c>
      <c r="M15">
        <v>1</v>
      </c>
      <c r="N15">
        <v>1</v>
      </c>
      <c r="O15">
        <v>2</v>
      </c>
      <c r="P15">
        <v>1</v>
      </c>
      <c r="Q15">
        <v>0.5</v>
      </c>
      <c r="R15">
        <v>1</v>
      </c>
      <c r="S15">
        <v>1</v>
      </c>
    </row>
    <row r="16" spans="1:19" ht="17" x14ac:dyDescent="0.25">
      <c r="A16" s="13" t="s">
        <v>15</v>
      </c>
      <c r="B16">
        <v>1</v>
      </c>
      <c r="C16">
        <v>1</v>
      </c>
      <c r="D16">
        <v>1</v>
      </c>
      <c r="E16">
        <v>1</v>
      </c>
      <c r="F16">
        <v>1</v>
      </c>
      <c r="G16">
        <v>1</v>
      </c>
      <c r="H16">
        <v>1</v>
      </c>
      <c r="I16">
        <v>1</v>
      </c>
      <c r="J16">
        <v>1</v>
      </c>
      <c r="K16">
        <v>1</v>
      </c>
      <c r="L16">
        <v>1</v>
      </c>
      <c r="M16">
        <v>1</v>
      </c>
      <c r="N16">
        <v>1</v>
      </c>
      <c r="O16">
        <v>1</v>
      </c>
      <c r="P16">
        <v>2</v>
      </c>
      <c r="Q16">
        <v>1</v>
      </c>
      <c r="R16">
        <v>0.5</v>
      </c>
      <c r="S16">
        <v>0</v>
      </c>
    </row>
    <row r="17" spans="1:19" ht="17" x14ac:dyDescent="0.25">
      <c r="A17" s="13" t="s">
        <v>16</v>
      </c>
      <c r="B17">
        <v>1</v>
      </c>
      <c r="C17">
        <v>1</v>
      </c>
      <c r="D17">
        <v>1</v>
      </c>
      <c r="E17">
        <v>1</v>
      </c>
      <c r="F17">
        <v>1</v>
      </c>
      <c r="G17">
        <v>1</v>
      </c>
      <c r="H17">
        <v>0.5</v>
      </c>
      <c r="I17">
        <v>1</v>
      </c>
      <c r="J17">
        <v>1</v>
      </c>
      <c r="K17">
        <v>1</v>
      </c>
      <c r="L17">
        <v>2</v>
      </c>
      <c r="M17">
        <v>1</v>
      </c>
      <c r="N17">
        <v>1</v>
      </c>
      <c r="O17">
        <v>2</v>
      </c>
      <c r="P17">
        <v>1</v>
      </c>
      <c r="Q17">
        <v>0.5</v>
      </c>
      <c r="R17">
        <v>1</v>
      </c>
      <c r="S17">
        <v>0.5</v>
      </c>
    </row>
    <row r="18" spans="1:19" ht="17" x14ac:dyDescent="0.25">
      <c r="A18" s="13" t="s">
        <v>17</v>
      </c>
      <c r="B18">
        <v>1</v>
      </c>
      <c r="C18">
        <v>0.5</v>
      </c>
      <c r="D18">
        <v>0.5</v>
      </c>
      <c r="E18">
        <v>0.5</v>
      </c>
      <c r="F18">
        <v>1</v>
      </c>
      <c r="G18">
        <v>2</v>
      </c>
      <c r="H18">
        <v>1</v>
      </c>
      <c r="I18">
        <v>1</v>
      </c>
      <c r="J18">
        <v>1</v>
      </c>
      <c r="K18">
        <v>1</v>
      </c>
      <c r="L18">
        <v>1</v>
      </c>
      <c r="M18">
        <v>1</v>
      </c>
      <c r="N18">
        <v>2</v>
      </c>
      <c r="O18">
        <v>1</v>
      </c>
      <c r="P18">
        <v>1</v>
      </c>
      <c r="Q18">
        <v>1</v>
      </c>
      <c r="R18">
        <v>0.5</v>
      </c>
      <c r="S18">
        <v>2</v>
      </c>
    </row>
    <row r="19" spans="1:19" ht="17" x14ac:dyDescent="0.25">
      <c r="A19" s="13" t="s">
        <v>18</v>
      </c>
      <c r="B19">
        <v>1</v>
      </c>
      <c r="C19">
        <v>0.5</v>
      </c>
      <c r="D19">
        <v>1</v>
      </c>
      <c r="E19">
        <v>1</v>
      </c>
      <c r="F19">
        <v>1</v>
      </c>
      <c r="G19">
        <v>1</v>
      </c>
      <c r="H19">
        <v>2</v>
      </c>
      <c r="I19">
        <v>0.5</v>
      </c>
      <c r="J19">
        <v>1</v>
      </c>
      <c r="K19">
        <v>1</v>
      </c>
      <c r="L19">
        <v>1</v>
      </c>
      <c r="M19">
        <v>1</v>
      </c>
      <c r="N19">
        <v>1</v>
      </c>
      <c r="O19">
        <v>1</v>
      </c>
      <c r="P19">
        <v>2</v>
      </c>
      <c r="Q19">
        <v>2</v>
      </c>
      <c r="R19">
        <v>0.5</v>
      </c>
      <c r="S19">
        <v>1</v>
      </c>
    </row>
    <row r="22" spans="1:19" ht="17" x14ac:dyDescent="0.25">
      <c r="A22" s="13" t="s">
        <v>19</v>
      </c>
      <c r="B22" s="14" t="s">
        <v>20</v>
      </c>
    </row>
  </sheetData>
  <hyperlinks>
    <hyperlink ref="B22" r:id="rId1" xr:uid="{86729434-85F6-AA47-8D13-C198526A046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99C1C-D30A-8A45-AEF3-1A6BD10676CA}">
  <sheetPr codeName="Sheet2"/>
  <dimension ref="A1:V139"/>
  <sheetViews>
    <sheetView workbookViewId="0">
      <selection activeCell="B84" sqref="B84"/>
    </sheetView>
  </sheetViews>
  <sheetFormatPr baseColWidth="10" defaultColWidth="11" defaultRowHeight="16" x14ac:dyDescent="0.2"/>
  <sheetData>
    <row r="1" spans="1:22" ht="18" x14ac:dyDescent="0.2">
      <c r="A1" s="15" t="s">
        <v>21</v>
      </c>
    </row>
    <row r="3" spans="1:22" x14ac:dyDescent="0.2">
      <c r="A3" t="s">
        <v>22</v>
      </c>
      <c r="B3" t="s">
        <v>23</v>
      </c>
      <c r="C3" t="s">
        <v>24</v>
      </c>
      <c r="D3" t="s">
        <v>25</v>
      </c>
      <c r="E3" t="s">
        <v>26</v>
      </c>
      <c r="F3" t="s">
        <v>27</v>
      </c>
      <c r="G3" t="s">
        <v>28</v>
      </c>
      <c r="H3" t="s">
        <v>29</v>
      </c>
      <c r="I3" t="s">
        <v>30</v>
      </c>
      <c r="J3" t="s">
        <v>31</v>
      </c>
      <c r="K3" t="s">
        <v>32</v>
      </c>
      <c r="L3" t="s">
        <v>33</v>
      </c>
      <c r="M3" t="s">
        <v>34</v>
      </c>
      <c r="N3" t="s">
        <v>35</v>
      </c>
      <c r="O3" t="s">
        <v>36</v>
      </c>
      <c r="P3" t="s">
        <v>37</v>
      </c>
      <c r="Q3" t="s">
        <v>38</v>
      </c>
      <c r="R3" t="s">
        <v>39</v>
      </c>
      <c r="S3" t="s">
        <v>40</v>
      </c>
      <c r="T3" t="s">
        <v>41</v>
      </c>
      <c r="U3" t="s">
        <v>42</v>
      </c>
      <c r="V3" t="s">
        <v>43</v>
      </c>
    </row>
    <row r="4" spans="1:22" x14ac:dyDescent="0.2">
      <c r="A4">
        <v>1</v>
      </c>
      <c r="B4" t="s">
        <v>44</v>
      </c>
      <c r="C4">
        <v>2019</v>
      </c>
      <c r="D4">
        <v>18</v>
      </c>
      <c r="E4">
        <v>26.8</v>
      </c>
      <c r="F4">
        <v>34.700000000000003</v>
      </c>
      <c r="G4">
        <v>3</v>
      </c>
      <c r="H4">
        <v>33</v>
      </c>
      <c r="I4">
        <v>270</v>
      </c>
      <c r="J4">
        <v>3</v>
      </c>
      <c r="K4">
        <v>2</v>
      </c>
      <c r="L4">
        <v>1</v>
      </c>
      <c r="M4">
        <v>1</v>
      </c>
      <c r="N4">
        <v>1</v>
      </c>
      <c r="O4">
        <v>1</v>
      </c>
      <c r="P4">
        <v>3</v>
      </c>
      <c r="Q4">
        <v>0</v>
      </c>
      <c r="R4">
        <v>0.67</v>
      </c>
      <c r="S4">
        <v>0.33</v>
      </c>
      <c r="T4">
        <v>1</v>
      </c>
      <c r="U4">
        <v>0.33</v>
      </c>
      <c r="V4">
        <v>0.67</v>
      </c>
    </row>
    <row r="5" spans="1:22" x14ac:dyDescent="0.2">
      <c r="A5">
        <v>2</v>
      </c>
      <c r="B5" t="s">
        <v>45</v>
      </c>
      <c r="C5">
        <v>2019</v>
      </c>
      <c r="D5">
        <v>18</v>
      </c>
      <c r="E5">
        <v>25.4</v>
      </c>
      <c r="F5">
        <v>61.3</v>
      </c>
      <c r="G5">
        <v>4</v>
      </c>
      <c r="H5">
        <v>44</v>
      </c>
      <c r="I5">
        <v>390</v>
      </c>
      <c r="J5">
        <v>4.3</v>
      </c>
      <c r="K5">
        <v>8</v>
      </c>
      <c r="L5">
        <v>4</v>
      </c>
      <c r="M5">
        <v>8</v>
      </c>
      <c r="N5">
        <v>0</v>
      </c>
      <c r="O5">
        <v>1</v>
      </c>
      <c r="P5">
        <v>2</v>
      </c>
      <c r="Q5">
        <v>0</v>
      </c>
      <c r="R5">
        <v>1.85</v>
      </c>
      <c r="S5">
        <v>0.92</v>
      </c>
      <c r="T5">
        <v>2.77</v>
      </c>
      <c r="U5">
        <v>1.85</v>
      </c>
      <c r="V5">
        <v>2.77</v>
      </c>
    </row>
    <row r="6" spans="1:22" x14ac:dyDescent="0.2">
      <c r="A6">
        <v>3</v>
      </c>
      <c r="B6" t="s">
        <v>46</v>
      </c>
      <c r="C6">
        <v>2019</v>
      </c>
      <c r="D6">
        <v>18</v>
      </c>
      <c r="E6">
        <v>29.7</v>
      </c>
      <c r="F6">
        <v>51.5</v>
      </c>
      <c r="G6">
        <v>4</v>
      </c>
      <c r="H6">
        <v>44</v>
      </c>
      <c r="I6">
        <v>390</v>
      </c>
      <c r="J6">
        <v>4.3</v>
      </c>
      <c r="K6">
        <v>7</v>
      </c>
      <c r="L6">
        <v>3</v>
      </c>
      <c r="M6">
        <v>5</v>
      </c>
      <c r="N6">
        <v>2</v>
      </c>
      <c r="O6">
        <v>3</v>
      </c>
      <c r="P6">
        <v>7</v>
      </c>
      <c r="Q6">
        <v>0</v>
      </c>
      <c r="R6">
        <v>1.62</v>
      </c>
      <c r="S6">
        <v>0.69</v>
      </c>
      <c r="T6">
        <v>2.31</v>
      </c>
      <c r="U6">
        <v>1.1499999999999999</v>
      </c>
      <c r="V6">
        <v>1.85</v>
      </c>
    </row>
    <row r="7" spans="1:22" x14ac:dyDescent="0.2">
      <c r="A7">
        <v>4</v>
      </c>
      <c r="B7" t="s">
        <v>47</v>
      </c>
      <c r="C7">
        <v>2019</v>
      </c>
      <c r="D7">
        <v>20</v>
      </c>
      <c r="E7">
        <v>27.7</v>
      </c>
      <c r="F7">
        <v>36</v>
      </c>
      <c r="G7">
        <v>4</v>
      </c>
      <c r="H7">
        <v>44</v>
      </c>
      <c r="I7">
        <v>360</v>
      </c>
      <c r="J7">
        <v>4</v>
      </c>
      <c r="K7">
        <v>3</v>
      </c>
      <c r="L7">
        <v>3</v>
      </c>
      <c r="M7">
        <v>3</v>
      </c>
      <c r="N7">
        <v>0</v>
      </c>
      <c r="O7">
        <v>0</v>
      </c>
      <c r="P7">
        <v>6</v>
      </c>
      <c r="Q7">
        <v>0</v>
      </c>
      <c r="R7">
        <v>0.75</v>
      </c>
      <c r="S7">
        <v>0.75</v>
      </c>
      <c r="T7">
        <v>1.5</v>
      </c>
      <c r="U7">
        <v>0.75</v>
      </c>
      <c r="V7">
        <v>1.5</v>
      </c>
    </row>
    <row r="8" spans="1:22" x14ac:dyDescent="0.2">
      <c r="A8">
        <v>5</v>
      </c>
      <c r="B8" t="s">
        <v>48</v>
      </c>
      <c r="C8">
        <v>2019</v>
      </c>
      <c r="D8">
        <v>16</v>
      </c>
      <c r="E8">
        <v>27</v>
      </c>
      <c r="F8">
        <v>63</v>
      </c>
      <c r="G8">
        <v>4</v>
      </c>
      <c r="H8">
        <v>44</v>
      </c>
      <c r="I8">
        <v>360</v>
      </c>
      <c r="J8">
        <v>4</v>
      </c>
      <c r="K8">
        <v>4</v>
      </c>
      <c r="L8">
        <v>3</v>
      </c>
      <c r="M8">
        <v>4</v>
      </c>
      <c r="N8">
        <v>0</v>
      </c>
      <c r="O8">
        <v>1</v>
      </c>
      <c r="P8">
        <v>2</v>
      </c>
      <c r="Q8">
        <v>0</v>
      </c>
      <c r="R8">
        <v>1</v>
      </c>
      <c r="S8">
        <v>0.75</v>
      </c>
      <c r="T8">
        <v>1.75</v>
      </c>
      <c r="U8">
        <v>1</v>
      </c>
      <c r="V8">
        <v>1.75</v>
      </c>
    </row>
    <row r="9" spans="1:22" x14ac:dyDescent="0.2">
      <c r="A9">
        <v>6</v>
      </c>
      <c r="B9" t="s">
        <v>49</v>
      </c>
      <c r="C9">
        <v>2019</v>
      </c>
      <c r="D9">
        <v>18</v>
      </c>
      <c r="E9">
        <v>26.8</v>
      </c>
      <c r="F9">
        <v>42</v>
      </c>
      <c r="G9">
        <v>3</v>
      </c>
      <c r="H9">
        <v>33</v>
      </c>
      <c r="I9">
        <v>270</v>
      </c>
      <c r="J9">
        <v>3</v>
      </c>
      <c r="K9">
        <v>1</v>
      </c>
      <c r="L9">
        <v>1</v>
      </c>
      <c r="M9">
        <v>1</v>
      </c>
      <c r="N9">
        <v>0</v>
      </c>
      <c r="O9">
        <v>1</v>
      </c>
      <c r="P9">
        <v>5</v>
      </c>
      <c r="Q9">
        <v>0</v>
      </c>
      <c r="R9">
        <v>0.33</v>
      </c>
      <c r="S9">
        <v>0.33</v>
      </c>
      <c r="T9">
        <v>0.67</v>
      </c>
      <c r="U9">
        <v>0.33</v>
      </c>
      <c r="V9">
        <v>0.67</v>
      </c>
    </row>
    <row r="10" spans="1:22" x14ac:dyDescent="0.2">
      <c r="A10">
        <v>7</v>
      </c>
      <c r="B10" t="s">
        <v>50</v>
      </c>
      <c r="C10">
        <v>2019</v>
      </c>
      <c r="D10">
        <v>17</v>
      </c>
      <c r="E10">
        <v>26.6</v>
      </c>
      <c r="F10">
        <v>47</v>
      </c>
      <c r="G10">
        <v>4</v>
      </c>
      <c r="H10">
        <v>44</v>
      </c>
      <c r="I10">
        <v>360</v>
      </c>
      <c r="J10">
        <v>4</v>
      </c>
      <c r="K10">
        <v>1</v>
      </c>
      <c r="L10">
        <v>1</v>
      </c>
      <c r="M10">
        <v>1</v>
      </c>
      <c r="N10">
        <v>0</v>
      </c>
      <c r="O10">
        <v>0</v>
      </c>
      <c r="P10">
        <v>5</v>
      </c>
      <c r="Q10">
        <v>0</v>
      </c>
      <c r="R10">
        <v>0.25</v>
      </c>
      <c r="S10">
        <v>0.25</v>
      </c>
      <c r="T10">
        <v>0.5</v>
      </c>
      <c r="U10">
        <v>0.25</v>
      </c>
      <c r="V10">
        <v>0.5</v>
      </c>
    </row>
    <row r="11" spans="1:22" x14ac:dyDescent="0.2">
      <c r="A11">
        <v>8</v>
      </c>
      <c r="B11" t="s">
        <v>51</v>
      </c>
      <c r="C11">
        <v>2019</v>
      </c>
      <c r="D11">
        <v>22</v>
      </c>
      <c r="E11">
        <v>27.8</v>
      </c>
      <c r="F11">
        <v>60.4</v>
      </c>
      <c r="G11">
        <v>7</v>
      </c>
      <c r="H11">
        <v>77</v>
      </c>
      <c r="I11">
        <v>630</v>
      </c>
      <c r="J11">
        <v>7</v>
      </c>
      <c r="K11">
        <v>13</v>
      </c>
      <c r="L11">
        <v>12</v>
      </c>
      <c r="M11">
        <v>12</v>
      </c>
      <c r="N11">
        <v>1</v>
      </c>
      <c r="O11">
        <v>4</v>
      </c>
      <c r="P11">
        <v>1</v>
      </c>
      <c r="Q11">
        <v>1</v>
      </c>
      <c r="R11">
        <v>1.86</v>
      </c>
      <c r="S11">
        <v>1.71</v>
      </c>
      <c r="T11">
        <v>3.57</v>
      </c>
      <c r="U11">
        <v>1.71</v>
      </c>
      <c r="V11">
        <v>3.43</v>
      </c>
    </row>
    <row r="12" spans="1:22" x14ac:dyDescent="0.2">
      <c r="A12">
        <v>9</v>
      </c>
      <c r="B12" t="s">
        <v>52</v>
      </c>
      <c r="C12">
        <v>2019</v>
      </c>
      <c r="D12">
        <v>17</v>
      </c>
      <c r="E12">
        <v>27.8</v>
      </c>
      <c r="F12">
        <v>58.8</v>
      </c>
      <c r="G12">
        <v>5</v>
      </c>
      <c r="H12">
        <v>55</v>
      </c>
      <c r="I12">
        <v>480</v>
      </c>
      <c r="J12">
        <v>5.3</v>
      </c>
      <c r="K12">
        <v>10</v>
      </c>
      <c r="L12">
        <v>8</v>
      </c>
      <c r="M12">
        <v>8</v>
      </c>
      <c r="N12">
        <v>2</v>
      </c>
      <c r="O12">
        <v>2</v>
      </c>
      <c r="P12">
        <v>2</v>
      </c>
      <c r="Q12">
        <v>0</v>
      </c>
      <c r="R12">
        <v>1.87</v>
      </c>
      <c r="S12">
        <v>1.5</v>
      </c>
      <c r="T12">
        <v>3.38</v>
      </c>
      <c r="U12">
        <v>1.5</v>
      </c>
      <c r="V12">
        <v>3</v>
      </c>
    </row>
    <row r="13" spans="1:22" x14ac:dyDescent="0.2">
      <c r="A13">
        <v>10</v>
      </c>
      <c r="B13" t="s">
        <v>53</v>
      </c>
      <c r="C13">
        <v>2019</v>
      </c>
      <c r="D13">
        <v>19</v>
      </c>
      <c r="E13">
        <v>25.5</v>
      </c>
      <c r="F13">
        <v>57.2</v>
      </c>
      <c r="G13">
        <v>5</v>
      </c>
      <c r="H13">
        <v>55</v>
      </c>
      <c r="I13">
        <v>450</v>
      </c>
      <c r="J13">
        <v>5</v>
      </c>
      <c r="K13">
        <v>10</v>
      </c>
      <c r="L13">
        <v>4</v>
      </c>
      <c r="M13">
        <v>9</v>
      </c>
      <c r="N13">
        <v>1</v>
      </c>
      <c r="O13">
        <v>1</v>
      </c>
      <c r="P13">
        <v>2</v>
      </c>
      <c r="Q13">
        <v>0</v>
      </c>
      <c r="R13">
        <v>2</v>
      </c>
      <c r="S13">
        <v>0.8</v>
      </c>
      <c r="T13">
        <v>2.8</v>
      </c>
      <c r="U13">
        <v>1.8</v>
      </c>
      <c r="V13">
        <v>2.6</v>
      </c>
    </row>
    <row r="14" spans="1:22" x14ac:dyDescent="0.2">
      <c r="A14">
        <v>11</v>
      </c>
      <c r="B14" t="s">
        <v>54</v>
      </c>
      <c r="C14">
        <v>2019</v>
      </c>
      <c r="D14">
        <v>17</v>
      </c>
      <c r="E14">
        <v>26.5</v>
      </c>
      <c r="F14">
        <v>43.4</v>
      </c>
      <c r="G14">
        <v>5</v>
      </c>
      <c r="H14">
        <v>55</v>
      </c>
      <c r="I14">
        <v>450</v>
      </c>
      <c r="J14">
        <v>5</v>
      </c>
      <c r="K14">
        <v>9</v>
      </c>
      <c r="L14">
        <v>6</v>
      </c>
      <c r="M14">
        <v>8</v>
      </c>
      <c r="N14">
        <v>1</v>
      </c>
      <c r="O14">
        <v>1</v>
      </c>
      <c r="P14">
        <v>4</v>
      </c>
      <c r="Q14">
        <v>0</v>
      </c>
      <c r="R14">
        <v>1.8</v>
      </c>
      <c r="S14">
        <v>1.2</v>
      </c>
      <c r="T14">
        <v>3</v>
      </c>
      <c r="U14">
        <v>1.6</v>
      </c>
      <c r="V14">
        <v>2.8</v>
      </c>
    </row>
    <row r="15" spans="1:22" x14ac:dyDescent="0.2">
      <c r="A15">
        <v>12</v>
      </c>
      <c r="B15" t="s">
        <v>55</v>
      </c>
      <c r="C15">
        <v>2019</v>
      </c>
      <c r="D15">
        <v>20</v>
      </c>
      <c r="E15">
        <v>22.9</v>
      </c>
      <c r="F15">
        <v>36.700000000000003</v>
      </c>
      <c r="G15">
        <v>3</v>
      </c>
      <c r="H15">
        <v>33</v>
      </c>
      <c r="I15">
        <v>270</v>
      </c>
      <c r="J15">
        <v>3</v>
      </c>
      <c r="K15">
        <v>1</v>
      </c>
      <c r="L15">
        <v>1</v>
      </c>
      <c r="M15">
        <v>1</v>
      </c>
      <c r="N15">
        <v>0</v>
      </c>
      <c r="O15">
        <v>0</v>
      </c>
      <c r="P15">
        <v>4</v>
      </c>
      <c r="Q15">
        <v>0</v>
      </c>
      <c r="R15">
        <v>0.33</v>
      </c>
      <c r="S15">
        <v>0.33</v>
      </c>
      <c r="T15">
        <v>0.67</v>
      </c>
      <c r="U15">
        <v>0.33</v>
      </c>
      <c r="V15">
        <v>0.67</v>
      </c>
    </row>
    <row r="16" spans="1:22" x14ac:dyDescent="0.2">
      <c r="A16">
        <v>13</v>
      </c>
      <c r="B16" t="s">
        <v>56</v>
      </c>
      <c r="C16">
        <v>2019</v>
      </c>
      <c r="D16">
        <v>17</v>
      </c>
      <c r="E16">
        <v>24.8</v>
      </c>
      <c r="F16">
        <v>53.8</v>
      </c>
      <c r="G16">
        <v>4</v>
      </c>
      <c r="H16">
        <v>44</v>
      </c>
      <c r="I16">
        <v>360</v>
      </c>
      <c r="J16">
        <v>4</v>
      </c>
      <c r="K16">
        <v>3</v>
      </c>
      <c r="L16">
        <v>2</v>
      </c>
      <c r="M16">
        <v>2</v>
      </c>
      <c r="N16">
        <v>1</v>
      </c>
      <c r="O16">
        <v>1</v>
      </c>
      <c r="P16">
        <v>4</v>
      </c>
      <c r="Q16">
        <v>0</v>
      </c>
      <c r="R16">
        <v>0.75</v>
      </c>
      <c r="S16">
        <v>0.5</v>
      </c>
      <c r="T16">
        <v>1.25</v>
      </c>
      <c r="U16">
        <v>0.5</v>
      </c>
      <c r="V16">
        <v>1</v>
      </c>
    </row>
    <row r="17" spans="1:22" x14ac:dyDescent="0.2">
      <c r="A17">
        <v>14</v>
      </c>
      <c r="B17" t="s">
        <v>57</v>
      </c>
      <c r="C17">
        <v>2019</v>
      </c>
      <c r="D17">
        <v>19</v>
      </c>
      <c r="E17">
        <v>26.9</v>
      </c>
      <c r="F17">
        <v>52</v>
      </c>
      <c r="G17">
        <v>3</v>
      </c>
      <c r="H17">
        <v>33</v>
      </c>
      <c r="I17">
        <v>270</v>
      </c>
      <c r="J17">
        <v>3</v>
      </c>
      <c r="K17">
        <v>1</v>
      </c>
      <c r="L17">
        <v>1</v>
      </c>
      <c r="M17">
        <v>1</v>
      </c>
      <c r="N17">
        <v>0</v>
      </c>
      <c r="O17">
        <v>0</v>
      </c>
      <c r="P17">
        <v>4</v>
      </c>
      <c r="Q17">
        <v>0</v>
      </c>
      <c r="R17">
        <v>0.33</v>
      </c>
      <c r="S17">
        <v>0.33</v>
      </c>
      <c r="T17">
        <v>0.67</v>
      </c>
      <c r="U17">
        <v>0.33</v>
      </c>
      <c r="V17">
        <v>0.67</v>
      </c>
    </row>
    <row r="18" spans="1:22" x14ac:dyDescent="0.2">
      <c r="A18">
        <v>15</v>
      </c>
      <c r="B18" t="s">
        <v>58</v>
      </c>
      <c r="C18">
        <v>2019</v>
      </c>
      <c r="D18">
        <v>16</v>
      </c>
      <c r="E18">
        <v>26.1</v>
      </c>
      <c r="F18">
        <v>57.1</v>
      </c>
      <c r="G18">
        <v>7</v>
      </c>
      <c r="H18">
        <v>77</v>
      </c>
      <c r="I18">
        <v>660</v>
      </c>
      <c r="J18">
        <v>7.3</v>
      </c>
      <c r="K18">
        <v>11</v>
      </c>
      <c r="L18">
        <v>7</v>
      </c>
      <c r="M18">
        <v>10</v>
      </c>
      <c r="N18">
        <v>1</v>
      </c>
      <c r="O18">
        <v>1</v>
      </c>
      <c r="P18">
        <v>0</v>
      </c>
      <c r="Q18">
        <v>0</v>
      </c>
      <c r="R18">
        <v>1.5</v>
      </c>
      <c r="S18">
        <v>0.95</v>
      </c>
      <c r="T18">
        <v>2.4500000000000002</v>
      </c>
      <c r="U18">
        <v>1.36</v>
      </c>
      <c r="V18">
        <v>2.3199999999999998</v>
      </c>
    </row>
    <row r="19" spans="1:22" x14ac:dyDescent="0.2">
      <c r="A19">
        <v>16</v>
      </c>
      <c r="B19" t="s">
        <v>59</v>
      </c>
      <c r="C19">
        <v>2019</v>
      </c>
      <c r="D19">
        <v>17</v>
      </c>
      <c r="E19">
        <v>27.6</v>
      </c>
      <c r="F19">
        <v>39.299999999999997</v>
      </c>
      <c r="G19">
        <v>3</v>
      </c>
      <c r="H19">
        <v>33</v>
      </c>
      <c r="I19">
        <v>270</v>
      </c>
      <c r="J19">
        <v>3</v>
      </c>
      <c r="K19">
        <v>0</v>
      </c>
      <c r="L19">
        <v>0</v>
      </c>
      <c r="M19">
        <v>0</v>
      </c>
      <c r="N19">
        <v>0</v>
      </c>
      <c r="O19">
        <v>0</v>
      </c>
      <c r="P19">
        <v>1</v>
      </c>
      <c r="Q19">
        <v>0</v>
      </c>
      <c r="R19">
        <v>0</v>
      </c>
      <c r="S19">
        <v>0</v>
      </c>
      <c r="T19">
        <v>0</v>
      </c>
      <c r="U19">
        <v>0</v>
      </c>
      <c r="V19">
        <v>0</v>
      </c>
    </row>
    <row r="20" spans="1:22" x14ac:dyDescent="0.2">
      <c r="A20">
        <v>17</v>
      </c>
      <c r="B20" t="s">
        <v>60</v>
      </c>
      <c r="C20">
        <v>2019</v>
      </c>
      <c r="D20">
        <v>20</v>
      </c>
      <c r="E20">
        <v>25.7</v>
      </c>
      <c r="F20">
        <v>34.799999999999997</v>
      </c>
      <c r="G20">
        <v>4</v>
      </c>
      <c r="H20">
        <v>44</v>
      </c>
      <c r="I20">
        <v>360</v>
      </c>
      <c r="J20">
        <v>4</v>
      </c>
      <c r="K20">
        <v>1</v>
      </c>
      <c r="L20">
        <v>1</v>
      </c>
      <c r="M20">
        <v>1</v>
      </c>
      <c r="N20">
        <v>0</v>
      </c>
      <c r="O20">
        <v>0</v>
      </c>
      <c r="P20">
        <v>6</v>
      </c>
      <c r="Q20">
        <v>1</v>
      </c>
      <c r="R20">
        <v>0.25</v>
      </c>
      <c r="S20">
        <v>0.25</v>
      </c>
      <c r="T20">
        <v>0.5</v>
      </c>
      <c r="U20">
        <v>0.25</v>
      </c>
      <c r="V20">
        <v>0.5</v>
      </c>
    </row>
    <row r="21" spans="1:22" x14ac:dyDescent="0.2">
      <c r="A21">
        <v>18</v>
      </c>
      <c r="B21" t="s">
        <v>61</v>
      </c>
      <c r="C21">
        <v>2019</v>
      </c>
      <c r="D21">
        <v>17</v>
      </c>
      <c r="E21">
        <v>26.8</v>
      </c>
      <c r="F21">
        <v>50.2</v>
      </c>
      <c r="G21">
        <v>5</v>
      </c>
      <c r="H21">
        <v>55</v>
      </c>
      <c r="I21">
        <v>480</v>
      </c>
      <c r="J21">
        <v>5.3</v>
      </c>
      <c r="K21">
        <v>5</v>
      </c>
      <c r="L21">
        <v>3</v>
      </c>
      <c r="M21">
        <v>3</v>
      </c>
      <c r="N21">
        <v>2</v>
      </c>
      <c r="O21">
        <v>2</v>
      </c>
      <c r="P21">
        <v>1</v>
      </c>
      <c r="Q21">
        <v>0</v>
      </c>
      <c r="R21">
        <v>0.94</v>
      </c>
      <c r="S21">
        <v>0.56000000000000005</v>
      </c>
      <c r="T21">
        <v>1.5</v>
      </c>
      <c r="U21">
        <v>0.56000000000000005</v>
      </c>
      <c r="V21">
        <v>1.1299999999999999</v>
      </c>
    </row>
    <row r="22" spans="1:22" x14ac:dyDescent="0.2">
      <c r="A22">
        <v>19</v>
      </c>
      <c r="B22" t="s">
        <v>62</v>
      </c>
      <c r="C22">
        <v>2019</v>
      </c>
      <c r="D22">
        <v>19</v>
      </c>
      <c r="E22">
        <v>26.4</v>
      </c>
      <c r="F22">
        <v>47</v>
      </c>
      <c r="G22">
        <v>3</v>
      </c>
      <c r="H22">
        <v>33</v>
      </c>
      <c r="I22">
        <v>270</v>
      </c>
      <c r="J22">
        <v>3</v>
      </c>
      <c r="K22">
        <v>5</v>
      </c>
      <c r="L22">
        <v>3</v>
      </c>
      <c r="M22">
        <v>5</v>
      </c>
      <c r="N22">
        <v>0</v>
      </c>
      <c r="O22">
        <v>0</v>
      </c>
      <c r="P22">
        <v>6</v>
      </c>
      <c r="Q22">
        <v>0</v>
      </c>
      <c r="R22">
        <v>1.67</v>
      </c>
      <c r="S22">
        <v>1</v>
      </c>
      <c r="T22">
        <v>2.67</v>
      </c>
      <c r="U22">
        <v>1.67</v>
      </c>
      <c r="V22">
        <v>2.67</v>
      </c>
    </row>
    <row r="23" spans="1:22" x14ac:dyDescent="0.2">
      <c r="A23">
        <v>20</v>
      </c>
      <c r="B23" t="s">
        <v>63</v>
      </c>
      <c r="C23">
        <v>2019</v>
      </c>
      <c r="D23">
        <v>19</v>
      </c>
      <c r="E23">
        <v>27.5</v>
      </c>
      <c r="F23">
        <v>38</v>
      </c>
      <c r="G23">
        <v>3</v>
      </c>
      <c r="H23">
        <v>33</v>
      </c>
      <c r="I23">
        <v>270</v>
      </c>
      <c r="J23">
        <v>3</v>
      </c>
      <c r="K23">
        <v>1</v>
      </c>
      <c r="L23">
        <v>1</v>
      </c>
      <c r="M23">
        <v>1</v>
      </c>
      <c r="N23">
        <v>0</v>
      </c>
      <c r="O23">
        <v>0</v>
      </c>
      <c r="P23">
        <v>7</v>
      </c>
      <c r="Q23">
        <v>1</v>
      </c>
      <c r="R23">
        <v>0.33</v>
      </c>
      <c r="S23">
        <v>0.33</v>
      </c>
      <c r="T23">
        <v>0.67</v>
      </c>
      <c r="U23">
        <v>0.33</v>
      </c>
      <c r="V23">
        <v>0.67</v>
      </c>
    </row>
    <row r="24" spans="1:22" x14ac:dyDescent="0.2">
      <c r="A24">
        <v>21</v>
      </c>
      <c r="B24" t="s">
        <v>64</v>
      </c>
      <c r="C24">
        <v>2019</v>
      </c>
      <c r="D24">
        <v>19</v>
      </c>
      <c r="E24">
        <v>25.2</v>
      </c>
      <c r="F24">
        <v>62.5</v>
      </c>
      <c r="G24">
        <v>4</v>
      </c>
      <c r="H24">
        <v>44</v>
      </c>
      <c r="I24">
        <v>360</v>
      </c>
      <c r="J24">
        <v>4</v>
      </c>
      <c r="K24">
        <v>4</v>
      </c>
      <c r="L24">
        <v>2</v>
      </c>
      <c r="M24">
        <v>2</v>
      </c>
      <c r="N24">
        <v>2</v>
      </c>
      <c r="O24">
        <v>2</v>
      </c>
      <c r="P24">
        <v>1</v>
      </c>
      <c r="Q24">
        <v>0</v>
      </c>
      <c r="R24">
        <v>1</v>
      </c>
      <c r="S24">
        <v>0.5</v>
      </c>
      <c r="T24">
        <v>1.5</v>
      </c>
      <c r="U24">
        <v>0.5</v>
      </c>
      <c r="V24">
        <v>1</v>
      </c>
    </row>
    <row r="25" spans="1:22" x14ac:dyDescent="0.2">
      <c r="A25">
        <v>22</v>
      </c>
      <c r="B25" t="s">
        <v>65</v>
      </c>
      <c r="C25">
        <v>2019</v>
      </c>
      <c r="D25">
        <v>20</v>
      </c>
      <c r="E25">
        <v>28.5</v>
      </c>
      <c r="F25">
        <v>48.4</v>
      </c>
      <c r="G25">
        <v>7</v>
      </c>
      <c r="H25">
        <v>77</v>
      </c>
      <c r="I25">
        <v>660</v>
      </c>
      <c r="J25">
        <v>7.3</v>
      </c>
      <c r="K25">
        <v>12</v>
      </c>
      <c r="L25">
        <v>7</v>
      </c>
      <c r="M25">
        <v>11</v>
      </c>
      <c r="N25">
        <v>1</v>
      </c>
      <c r="O25">
        <v>1</v>
      </c>
      <c r="P25">
        <v>2</v>
      </c>
      <c r="Q25">
        <v>0</v>
      </c>
      <c r="R25">
        <v>1.64</v>
      </c>
      <c r="S25">
        <v>0.95</v>
      </c>
      <c r="T25">
        <v>2.59</v>
      </c>
      <c r="U25">
        <v>1.5</v>
      </c>
      <c r="V25">
        <v>2.4500000000000002</v>
      </c>
    </row>
    <row r="26" spans="1:22" x14ac:dyDescent="0.2">
      <c r="A26">
        <v>23</v>
      </c>
      <c r="B26" t="s">
        <v>66</v>
      </c>
      <c r="C26">
        <v>2019</v>
      </c>
      <c r="D26">
        <v>18</v>
      </c>
      <c r="E26">
        <v>27.8</v>
      </c>
      <c r="F26">
        <v>30</v>
      </c>
      <c r="G26">
        <v>3</v>
      </c>
      <c r="H26">
        <v>33</v>
      </c>
      <c r="I26">
        <v>270</v>
      </c>
      <c r="J26">
        <v>3</v>
      </c>
      <c r="K26">
        <v>1</v>
      </c>
      <c r="L26">
        <v>1</v>
      </c>
      <c r="M26">
        <v>1</v>
      </c>
      <c r="N26">
        <v>0</v>
      </c>
      <c r="O26">
        <v>0</v>
      </c>
      <c r="P26">
        <v>5</v>
      </c>
      <c r="Q26">
        <v>0</v>
      </c>
      <c r="R26">
        <v>0.33</v>
      </c>
      <c r="S26">
        <v>0.33</v>
      </c>
      <c r="T26">
        <v>0.67</v>
      </c>
      <c r="U26">
        <v>0.33</v>
      </c>
      <c r="V26">
        <v>0.67</v>
      </c>
    </row>
    <row r="27" spans="1:22" x14ac:dyDescent="0.2">
      <c r="A27">
        <v>24</v>
      </c>
      <c r="B27" t="s">
        <v>67</v>
      </c>
      <c r="C27">
        <v>2019</v>
      </c>
      <c r="D27">
        <v>21</v>
      </c>
      <c r="E27">
        <v>28.8</v>
      </c>
      <c r="F27">
        <v>56</v>
      </c>
      <c r="G27">
        <v>7</v>
      </c>
      <c r="H27">
        <v>77</v>
      </c>
      <c r="I27">
        <v>630</v>
      </c>
      <c r="J27">
        <v>7</v>
      </c>
      <c r="K27">
        <v>25</v>
      </c>
      <c r="L27">
        <v>17</v>
      </c>
      <c r="M27">
        <v>22</v>
      </c>
      <c r="N27">
        <v>3</v>
      </c>
      <c r="O27">
        <v>4</v>
      </c>
      <c r="P27">
        <v>0</v>
      </c>
      <c r="Q27">
        <v>0</v>
      </c>
      <c r="R27">
        <v>3.57</v>
      </c>
      <c r="S27">
        <v>2.4300000000000002</v>
      </c>
      <c r="T27">
        <v>6</v>
      </c>
      <c r="U27">
        <v>3.14</v>
      </c>
      <c r="V27">
        <v>5.57</v>
      </c>
    </row>
    <row r="28" spans="1:22" x14ac:dyDescent="0.2">
      <c r="A28">
        <v>25</v>
      </c>
      <c r="B28" t="s">
        <v>45</v>
      </c>
      <c r="C28">
        <v>2015</v>
      </c>
      <c r="D28">
        <v>17</v>
      </c>
      <c r="E28">
        <v>23.6</v>
      </c>
      <c r="F28">
        <v>46.2</v>
      </c>
      <c r="G28">
        <v>5</v>
      </c>
      <c r="H28">
        <v>55</v>
      </c>
      <c r="I28">
        <v>450</v>
      </c>
      <c r="J28">
        <v>5</v>
      </c>
      <c r="K28">
        <v>5</v>
      </c>
      <c r="L28">
        <v>4</v>
      </c>
      <c r="M28">
        <v>5</v>
      </c>
      <c r="N28">
        <v>0</v>
      </c>
      <c r="O28">
        <v>0</v>
      </c>
      <c r="P28">
        <v>0</v>
      </c>
      <c r="Q28">
        <v>0</v>
      </c>
      <c r="R28">
        <v>1</v>
      </c>
      <c r="S28">
        <v>0.8</v>
      </c>
      <c r="T28">
        <v>1.8</v>
      </c>
      <c r="U28">
        <v>1</v>
      </c>
      <c r="V28">
        <v>1.8</v>
      </c>
    </row>
    <row r="29" spans="1:22" x14ac:dyDescent="0.2">
      <c r="A29">
        <v>26</v>
      </c>
      <c r="B29" t="s">
        <v>46</v>
      </c>
      <c r="C29">
        <v>2015</v>
      </c>
      <c r="D29">
        <v>20</v>
      </c>
      <c r="E29">
        <v>27.4</v>
      </c>
      <c r="F29">
        <v>59</v>
      </c>
      <c r="G29">
        <v>4</v>
      </c>
      <c r="H29">
        <v>44</v>
      </c>
      <c r="I29">
        <v>360</v>
      </c>
      <c r="J29">
        <v>4</v>
      </c>
      <c r="K29">
        <v>4</v>
      </c>
      <c r="L29">
        <v>1</v>
      </c>
      <c r="M29">
        <v>3</v>
      </c>
      <c r="N29">
        <v>1</v>
      </c>
      <c r="O29">
        <v>1</v>
      </c>
      <c r="P29">
        <v>1</v>
      </c>
      <c r="Q29">
        <v>0</v>
      </c>
      <c r="R29">
        <v>1</v>
      </c>
      <c r="S29">
        <v>0.25</v>
      </c>
      <c r="T29">
        <v>1.25</v>
      </c>
      <c r="U29">
        <v>0.75</v>
      </c>
      <c r="V29">
        <v>1</v>
      </c>
    </row>
    <row r="30" spans="1:22" x14ac:dyDescent="0.2">
      <c r="A30">
        <v>27</v>
      </c>
      <c r="B30" t="s">
        <v>47</v>
      </c>
      <c r="C30">
        <v>2015</v>
      </c>
      <c r="D30">
        <v>17</v>
      </c>
      <c r="E30">
        <v>25.1</v>
      </c>
      <c r="F30">
        <v>48.8</v>
      </c>
      <c r="G30">
        <v>4</v>
      </c>
      <c r="H30">
        <v>44</v>
      </c>
      <c r="I30">
        <v>360</v>
      </c>
      <c r="J30">
        <v>4</v>
      </c>
      <c r="K30">
        <v>9</v>
      </c>
      <c r="L30">
        <v>5</v>
      </c>
      <c r="M30">
        <v>5</v>
      </c>
      <c r="N30">
        <v>4</v>
      </c>
      <c r="O30">
        <v>4</v>
      </c>
      <c r="P30">
        <v>6</v>
      </c>
      <c r="Q30">
        <v>0</v>
      </c>
      <c r="R30">
        <v>2.25</v>
      </c>
      <c r="S30">
        <v>1.25</v>
      </c>
      <c r="T30">
        <v>3.5</v>
      </c>
      <c r="U30">
        <v>1.25</v>
      </c>
      <c r="V30">
        <v>2.5</v>
      </c>
    </row>
    <row r="31" spans="1:22" x14ac:dyDescent="0.2">
      <c r="A31">
        <v>28</v>
      </c>
      <c r="B31" t="s">
        <v>48</v>
      </c>
      <c r="C31">
        <v>2015</v>
      </c>
      <c r="D31">
        <v>18</v>
      </c>
      <c r="E31">
        <v>27.2</v>
      </c>
      <c r="F31">
        <v>55</v>
      </c>
      <c r="G31">
        <v>5</v>
      </c>
      <c r="H31">
        <v>55</v>
      </c>
      <c r="I31">
        <v>450</v>
      </c>
      <c r="J31">
        <v>5</v>
      </c>
      <c r="K31">
        <v>4</v>
      </c>
      <c r="L31">
        <v>1</v>
      </c>
      <c r="M31">
        <v>3</v>
      </c>
      <c r="N31">
        <v>1</v>
      </c>
      <c r="O31">
        <v>1</v>
      </c>
      <c r="P31">
        <v>3</v>
      </c>
      <c r="Q31">
        <v>0</v>
      </c>
      <c r="R31">
        <v>0.8</v>
      </c>
      <c r="S31">
        <v>0.2</v>
      </c>
      <c r="T31">
        <v>1</v>
      </c>
      <c r="U31">
        <v>0.6</v>
      </c>
      <c r="V31">
        <v>0.8</v>
      </c>
    </row>
    <row r="32" spans="1:22" x14ac:dyDescent="0.2">
      <c r="A32">
        <v>29</v>
      </c>
      <c r="B32" t="s">
        <v>50</v>
      </c>
      <c r="C32">
        <v>2015</v>
      </c>
      <c r="D32">
        <v>18</v>
      </c>
      <c r="E32">
        <v>23.6</v>
      </c>
      <c r="F32">
        <v>48.6</v>
      </c>
      <c r="G32">
        <v>5</v>
      </c>
      <c r="H32">
        <v>55</v>
      </c>
      <c r="I32">
        <v>450</v>
      </c>
      <c r="J32">
        <v>5</v>
      </c>
      <c r="K32">
        <v>4</v>
      </c>
      <c r="L32">
        <v>2</v>
      </c>
      <c r="M32">
        <v>3</v>
      </c>
      <c r="N32">
        <v>1</v>
      </c>
      <c r="O32">
        <v>1</v>
      </c>
      <c r="P32">
        <v>2</v>
      </c>
      <c r="Q32">
        <v>0</v>
      </c>
      <c r="R32">
        <v>0.8</v>
      </c>
      <c r="S32">
        <v>0.4</v>
      </c>
      <c r="T32">
        <v>1.2</v>
      </c>
      <c r="U32">
        <v>0.6</v>
      </c>
      <c r="V32">
        <v>1</v>
      </c>
    </row>
    <row r="33" spans="1:22" x14ac:dyDescent="0.2">
      <c r="A33">
        <v>30</v>
      </c>
      <c r="B33" t="s">
        <v>68</v>
      </c>
      <c r="C33">
        <v>2015</v>
      </c>
      <c r="D33">
        <v>18</v>
      </c>
      <c r="E33">
        <v>24.3</v>
      </c>
      <c r="F33">
        <v>44.3</v>
      </c>
      <c r="G33">
        <v>4</v>
      </c>
      <c r="H33">
        <v>44</v>
      </c>
      <c r="I33">
        <v>360</v>
      </c>
      <c r="J33">
        <v>4</v>
      </c>
      <c r="K33">
        <v>4</v>
      </c>
      <c r="L33">
        <v>4</v>
      </c>
      <c r="M33">
        <v>4</v>
      </c>
      <c r="N33">
        <v>0</v>
      </c>
      <c r="O33">
        <v>0</v>
      </c>
      <c r="P33">
        <v>8</v>
      </c>
      <c r="Q33">
        <v>0</v>
      </c>
      <c r="R33">
        <v>1</v>
      </c>
      <c r="S33">
        <v>1</v>
      </c>
      <c r="T33">
        <v>2</v>
      </c>
      <c r="U33">
        <v>1</v>
      </c>
      <c r="V33">
        <v>2</v>
      </c>
    </row>
    <row r="34" spans="1:22" x14ac:dyDescent="0.2">
      <c r="A34">
        <v>31</v>
      </c>
      <c r="B34" t="s">
        <v>69</v>
      </c>
      <c r="C34">
        <v>2015</v>
      </c>
      <c r="D34">
        <v>15</v>
      </c>
      <c r="E34">
        <v>25</v>
      </c>
      <c r="F34">
        <v>42.3</v>
      </c>
      <c r="G34">
        <v>3</v>
      </c>
      <c r="H34">
        <v>33</v>
      </c>
      <c r="I34">
        <v>270</v>
      </c>
      <c r="J34">
        <v>3</v>
      </c>
      <c r="K34">
        <v>3</v>
      </c>
      <c r="L34">
        <v>3</v>
      </c>
      <c r="M34">
        <v>3</v>
      </c>
      <c r="N34">
        <v>0</v>
      </c>
      <c r="O34">
        <v>0</v>
      </c>
      <c r="P34">
        <v>0</v>
      </c>
      <c r="Q34">
        <v>0</v>
      </c>
      <c r="R34">
        <v>1</v>
      </c>
      <c r="S34">
        <v>1</v>
      </c>
      <c r="T34">
        <v>2</v>
      </c>
      <c r="U34">
        <v>1</v>
      </c>
      <c r="V34">
        <v>2</v>
      </c>
    </row>
    <row r="35" spans="1:22" x14ac:dyDescent="0.2">
      <c r="A35">
        <v>32</v>
      </c>
      <c r="B35" t="s">
        <v>70</v>
      </c>
      <c r="C35">
        <v>2015</v>
      </c>
      <c r="D35">
        <v>19</v>
      </c>
      <c r="E35">
        <v>25</v>
      </c>
      <c r="F35">
        <v>45</v>
      </c>
      <c r="G35">
        <v>3</v>
      </c>
      <c r="H35">
        <v>33</v>
      </c>
      <c r="I35">
        <v>270</v>
      </c>
      <c r="J35">
        <v>3</v>
      </c>
      <c r="K35">
        <v>3</v>
      </c>
      <c r="L35">
        <v>0</v>
      </c>
      <c r="M35">
        <v>3</v>
      </c>
      <c r="N35">
        <v>0</v>
      </c>
      <c r="O35">
        <v>0</v>
      </c>
      <c r="P35">
        <v>8</v>
      </c>
      <c r="Q35">
        <v>0</v>
      </c>
      <c r="R35">
        <v>1</v>
      </c>
      <c r="S35">
        <v>0</v>
      </c>
      <c r="T35">
        <v>1</v>
      </c>
      <c r="U35">
        <v>1</v>
      </c>
      <c r="V35">
        <v>1</v>
      </c>
    </row>
    <row r="36" spans="1:22" x14ac:dyDescent="0.2">
      <c r="A36">
        <v>33</v>
      </c>
      <c r="B36" t="s">
        <v>71</v>
      </c>
      <c r="C36">
        <v>2015</v>
      </c>
      <c r="D36">
        <v>19</v>
      </c>
      <c r="E36">
        <v>23.4</v>
      </c>
      <c r="F36">
        <v>38.700000000000003</v>
      </c>
      <c r="G36">
        <v>3</v>
      </c>
      <c r="H36">
        <v>33</v>
      </c>
      <c r="I36">
        <v>270</v>
      </c>
      <c r="J36">
        <v>3</v>
      </c>
      <c r="K36">
        <v>1</v>
      </c>
      <c r="L36">
        <v>0</v>
      </c>
      <c r="M36">
        <v>0</v>
      </c>
      <c r="N36">
        <v>1</v>
      </c>
      <c r="O36">
        <v>1</v>
      </c>
      <c r="P36">
        <v>6</v>
      </c>
      <c r="Q36">
        <v>1</v>
      </c>
      <c r="R36">
        <v>0.33</v>
      </c>
      <c r="S36">
        <v>0</v>
      </c>
      <c r="T36">
        <v>0.33</v>
      </c>
      <c r="U36">
        <v>0</v>
      </c>
      <c r="V36">
        <v>0</v>
      </c>
    </row>
    <row r="37" spans="1:22" x14ac:dyDescent="0.2">
      <c r="A37">
        <v>34</v>
      </c>
      <c r="B37" t="s">
        <v>51</v>
      </c>
      <c r="C37">
        <v>2015</v>
      </c>
      <c r="D37">
        <v>22</v>
      </c>
      <c r="E37">
        <v>27.6</v>
      </c>
      <c r="F37">
        <v>48.1</v>
      </c>
      <c r="G37">
        <v>7</v>
      </c>
      <c r="H37">
        <v>77</v>
      </c>
      <c r="I37">
        <v>660</v>
      </c>
      <c r="J37">
        <v>7.3</v>
      </c>
      <c r="K37">
        <v>10</v>
      </c>
      <c r="L37">
        <v>4</v>
      </c>
      <c r="M37">
        <v>7</v>
      </c>
      <c r="N37">
        <v>3</v>
      </c>
      <c r="O37">
        <v>3</v>
      </c>
      <c r="P37">
        <v>3</v>
      </c>
      <c r="Q37">
        <v>0</v>
      </c>
      <c r="R37">
        <v>1.36</v>
      </c>
      <c r="S37">
        <v>0.55000000000000004</v>
      </c>
      <c r="T37">
        <v>1.91</v>
      </c>
      <c r="U37">
        <v>0.95</v>
      </c>
      <c r="V37">
        <v>1.5</v>
      </c>
    </row>
    <row r="38" spans="1:22" x14ac:dyDescent="0.2">
      <c r="A38">
        <v>35</v>
      </c>
      <c r="B38" t="s">
        <v>52</v>
      </c>
      <c r="C38">
        <v>2015</v>
      </c>
      <c r="D38">
        <v>19</v>
      </c>
      <c r="E38">
        <v>27.3</v>
      </c>
      <c r="F38">
        <v>53.6</v>
      </c>
      <c r="G38">
        <v>5</v>
      </c>
      <c r="H38">
        <v>55</v>
      </c>
      <c r="I38">
        <v>480</v>
      </c>
      <c r="J38">
        <v>5.3</v>
      </c>
      <c r="K38">
        <v>9</v>
      </c>
      <c r="L38">
        <v>7</v>
      </c>
      <c r="M38">
        <v>9</v>
      </c>
      <c r="N38">
        <v>0</v>
      </c>
      <c r="O38">
        <v>0</v>
      </c>
      <c r="P38">
        <v>0</v>
      </c>
      <c r="Q38">
        <v>0</v>
      </c>
      <c r="R38">
        <v>1.69</v>
      </c>
      <c r="S38">
        <v>1.31</v>
      </c>
      <c r="T38">
        <v>3</v>
      </c>
      <c r="U38">
        <v>1.69</v>
      </c>
      <c r="V38">
        <v>3</v>
      </c>
    </row>
    <row r="39" spans="1:22" x14ac:dyDescent="0.2">
      <c r="A39">
        <v>36</v>
      </c>
      <c r="B39" t="s">
        <v>53</v>
      </c>
      <c r="C39">
        <v>2015</v>
      </c>
      <c r="D39">
        <v>21</v>
      </c>
      <c r="E39">
        <v>26.9</v>
      </c>
      <c r="F39">
        <v>54.7</v>
      </c>
      <c r="G39">
        <v>7</v>
      </c>
      <c r="H39">
        <v>77</v>
      </c>
      <c r="I39">
        <v>690</v>
      </c>
      <c r="J39">
        <v>7.7</v>
      </c>
      <c r="K39">
        <v>20</v>
      </c>
      <c r="L39">
        <v>11</v>
      </c>
      <c r="M39">
        <v>18</v>
      </c>
      <c r="N39">
        <v>2</v>
      </c>
      <c r="O39">
        <v>2</v>
      </c>
      <c r="P39">
        <v>1</v>
      </c>
      <c r="Q39">
        <v>0</v>
      </c>
      <c r="R39">
        <v>2.61</v>
      </c>
      <c r="S39">
        <v>1.43</v>
      </c>
      <c r="T39">
        <v>4.04</v>
      </c>
      <c r="U39">
        <v>2.35</v>
      </c>
      <c r="V39">
        <v>3.78</v>
      </c>
    </row>
    <row r="40" spans="1:22" x14ac:dyDescent="0.2">
      <c r="A40">
        <v>37</v>
      </c>
      <c r="B40" t="s">
        <v>56</v>
      </c>
      <c r="C40">
        <v>2015</v>
      </c>
      <c r="D40">
        <v>23</v>
      </c>
      <c r="E40">
        <v>27.9</v>
      </c>
      <c r="F40">
        <v>55.1</v>
      </c>
      <c r="G40">
        <v>7</v>
      </c>
      <c r="H40">
        <v>77</v>
      </c>
      <c r="I40">
        <v>630</v>
      </c>
      <c r="J40">
        <v>7</v>
      </c>
      <c r="K40">
        <v>9</v>
      </c>
      <c r="L40">
        <v>5</v>
      </c>
      <c r="M40">
        <v>7</v>
      </c>
      <c r="N40">
        <v>2</v>
      </c>
      <c r="O40">
        <v>2</v>
      </c>
      <c r="P40">
        <v>1</v>
      </c>
      <c r="Q40">
        <v>0</v>
      </c>
      <c r="R40">
        <v>1.29</v>
      </c>
      <c r="S40">
        <v>0.71</v>
      </c>
      <c r="T40">
        <v>2</v>
      </c>
      <c r="U40">
        <v>1</v>
      </c>
      <c r="V40">
        <v>1.71</v>
      </c>
    </row>
    <row r="41" spans="1:22" x14ac:dyDescent="0.2">
      <c r="A41">
        <v>38</v>
      </c>
      <c r="B41" t="s">
        <v>57</v>
      </c>
      <c r="C41">
        <v>2015</v>
      </c>
      <c r="D41">
        <v>19</v>
      </c>
      <c r="E41">
        <v>26.1</v>
      </c>
      <c r="F41">
        <v>43.8</v>
      </c>
      <c r="G41">
        <v>4</v>
      </c>
      <c r="H41">
        <v>44</v>
      </c>
      <c r="I41">
        <v>360</v>
      </c>
      <c r="J41">
        <v>4</v>
      </c>
      <c r="K41">
        <v>4</v>
      </c>
      <c r="L41">
        <v>3</v>
      </c>
      <c r="M41">
        <v>3</v>
      </c>
      <c r="N41">
        <v>1</v>
      </c>
      <c r="O41">
        <v>1</v>
      </c>
      <c r="P41">
        <v>5</v>
      </c>
      <c r="Q41">
        <v>0</v>
      </c>
      <c r="R41">
        <v>1</v>
      </c>
      <c r="S41">
        <v>0.75</v>
      </c>
      <c r="T41">
        <v>1.75</v>
      </c>
      <c r="U41">
        <v>0.75</v>
      </c>
      <c r="V41">
        <v>1.5</v>
      </c>
    </row>
    <row r="42" spans="1:22" x14ac:dyDescent="0.2">
      <c r="A42">
        <v>39</v>
      </c>
      <c r="B42" t="s">
        <v>72</v>
      </c>
      <c r="C42">
        <v>2015</v>
      </c>
      <c r="D42">
        <v>17</v>
      </c>
      <c r="E42">
        <v>24.3</v>
      </c>
      <c r="F42">
        <v>52.3</v>
      </c>
      <c r="G42">
        <v>3</v>
      </c>
      <c r="H42">
        <v>33</v>
      </c>
      <c r="I42">
        <v>270</v>
      </c>
      <c r="J42">
        <v>3</v>
      </c>
      <c r="K42">
        <v>2</v>
      </c>
      <c r="L42">
        <v>1</v>
      </c>
      <c r="M42">
        <v>2</v>
      </c>
      <c r="N42">
        <v>0</v>
      </c>
      <c r="O42">
        <v>0</v>
      </c>
      <c r="P42">
        <v>4</v>
      </c>
      <c r="Q42">
        <v>0</v>
      </c>
      <c r="R42">
        <v>0.67</v>
      </c>
      <c r="S42">
        <v>0.33</v>
      </c>
      <c r="T42">
        <v>1</v>
      </c>
      <c r="U42">
        <v>0.67</v>
      </c>
      <c r="V42">
        <v>1</v>
      </c>
    </row>
    <row r="43" spans="1:22" x14ac:dyDescent="0.2">
      <c r="A43">
        <v>40</v>
      </c>
      <c r="B43" t="s">
        <v>58</v>
      </c>
      <c r="C43">
        <v>2015</v>
      </c>
      <c r="D43">
        <v>18</v>
      </c>
      <c r="E43">
        <v>24.3</v>
      </c>
      <c r="F43">
        <v>49</v>
      </c>
      <c r="G43">
        <v>4</v>
      </c>
      <c r="H43">
        <v>44</v>
      </c>
      <c r="I43">
        <v>360</v>
      </c>
      <c r="J43">
        <v>4</v>
      </c>
      <c r="K43">
        <v>3</v>
      </c>
      <c r="L43">
        <v>3</v>
      </c>
      <c r="M43">
        <v>3</v>
      </c>
      <c r="N43">
        <v>0</v>
      </c>
      <c r="O43">
        <v>0</v>
      </c>
      <c r="P43">
        <v>3</v>
      </c>
      <c r="Q43">
        <v>0</v>
      </c>
      <c r="R43">
        <v>0.75</v>
      </c>
      <c r="S43">
        <v>0.75</v>
      </c>
      <c r="T43">
        <v>1.5</v>
      </c>
      <c r="U43">
        <v>0.75</v>
      </c>
      <c r="V43">
        <v>1.5</v>
      </c>
    </row>
    <row r="44" spans="1:22" x14ac:dyDescent="0.2">
      <c r="A44">
        <v>41</v>
      </c>
      <c r="B44" t="s">
        <v>59</v>
      </c>
      <c r="C44">
        <v>2015</v>
      </c>
      <c r="D44">
        <v>15</v>
      </c>
      <c r="E44">
        <v>24.9</v>
      </c>
      <c r="F44">
        <v>46.7</v>
      </c>
      <c r="G44">
        <v>3</v>
      </c>
      <c r="H44">
        <v>33</v>
      </c>
      <c r="I44">
        <v>270</v>
      </c>
      <c r="J44">
        <v>3</v>
      </c>
      <c r="K44">
        <v>2</v>
      </c>
      <c r="L44">
        <v>2</v>
      </c>
      <c r="M44">
        <v>2</v>
      </c>
      <c r="N44">
        <v>0</v>
      </c>
      <c r="O44">
        <v>0</v>
      </c>
      <c r="P44">
        <v>4</v>
      </c>
      <c r="Q44">
        <v>0</v>
      </c>
      <c r="R44">
        <v>0.67</v>
      </c>
      <c r="S44">
        <v>0.67</v>
      </c>
      <c r="T44">
        <v>1.33</v>
      </c>
      <c r="U44">
        <v>0.67</v>
      </c>
      <c r="V44">
        <v>1.33</v>
      </c>
    </row>
    <row r="45" spans="1:22" x14ac:dyDescent="0.2">
      <c r="A45">
        <v>42</v>
      </c>
      <c r="B45" t="s">
        <v>60</v>
      </c>
      <c r="C45">
        <v>2015</v>
      </c>
      <c r="D45">
        <v>17</v>
      </c>
      <c r="E45">
        <v>24.6</v>
      </c>
      <c r="F45">
        <v>48.3</v>
      </c>
      <c r="G45">
        <v>3</v>
      </c>
      <c r="H45">
        <v>33</v>
      </c>
      <c r="I45">
        <v>270</v>
      </c>
      <c r="J45">
        <v>3</v>
      </c>
      <c r="K45">
        <v>3</v>
      </c>
      <c r="L45">
        <v>3</v>
      </c>
      <c r="M45">
        <v>3</v>
      </c>
      <c r="N45">
        <v>0</v>
      </c>
      <c r="O45">
        <v>0</v>
      </c>
      <c r="P45">
        <v>6</v>
      </c>
      <c r="Q45">
        <v>1</v>
      </c>
      <c r="R45">
        <v>1</v>
      </c>
      <c r="S45">
        <v>1</v>
      </c>
      <c r="T45">
        <v>2</v>
      </c>
      <c r="U45">
        <v>1</v>
      </c>
      <c r="V45">
        <v>2</v>
      </c>
    </row>
    <row r="46" spans="1:22" x14ac:dyDescent="0.2">
      <c r="A46">
        <v>43</v>
      </c>
      <c r="B46" t="s">
        <v>61</v>
      </c>
      <c r="C46">
        <v>2015</v>
      </c>
      <c r="D46">
        <v>18</v>
      </c>
      <c r="E46">
        <v>26.7</v>
      </c>
      <c r="F46">
        <v>54.5</v>
      </c>
      <c r="G46">
        <v>4</v>
      </c>
      <c r="H46">
        <v>44</v>
      </c>
      <c r="I46">
        <v>360</v>
      </c>
      <c r="J46">
        <v>4</v>
      </c>
      <c r="K46">
        <v>9</v>
      </c>
      <c r="L46">
        <v>6</v>
      </c>
      <c r="M46">
        <v>9</v>
      </c>
      <c r="N46">
        <v>0</v>
      </c>
      <c r="O46">
        <v>0</v>
      </c>
      <c r="P46">
        <v>1</v>
      </c>
      <c r="Q46">
        <v>0</v>
      </c>
      <c r="R46">
        <v>2.25</v>
      </c>
      <c r="S46">
        <v>1.5</v>
      </c>
      <c r="T46">
        <v>3.75</v>
      </c>
      <c r="U46">
        <v>2.25</v>
      </c>
      <c r="V46">
        <v>3.75</v>
      </c>
    </row>
    <row r="47" spans="1:22" x14ac:dyDescent="0.2">
      <c r="A47">
        <v>44</v>
      </c>
      <c r="B47" t="s">
        <v>64</v>
      </c>
      <c r="C47">
        <v>2015</v>
      </c>
      <c r="D47">
        <v>17</v>
      </c>
      <c r="E47">
        <v>25.3</v>
      </c>
      <c r="F47">
        <v>50.7</v>
      </c>
      <c r="G47">
        <v>3</v>
      </c>
      <c r="H47">
        <v>33</v>
      </c>
      <c r="I47">
        <v>270</v>
      </c>
      <c r="J47">
        <v>3</v>
      </c>
      <c r="K47">
        <v>2</v>
      </c>
      <c r="L47">
        <v>2</v>
      </c>
      <c r="M47">
        <v>2</v>
      </c>
      <c r="N47">
        <v>0</v>
      </c>
      <c r="O47">
        <v>0</v>
      </c>
      <c r="P47">
        <v>3</v>
      </c>
      <c r="Q47">
        <v>0</v>
      </c>
      <c r="R47">
        <v>0.67</v>
      </c>
      <c r="S47">
        <v>0.67</v>
      </c>
      <c r="T47">
        <v>1.33</v>
      </c>
      <c r="U47">
        <v>0.67</v>
      </c>
      <c r="V47">
        <v>1.33</v>
      </c>
    </row>
    <row r="48" spans="1:22" x14ac:dyDescent="0.2">
      <c r="A48">
        <v>45</v>
      </c>
      <c r="B48" t="s">
        <v>65</v>
      </c>
      <c r="C48">
        <v>2015</v>
      </c>
      <c r="D48">
        <v>18</v>
      </c>
      <c r="E48">
        <v>28.1</v>
      </c>
      <c r="F48">
        <v>49.3</v>
      </c>
      <c r="G48">
        <v>4</v>
      </c>
      <c r="H48">
        <v>44</v>
      </c>
      <c r="I48">
        <v>360</v>
      </c>
      <c r="J48">
        <v>4</v>
      </c>
      <c r="K48">
        <v>4</v>
      </c>
      <c r="L48">
        <v>2</v>
      </c>
      <c r="M48">
        <v>4</v>
      </c>
      <c r="N48">
        <v>0</v>
      </c>
      <c r="O48">
        <v>0</v>
      </c>
      <c r="P48">
        <v>0</v>
      </c>
      <c r="Q48">
        <v>0</v>
      </c>
      <c r="R48">
        <v>1</v>
      </c>
      <c r="S48">
        <v>0.5</v>
      </c>
      <c r="T48">
        <v>1.5</v>
      </c>
      <c r="U48">
        <v>1</v>
      </c>
      <c r="V48">
        <v>1.5</v>
      </c>
    </row>
    <row r="49" spans="1:22" x14ac:dyDescent="0.2">
      <c r="A49">
        <v>46</v>
      </c>
      <c r="B49" t="s">
        <v>73</v>
      </c>
      <c r="C49">
        <v>2015</v>
      </c>
      <c r="D49">
        <v>17</v>
      </c>
      <c r="E49">
        <v>25</v>
      </c>
      <c r="F49">
        <v>55.3</v>
      </c>
      <c r="G49">
        <v>4</v>
      </c>
      <c r="H49">
        <v>44</v>
      </c>
      <c r="I49">
        <v>360</v>
      </c>
      <c r="J49">
        <v>4</v>
      </c>
      <c r="K49">
        <v>9</v>
      </c>
      <c r="L49">
        <v>7</v>
      </c>
      <c r="M49">
        <v>8</v>
      </c>
      <c r="N49">
        <v>1</v>
      </c>
      <c r="O49">
        <v>1</v>
      </c>
      <c r="P49">
        <v>4</v>
      </c>
      <c r="Q49">
        <v>0</v>
      </c>
      <c r="R49">
        <v>2.25</v>
      </c>
      <c r="S49">
        <v>1.75</v>
      </c>
      <c r="T49">
        <v>4</v>
      </c>
      <c r="U49">
        <v>2</v>
      </c>
      <c r="V49">
        <v>3.75</v>
      </c>
    </row>
    <row r="50" spans="1:22" x14ac:dyDescent="0.2">
      <c r="A50">
        <v>47</v>
      </c>
      <c r="B50" t="s">
        <v>66</v>
      </c>
      <c r="C50">
        <v>2015</v>
      </c>
      <c r="D50">
        <v>17</v>
      </c>
      <c r="E50">
        <v>25.7</v>
      </c>
      <c r="F50">
        <v>40</v>
      </c>
      <c r="G50">
        <v>3</v>
      </c>
      <c r="H50">
        <v>33</v>
      </c>
      <c r="I50">
        <v>270</v>
      </c>
      <c r="J50">
        <v>3</v>
      </c>
      <c r="K50">
        <v>3</v>
      </c>
      <c r="L50">
        <v>3</v>
      </c>
      <c r="M50">
        <v>3</v>
      </c>
      <c r="N50">
        <v>0</v>
      </c>
      <c r="O50">
        <v>0</v>
      </c>
      <c r="P50">
        <v>3</v>
      </c>
      <c r="Q50">
        <v>0</v>
      </c>
      <c r="R50">
        <v>1</v>
      </c>
      <c r="S50">
        <v>1</v>
      </c>
      <c r="T50">
        <v>2</v>
      </c>
      <c r="U50">
        <v>1</v>
      </c>
      <c r="V50">
        <v>2</v>
      </c>
    </row>
    <row r="51" spans="1:22" x14ac:dyDescent="0.2">
      <c r="A51">
        <v>48</v>
      </c>
      <c r="B51" t="s">
        <v>67</v>
      </c>
      <c r="C51">
        <v>2015</v>
      </c>
      <c r="D51">
        <v>20</v>
      </c>
      <c r="E51">
        <v>28.4</v>
      </c>
      <c r="F51">
        <v>52.9</v>
      </c>
      <c r="G51">
        <v>7</v>
      </c>
      <c r="H51">
        <v>77</v>
      </c>
      <c r="I51">
        <v>630</v>
      </c>
      <c r="J51">
        <v>7</v>
      </c>
      <c r="K51">
        <v>14</v>
      </c>
      <c r="L51">
        <v>7</v>
      </c>
      <c r="M51">
        <v>12</v>
      </c>
      <c r="N51">
        <v>2</v>
      </c>
      <c r="O51">
        <v>2</v>
      </c>
      <c r="P51">
        <v>2</v>
      </c>
      <c r="Q51">
        <v>0</v>
      </c>
      <c r="R51">
        <v>2</v>
      </c>
      <c r="S51">
        <v>1</v>
      </c>
      <c r="T51">
        <v>3</v>
      </c>
      <c r="U51">
        <v>1.71</v>
      </c>
      <c r="V51">
        <v>2.71</v>
      </c>
    </row>
    <row r="52" spans="1:22" x14ac:dyDescent="0.2">
      <c r="A52">
        <v>49</v>
      </c>
      <c r="B52" t="s">
        <v>45</v>
      </c>
      <c r="C52">
        <v>2011</v>
      </c>
      <c r="D52">
        <v>20</v>
      </c>
      <c r="E52">
        <v>22.8</v>
      </c>
      <c r="F52">
        <v>53.5</v>
      </c>
      <c r="G52">
        <v>4</v>
      </c>
      <c r="H52">
        <v>44</v>
      </c>
      <c r="I52">
        <v>360</v>
      </c>
      <c r="J52">
        <v>4</v>
      </c>
      <c r="K52">
        <v>6</v>
      </c>
      <c r="L52">
        <v>6</v>
      </c>
      <c r="M52">
        <v>6</v>
      </c>
      <c r="N52">
        <v>0</v>
      </c>
      <c r="O52">
        <v>0</v>
      </c>
      <c r="P52">
        <v>0</v>
      </c>
      <c r="Q52">
        <v>0</v>
      </c>
      <c r="R52">
        <v>1.5</v>
      </c>
      <c r="S52">
        <v>1.5</v>
      </c>
      <c r="T52">
        <v>3</v>
      </c>
      <c r="U52">
        <v>1.5</v>
      </c>
      <c r="V52">
        <v>3</v>
      </c>
    </row>
    <row r="53" spans="1:22" x14ac:dyDescent="0.2">
      <c r="A53">
        <v>50</v>
      </c>
      <c r="B53" t="s">
        <v>46</v>
      </c>
      <c r="C53">
        <v>2011</v>
      </c>
      <c r="D53">
        <v>16</v>
      </c>
      <c r="E53">
        <v>27</v>
      </c>
      <c r="F53">
        <v>53.3</v>
      </c>
      <c r="G53">
        <v>4</v>
      </c>
      <c r="H53">
        <v>44</v>
      </c>
      <c r="I53">
        <v>390</v>
      </c>
      <c r="J53">
        <v>4.3</v>
      </c>
      <c r="K53">
        <v>9</v>
      </c>
      <c r="L53">
        <v>6</v>
      </c>
      <c r="M53">
        <v>7</v>
      </c>
      <c r="N53">
        <v>2</v>
      </c>
      <c r="O53">
        <v>2</v>
      </c>
      <c r="P53">
        <v>0</v>
      </c>
      <c r="Q53">
        <v>0</v>
      </c>
      <c r="R53">
        <v>2.08</v>
      </c>
      <c r="S53">
        <v>1.38</v>
      </c>
      <c r="T53">
        <v>3.46</v>
      </c>
      <c r="U53">
        <v>1.62</v>
      </c>
      <c r="V53">
        <v>3</v>
      </c>
    </row>
    <row r="54" spans="1:22" x14ac:dyDescent="0.2">
      <c r="A54">
        <v>51</v>
      </c>
      <c r="B54" t="s">
        <v>48</v>
      </c>
      <c r="C54">
        <v>2011</v>
      </c>
      <c r="D54">
        <v>19</v>
      </c>
      <c r="E54">
        <v>25.9</v>
      </c>
      <c r="F54">
        <v>47.3</v>
      </c>
      <c r="G54">
        <v>3</v>
      </c>
      <c r="H54">
        <v>33</v>
      </c>
      <c r="I54">
        <v>270</v>
      </c>
      <c r="J54">
        <v>3</v>
      </c>
      <c r="K54">
        <v>1</v>
      </c>
      <c r="L54">
        <v>0</v>
      </c>
      <c r="M54">
        <v>1</v>
      </c>
      <c r="N54">
        <v>0</v>
      </c>
      <c r="O54">
        <v>0</v>
      </c>
      <c r="P54">
        <v>0</v>
      </c>
      <c r="Q54">
        <v>0</v>
      </c>
      <c r="R54">
        <v>0.33</v>
      </c>
      <c r="S54">
        <v>0</v>
      </c>
      <c r="T54">
        <v>0.33</v>
      </c>
      <c r="U54">
        <v>0.33</v>
      </c>
      <c r="V54">
        <v>0.33</v>
      </c>
    </row>
    <row r="55" spans="1:22" x14ac:dyDescent="0.2">
      <c r="A55">
        <v>52</v>
      </c>
      <c r="B55" t="s">
        <v>68</v>
      </c>
      <c r="C55">
        <v>2011</v>
      </c>
      <c r="D55">
        <v>17</v>
      </c>
      <c r="E55">
        <v>22.4</v>
      </c>
      <c r="F55">
        <v>49.3</v>
      </c>
      <c r="G55">
        <v>3</v>
      </c>
      <c r="H55">
        <v>33</v>
      </c>
      <c r="I55">
        <v>270</v>
      </c>
      <c r="J55">
        <v>3</v>
      </c>
      <c r="K55">
        <v>0</v>
      </c>
      <c r="L55">
        <v>0</v>
      </c>
      <c r="M55">
        <v>0</v>
      </c>
      <c r="N55">
        <v>0</v>
      </c>
      <c r="O55">
        <v>0</v>
      </c>
      <c r="P55">
        <v>0</v>
      </c>
      <c r="Q55">
        <v>0</v>
      </c>
      <c r="R55">
        <v>0</v>
      </c>
      <c r="S55">
        <v>0</v>
      </c>
      <c r="T55">
        <v>0</v>
      </c>
      <c r="U55">
        <v>0</v>
      </c>
      <c r="V55">
        <v>0</v>
      </c>
    </row>
    <row r="56" spans="1:22" x14ac:dyDescent="0.2">
      <c r="A56">
        <v>53</v>
      </c>
      <c r="B56" t="s">
        <v>51</v>
      </c>
      <c r="C56">
        <v>2011</v>
      </c>
      <c r="D56">
        <v>18</v>
      </c>
      <c r="E56">
        <v>26.9</v>
      </c>
      <c r="F56">
        <v>49.3</v>
      </c>
      <c r="G56">
        <v>4</v>
      </c>
      <c r="H56">
        <v>44</v>
      </c>
      <c r="I56">
        <v>390</v>
      </c>
      <c r="J56">
        <v>4.3</v>
      </c>
      <c r="K56">
        <v>6</v>
      </c>
      <c r="L56">
        <v>7</v>
      </c>
      <c r="M56">
        <v>6</v>
      </c>
      <c r="N56">
        <v>0</v>
      </c>
      <c r="O56">
        <v>0</v>
      </c>
      <c r="P56">
        <v>0</v>
      </c>
      <c r="Q56">
        <v>0</v>
      </c>
      <c r="R56">
        <v>1.38</v>
      </c>
      <c r="S56">
        <v>1.62</v>
      </c>
      <c r="T56">
        <v>3</v>
      </c>
      <c r="U56">
        <v>1.38</v>
      </c>
      <c r="V56">
        <v>3</v>
      </c>
    </row>
    <row r="57" spans="1:22" x14ac:dyDescent="0.2">
      <c r="A57">
        <v>54</v>
      </c>
      <c r="B57" t="s">
        <v>74</v>
      </c>
      <c r="C57">
        <v>2011</v>
      </c>
      <c r="D57">
        <v>15</v>
      </c>
      <c r="E57">
        <v>26.1</v>
      </c>
      <c r="F57">
        <v>40.700000000000003</v>
      </c>
      <c r="G57">
        <v>3</v>
      </c>
      <c r="H57">
        <v>33</v>
      </c>
      <c r="I57">
        <v>270</v>
      </c>
      <c r="J57">
        <v>3</v>
      </c>
      <c r="K57">
        <v>2</v>
      </c>
      <c r="L57">
        <v>0</v>
      </c>
      <c r="M57">
        <v>2</v>
      </c>
      <c r="N57">
        <v>0</v>
      </c>
      <c r="O57">
        <v>0</v>
      </c>
      <c r="R57">
        <v>0.67</v>
      </c>
      <c r="S57">
        <v>0</v>
      </c>
      <c r="T57">
        <v>0.67</v>
      </c>
      <c r="U57">
        <v>0.67</v>
      </c>
      <c r="V57">
        <v>0.67</v>
      </c>
    </row>
    <row r="58" spans="1:22" x14ac:dyDescent="0.2">
      <c r="A58">
        <v>55</v>
      </c>
      <c r="B58" t="s">
        <v>52</v>
      </c>
      <c r="C58">
        <v>2011</v>
      </c>
      <c r="D58">
        <v>20</v>
      </c>
      <c r="E58">
        <v>26.7</v>
      </c>
      <c r="F58">
        <v>52.3</v>
      </c>
      <c r="G58">
        <v>6</v>
      </c>
      <c r="H58">
        <v>66</v>
      </c>
      <c r="I58">
        <v>570</v>
      </c>
      <c r="J58">
        <v>6.3</v>
      </c>
      <c r="K58">
        <v>10</v>
      </c>
      <c r="L58">
        <v>9</v>
      </c>
      <c r="M58">
        <v>10</v>
      </c>
      <c r="N58">
        <v>0</v>
      </c>
      <c r="O58">
        <v>0</v>
      </c>
      <c r="P58">
        <v>0</v>
      </c>
      <c r="Q58">
        <v>0</v>
      </c>
      <c r="R58">
        <v>1.58</v>
      </c>
      <c r="S58">
        <v>1.42</v>
      </c>
      <c r="T58">
        <v>3</v>
      </c>
      <c r="U58">
        <v>1.58</v>
      </c>
      <c r="V58">
        <v>3</v>
      </c>
    </row>
    <row r="59" spans="1:22" x14ac:dyDescent="0.2">
      <c r="A59">
        <v>56</v>
      </c>
      <c r="B59" t="s">
        <v>53</v>
      </c>
      <c r="C59">
        <v>2011</v>
      </c>
      <c r="D59">
        <v>17</v>
      </c>
      <c r="E59">
        <v>26.4</v>
      </c>
      <c r="F59">
        <v>50</v>
      </c>
      <c r="G59">
        <v>4</v>
      </c>
      <c r="H59">
        <v>44</v>
      </c>
      <c r="I59">
        <v>390</v>
      </c>
      <c r="J59">
        <v>4.3</v>
      </c>
      <c r="K59">
        <v>7</v>
      </c>
      <c r="L59">
        <v>6</v>
      </c>
      <c r="M59">
        <v>6</v>
      </c>
      <c r="N59">
        <v>1</v>
      </c>
      <c r="O59">
        <v>1</v>
      </c>
      <c r="P59">
        <v>0</v>
      </c>
      <c r="Q59">
        <v>0</v>
      </c>
      <c r="R59">
        <v>1.62</v>
      </c>
      <c r="S59">
        <v>1.38</v>
      </c>
      <c r="T59">
        <v>3</v>
      </c>
      <c r="U59">
        <v>1.38</v>
      </c>
      <c r="V59">
        <v>2.77</v>
      </c>
    </row>
    <row r="60" spans="1:22" x14ac:dyDescent="0.2">
      <c r="A60">
        <v>57</v>
      </c>
      <c r="B60" t="s">
        <v>56</v>
      </c>
      <c r="C60">
        <v>2011</v>
      </c>
      <c r="D60">
        <v>18</v>
      </c>
      <c r="E60">
        <v>25.4</v>
      </c>
      <c r="F60">
        <v>56.5</v>
      </c>
      <c r="G60">
        <v>6</v>
      </c>
      <c r="H60">
        <v>66</v>
      </c>
      <c r="I60">
        <v>600</v>
      </c>
      <c r="J60">
        <v>6.7</v>
      </c>
      <c r="K60">
        <v>12</v>
      </c>
      <c r="L60">
        <v>10</v>
      </c>
      <c r="M60">
        <v>12</v>
      </c>
      <c r="N60">
        <v>0</v>
      </c>
      <c r="O60">
        <v>0</v>
      </c>
      <c r="P60">
        <v>0</v>
      </c>
      <c r="Q60">
        <v>0</v>
      </c>
      <c r="R60">
        <v>1.8</v>
      </c>
      <c r="S60">
        <v>1.5</v>
      </c>
      <c r="T60">
        <v>3.3</v>
      </c>
      <c r="U60">
        <v>1.8</v>
      </c>
      <c r="V60">
        <v>3.3</v>
      </c>
    </row>
    <row r="61" spans="1:22" x14ac:dyDescent="0.2">
      <c r="A61">
        <v>58</v>
      </c>
      <c r="B61" t="s">
        <v>75</v>
      </c>
      <c r="C61">
        <v>2011</v>
      </c>
      <c r="D61">
        <v>17</v>
      </c>
      <c r="E61">
        <v>21.1</v>
      </c>
      <c r="F61">
        <v>50.7</v>
      </c>
      <c r="G61">
        <v>3</v>
      </c>
      <c r="H61">
        <v>33</v>
      </c>
      <c r="I61">
        <v>270</v>
      </c>
      <c r="J61">
        <v>3</v>
      </c>
      <c r="K61">
        <v>0</v>
      </c>
      <c r="L61">
        <v>0</v>
      </c>
      <c r="M61">
        <v>0</v>
      </c>
      <c r="N61">
        <v>0</v>
      </c>
      <c r="O61">
        <v>0</v>
      </c>
      <c r="R61">
        <v>0</v>
      </c>
      <c r="S61">
        <v>0</v>
      </c>
      <c r="T61">
        <v>0</v>
      </c>
      <c r="U61">
        <v>0</v>
      </c>
      <c r="V61">
        <v>0</v>
      </c>
    </row>
    <row r="62" spans="1:22" x14ac:dyDescent="0.2">
      <c r="A62">
        <v>59</v>
      </c>
      <c r="B62" t="s">
        <v>72</v>
      </c>
      <c r="C62">
        <v>2011</v>
      </c>
      <c r="D62">
        <v>18</v>
      </c>
      <c r="E62">
        <v>23.1</v>
      </c>
      <c r="F62">
        <v>47.7</v>
      </c>
      <c r="G62">
        <v>3</v>
      </c>
      <c r="H62">
        <v>33</v>
      </c>
      <c r="I62">
        <v>270</v>
      </c>
      <c r="J62">
        <v>3</v>
      </c>
      <c r="K62">
        <v>3</v>
      </c>
      <c r="L62">
        <v>3</v>
      </c>
      <c r="M62">
        <v>3</v>
      </c>
      <c r="N62">
        <v>0</v>
      </c>
      <c r="O62">
        <v>0</v>
      </c>
      <c r="P62">
        <v>0</v>
      </c>
      <c r="Q62">
        <v>0</v>
      </c>
      <c r="R62">
        <v>1</v>
      </c>
      <c r="S62">
        <v>1</v>
      </c>
      <c r="T62">
        <v>2</v>
      </c>
      <c r="U62">
        <v>1</v>
      </c>
      <c r="V62">
        <v>2</v>
      </c>
    </row>
    <row r="63" spans="1:22" x14ac:dyDescent="0.2">
      <c r="A63">
        <v>60</v>
      </c>
      <c r="B63" t="s">
        <v>59</v>
      </c>
      <c r="C63">
        <v>2011</v>
      </c>
      <c r="D63">
        <v>16</v>
      </c>
      <c r="E63">
        <v>24.4</v>
      </c>
      <c r="F63">
        <v>45.7</v>
      </c>
      <c r="G63">
        <v>3</v>
      </c>
      <c r="H63">
        <v>33</v>
      </c>
      <c r="I63">
        <v>270</v>
      </c>
      <c r="J63">
        <v>3</v>
      </c>
      <c r="K63">
        <v>4</v>
      </c>
      <c r="L63">
        <v>3</v>
      </c>
      <c r="M63">
        <v>4</v>
      </c>
      <c r="N63">
        <v>0</v>
      </c>
      <c r="O63">
        <v>0</v>
      </c>
      <c r="P63">
        <v>0</v>
      </c>
      <c r="Q63">
        <v>0</v>
      </c>
      <c r="R63">
        <v>1.33</v>
      </c>
      <c r="S63">
        <v>1</v>
      </c>
      <c r="T63">
        <v>2.33</v>
      </c>
      <c r="U63">
        <v>1.33</v>
      </c>
      <c r="V63">
        <v>2.33</v>
      </c>
    </row>
    <row r="64" spans="1:22" x14ac:dyDescent="0.2">
      <c r="A64">
        <v>61</v>
      </c>
      <c r="B64" t="s">
        <v>60</v>
      </c>
      <c r="C64">
        <v>2011</v>
      </c>
      <c r="D64">
        <v>17</v>
      </c>
      <c r="E64">
        <v>24.3</v>
      </c>
      <c r="F64">
        <v>50.7</v>
      </c>
      <c r="G64">
        <v>3</v>
      </c>
      <c r="H64">
        <v>33</v>
      </c>
      <c r="I64">
        <v>270</v>
      </c>
      <c r="J64">
        <v>3</v>
      </c>
      <c r="K64">
        <v>1</v>
      </c>
      <c r="L64">
        <v>0</v>
      </c>
      <c r="M64">
        <v>1</v>
      </c>
      <c r="N64">
        <v>0</v>
      </c>
      <c r="O64">
        <v>0</v>
      </c>
      <c r="P64">
        <v>0</v>
      </c>
      <c r="Q64">
        <v>0</v>
      </c>
      <c r="R64">
        <v>0.33</v>
      </c>
      <c r="S64">
        <v>0</v>
      </c>
      <c r="T64">
        <v>0.33</v>
      </c>
      <c r="U64">
        <v>0.33</v>
      </c>
      <c r="V64">
        <v>0.33</v>
      </c>
    </row>
    <row r="65" spans="1:22" x14ac:dyDescent="0.2">
      <c r="A65">
        <v>62</v>
      </c>
      <c r="B65" t="s">
        <v>61</v>
      </c>
      <c r="C65">
        <v>2011</v>
      </c>
      <c r="D65">
        <v>18</v>
      </c>
      <c r="E65">
        <v>24.7</v>
      </c>
      <c r="F65">
        <v>50.7</v>
      </c>
      <c r="G65">
        <v>3</v>
      </c>
      <c r="H65">
        <v>33</v>
      </c>
      <c r="I65">
        <v>270</v>
      </c>
      <c r="J65">
        <v>3</v>
      </c>
      <c r="K65">
        <v>2</v>
      </c>
      <c r="L65">
        <v>1</v>
      </c>
      <c r="M65">
        <v>2</v>
      </c>
      <c r="N65">
        <v>0</v>
      </c>
      <c r="O65">
        <v>0</v>
      </c>
      <c r="P65">
        <v>0</v>
      </c>
      <c r="Q65">
        <v>0</v>
      </c>
      <c r="R65">
        <v>0.67</v>
      </c>
      <c r="S65">
        <v>0.33</v>
      </c>
      <c r="T65">
        <v>1</v>
      </c>
      <c r="U65">
        <v>0.67</v>
      </c>
      <c r="V65">
        <v>1</v>
      </c>
    </row>
    <row r="66" spans="1:22" x14ac:dyDescent="0.2">
      <c r="A66">
        <v>63</v>
      </c>
      <c r="B66" t="s">
        <v>65</v>
      </c>
      <c r="C66">
        <v>2011</v>
      </c>
      <c r="D66">
        <v>19</v>
      </c>
      <c r="E66">
        <v>28.4</v>
      </c>
      <c r="F66">
        <v>45.3</v>
      </c>
      <c r="G66">
        <v>6</v>
      </c>
      <c r="H66">
        <v>66</v>
      </c>
      <c r="I66">
        <v>540</v>
      </c>
      <c r="J66">
        <v>6</v>
      </c>
      <c r="K66">
        <v>10</v>
      </c>
      <c r="L66">
        <v>4</v>
      </c>
      <c r="M66">
        <v>9</v>
      </c>
      <c r="N66">
        <v>1</v>
      </c>
      <c r="O66">
        <v>1</v>
      </c>
      <c r="P66">
        <v>0</v>
      </c>
      <c r="Q66">
        <v>0</v>
      </c>
      <c r="R66">
        <v>1.67</v>
      </c>
      <c r="S66">
        <v>0.67</v>
      </c>
      <c r="T66">
        <v>2.33</v>
      </c>
      <c r="U66">
        <v>1.5</v>
      </c>
      <c r="V66">
        <v>2.17</v>
      </c>
    </row>
    <row r="67" spans="1:22" x14ac:dyDescent="0.2">
      <c r="A67">
        <v>64</v>
      </c>
      <c r="B67" t="s">
        <v>67</v>
      </c>
      <c r="C67">
        <v>2011</v>
      </c>
      <c r="D67">
        <v>18</v>
      </c>
      <c r="E67">
        <v>28.3</v>
      </c>
      <c r="F67">
        <v>50.5</v>
      </c>
      <c r="G67">
        <v>6</v>
      </c>
      <c r="H67">
        <v>66</v>
      </c>
      <c r="I67">
        <v>600</v>
      </c>
      <c r="J67">
        <v>6.7</v>
      </c>
      <c r="K67">
        <v>12</v>
      </c>
      <c r="L67">
        <v>9</v>
      </c>
      <c r="M67">
        <v>12</v>
      </c>
      <c r="N67">
        <v>0</v>
      </c>
      <c r="O67">
        <v>0</v>
      </c>
      <c r="P67">
        <v>0</v>
      </c>
      <c r="Q67">
        <v>0</v>
      </c>
      <c r="R67">
        <v>1.8</v>
      </c>
      <c r="S67">
        <v>1.35</v>
      </c>
      <c r="T67">
        <v>3.15</v>
      </c>
      <c r="U67">
        <v>1.8</v>
      </c>
      <c r="V67">
        <v>3.15</v>
      </c>
    </row>
    <row r="68" spans="1:22" x14ac:dyDescent="0.2">
      <c r="A68">
        <v>65</v>
      </c>
      <c r="B68" t="s">
        <v>44</v>
      </c>
      <c r="C68">
        <v>2007</v>
      </c>
      <c r="D68">
        <v>19</v>
      </c>
      <c r="E68">
        <v>21</v>
      </c>
      <c r="F68">
        <v>38.299999999999997</v>
      </c>
      <c r="G68">
        <v>3</v>
      </c>
      <c r="H68">
        <v>33</v>
      </c>
      <c r="I68">
        <v>270</v>
      </c>
      <c r="J68">
        <v>3</v>
      </c>
      <c r="K68">
        <v>1</v>
      </c>
      <c r="L68">
        <v>0</v>
      </c>
      <c r="M68">
        <v>1</v>
      </c>
      <c r="N68">
        <v>0</v>
      </c>
      <c r="O68">
        <v>0</v>
      </c>
      <c r="R68">
        <v>0.33</v>
      </c>
      <c r="S68">
        <v>0</v>
      </c>
      <c r="T68">
        <v>0.33</v>
      </c>
      <c r="U68">
        <v>0.33</v>
      </c>
      <c r="V68">
        <v>0.33</v>
      </c>
    </row>
    <row r="69" spans="1:22" x14ac:dyDescent="0.2">
      <c r="A69">
        <v>66</v>
      </c>
      <c r="B69" t="s">
        <v>45</v>
      </c>
      <c r="C69">
        <v>2007</v>
      </c>
      <c r="D69">
        <v>18</v>
      </c>
      <c r="E69">
        <v>24.7</v>
      </c>
      <c r="F69">
        <v>48.3</v>
      </c>
      <c r="G69">
        <v>4</v>
      </c>
      <c r="H69">
        <v>44</v>
      </c>
      <c r="I69">
        <v>360</v>
      </c>
      <c r="J69">
        <v>4</v>
      </c>
      <c r="K69">
        <v>9</v>
      </c>
      <c r="L69">
        <v>6</v>
      </c>
      <c r="M69">
        <v>9</v>
      </c>
      <c r="N69">
        <v>0</v>
      </c>
      <c r="O69">
        <v>0</v>
      </c>
      <c r="R69">
        <v>2.25</v>
      </c>
      <c r="S69">
        <v>1.5</v>
      </c>
      <c r="T69">
        <v>3.75</v>
      </c>
      <c r="U69">
        <v>2.25</v>
      </c>
      <c r="V69">
        <v>3.75</v>
      </c>
    </row>
    <row r="70" spans="1:22" x14ac:dyDescent="0.2">
      <c r="A70">
        <v>67</v>
      </c>
      <c r="B70" t="s">
        <v>46</v>
      </c>
      <c r="C70">
        <v>2007</v>
      </c>
      <c r="D70">
        <v>16</v>
      </c>
      <c r="E70">
        <v>25.7</v>
      </c>
      <c r="F70">
        <v>61.3</v>
      </c>
      <c r="G70">
        <v>6</v>
      </c>
      <c r="H70">
        <v>66</v>
      </c>
      <c r="I70">
        <v>540</v>
      </c>
      <c r="J70">
        <v>6</v>
      </c>
      <c r="K70">
        <v>16</v>
      </c>
      <c r="L70">
        <v>7</v>
      </c>
      <c r="M70">
        <v>16</v>
      </c>
      <c r="N70">
        <v>0</v>
      </c>
      <c r="O70">
        <v>0</v>
      </c>
      <c r="R70">
        <v>2.67</v>
      </c>
      <c r="S70">
        <v>1.17</v>
      </c>
      <c r="T70">
        <v>3.83</v>
      </c>
      <c r="U70">
        <v>2.67</v>
      </c>
      <c r="V70">
        <v>3.83</v>
      </c>
    </row>
    <row r="71" spans="1:22" x14ac:dyDescent="0.2">
      <c r="A71">
        <v>68</v>
      </c>
      <c r="B71" t="s">
        <v>48</v>
      </c>
      <c r="C71">
        <v>2007</v>
      </c>
      <c r="D71">
        <v>18</v>
      </c>
      <c r="E71">
        <v>23.8</v>
      </c>
      <c r="F71">
        <v>39.299999999999997</v>
      </c>
      <c r="G71">
        <v>3</v>
      </c>
      <c r="H71">
        <v>33</v>
      </c>
      <c r="I71">
        <v>270</v>
      </c>
      <c r="J71">
        <v>3</v>
      </c>
      <c r="K71">
        <v>7</v>
      </c>
      <c r="L71">
        <v>3</v>
      </c>
      <c r="M71">
        <v>7</v>
      </c>
      <c r="N71">
        <v>0</v>
      </c>
      <c r="O71">
        <v>0</v>
      </c>
      <c r="R71">
        <v>2.33</v>
      </c>
      <c r="S71">
        <v>1</v>
      </c>
      <c r="T71">
        <v>3.33</v>
      </c>
      <c r="U71">
        <v>2.33</v>
      </c>
      <c r="V71">
        <v>3.33</v>
      </c>
    </row>
    <row r="72" spans="1:22" x14ac:dyDescent="0.2">
      <c r="A72">
        <v>69</v>
      </c>
      <c r="B72" t="s">
        <v>50</v>
      </c>
      <c r="C72">
        <v>2007</v>
      </c>
      <c r="D72">
        <v>18</v>
      </c>
      <c r="E72">
        <v>24.9</v>
      </c>
      <c r="F72">
        <v>47.3</v>
      </c>
      <c r="G72">
        <v>4</v>
      </c>
      <c r="H72">
        <v>44</v>
      </c>
      <c r="I72">
        <v>360</v>
      </c>
      <c r="J72">
        <v>4</v>
      </c>
      <c r="K72">
        <v>5</v>
      </c>
      <c r="L72">
        <v>0</v>
      </c>
      <c r="M72">
        <v>5</v>
      </c>
      <c r="N72">
        <v>0</v>
      </c>
      <c r="O72">
        <v>0</v>
      </c>
      <c r="R72">
        <v>1.25</v>
      </c>
      <c r="S72">
        <v>0</v>
      </c>
      <c r="T72">
        <v>1.25</v>
      </c>
      <c r="U72">
        <v>1.25</v>
      </c>
      <c r="V72">
        <v>1.25</v>
      </c>
    </row>
    <row r="73" spans="1:22" x14ac:dyDescent="0.2">
      <c r="A73">
        <v>70</v>
      </c>
      <c r="B73" t="s">
        <v>76</v>
      </c>
      <c r="C73">
        <v>2007</v>
      </c>
      <c r="D73">
        <v>16</v>
      </c>
      <c r="E73">
        <v>26.9</v>
      </c>
      <c r="F73">
        <v>50.7</v>
      </c>
      <c r="G73">
        <v>3</v>
      </c>
      <c r="H73">
        <v>33</v>
      </c>
      <c r="I73">
        <v>270</v>
      </c>
      <c r="J73">
        <v>3</v>
      </c>
      <c r="K73">
        <v>4</v>
      </c>
      <c r="L73">
        <v>2</v>
      </c>
      <c r="M73">
        <v>4</v>
      </c>
      <c r="N73">
        <v>0</v>
      </c>
      <c r="O73">
        <v>0</v>
      </c>
      <c r="R73">
        <v>1.33</v>
      </c>
      <c r="S73">
        <v>0.67</v>
      </c>
      <c r="T73">
        <v>2</v>
      </c>
      <c r="U73">
        <v>1.33</v>
      </c>
      <c r="V73">
        <v>2</v>
      </c>
    </row>
    <row r="74" spans="1:22" x14ac:dyDescent="0.2">
      <c r="A74">
        <v>71</v>
      </c>
      <c r="B74" t="s">
        <v>51</v>
      </c>
      <c r="C74">
        <v>2007</v>
      </c>
      <c r="D74">
        <v>18</v>
      </c>
      <c r="E74">
        <v>24.8</v>
      </c>
      <c r="F74">
        <v>52.5</v>
      </c>
      <c r="G74">
        <v>4</v>
      </c>
      <c r="H74">
        <v>44</v>
      </c>
      <c r="I74">
        <v>360</v>
      </c>
      <c r="J74">
        <v>4</v>
      </c>
      <c r="K74">
        <v>7</v>
      </c>
      <c r="L74">
        <v>5</v>
      </c>
      <c r="M74">
        <v>5</v>
      </c>
      <c r="N74">
        <v>2</v>
      </c>
      <c r="O74">
        <v>2</v>
      </c>
      <c r="R74">
        <v>1.75</v>
      </c>
      <c r="S74">
        <v>1.25</v>
      </c>
      <c r="T74">
        <v>3</v>
      </c>
      <c r="U74">
        <v>1.25</v>
      </c>
      <c r="V74">
        <v>2.5</v>
      </c>
    </row>
    <row r="75" spans="1:22" x14ac:dyDescent="0.2">
      <c r="A75">
        <v>72</v>
      </c>
      <c r="B75" t="s">
        <v>53</v>
      </c>
      <c r="C75">
        <v>2007</v>
      </c>
      <c r="D75">
        <v>17</v>
      </c>
      <c r="E75">
        <v>26.5</v>
      </c>
      <c r="F75">
        <v>49.5</v>
      </c>
      <c r="G75">
        <v>6</v>
      </c>
      <c r="H75">
        <v>66</v>
      </c>
      <c r="I75">
        <v>540</v>
      </c>
      <c r="J75">
        <v>6</v>
      </c>
      <c r="K75">
        <v>20</v>
      </c>
      <c r="L75">
        <v>11</v>
      </c>
      <c r="M75">
        <v>19</v>
      </c>
      <c r="N75">
        <v>1</v>
      </c>
      <c r="O75">
        <v>1</v>
      </c>
      <c r="R75">
        <v>3.33</v>
      </c>
      <c r="S75">
        <v>1.83</v>
      </c>
      <c r="T75">
        <v>5.17</v>
      </c>
      <c r="U75">
        <v>3.17</v>
      </c>
      <c r="V75">
        <v>5</v>
      </c>
    </row>
    <row r="76" spans="1:22" x14ac:dyDescent="0.2">
      <c r="A76">
        <v>73</v>
      </c>
      <c r="B76" t="s">
        <v>77</v>
      </c>
      <c r="C76">
        <v>2007</v>
      </c>
      <c r="D76">
        <v>19</v>
      </c>
      <c r="E76">
        <v>24.5</v>
      </c>
      <c r="F76">
        <v>52.3</v>
      </c>
      <c r="G76">
        <v>3</v>
      </c>
      <c r="H76">
        <v>33</v>
      </c>
      <c r="I76">
        <v>270</v>
      </c>
      <c r="J76">
        <v>3</v>
      </c>
      <c r="K76">
        <v>3</v>
      </c>
      <c r="L76">
        <v>0</v>
      </c>
      <c r="M76">
        <v>2</v>
      </c>
      <c r="N76">
        <v>1</v>
      </c>
      <c r="O76">
        <v>1</v>
      </c>
      <c r="R76">
        <v>1</v>
      </c>
      <c r="S76">
        <v>0</v>
      </c>
      <c r="T76">
        <v>1</v>
      </c>
      <c r="U76">
        <v>0.67</v>
      </c>
      <c r="V76">
        <v>0.67</v>
      </c>
    </row>
    <row r="77" spans="1:22" x14ac:dyDescent="0.2">
      <c r="A77">
        <v>74</v>
      </c>
      <c r="B77" t="s">
        <v>56</v>
      </c>
      <c r="C77">
        <v>2007</v>
      </c>
      <c r="D77">
        <v>16</v>
      </c>
      <c r="E77">
        <v>24.7</v>
      </c>
      <c r="F77">
        <v>56</v>
      </c>
      <c r="G77">
        <v>3</v>
      </c>
      <c r="H77">
        <v>33</v>
      </c>
      <c r="I77">
        <v>270</v>
      </c>
      <c r="J77">
        <v>3</v>
      </c>
      <c r="K77">
        <v>3</v>
      </c>
      <c r="L77">
        <v>0</v>
      </c>
      <c r="M77">
        <v>3</v>
      </c>
      <c r="N77">
        <v>0</v>
      </c>
      <c r="O77">
        <v>0</v>
      </c>
      <c r="R77">
        <v>1</v>
      </c>
      <c r="S77">
        <v>0</v>
      </c>
      <c r="T77">
        <v>1</v>
      </c>
      <c r="U77">
        <v>1</v>
      </c>
      <c r="V77">
        <v>1</v>
      </c>
    </row>
    <row r="78" spans="1:22" x14ac:dyDescent="0.2">
      <c r="A78">
        <v>75</v>
      </c>
      <c r="B78" t="s">
        <v>75</v>
      </c>
      <c r="C78">
        <v>2007</v>
      </c>
      <c r="D78">
        <v>15</v>
      </c>
      <c r="E78">
        <v>22.8</v>
      </c>
      <c r="F78">
        <v>52.8</v>
      </c>
      <c r="G78">
        <v>4</v>
      </c>
      <c r="H78">
        <v>44</v>
      </c>
      <c r="I78">
        <v>360</v>
      </c>
      <c r="J78">
        <v>4</v>
      </c>
      <c r="K78">
        <v>5</v>
      </c>
      <c r="L78">
        <v>1</v>
      </c>
      <c r="M78">
        <v>5</v>
      </c>
      <c r="N78">
        <v>0</v>
      </c>
      <c r="O78">
        <v>0</v>
      </c>
      <c r="R78">
        <v>1.25</v>
      </c>
      <c r="S78">
        <v>0.25</v>
      </c>
      <c r="T78">
        <v>1.5</v>
      </c>
      <c r="U78">
        <v>1.25</v>
      </c>
      <c r="V78">
        <v>1.5</v>
      </c>
    </row>
    <row r="79" spans="1:22" x14ac:dyDescent="0.2">
      <c r="A79">
        <v>76</v>
      </c>
      <c r="B79" t="s">
        <v>59</v>
      </c>
      <c r="C79">
        <v>2007</v>
      </c>
      <c r="D79">
        <v>18</v>
      </c>
      <c r="E79">
        <v>24.5</v>
      </c>
      <c r="F79">
        <v>39.700000000000003</v>
      </c>
      <c r="G79">
        <v>3</v>
      </c>
      <c r="H79">
        <v>33</v>
      </c>
      <c r="I79">
        <v>270</v>
      </c>
      <c r="J79">
        <v>3</v>
      </c>
      <c r="K79">
        <v>0</v>
      </c>
      <c r="L79">
        <v>0</v>
      </c>
      <c r="M79">
        <v>0</v>
      </c>
      <c r="N79">
        <v>0</v>
      </c>
      <c r="O79">
        <v>0</v>
      </c>
      <c r="R79">
        <v>0</v>
      </c>
      <c r="S79">
        <v>0</v>
      </c>
      <c r="T79">
        <v>0</v>
      </c>
      <c r="U79">
        <v>0</v>
      </c>
      <c r="V79">
        <v>0</v>
      </c>
    </row>
    <row r="80" spans="1:22" x14ac:dyDescent="0.2">
      <c r="A80">
        <v>77</v>
      </c>
      <c r="B80" t="s">
        <v>60</v>
      </c>
      <c r="C80">
        <v>2007</v>
      </c>
      <c r="D80">
        <v>15</v>
      </c>
      <c r="E80">
        <v>23.6</v>
      </c>
      <c r="F80">
        <v>51</v>
      </c>
      <c r="G80">
        <v>3</v>
      </c>
      <c r="H80">
        <v>33</v>
      </c>
      <c r="I80">
        <v>270</v>
      </c>
      <c r="J80">
        <v>3</v>
      </c>
      <c r="K80">
        <v>1</v>
      </c>
      <c r="L80">
        <v>0</v>
      </c>
      <c r="M80">
        <v>1</v>
      </c>
      <c r="N80">
        <v>0</v>
      </c>
      <c r="O80">
        <v>0</v>
      </c>
      <c r="R80">
        <v>0.33</v>
      </c>
      <c r="S80">
        <v>0</v>
      </c>
      <c r="T80">
        <v>0.33</v>
      </c>
      <c r="U80">
        <v>0.33</v>
      </c>
      <c r="V80">
        <v>0.33</v>
      </c>
    </row>
    <row r="81" spans="1:22" x14ac:dyDescent="0.2">
      <c r="A81">
        <v>78</v>
      </c>
      <c r="B81" t="s">
        <v>61</v>
      </c>
      <c r="C81">
        <v>2007</v>
      </c>
      <c r="D81">
        <v>19</v>
      </c>
      <c r="E81">
        <v>26.3</v>
      </c>
      <c r="F81">
        <v>53.7</v>
      </c>
      <c r="G81">
        <v>6</v>
      </c>
      <c r="H81">
        <v>66</v>
      </c>
      <c r="I81">
        <v>540</v>
      </c>
      <c r="J81">
        <v>6</v>
      </c>
      <c r="K81">
        <v>12</v>
      </c>
      <c r="L81">
        <v>10</v>
      </c>
      <c r="M81">
        <v>11</v>
      </c>
      <c r="N81">
        <v>1</v>
      </c>
      <c r="O81">
        <v>1</v>
      </c>
      <c r="R81">
        <v>2</v>
      </c>
      <c r="S81">
        <v>1.67</v>
      </c>
      <c r="T81">
        <v>3.67</v>
      </c>
      <c r="U81">
        <v>1.83</v>
      </c>
      <c r="V81">
        <v>3.5</v>
      </c>
    </row>
    <row r="82" spans="1:22" x14ac:dyDescent="0.2">
      <c r="A82">
        <v>79</v>
      </c>
      <c r="B82" t="s">
        <v>65</v>
      </c>
      <c r="C82">
        <v>2007</v>
      </c>
      <c r="D82">
        <v>16</v>
      </c>
      <c r="E82">
        <v>26.1</v>
      </c>
      <c r="F82">
        <v>49.7</v>
      </c>
      <c r="G82">
        <v>3</v>
      </c>
      <c r="H82">
        <v>33</v>
      </c>
      <c r="I82">
        <v>270</v>
      </c>
      <c r="J82">
        <v>3</v>
      </c>
      <c r="K82">
        <v>3</v>
      </c>
      <c r="L82">
        <v>3</v>
      </c>
      <c r="M82">
        <v>3</v>
      </c>
      <c r="N82">
        <v>0</v>
      </c>
      <c r="O82">
        <v>0</v>
      </c>
      <c r="R82">
        <v>1</v>
      </c>
      <c r="S82">
        <v>1</v>
      </c>
      <c r="T82">
        <v>2</v>
      </c>
      <c r="U82">
        <v>1</v>
      </c>
      <c r="V82">
        <v>2</v>
      </c>
    </row>
    <row r="83" spans="1:22" x14ac:dyDescent="0.2">
      <c r="A83">
        <v>80</v>
      </c>
      <c r="B83" t="s">
        <v>67</v>
      </c>
      <c r="C83">
        <v>2007</v>
      </c>
      <c r="D83">
        <v>18</v>
      </c>
      <c r="E83">
        <v>26.7</v>
      </c>
      <c r="F83">
        <v>46.5</v>
      </c>
      <c r="G83">
        <v>6</v>
      </c>
      <c r="H83">
        <v>66</v>
      </c>
      <c r="I83">
        <v>540</v>
      </c>
      <c r="J83">
        <v>6</v>
      </c>
      <c r="K83">
        <v>12</v>
      </c>
      <c r="L83">
        <v>3</v>
      </c>
      <c r="M83">
        <v>11</v>
      </c>
      <c r="N83">
        <v>1</v>
      </c>
      <c r="O83">
        <v>1</v>
      </c>
      <c r="R83">
        <v>2</v>
      </c>
      <c r="S83">
        <v>0.5</v>
      </c>
      <c r="T83">
        <v>2.5</v>
      </c>
      <c r="U83">
        <v>1.83</v>
      </c>
      <c r="V83">
        <v>2.33</v>
      </c>
    </row>
    <row r="84" spans="1:22" x14ac:dyDescent="0.2">
      <c r="A84">
        <v>81</v>
      </c>
      <c r="B84" t="s">
        <v>44</v>
      </c>
      <c r="C84">
        <v>2003</v>
      </c>
      <c r="D84">
        <v>16</v>
      </c>
      <c r="E84">
        <v>23</v>
      </c>
      <c r="F84">
        <v>49</v>
      </c>
      <c r="G84">
        <v>3</v>
      </c>
      <c r="H84">
        <v>33</v>
      </c>
      <c r="I84">
        <v>270</v>
      </c>
      <c r="J84">
        <v>3</v>
      </c>
      <c r="K84">
        <v>1</v>
      </c>
      <c r="L84">
        <v>0</v>
      </c>
      <c r="M84">
        <v>1</v>
      </c>
      <c r="N84">
        <v>0</v>
      </c>
      <c r="O84">
        <v>0</v>
      </c>
      <c r="R84">
        <v>0.33</v>
      </c>
      <c r="S84">
        <v>0</v>
      </c>
      <c r="T84">
        <v>0.33</v>
      </c>
      <c r="U84">
        <v>0.33</v>
      </c>
      <c r="V84">
        <v>0.33</v>
      </c>
    </row>
    <row r="85" spans="1:22" x14ac:dyDescent="0.2">
      <c r="A85">
        <v>82</v>
      </c>
      <c r="B85" t="s">
        <v>45</v>
      </c>
      <c r="C85">
        <v>2003</v>
      </c>
      <c r="D85">
        <v>16</v>
      </c>
      <c r="E85">
        <v>23.4</v>
      </c>
      <c r="F85">
        <v>49</v>
      </c>
      <c r="G85">
        <v>3</v>
      </c>
      <c r="H85">
        <v>33</v>
      </c>
      <c r="I85">
        <v>270</v>
      </c>
      <c r="J85">
        <v>3</v>
      </c>
      <c r="K85">
        <v>3</v>
      </c>
      <c r="L85">
        <v>0</v>
      </c>
      <c r="M85">
        <v>3</v>
      </c>
      <c r="N85">
        <v>0</v>
      </c>
      <c r="O85">
        <v>0</v>
      </c>
      <c r="R85">
        <v>1</v>
      </c>
      <c r="S85">
        <v>0</v>
      </c>
      <c r="T85">
        <v>1</v>
      </c>
      <c r="U85">
        <v>1</v>
      </c>
      <c r="V85">
        <v>1</v>
      </c>
    </row>
    <row r="86" spans="1:22" x14ac:dyDescent="0.2">
      <c r="A86">
        <v>83</v>
      </c>
      <c r="B86" t="s">
        <v>46</v>
      </c>
      <c r="C86">
        <v>2003</v>
      </c>
      <c r="D86">
        <v>16</v>
      </c>
      <c r="E86">
        <v>22.4</v>
      </c>
      <c r="F86">
        <v>55</v>
      </c>
      <c r="G86">
        <v>4</v>
      </c>
      <c r="H86">
        <v>44</v>
      </c>
      <c r="I86">
        <v>360</v>
      </c>
      <c r="J86">
        <v>4</v>
      </c>
      <c r="K86">
        <v>9</v>
      </c>
      <c r="L86">
        <v>0</v>
      </c>
      <c r="M86">
        <v>9</v>
      </c>
      <c r="N86">
        <v>0</v>
      </c>
      <c r="O86">
        <v>0</v>
      </c>
      <c r="R86">
        <v>2.25</v>
      </c>
      <c r="S86">
        <v>0</v>
      </c>
      <c r="T86">
        <v>2.25</v>
      </c>
      <c r="U86">
        <v>2.25</v>
      </c>
      <c r="V86">
        <v>2.25</v>
      </c>
    </row>
    <row r="87" spans="1:22" x14ac:dyDescent="0.2">
      <c r="A87">
        <v>84</v>
      </c>
      <c r="B87" t="s">
        <v>48</v>
      </c>
      <c r="C87">
        <v>2003</v>
      </c>
      <c r="D87">
        <v>17</v>
      </c>
      <c r="E87">
        <v>22.7</v>
      </c>
      <c r="F87">
        <v>41.7</v>
      </c>
      <c r="G87">
        <v>6</v>
      </c>
      <c r="H87">
        <v>66</v>
      </c>
      <c r="I87">
        <v>540</v>
      </c>
      <c r="J87">
        <v>6</v>
      </c>
      <c r="K87">
        <v>10</v>
      </c>
      <c r="L87">
        <v>0</v>
      </c>
      <c r="M87">
        <v>10</v>
      </c>
      <c r="N87">
        <v>0</v>
      </c>
      <c r="O87">
        <v>0</v>
      </c>
      <c r="R87">
        <v>1.67</v>
      </c>
      <c r="S87">
        <v>0</v>
      </c>
      <c r="T87">
        <v>1.67</v>
      </c>
      <c r="U87">
        <v>1.67</v>
      </c>
      <c r="V87">
        <v>1.67</v>
      </c>
    </row>
    <row r="88" spans="1:22" x14ac:dyDescent="0.2">
      <c r="A88">
        <v>85</v>
      </c>
      <c r="B88" t="s">
        <v>50</v>
      </c>
      <c r="C88">
        <v>2003</v>
      </c>
      <c r="D88">
        <v>18</v>
      </c>
      <c r="E88">
        <v>27</v>
      </c>
      <c r="F88">
        <v>61</v>
      </c>
      <c r="G88">
        <v>4</v>
      </c>
      <c r="H88">
        <v>44</v>
      </c>
      <c r="I88">
        <v>360</v>
      </c>
      <c r="J88">
        <v>4</v>
      </c>
      <c r="K88">
        <v>3</v>
      </c>
      <c r="L88">
        <v>0</v>
      </c>
      <c r="M88">
        <v>3</v>
      </c>
      <c r="N88">
        <v>0</v>
      </c>
      <c r="O88">
        <v>0</v>
      </c>
      <c r="R88">
        <v>0.75</v>
      </c>
      <c r="S88">
        <v>0</v>
      </c>
      <c r="T88">
        <v>0.75</v>
      </c>
      <c r="U88">
        <v>0.75</v>
      </c>
      <c r="V88">
        <v>0.75</v>
      </c>
    </row>
    <row r="89" spans="1:22" x14ac:dyDescent="0.2">
      <c r="A89">
        <v>86</v>
      </c>
      <c r="B89" t="s">
        <v>52</v>
      </c>
      <c r="C89">
        <v>2003</v>
      </c>
      <c r="D89">
        <v>17</v>
      </c>
      <c r="E89">
        <v>25.2</v>
      </c>
      <c r="F89">
        <v>46.3</v>
      </c>
      <c r="G89">
        <v>3</v>
      </c>
      <c r="H89">
        <v>33</v>
      </c>
      <c r="I89">
        <v>270</v>
      </c>
      <c r="J89">
        <v>3</v>
      </c>
      <c r="K89">
        <v>2</v>
      </c>
      <c r="L89">
        <v>0</v>
      </c>
      <c r="M89">
        <v>2</v>
      </c>
      <c r="N89">
        <v>0</v>
      </c>
      <c r="O89">
        <v>0</v>
      </c>
      <c r="R89">
        <v>0.67</v>
      </c>
      <c r="S89">
        <v>0</v>
      </c>
      <c r="T89">
        <v>0.67</v>
      </c>
      <c r="U89">
        <v>0.67</v>
      </c>
      <c r="V89">
        <v>0.67</v>
      </c>
    </row>
    <row r="90" spans="1:22" x14ac:dyDescent="0.2">
      <c r="A90">
        <v>87</v>
      </c>
      <c r="B90" t="s">
        <v>53</v>
      </c>
      <c r="C90">
        <v>2003</v>
      </c>
      <c r="D90">
        <v>19</v>
      </c>
      <c r="E90">
        <v>27</v>
      </c>
      <c r="F90">
        <v>51.8</v>
      </c>
      <c r="G90">
        <v>6</v>
      </c>
      <c r="H90">
        <v>66</v>
      </c>
      <c r="I90">
        <v>570</v>
      </c>
      <c r="J90">
        <v>6.3</v>
      </c>
      <c r="K90">
        <v>25</v>
      </c>
      <c r="L90">
        <v>0</v>
      </c>
      <c r="M90">
        <v>25</v>
      </c>
      <c r="N90">
        <v>0</v>
      </c>
      <c r="O90">
        <v>0</v>
      </c>
      <c r="R90">
        <v>3.95</v>
      </c>
      <c r="S90">
        <v>0</v>
      </c>
      <c r="T90">
        <v>3.95</v>
      </c>
      <c r="U90">
        <v>3.95</v>
      </c>
      <c r="V90">
        <v>3.95</v>
      </c>
    </row>
    <row r="91" spans="1:22" x14ac:dyDescent="0.2">
      <c r="A91">
        <v>88</v>
      </c>
      <c r="B91" t="s">
        <v>77</v>
      </c>
      <c r="C91">
        <v>2003</v>
      </c>
      <c r="D91">
        <v>15</v>
      </c>
      <c r="E91">
        <v>25.4</v>
      </c>
      <c r="F91">
        <v>47.7</v>
      </c>
      <c r="G91">
        <v>3</v>
      </c>
      <c r="H91">
        <v>33</v>
      </c>
      <c r="I91">
        <v>270</v>
      </c>
      <c r="J91">
        <v>3</v>
      </c>
      <c r="K91">
        <v>2</v>
      </c>
      <c r="L91">
        <v>0</v>
      </c>
      <c r="M91">
        <v>2</v>
      </c>
      <c r="N91">
        <v>0</v>
      </c>
      <c r="O91">
        <v>0</v>
      </c>
      <c r="R91">
        <v>0.67</v>
      </c>
      <c r="S91">
        <v>0</v>
      </c>
      <c r="T91">
        <v>0.67</v>
      </c>
      <c r="U91">
        <v>0.67</v>
      </c>
      <c r="V91">
        <v>0.67</v>
      </c>
    </row>
    <row r="92" spans="1:22" x14ac:dyDescent="0.2">
      <c r="A92">
        <v>89</v>
      </c>
      <c r="B92" t="s">
        <v>56</v>
      </c>
      <c r="C92">
        <v>2003</v>
      </c>
      <c r="D92">
        <v>16</v>
      </c>
      <c r="E92">
        <v>24.2</v>
      </c>
      <c r="F92">
        <v>54.7</v>
      </c>
      <c r="G92">
        <v>3</v>
      </c>
      <c r="H92">
        <v>33</v>
      </c>
      <c r="I92">
        <v>270</v>
      </c>
      <c r="J92">
        <v>3</v>
      </c>
      <c r="K92">
        <v>7</v>
      </c>
      <c r="L92">
        <v>0</v>
      </c>
      <c r="M92">
        <v>7</v>
      </c>
      <c r="N92">
        <v>0</v>
      </c>
      <c r="O92">
        <v>0</v>
      </c>
      <c r="R92">
        <v>2.33</v>
      </c>
      <c r="S92">
        <v>0</v>
      </c>
      <c r="T92">
        <v>2.33</v>
      </c>
      <c r="U92">
        <v>2.33</v>
      </c>
      <c r="V92">
        <v>2.33</v>
      </c>
    </row>
    <row r="93" spans="1:22" x14ac:dyDescent="0.2">
      <c r="A93">
        <v>90</v>
      </c>
      <c r="B93" t="s">
        <v>75</v>
      </c>
      <c r="C93">
        <v>2003</v>
      </c>
      <c r="D93">
        <v>15</v>
      </c>
      <c r="E93">
        <v>24.6</v>
      </c>
      <c r="F93">
        <v>52.3</v>
      </c>
      <c r="G93">
        <v>3</v>
      </c>
      <c r="H93">
        <v>33</v>
      </c>
      <c r="I93">
        <v>270</v>
      </c>
      <c r="J93">
        <v>3</v>
      </c>
      <c r="K93">
        <v>3</v>
      </c>
      <c r="L93">
        <v>0</v>
      </c>
      <c r="M93">
        <v>3</v>
      </c>
      <c r="N93">
        <v>0</v>
      </c>
      <c r="O93">
        <v>0</v>
      </c>
      <c r="R93">
        <v>1</v>
      </c>
      <c r="S93">
        <v>0</v>
      </c>
      <c r="T93">
        <v>1</v>
      </c>
      <c r="U93">
        <v>1</v>
      </c>
      <c r="V93">
        <v>1</v>
      </c>
    </row>
    <row r="94" spans="1:22" x14ac:dyDescent="0.2">
      <c r="A94">
        <v>91</v>
      </c>
      <c r="B94" t="s">
        <v>57</v>
      </c>
      <c r="C94">
        <v>2003</v>
      </c>
      <c r="D94">
        <v>18</v>
      </c>
      <c r="E94">
        <v>22.2</v>
      </c>
      <c r="F94">
        <v>48.7</v>
      </c>
      <c r="G94">
        <v>3</v>
      </c>
      <c r="H94">
        <v>33</v>
      </c>
      <c r="I94">
        <v>270</v>
      </c>
      <c r="J94">
        <v>3</v>
      </c>
      <c r="K94">
        <v>1</v>
      </c>
      <c r="L94">
        <v>0</v>
      </c>
      <c r="M94">
        <v>1</v>
      </c>
      <c r="N94">
        <v>0</v>
      </c>
      <c r="O94">
        <v>0</v>
      </c>
      <c r="R94">
        <v>0.33</v>
      </c>
      <c r="S94">
        <v>0</v>
      </c>
      <c r="T94">
        <v>0.33</v>
      </c>
      <c r="U94">
        <v>0.33</v>
      </c>
      <c r="V94">
        <v>0.33</v>
      </c>
    </row>
    <row r="95" spans="1:22" x14ac:dyDescent="0.2">
      <c r="A95">
        <v>92</v>
      </c>
      <c r="B95" t="s">
        <v>60</v>
      </c>
      <c r="C95">
        <v>2003</v>
      </c>
      <c r="D95">
        <v>16</v>
      </c>
      <c r="E95">
        <v>24.7</v>
      </c>
      <c r="F95">
        <v>51.3</v>
      </c>
      <c r="G95">
        <v>3</v>
      </c>
      <c r="H95">
        <v>33</v>
      </c>
      <c r="I95">
        <v>270</v>
      </c>
      <c r="J95">
        <v>3</v>
      </c>
      <c r="K95">
        <v>0</v>
      </c>
      <c r="L95">
        <v>0</v>
      </c>
      <c r="M95">
        <v>0</v>
      </c>
      <c r="N95">
        <v>0</v>
      </c>
      <c r="O95">
        <v>0</v>
      </c>
      <c r="R95">
        <v>0</v>
      </c>
      <c r="S95">
        <v>0</v>
      </c>
      <c r="T95">
        <v>0</v>
      </c>
      <c r="U95">
        <v>0</v>
      </c>
      <c r="V95">
        <v>0</v>
      </c>
    </row>
    <row r="96" spans="1:22" x14ac:dyDescent="0.2">
      <c r="A96">
        <v>93</v>
      </c>
      <c r="B96" t="s">
        <v>61</v>
      </c>
      <c r="C96">
        <v>2003</v>
      </c>
      <c r="D96">
        <v>16</v>
      </c>
      <c r="E96">
        <v>25.3</v>
      </c>
      <c r="F96">
        <v>48</v>
      </c>
      <c r="G96">
        <v>4</v>
      </c>
      <c r="H96">
        <v>44</v>
      </c>
      <c r="I96">
        <v>360</v>
      </c>
      <c r="J96">
        <v>4</v>
      </c>
      <c r="K96">
        <v>10</v>
      </c>
      <c r="L96">
        <v>1</v>
      </c>
      <c r="M96">
        <v>10</v>
      </c>
      <c r="N96">
        <v>0</v>
      </c>
      <c r="O96">
        <v>0</v>
      </c>
      <c r="R96">
        <v>2.5</v>
      </c>
      <c r="S96">
        <v>0.25</v>
      </c>
      <c r="T96">
        <v>2.75</v>
      </c>
      <c r="U96">
        <v>2.5</v>
      </c>
      <c r="V96">
        <v>2.75</v>
      </c>
    </row>
    <row r="97" spans="1:22" x14ac:dyDescent="0.2">
      <c r="A97">
        <v>94</v>
      </c>
      <c r="B97" t="s">
        <v>78</v>
      </c>
      <c r="C97">
        <v>2003</v>
      </c>
      <c r="D97">
        <v>17</v>
      </c>
      <c r="E97">
        <v>28.1</v>
      </c>
      <c r="F97">
        <v>45</v>
      </c>
      <c r="G97">
        <v>4</v>
      </c>
      <c r="H97">
        <v>44</v>
      </c>
      <c r="I97">
        <v>360</v>
      </c>
      <c r="J97">
        <v>4</v>
      </c>
      <c r="K97">
        <v>5</v>
      </c>
      <c r="L97">
        <v>1</v>
      </c>
      <c r="M97">
        <v>5</v>
      </c>
      <c r="N97">
        <v>0</v>
      </c>
      <c r="O97">
        <v>0</v>
      </c>
      <c r="R97">
        <v>1.25</v>
      </c>
      <c r="S97">
        <v>0.25</v>
      </c>
      <c r="T97">
        <v>1.5</v>
      </c>
      <c r="U97">
        <v>1.25</v>
      </c>
      <c r="V97">
        <v>1.5</v>
      </c>
    </row>
    <row r="98" spans="1:22" x14ac:dyDescent="0.2">
      <c r="A98">
        <v>95</v>
      </c>
      <c r="B98" t="s">
        <v>65</v>
      </c>
      <c r="C98">
        <v>2003</v>
      </c>
      <c r="D98">
        <v>18</v>
      </c>
      <c r="E98">
        <v>25.9</v>
      </c>
      <c r="F98">
        <v>48.2</v>
      </c>
      <c r="G98">
        <v>6</v>
      </c>
      <c r="H98">
        <v>66</v>
      </c>
      <c r="I98">
        <v>570</v>
      </c>
      <c r="J98">
        <v>6.3</v>
      </c>
      <c r="K98">
        <v>10</v>
      </c>
      <c r="L98">
        <v>0</v>
      </c>
      <c r="M98">
        <v>10</v>
      </c>
      <c r="N98">
        <v>0</v>
      </c>
      <c r="O98">
        <v>0</v>
      </c>
      <c r="R98">
        <v>1.58</v>
      </c>
      <c r="S98">
        <v>0</v>
      </c>
      <c r="T98">
        <v>1.58</v>
      </c>
      <c r="U98">
        <v>1.58</v>
      </c>
      <c r="V98">
        <v>1.58</v>
      </c>
    </row>
    <row r="99" spans="1:22" x14ac:dyDescent="0.2">
      <c r="A99">
        <v>96</v>
      </c>
      <c r="B99" t="s">
        <v>67</v>
      </c>
      <c r="C99">
        <v>2003</v>
      </c>
      <c r="D99">
        <v>18</v>
      </c>
      <c r="E99">
        <v>28.1</v>
      </c>
      <c r="F99">
        <v>52.8</v>
      </c>
      <c r="G99">
        <v>6</v>
      </c>
      <c r="H99">
        <v>66</v>
      </c>
      <c r="I99">
        <v>540</v>
      </c>
      <c r="J99">
        <v>6</v>
      </c>
      <c r="K99">
        <v>15</v>
      </c>
      <c r="L99">
        <v>4</v>
      </c>
      <c r="M99">
        <v>15</v>
      </c>
      <c r="N99">
        <v>0</v>
      </c>
      <c r="O99">
        <v>0</v>
      </c>
      <c r="R99">
        <v>2.5</v>
      </c>
      <c r="S99">
        <v>0.67</v>
      </c>
      <c r="T99">
        <v>3.17</v>
      </c>
      <c r="U99">
        <v>2.5</v>
      </c>
      <c r="V99">
        <v>3.17</v>
      </c>
    </row>
    <row r="100" spans="1:22" x14ac:dyDescent="0.2">
      <c r="A100">
        <v>97</v>
      </c>
      <c r="B100" t="s">
        <v>45</v>
      </c>
      <c r="C100">
        <v>1999</v>
      </c>
      <c r="D100">
        <v>17</v>
      </c>
      <c r="E100">
        <v>25</v>
      </c>
      <c r="G100">
        <v>3</v>
      </c>
      <c r="H100">
        <v>33</v>
      </c>
      <c r="I100">
        <v>270</v>
      </c>
      <c r="J100">
        <v>3</v>
      </c>
      <c r="K100">
        <v>3</v>
      </c>
      <c r="L100">
        <v>1</v>
      </c>
      <c r="M100">
        <v>3</v>
      </c>
      <c r="N100">
        <v>0</v>
      </c>
      <c r="O100">
        <v>0</v>
      </c>
      <c r="R100">
        <v>1</v>
      </c>
      <c r="S100">
        <v>0.33</v>
      </c>
      <c r="T100">
        <v>1.33</v>
      </c>
      <c r="U100">
        <v>1</v>
      </c>
      <c r="V100">
        <v>1.33</v>
      </c>
    </row>
    <row r="101" spans="1:22" x14ac:dyDescent="0.2">
      <c r="A101">
        <v>98</v>
      </c>
      <c r="B101" t="s">
        <v>46</v>
      </c>
      <c r="C101">
        <v>1999</v>
      </c>
      <c r="D101">
        <v>15</v>
      </c>
      <c r="E101">
        <v>25</v>
      </c>
      <c r="G101">
        <v>6</v>
      </c>
      <c r="H101">
        <v>66</v>
      </c>
      <c r="I101">
        <v>554</v>
      </c>
      <c r="J101">
        <v>6.2</v>
      </c>
      <c r="K101">
        <v>16</v>
      </c>
      <c r="L101">
        <v>10</v>
      </c>
      <c r="M101">
        <v>16</v>
      </c>
      <c r="N101">
        <v>0</v>
      </c>
      <c r="O101">
        <v>0</v>
      </c>
      <c r="R101">
        <v>2.6</v>
      </c>
      <c r="S101">
        <v>1.62</v>
      </c>
      <c r="T101">
        <v>4.22</v>
      </c>
      <c r="U101">
        <v>2.6</v>
      </c>
      <c r="V101">
        <v>4.22</v>
      </c>
    </row>
    <row r="102" spans="1:22" x14ac:dyDescent="0.2">
      <c r="A102">
        <v>99</v>
      </c>
      <c r="B102" t="s">
        <v>48</v>
      </c>
      <c r="C102">
        <v>1999</v>
      </c>
      <c r="D102">
        <v>15</v>
      </c>
      <c r="E102">
        <v>25.9</v>
      </c>
      <c r="G102">
        <v>3</v>
      </c>
      <c r="H102">
        <v>33</v>
      </c>
      <c r="I102">
        <v>270</v>
      </c>
      <c r="J102">
        <v>3</v>
      </c>
      <c r="K102">
        <v>3</v>
      </c>
      <c r="L102">
        <v>3</v>
      </c>
      <c r="M102">
        <v>3</v>
      </c>
      <c r="N102">
        <v>0</v>
      </c>
      <c r="O102">
        <v>0</v>
      </c>
      <c r="R102">
        <v>1</v>
      </c>
      <c r="S102">
        <v>1</v>
      </c>
      <c r="T102">
        <v>2</v>
      </c>
      <c r="U102">
        <v>1</v>
      </c>
      <c r="V102">
        <v>2</v>
      </c>
    </row>
    <row r="103" spans="1:22" x14ac:dyDescent="0.2">
      <c r="A103">
        <v>100</v>
      </c>
      <c r="B103" t="s">
        <v>50</v>
      </c>
      <c r="C103">
        <v>1999</v>
      </c>
      <c r="D103">
        <v>14</v>
      </c>
      <c r="E103">
        <v>26.6</v>
      </c>
      <c r="G103">
        <v>6</v>
      </c>
      <c r="H103">
        <v>66</v>
      </c>
      <c r="I103">
        <v>570</v>
      </c>
      <c r="J103">
        <v>6.3</v>
      </c>
      <c r="K103">
        <v>19</v>
      </c>
      <c r="L103">
        <v>9</v>
      </c>
      <c r="M103">
        <v>18</v>
      </c>
      <c r="N103">
        <v>1</v>
      </c>
      <c r="O103">
        <v>1</v>
      </c>
      <c r="R103">
        <v>3</v>
      </c>
      <c r="S103">
        <v>1.42</v>
      </c>
      <c r="T103">
        <v>4.42</v>
      </c>
      <c r="U103">
        <v>2.84</v>
      </c>
      <c r="V103">
        <v>4.26</v>
      </c>
    </row>
    <row r="104" spans="1:22" x14ac:dyDescent="0.2">
      <c r="A104">
        <v>101</v>
      </c>
      <c r="B104" t="s">
        <v>76</v>
      </c>
      <c r="C104">
        <v>1999</v>
      </c>
      <c r="D104">
        <v>17</v>
      </c>
      <c r="E104">
        <v>25.5</v>
      </c>
      <c r="G104">
        <v>3</v>
      </c>
      <c r="H104">
        <v>33</v>
      </c>
      <c r="I104">
        <v>270</v>
      </c>
      <c r="J104">
        <v>3</v>
      </c>
      <c r="K104">
        <v>1</v>
      </c>
      <c r="L104">
        <v>0</v>
      </c>
      <c r="M104">
        <v>1</v>
      </c>
      <c r="N104">
        <v>0</v>
      </c>
      <c r="O104">
        <v>0</v>
      </c>
      <c r="R104">
        <v>0.33</v>
      </c>
      <c r="S104">
        <v>0</v>
      </c>
      <c r="T104">
        <v>0.33</v>
      </c>
      <c r="U104">
        <v>0.33</v>
      </c>
      <c r="V104">
        <v>0.33</v>
      </c>
    </row>
    <row r="105" spans="1:22" x14ac:dyDescent="0.2">
      <c r="A105">
        <v>102</v>
      </c>
      <c r="B105" t="s">
        <v>53</v>
      </c>
      <c r="C105">
        <v>1999</v>
      </c>
      <c r="D105">
        <v>18</v>
      </c>
      <c r="E105">
        <v>24.4</v>
      </c>
      <c r="G105">
        <v>4</v>
      </c>
      <c r="H105">
        <v>44</v>
      </c>
      <c r="I105">
        <v>360</v>
      </c>
      <c r="J105">
        <v>4</v>
      </c>
      <c r="K105">
        <v>11</v>
      </c>
      <c r="L105">
        <v>4</v>
      </c>
      <c r="M105">
        <v>11</v>
      </c>
      <c r="N105">
        <v>0</v>
      </c>
      <c r="O105">
        <v>0</v>
      </c>
      <c r="R105">
        <v>2.75</v>
      </c>
      <c r="S105">
        <v>1</v>
      </c>
      <c r="T105">
        <v>3.75</v>
      </c>
      <c r="U105">
        <v>2.75</v>
      </c>
      <c r="V105">
        <v>3.75</v>
      </c>
    </row>
    <row r="106" spans="1:22" x14ac:dyDescent="0.2">
      <c r="A106">
        <v>103</v>
      </c>
      <c r="B106" t="s">
        <v>77</v>
      </c>
      <c r="C106">
        <v>1999</v>
      </c>
      <c r="D106">
        <v>16</v>
      </c>
      <c r="E106">
        <v>23.6</v>
      </c>
      <c r="G106">
        <v>3</v>
      </c>
      <c r="H106">
        <v>33</v>
      </c>
      <c r="I106">
        <v>270</v>
      </c>
      <c r="J106">
        <v>3</v>
      </c>
      <c r="K106">
        <v>1</v>
      </c>
      <c r="L106">
        <v>0</v>
      </c>
      <c r="M106">
        <v>1</v>
      </c>
      <c r="N106">
        <v>0</v>
      </c>
      <c r="O106">
        <v>0</v>
      </c>
      <c r="R106">
        <v>0.33</v>
      </c>
      <c r="S106">
        <v>0</v>
      </c>
      <c r="T106">
        <v>0.33</v>
      </c>
      <c r="U106">
        <v>0.33</v>
      </c>
      <c r="V106">
        <v>0.33</v>
      </c>
    </row>
    <row r="107" spans="1:22" x14ac:dyDescent="0.2">
      <c r="A107">
        <v>104</v>
      </c>
      <c r="B107" t="s">
        <v>54</v>
      </c>
      <c r="C107">
        <v>1999</v>
      </c>
      <c r="D107">
        <v>17</v>
      </c>
      <c r="E107">
        <v>26.7</v>
      </c>
      <c r="G107">
        <v>3</v>
      </c>
      <c r="H107">
        <v>33</v>
      </c>
      <c r="I107">
        <v>270</v>
      </c>
      <c r="J107">
        <v>3</v>
      </c>
      <c r="K107">
        <v>3</v>
      </c>
      <c r="L107">
        <v>1</v>
      </c>
      <c r="M107">
        <v>3</v>
      </c>
      <c r="N107">
        <v>0</v>
      </c>
      <c r="O107">
        <v>0</v>
      </c>
      <c r="R107">
        <v>1</v>
      </c>
      <c r="S107">
        <v>0.33</v>
      </c>
      <c r="T107">
        <v>1.33</v>
      </c>
      <c r="U107">
        <v>1</v>
      </c>
      <c r="V107">
        <v>1.33</v>
      </c>
    </row>
    <row r="108" spans="1:22" x14ac:dyDescent="0.2">
      <c r="A108">
        <v>105</v>
      </c>
      <c r="B108" t="s">
        <v>56</v>
      </c>
      <c r="C108">
        <v>1999</v>
      </c>
      <c r="D108">
        <v>15</v>
      </c>
      <c r="E108">
        <v>23</v>
      </c>
      <c r="G108">
        <v>3</v>
      </c>
      <c r="H108">
        <v>33</v>
      </c>
      <c r="I108">
        <v>270</v>
      </c>
      <c r="J108">
        <v>3</v>
      </c>
      <c r="K108">
        <v>1</v>
      </c>
      <c r="L108">
        <v>1</v>
      </c>
      <c r="M108">
        <v>1</v>
      </c>
      <c r="N108">
        <v>0</v>
      </c>
      <c r="O108">
        <v>0</v>
      </c>
      <c r="R108">
        <v>0.33</v>
      </c>
      <c r="S108">
        <v>0.33</v>
      </c>
      <c r="T108">
        <v>0.67</v>
      </c>
      <c r="U108">
        <v>0.33</v>
      </c>
      <c r="V108">
        <v>0.67</v>
      </c>
    </row>
    <row r="109" spans="1:22" x14ac:dyDescent="0.2">
      <c r="A109">
        <v>106</v>
      </c>
      <c r="B109" t="s">
        <v>75</v>
      </c>
      <c r="C109">
        <v>1999</v>
      </c>
      <c r="D109">
        <v>16</v>
      </c>
      <c r="E109">
        <v>24.5</v>
      </c>
      <c r="G109">
        <v>3</v>
      </c>
      <c r="H109">
        <v>33</v>
      </c>
      <c r="I109">
        <v>270</v>
      </c>
      <c r="J109">
        <v>3</v>
      </c>
      <c r="K109">
        <v>4</v>
      </c>
      <c r="L109">
        <v>2</v>
      </c>
      <c r="M109">
        <v>4</v>
      </c>
      <c r="N109">
        <v>0</v>
      </c>
      <c r="O109">
        <v>0</v>
      </c>
      <c r="R109">
        <v>1.33</v>
      </c>
      <c r="S109">
        <v>0.67</v>
      </c>
      <c r="T109">
        <v>2</v>
      </c>
      <c r="U109">
        <v>1.33</v>
      </c>
      <c r="V109">
        <v>2</v>
      </c>
    </row>
    <row r="110" spans="1:22" x14ac:dyDescent="0.2">
      <c r="A110">
        <v>107</v>
      </c>
      <c r="B110" t="s">
        <v>72</v>
      </c>
      <c r="C110">
        <v>1999</v>
      </c>
      <c r="D110">
        <v>15</v>
      </c>
      <c r="E110">
        <v>21.5</v>
      </c>
      <c r="G110">
        <v>3</v>
      </c>
      <c r="H110">
        <v>33</v>
      </c>
      <c r="I110">
        <v>270</v>
      </c>
      <c r="J110">
        <v>3</v>
      </c>
      <c r="K110">
        <v>1</v>
      </c>
      <c r="L110">
        <v>0</v>
      </c>
      <c r="M110">
        <v>1</v>
      </c>
      <c r="N110">
        <v>0</v>
      </c>
      <c r="O110">
        <v>0</v>
      </c>
      <c r="R110">
        <v>0.33</v>
      </c>
      <c r="S110">
        <v>0</v>
      </c>
      <c r="T110">
        <v>0.33</v>
      </c>
      <c r="U110">
        <v>0.33</v>
      </c>
      <c r="V110">
        <v>0.33</v>
      </c>
    </row>
    <row r="111" spans="1:22" x14ac:dyDescent="0.2">
      <c r="A111">
        <v>108</v>
      </c>
      <c r="B111" t="s">
        <v>60</v>
      </c>
      <c r="C111">
        <v>1999</v>
      </c>
      <c r="D111">
        <v>16</v>
      </c>
      <c r="E111">
        <v>23.5</v>
      </c>
      <c r="G111">
        <v>4</v>
      </c>
      <c r="H111">
        <v>44</v>
      </c>
      <c r="I111">
        <v>374</v>
      </c>
      <c r="J111">
        <v>4.2</v>
      </c>
      <c r="K111">
        <v>8</v>
      </c>
      <c r="L111">
        <v>3</v>
      </c>
      <c r="M111">
        <v>8</v>
      </c>
      <c r="N111">
        <v>0</v>
      </c>
      <c r="O111">
        <v>0</v>
      </c>
      <c r="R111">
        <v>1.93</v>
      </c>
      <c r="S111">
        <v>0.72</v>
      </c>
      <c r="T111">
        <v>2.65</v>
      </c>
      <c r="U111">
        <v>1.93</v>
      </c>
      <c r="V111">
        <v>2.65</v>
      </c>
    </row>
    <row r="112" spans="1:22" x14ac:dyDescent="0.2">
      <c r="A112">
        <v>109</v>
      </c>
      <c r="B112" t="s">
        <v>61</v>
      </c>
      <c r="C112">
        <v>1999</v>
      </c>
      <c r="D112">
        <v>19</v>
      </c>
      <c r="E112">
        <v>25.1</v>
      </c>
      <c r="G112">
        <v>6</v>
      </c>
      <c r="H112">
        <v>66</v>
      </c>
      <c r="I112">
        <v>540</v>
      </c>
      <c r="J112">
        <v>6</v>
      </c>
      <c r="K112">
        <v>15</v>
      </c>
      <c r="L112">
        <v>10</v>
      </c>
      <c r="M112">
        <v>15</v>
      </c>
      <c r="N112">
        <v>0</v>
      </c>
      <c r="O112">
        <v>0</v>
      </c>
      <c r="R112">
        <v>2.5</v>
      </c>
      <c r="S112">
        <v>1.67</v>
      </c>
      <c r="T112">
        <v>4.17</v>
      </c>
      <c r="U112">
        <v>2.5</v>
      </c>
      <c r="V112">
        <v>4.17</v>
      </c>
    </row>
    <row r="113" spans="1:22" x14ac:dyDescent="0.2">
      <c r="A113">
        <v>110</v>
      </c>
      <c r="B113" t="s">
        <v>78</v>
      </c>
      <c r="C113">
        <v>1999</v>
      </c>
      <c r="D113">
        <v>15</v>
      </c>
      <c r="E113">
        <v>25.6</v>
      </c>
      <c r="G113">
        <v>4</v>
      </c>
      <c r="H113">
        <v>44</v>
      </c>
      <c r="I113">
        <v>360</v>
      </c>
      <c r="J113">
        <v>4</v>
      </c>
      <c r="K113">
        <v>10</v>
      </c>
      <c r="L113">
        <v>9</v>
      </c>
      <c r="M113">
        <v>10</v>
      </c>
      <c r="N113">
        <v>0</v>
      </c>
      <c r="O113">
        <v>0</v>
      </c>
      <c r="R113">
        <v>2.5</v>
      </c>
      <c r="S113">
        <v>2.25</v>
      </c>
      <c r="T113">
        <v>4.75</v>
      </c>
      <c r="U113">
        <v>2.5</v>
      </c>
      <c r="V113">
        <v>4.75</v>
      </c>
    </row>
    <row r="114" spans="1:22" x14ac:dyDescent="0.2">
      <c r="A114">
        <v>111</v>
      </c>
      <c r="B114" t="s">
        <v>65</v>
      </c>
      <c r="C114">
        <v>1999</v>
      </c>
      <c r="D114">
        <v>17</v>
      </c>
      <c r="E114">
        <v>24.6</v>
      </c>
      <c r="G114">
        <v>4</v>
      </c>
      <c r="H114">
        <v>44</v>
      </c>
      <c r="I114">
        <v>360</v>
      </c>
      <c r="J114">
        <v>4</v>
      </c>
      <c r="K114">
        <v>7</v>
      </c>
      <c r="L114">
        <v>5</v>
      </c>
      <c r="M114">
        <v>7</v>
      </c>
      <c r="N114">
        <v>0</v>
      </c>
      <c r="O114">
        <v>0</v>
      </c>
      <c r="R114">
        <v>1.75</v>
      </c>
      <c r="S114">
        <v>1.25</v>
      </c>
      <c r="T114">
        <v>3</v>
      </c>
      <c r="U114">
        <v>1.75</v>
      </c>
      <c r="V114">
        <v>3</v>
      </c>
    </row>
    <row r="115" spans="1:22" x14ac:dyDescent="0.2">
      <c r="A115">
        <v>112</v>
      </c>
      <c r="B115" t="s">
        <v>67</v>
      </c>
      <c r="C115">
        <v>1999</v>
      </c>
      <c r="D115">
        <v>18</v>
      </c>
      <c r="E115">
        <v>27.4</v>
      </c>
      <c r="G115">
        <v>6</v>
      </c>
      <c r="H115">
        <v>66</v>
      </c>
      <c r="I115">
        <v>570</v>
      </c>
      <c r="J115">
        <v>6.3</v>
      </c>
      <c r="K115">
        <v>17</v>
      </c>
      <c r="L115">
        <v>15</v>
      </c>
      <c r="M115">
        <v>16</v>
      </c>
      <c r="N115">
        <v>1</v>
      </c>
      <c r="O115">
        <v>1</v>
      </c>
      <c r="R115">
        <v>2.68</v>
      </c>
      <c r="S115">
        <v>2.37</v>
      </c>
      <c r="T115">
        <v>5.05</v>
      </c>
      <c r="U115">
        <v>2.5299999999999998</v>
      </c>
      <c r="V115">
        <v>4.8899999999999997</v>
      </c>
    </row>
    <row r="116" spans="1:22" x14ac:dyDescent="0.2">
      <c r="A116">
        <v>113</v>
      </c>
      <c r="B116" t="s">
        <v>45</v>
      </c>
      <c r="C116">
        <v>1995</v>
      </c>
      <c r="D116">
        <v>17</v>
      </c>
      <c r="E116">
        <v>25</v>
      </c>
      <c r="G116">
        <v>3</v>
      </c>
      <c r="H116">
        <v>33</v>
      </c>
      <c r="I116">
        <v>270</v>
      </c>
      <c r="J116">
        <v>3</v>
      </c>
      <c r="K116">
        <v>3</v>
      </c>
      <c r="L116">
        <v>0</v>
      </c>
      <c r="M116">
        <v>3</v>
      </c>
      <c r="N116">
        <v>0</v>
      </c>
      <c r="O116">
        <v>0</v>
      </c>
      <c r="R116">
        <v>1</v>
      </c>
      <c r="S116">
        <v>0</v>
      </c>
      <c r="T116">
        <v>1</v>
      </c>
      <c r="U116">
        <v>1</v>
      </c>
      <c r="V116">
        <v>1</v>
      </c>
    </row>
    <row r="117" spans="1:22" x14ac:dyDescent="0.2">
      <c r="A117">
        <v>114</v>
      </c>
      <c r="B117" t="s">
        <v>46</v>
      </c>
      <c r="C117">
        <v>1995</v>
      </c>
      <c r="D117">
        <v>16</v>
      </c>
      <c r="E117">
        <v>27.9</v>
      </c>
      <c r="G117">
        <v>3</v>
      </c>
      <c r="H117">
        <v>33</v>
      </c>
      <c r="I117">
        <v>270</v>
      </c>
      <c r="J117">
        <v>3</v>
      </c>
      <c r="K117">
        <v>3</v>
      </c>
      <c r="L117">
        <v>1</v>
      </c>
      <c r="M117">
        <v>3</v>
      </c>
      <c r="N117">
        <v>0</v>
      </c>
      <c r="O117">
        <v>0</v>
      </c>
      <c r="R117">
        <v>1</v>
      </c>
      <c r="S117">
        <v>0.33</v>
      </c>
      <c r="T117">
        <v>1.33</v>
      </c>
      <c r="U117">
        <v>1</v>
      </c>
      <c r="V117">
        <v>1.33</v>
      </c>
    </row>
    <row r="118" spans="1:22" x14ac:dyDescent="0.2">
      <c r="A118">
        <v>115</v>
      </c>
      <c r="B118" t="s">
        <v>48</v>
      </c>
      <c r="C118">
        <v>1995</v>
      </c>
      <c r="D118">
        <v>15</v>
      </c>
      <c r="E118">
        <v>26.2</v>
      </c>
      <c r="G118">
        <v>3</v>
      </c>
      <c r="H118">
        <v>33</v>
      </c>
      <c r="I118">
        <v>270</v>
      </c>
      <c r="J118">
        <v>3</v>
      </c>
      <c r="K118">
        <v>5</v>
      </c>
      <c r="L118">
        <v>0</v>
      </c>
      <c r="M118">
        <v>5</v>
      </c>
      <c r="N118">
        <v>0</v>
      </c>
      <c r="O118">
        <v>0</v>
      </c>
      <c r="R118">
        <v>1.67</v>
      </c>
      <c r="S118">
        <v>0</v>
      </c>
      <c r="T118">
        <v>1.67</v>
      </c>
      <c r="U118">
        <v>1.67</v>
      </c>
      <c r="V118">
        <v>1.67</v>
      </c>
    </row>
    <row r="119" spans="1:22" x14ac:dyDescent="0.2">
      <c r="A119">
        <v>116</v>
      </c>
      <c r="B119" t="s">
        <v>50</v>
      </c>
      <c r="C119">
        <v>1995</v>
      </c>
      <c r="D119">
        <v>16</v>
      </c>
      <c r="E119">
        <v>24.3</v>
      </c>
      <c r="G119">
        <v>6</v>
      </c>
      <c r="H119">
        <v>66</v>
      </c>
      <c r="I119">
        <v>570</v>
      </c>
      <c r="J119">
        <v>6.3</v>
      </c>
      <c r="K119">
        <v>11</v>
      </c>
      <c r="L119">
        <v>0</v>
      </c>
      <c r="M119">
        <v>11</v>
      </c>
      <c r="N119">
        <v>0</v>
      </c>
      <c r="O119">
        <v>0</v>
      </c>
      <c r="R119">
        <v>1.74</v>
      </c>
      <c r="S119">
        <v>0</v>
      </c>
      <c r="T119">
        <v>1.74</v>
      </c>
      <c r="U119">
        <v>1.74</v>
      </c>
      <c r="V119">
        <v>1.74</v>
      </c>
    </row>
    <row r="120" spans="1:22" x14ac:dyDescent="0.2">
      <c r="A120">
        <v>117</v>
      </c>
      <c r="B120" t="s">
        <v>76</v>
      </c>
      <c r="C120">
        <v>1995</v>
      </c>
      <c r="D120">
        <v>17</v>
      </c>
      <c r="E120">
        <v>21.3</v>
      </c>
      <c r="G120">
        <v>4</v>
      </c>
      <c r="H120">
        <v>44</v>
      </c>
      <c r="I120">
        <v>360</v>
      </c>
      <c r="J120">
        <v>4</v>
      </c>
      <c r="K120">
        <v>7</v>
      </c>
      <c r="L120">
        <v>0</v>
      </c>
      <c r="M120">
        <v>7</v>
      </c>
      <c r="N120">
        <v>0</v>
      </c>
      <c r="O120">
        <v>0</v>
      </c>
      <c r="R120">
        <v>1.75</v>
      </c>
      <c r="S120">
        <v>0</v>
      </c>
      <c r="T120">
        <v>1.75</v>
      </c>
      <c r="U120">
        <v>1.75</v>
      </c>
      <c r="V120">
        <v>1.75</v>
      </c>
    </row>
    <row r="121" spans="1:22" x14ac:dyDescent="0.2">
      <c r="A121">
        <v>118</v>
      </c>
      <c r="B121" t="s">
        <v>51</v>
      </c>
      <c r="C121">
        <v>1995</v>
      </c>
      <c r="D121">
        <v>16</v>
      </c>
      <c r="E121">
        <v>27.8</v>
      </c>
      <c r="G121">
        <v>4</v>
      </c>
      <c r="H121">
        <v>44</v>
      </c>
      <c r="I121">
        <v>360</v>
      </c>
      <c r="J121">
        <v>4</v>
      </c>
      <c r="K121">
        <v>6</v>
      </c>
      <c r="L121">
        <v>0</v>
      </c>
      <c r="M121">
        <v>6</v>
      </c>
      <c r="N121">
        <v>0</v>
      </c>
      <c r="O121">
        <v>0</v>
      </c>
      <c r="R121">
        <v>1.5</v>
      </c>
      <c r="S121">
        <v>0</v>
      </c>
      <c r="T121">
        <v>1.5</v>
      </c>
      <c r="U121">
        <v>1.5</v>
      </c>
      <c r="V121">
        <v>1.5</v>
      </c>
    </row>
    <row r="122" spans="1:22" x14ac:dyDescent="0.2">
      <c r="A122">
        <v>119</v>
      </c>
      <c r="B122" t="s">
        <v>53</v>
      </c>
      <c r="C122">
        <v>1995</v>
      </c>
      <c r="D122">
        <v>17</v>
      </c>
      <c r="E122">
        <v>25.3</v>
      </c>
      <c r="G122">
        <v>6</v>
      </c>
      <c r="H122">
        <v>66</v>
      </c>
      <c r="I122">
        <v>540</v>
      </c>
      <c r="J122">
        <v>6</v>
      </c>
      <c r="K122">
        <v>13</v>
      </c>
      <c r="L122">
        <v>0</v>
      </c>
      <c r="M122">
        <v>13</v>
      </c>
      <c r="N122">
        <v>0</v>
      </c>
      <c r="O122">
        <v>0</v>
      </c>
      <c r="R122">
        <v>2.17</v>
      </c>
      <c r="S122">
        <v>0</v>
      </c>
      <c r="T122">
        <v>2.17</v>
      </c>
      <c r="U122">
        <v>2.17</v>
      </c>
      <c r="V122">
        <v>2.17</v>
      </c>
    </row>
    <row r="123" spans="1:22" x14ac:dyDescent="0.2">
      <c r="A123">
        <v>120</v>
      </c>
      <c r="B123" t="s">
        <v>56</v>
      </c>
      <c r="C123">
        <v>1995</v>
      </c>
      <c r="D123">
        <v>14</v>
      </c>
      <c r="E123">
        <v>22.6</v>
      </c>
      <c r="G123">
        <v>4</v>
      </c>
      <c r="H123">
        <v>44</v>
      </c>
      <c r="I123">
        <v>360</v>
      </c>
      <c r="J123">
        <v>4</v>
      </c>
      <c r="K123">
        <v>2</v>
      </c>
      <c r="L123">
        <v>0</v>
      </c>
      <c r="M123">
        <v>2</v>
      </c>
      <c r="N123">
        <v>0</v>
      </c>
      <c r="O123">
        <v>0</v>
      </c>
      <c r="R123">
        <v>0.5</v>
      </c>
      <c r="S123">
        <v>0</v>
      </c>
      <c r="T123">
        <v>0.5</v>
      </c>
      <c r="U123">
        <v>0.5</v>
      </c>
      <c r="V123">
        <v>0.5</v>
      </c>
    </row>
    <row r="124" spans="1:22" x14ac:dyDescent="0.2">
      <c r="A124">
        <v>121</v>
      </c>
      <c r="B124" t="s">
        <v>60</v>
      </c>
      <c r="C124">
        <v>1995</v>
      </c>
      <c r="D124">
        <v>16</v>
      </c>
      <c r="E124">
        <v>20.6</v>
      </c>
      <c r="G124">
        <v>3</v>
      </c>
      <c r="H124">
        <v>33</v>
      </c>
      <c r="I124">
        <v>270</v>
      </c>
      <c r="J124">
        <v>3</v>
      </c>
      <c r="K124">
        <v>5</v>
      </c>
      <c r="L124">
        <v>0</v>
      </c>
      <c r="M124">
        <v>5</v>
      </c>
      <c r="N124">
        <v>0</v>
      </c>
      <c r="O124">
        <v>0</v>
      </c>
      <c r="R124">
        <v>1.67</v>
      </c>
      <c r="S124">
        <v>0</v>
      </c>
      <c r="T124">
        <v>1.67</v>
      </c>
      <c r="U124">
        <v>1.67</v>
      </c>
      <c r="V124">
        <v>1.67</v>
      </c>
    </row>
    <row r="125" spans="1:22" x14ac:dyDescent="0.2">
      <c r="A125">
        <v>122</v>
      </c>
      <c r="B125" t="s">
        <v>61</v>
      </c>
      <c r="C125">
        <v>1995</v>
      </c>
      <c r="D125">
        <v>17</v>
      </c>
      <c r="E125">
        <v>24.6</v>
      </c>
      <c r="G125">
        <v>6</v>
      </c>
      <c r="H125">
        <v>66</v>
      </c>
      <c r="I125">
        <v>540</v>
      </c>
      <c r="J125">
        <v>6</v>
      </c>
      <c r="K125">
        <v>23</v>
      </c>
      <c r="L125">
        <v>0</v>
      </c>
      <c r="M125">
        <v>23</v>
      </c>
      <c r="N125">
        <v>0</v>
      </c>
      <c r="O125">
        <v>0</v>
      </c>
      <c r="R125">
        <v>3.83</v>
      </c>
      <c r="S125">
        <v>0</v>
      </c>
      <c r="T125">
        <v>3.83</v>
      </c>
      <c r="U125">
        <v>3.83</v>
      </c>
      <c r="V125">
        <v>3.83</v>
      </c>
    </row>
    <row r="126" spans="1:22" x14ac:dyDescent="0.2">
      <c r="A126">
        <v>123</v>
      </c>
      <c r="B126" t="s">
        <v>65</v>
      </c>
      <c r="C126">
        <v>1995</v>
      </c>
      <c r="D126">
        <v>18</v>
      </c>
      <c r="E126">
        <v>27.5</v>
      </c>
      <c r="G126">
        <v>4</v>
      </c>
      <c r="H126">
        <v>44</v>
      </c>
      <c r="I126">
        <v>390</v>
      </c>
      <c r="J126">
        <v>4.3</v>
      </c>
      <c r="K126">
        <v>6</v>
      </c>
      <c r="L126">
        <v>0</v>
      </c>
      <c r="M126">
        <v>6</v>
      </c>
      <c r="N126">
        <v>0</v>
      </c>
      <c r="O126">
        <v>0</v>
      </c>
      <c r="R126">
        <v>1.38</v>
      </c>
      <c r="S126">
        <v>0</v>
      </c>
      <c r="T126">
        <v>1.38</v>
      </c>
      <c r="U126">
        <v>1.38</v>
      </c>
      <c r="V126">
        <v>1.38</v>
      </c>
    </row>
    <row r="127" spans="1:22" x14ac:dyDescent="0.2">
      <c r="A127">
        <v>124</v>
      </c>
      <c r="B127" t="s">
        <v>67</v>
      </c>
      <c r="C127">
        <v>1995</v>
      </c>
      <c r="D127">
        <v>18</v>
      </c>
      <c r="E127">
        <v>24.1</v>
      </c>
      <c r="G127">
        <v>6</v>
      </c>
      <c r="H127">
        <v>66</v>
      </c>
      <c r="I127">
        <v>540</v>
      </c>
      <c r="J127">
        <v>6</v>
      </c>
      <c r="K127">
        <v>15</v>
      </c>
      <c r="L127">
        <v>4</v>
      </c>
      <c r="M127">
        <v>15</v>
      </c>
      <c r="N127">
        <v>0</v>
      </c>
      <c r="O127">
        <v>0</v>
      </c>
      <c r="R127">
        <v>2.5</v>
      </c>
      <c r="S127">
        <v>0.67</v>
      </c>
      <c r="T127">
        <v>3.17</v>
      </c>
      <c r="U127">
        <v>2.5</v>
      </c>
      <c r="V127">
        <v>3.17</v>
      </c>
    </row>
    <row r="128" spans="1:22" x14ac:dyDescent="0.2">
      <c r="A128">
        <v>125</v>
      </c>
      <c r="B128" t="s">
        <v>46</v>
      </c>
      <c r="C128">
        <v>1991</v>
      </c>
      <c r="D128">
        <v>17</v>
      </c>
      <c r="E128">
        <v>25.7</v>
      </c>
      <c r="G128">
        <v>3</v>
      </c>
      <c r="H128">
        <v>33</v>
      </c>
      <c r="I128">
        <v>240</v>
      </c>
      <c r="J128">
        <v>2.7</v>
      </c>
      <c r="K128">
        <v>1</v>
      </c>
      <c r="L128">
        <v>0</v>
      </c>
      <c r="M128">
        <v>1</v>
      </c>
      <c r="N128">
        <v>0</v>
      </c>
      <c r="O128">
        <v>0</v>
      </c>
      <c r="R128">
        <v>0.37</v>
      </c>
      <c r="S128">
        <v>0</v>
      </c>
      <c r="T128">
        <v>0.37</v>
      </c>
      <c r="U128">
        <v>0.37</v>
      </c>
      <c r="V128">
        <v>0.37</v>
      </c>
    </row>
    <row r="129" spans="1:22" x14ac:dyDescent="0.2">
      <c r="A129">
        <v>126</v>
      </c>
      <c r="B129" t="s">
        <v>50</v>
      </c>
      <c r="C129">
        <v>1991</v>
      </c>
      <c r="D129">
        <v>15</v>
      </c>
      <c r="E129">
        <v>22.1</v>
      </c>
      <c r="G129">
        <v>4</v>
      </c>
      <c r="H129">
        <v>44</v>
      </c>
      <c r="I129">
        <v>320</v>
      </c>
      <c r="J129">
        <v>3.6</v>
      </c>
      <c r="K129">
        <v>10</v>
      </c>
      <c r="L129">
        <v>3</v>
      </c>
      <c r="M129">
        <v>10</v>
      </c>
      <c r="N129">
        <v>0</v>
      </c>
      <c r="O129">
        <v>0</v>
      </c>
      <c r="R129">
        <v>2.81</v>
      </c>
      <c r="S129">
        <v>0.84</v>
      </c>
      <c r="T129">
        <v>3.66</v>
      </c>
      <c r="U129">
        <v>2.81</v>
      </c>
      <c r="V129">
        <v>3.66</v>
      </c>
    </row>
    <row r="130" spans="1:22" x14ac:dyDescent="0.2">
      <c r="A130">
        <v>127</v>
      </c>
      <c r="B130" t="s">
        <v>79</v>
      </c>
      <c r="C130">
        <v>1991</v>
      </c>
      <c r="D130">
        <v>16</v>
      </c>
      <c r="E130">
        <v>21.2</v>
      </c>
      <c r="G130">
        <v>4</v>
      </c>
      <c r="H130">
        <v>44</v>
      </c>
      <c r="I130">
        <v>320</v>
      </c>
      <c r="J130">
        <v>3.6</v>
      </c>
      <c r="K130">
        <v>2</v>
      </c>
      <c r="L130">
        <v>1</v>
      </c>
      <c r="M130">
        <v>2</v>
      </c>
      <c r="N130">
        <v>0</v>
      </c>
      <c r="O130">
        <v>0</v>
      </c>
      <c r="R130">
        <v>0.56000000000000005</v>
      </c>
      <c r="S130">
        <v>0.28000000000000003</v>
      </c>
      <c r="T130">
        <v>0.84</v>
      </c>
      <c r="U130">
        <v>0.56000000000000005</v>
      </c>
      <c r="V130">
        <v>0.84</v>
      </c>
    </row>
    <row r="131" spans="1:22" x14ac:dyDescent="0.2">
      <c r="A131">
        <v>128</v>
      </c>
      <c r="B131" t="s">
        <v>76</v>
      </c>
      <c r="C131">
        <v>1991</v>
      </c>
      <c r="D131">
        <v>15</v>
      </c>
      <c r="E131">
        <v>23.8</v>
      </c>
      <c r="G131">
        <v>4</v>
      </c>
      <c r="H131">
        <v>44</v>
      </c>
      <c r="I131">
        <v>340</v>
      </c>
      <c r="J131">
        <v>3.8</v>
      </c>
      <c r="K131">
        <v>7</v>
      </c>
      <c r="L131">
        <v>5</v>
      </c>
      <c r="M131">
        <v>5</v>
      </c>
      <c r="N131">
        <v>2</v>
      </c>
      <c r="O131">
        <v>2</v>
      </c>
      <c r="R131">
        <v>1.85</v>
      </c>
      <c r="S131">
        <v>1.32</v>
      </c>
      <c r="T131">
        <v>3.18</v>
      </c>
      <c r="U131">
        <v>1.32</v>
      </c>
      <c r="V131">
        <v>2.65</v>
      </c>
    </row>
    <row r="132" spans="1:22" x14ac:dyDescent="0.2">
      <c r="A132">
        <v>129</v>
      </c>
      <c r="B132" t="s">
        <v>53</v>
      </c>
      <c r="C132">
        <v>1991</v>
      </c>
      <c r="D132">
        <v>18</v>
      </c>
      <c r="E132">
        <v>23.8</v>
      </c>
      <c r="G132">
        <v>6</v>
      </c>
      <c r="H132">
        <v>66</v>
      </c>
      <c r="I132">
        <v>500</v>
      </c>
      <c r="J132">
        <v>5.6</v>
      </c>
      <c r="K132">
        <v>13</v>
      </c>
      <c r="L132">
        <v>9</v>
      </c>
      <c r="M132">
        <v>12</v>
      </c>
      <c r="N132">
        <v>1</v>
      </c>
      <c r="O132">
        <v>1</v>
      </c>
      <c r="R132">
        <v>2.34</v>
      </c>
      <c r="S132">
        <v>1.62</v>
      </c>
      <c r="T132">
        <v>3.96</v>
      </c>
      <c r="U132">
        <v>2.16</v>
      </c>
      <c r="V132">
        <v>3.78</v>
      </c>
    </row>
    <row r="133" spans="1:22" x14ac:dyDescent="0.2">
      <c r="A133">
        <v>130</v>
      </c>
      <c r="B133" t="s">
        <v>54</v>
      </c>
      <c r="C133">
        <v>1991</v>
      </c>
      <c r="D133">
        <v>17</v>
      </c>
      <c r="E133">
        <v>24.2</v>
      </c>
      <c r="G133">
        <v>4</v>
      </c>
      <c r="H133">
        <v>44</v>
      </c>
      <c r="I133">
        <v>340</v>
      </c>
      <c r="J133">
        <v>3.8</v>
      </c>
      <c r="K133">
        <v>8</v>
      </c>
      <c r="L133">
        <v>5</v>
      </c>
      <c r="M133">
        <v>8</v>
      </c>
      <c r="N133">
        <v>0</v>
      </c>
      <c r="O133">
        <v>0</v>
      </c>
      <c r="R133">
        <v>2.12</v>
      </c>
      <c r="S133">
        <v>1.32</v>
      </c>
      <c r="T133">
        <v>3.44</v>
      </c>
      <c r="U133">
        <v>2.12</v>
      </c>
      <c r="V133">
        <v>3.44</v>
      </c>
    </row>
    <row r="134" spans="1:22" x14ac:dyDescent="0.2">
      <c r="A134">
        <v>131</v>
      </c>
      <c r="B134" t="s">
        <v>56</v>
      </c>
      <c r="C134">
        <v>1991</v>
      </c>
      <c r="D134">
        <v>13</v>
      </c>
      <c r="E134">
        <v>24.3</v>
      </c>
      <c r="G134">
        <v>3</v>
      </c>
      <c r="H134">
        <v>33</v>
      </c>
      <c r="I134">
        <v>240</v>
      </c>
      <c r="J134">
        <v>2.7</v>
      </c>
      <c r="K134">
        <v>0</v>
      </c>
      <c r="L134">
        <v>0</v>
      </c>
      <c r="M134">
        <v>0</v>
      </c>
      <c r="N134">
        <v>0</v>
      </c>
      <c r="O134">
        <v>0</v>
      </c>
      <c r="R134">
        <v>0</v>
      </c>
      <c r="S134">
        <v>0</v>
      </c>
      <c r="T134">
        <v>0</v>
      </c>
      <c r="U134">
        <v>0</v>
      </c>
      <c r="V134">
        <v>0</v>
      </c>
    </row>
    <row r="135" spans="1:22" x14ac:dyDescent="0.2">
      <c r="A135">
        <v>132</v>
      </c>
      <c r="B135" t="s">
        <v>59</v>
      </c>
      <c r="C135">
        <v>1991</v>
      </c>
      <c r="D135">
        <v>15</v>
      </c>
      <c r="E135">
        <v>25.5</v>
      </c>
      <c r="G135">
        <v>3</v>
      </c>
      <c r="H135">
        <v>33</v>
      </c>
      <c r="I135">
        <v>240</v>
      </c>
      <c r="J135">
        <v>2.7</v>
      </c>
      <c r="K135">
        <v>1</v>
      </c>
      <c r="L135">
        <v>1</v>
      </c>
      <c r="M135">
        <v>1</v>
      </c>
      <c r="N135">
        <v>0</v>
      </c>
      <c r="O135">
        <v>0</v>
      </c>
      <c r="R135">
        <v>0.37</v>
      </c>
      <c r="S135">
        <v>0.37</v>
      </c>
      <c r="T135">
        <v>0.75</v>
      </c>
      <c r="U135">
        <v>0.37</v>
      </c>
      <c r="V135">
        <v>0.75</v>
      </c>
    </row>
    <row r="136" spans="1:22" x14ac:dyDescent="0.2">
      <c r="A136">
        <v>133</v>
      </c>
      <c r="B136" t="s">
        <v>60</v>
      </c>
      <c r="C136">
        <v>1991</v>
      </c>
      <c r="D136">
        <v>17</v>
      </c>
      <c r="E136">
        <v>18.2</v>
      </c>
      <c r="G136">
        <v>3</v>
      </c>
      <c r="H136">
        <v>33</v>
      </c>
      <c r="I136">
        <v>240</v>
      </c>
      <c r="J136">
        <v>2.7</v>
      </c>
      <c r="K136">
        <v>0</v>
      </c>
      <c r="L136">
        <v>0</v>
      </c>
      <c r="M136">
        <v>0</v>
      </c>
      <c r="N136">
        <v>0</v>
      </c>
      <c r="O136">
        <v>0</v>
      </c>
      <c r="R136">
        <v>0</v>
      </c>
      <c r="S136">
        <v>0</v>
      </c>
      <c r="T136">
        <v>0</v>
      </c>
      <c r="U136">
        <v>0</v>
      </c>
      <c r="V136">
        <v>0</v>
      </c>
    </row>
    <row r="137" spans="1:22" x14ac:dyDescent="0.2">
      <c r="A137">
        <v>134</v>
      </c>
      <c r="B137" t="s">
        <v>61</v>
      </c>
      <c r="C137">
        <v>1991</v>
      </c>
      <c r="D137">
        <v>15</v>
      </c>
      <c r="E137">
        <v>24.1</v>
      </c>
      <c r="G137">
        <v>6</v>
      </c>
      <c r="H137">
        <v>66</v>
      </c>
      <c r="I137">
        <v>500</v>
      </c>
      <c r="J137">
        <v>5.6</v>
      </c>
      <c r="K137">
        <v>13</v>
      </c>
      <c r="L137">
        <v>6</v>
      </c>
      <c r="M137">
        <v>12</v>
      </c>
      <c r="N137">
        <v>1</v>
      </c>
      <c r="O137">
        <v>1</v>
      </c>
      <c r="R137">
        <v>2.34</v>
      </c>
      <c r="S137">
        <v>1.08</v>
      </c>
      <c r="T137">
        <v>3.42</v>
      </c>
      <c r="U137">
        <v>2.16</v>
      </c>
      <c r="V137">
        <v>3.24</v>
      </c>
    </row>
    <row r="138" spans="1:22" x14ac:dyDescent="0.2">
      <c r="A138">
        <v>135</v>
      </c>
      <c r="B138" t="s">
        <v>65</v>
      </c>
      <c r="C138">
        <v>1991</v>
      </c>
      <c r="D138">
        <v>18</v>
      </c>
      <c r="E138">
        <v>25.4</v>
      </c>
      <c r="G138">
        <v>6</v>
      </c>
      <c r="H138">
        <v>66</v>
      </c>
      <c r="I138">
        <v>480</v>
      </c>
      <c r="J138">
        <v>5.3</v>
      </c>
      <c r="K138">
        <v>17</v>
      </c>
      <c r="L138">
        <v>11</v>
      </c>
      <c r="M138">
        <v>16</v>
      </c>
      <c r="N138">
        <v>1</v>
      </c>
      <c r="O138">
        <v>1</v>
      </c>
      <c r="R138">
        <v>3.19</v>
      </c>
      <c r="S138">
        <v>2.06</v>
      </c>
      <c r="T138">
        <v>5.25</v>
      </c>
      <c r="U138">
        <v>3</v>
      </c>
      <c r="V138">
        <v>5.0599999999999996</v>
      </c>
    </row>
    <row r="139" spans="1:22" x14ac:dyDescent="0.2">
      <c r="A139">
        <v>136</v>
      </c>
      <c r="B139" t="s">
        <v>67</v>
      </c>
      <c r="C139">
        <v>1991</v>
      </c>
      <c r="D139">
        <v>16</v>
      </c>
      <c r="E139">
        <v>23</v>
      </c>
      <c r="G139">
        <v>6</v>
      </c>
      <c r="H139">
        <v>66</v>
      </c>
      <c r="I139">
        <v>480</v>
      </c>
      <c r="J139">
        <v>5.3</v>
      </c>
      <c r="K139">
        <v>25</v>
      </c>
      <c r="L139">
        <v>11</v>
      </c>
      <c r="M139">
        <v>24</v>
      </c>
      <c r="N139">
        <v>1</v>
      </c>
      <c r="O139">
        <v>1</v>
      </c>
      <c r="R139">
        <v>4.6900000000000004</v>
      </c>
      <c r="S139">
        <v>2.06</v>
      </c>
      <c r="T139">
        <v>6.75</v>
      </c>
      <c r="U139">
        <v>4.5</v>
      </c>
      <c r="V139">
        <v>6.56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A0406-2CE0-974B-A965-9344DF73EFE8}">
  <sheetPr codeName="Sheet3"/>
  <dimension ref="A1:P162"/>
  <sheetViews>
    <sheetView zoomScale="140" zoomScaleNormal="140" workbookViewId="0">
      <selection activeCell="G23" sqref="G23"/>
    </sheetView>
  </sheetViews>
  <sheetFormatPr baseColWidth="10" defaultColWidth="11" defaultRowHeight="16" x14ac:dyDescent="0.2"/>
  <sheetData>
    <row r="1" spans="1:16" x14ac:dyDescent="0.2">
      <c r="A1" s="12" t="s">
        <v>80</v>
      </c>
    </row>
    <row r="2" spans="1:16" ht="17" thickBot="1" x14ac:dyDescent="0.25"/>
    <row r="3" spans="1:16" x14ac:dyDescent="0.2">
      <c r="B3" s="3">
        <v>1</v>
      </c>
      <c r="C3" s="4">
        <v>2</v>
      </c>
      <c r="D3" s="5">
        <v>3</v>
      </c>
    </row>
    <row r="4" spans="1:16" x14ac:dyDescent="0.2">
      <c r="B4" s="6">
        <v>4</v>
      </c>
      <c r="C4">
        <v>5</v>
      </c>
      <c r="D4" s="7">
        <v>6</v>
      </c>
    </row>
    <row r="5" spans="1:16" ht="17" thickBot="1" x14ac:dyDescent="0.25">
      <c r="B5" s="8">
        <v>7</v>
      </c>
      <c r="C5" s="9">
        <v>8</v>
      </c>
      <c r="D5" s="10">
        <v>9</v>
      </c>
    </row>
    <row r="7" spans="1:16" x14ac:dyDescent="0.2">
      <c r="A7" s="11" t="s">
        <v>81</v>
      </c>
    </row>
    <row r="9" spans="1:16" x14ac:dyDescent="0.2">
      <c r="B9" s="2">
        <f>B3</f>
        <v>1</v>
      </c>
      <c r="C9" s="2"/>
      <c r="D9" s="2"/>
      <c r="F9" s="2">
        <f>B$3</f>
        <v>1</v>
      </c>
      <c r="G9" s="2"/>
      <c r="H9" s="2"/>
      <c r="J9" s="2">
        <f>$B3</f>
        <v>1</v>
      </c>
      <c r="K9" s="2"/>
      <c r="L9" s="2"/>
      <c r="N9" s="2">
        <f>$B$3</f>
        <v>1</v>
      </c>
      <c r="O9" s="2"/>
      <c r="P9" s="2"/>
    </row>
    <row r="10" spans="1:16" x14ac:dyDescent="0.2">
      <c r="B10" s="2"/>
      <c r="C10" s="2"/>
      <c r="D10" s="2"/>
      <c r="F10" s="2"/>
      <c r="G10" s="2"/>
      <c r="H10" s="2"/>
      <c r="J10" s="2"/>
      <c r="K10" s="2"/>
      <c r="L10" s="2"/>
      <c r="N10" s="2"/>
      <c r="O10" s="2"/>
      <c r="P10" s="2"/>
    </row>
    <row r="11" spans="1:16" x14ac:dyDescent="0.2">
      <c r="B11" s="2"/>
      <c r="C11" s="2"/>
      <c r="D11" s="2"/>
      <c r="F11" s="2"/>
      <c r="G11" s="2"/>
      <c r="H11" s="2"/>
      <c r="J11" s="2"/>
      <c r="K11" s="2"/>
      <c r="L11" s="2"/>
      <c r="N11" s="2"/>
      <c r="O11" s="2"/>
      <c r="P11" s="2"/>
    </row>
    <row r="13" spans="1:16" s="1" customFormat="1" x14ac:dyDescent="0.2"/>
    <row r="14" spans="1:16" x14ac:dyDescent="0.2">
      <c r="A14" s="12" t="s">
        <v>82</v>
      </c>
    </row>
    <row r="16" spans="1:16" x14ac:dyDescent="0.2">
      <c r="A16" s="11" t="s">
        <v>83</v>
      </c>
      <c r="C16" s="11" t="s">
        <v>84</v>
      </c>
      <c r="E16" s="11" t="s">
        <v>84</v>
      </c>
      <c r="G16" s="11" t="s">
        <v>85</v>
      </c>
      <c r="I16" s="11" t="s">
        <v>86</v>
      </c>
    </row>
    <row r="18" spans="1:9" x14ac:dyDescent="0.2">
      <c r="A18" s="2" t="str" cm="1">
        <f t="array" ref="A18:A153">IF(matches_played&gt;6,squad,"")</f>
        <v/>
      </c>
      <c r="C18" s="2" t="str" cm="1">
        <f t="array" ref="C18:C153">_xlfn.IFS(matches_played&gt;6,squad,year=2019,"bla")</f>
        <v>bla</v>
      </c>
      <c r="E18" s="2" t="str" cm="1">
        <f t="array" ref="E18:E153">_xlfn.IFS(matches_played&gt;6,squad,year=2019,"bla",TRUE,"")</f>
        <v>bla</v>
      </c>
      <c r="G18" s="2">
        <f>_xlfn.MAXIFS(matches_played,squad,"Australia")</f>
        <v>5</v>
      </c>
      <c r="I18" s="41">
        <f>_xlfn.MINIFS(matches_played,squad,"Australia",year,"&gt;2010")</f>
        <v>4</v>
      </c>
    </row>
    <row r="19" spans="1:9" x14ac:dyDescent="0.2">
      <c r="A19" s="2" t="str">
        <v/>
      </c>
      <c r="C19" s="2" t="str">
        <v>bla</v>
      </c>
      <c r="E19" s="2" t="str">
        <v>bla</v>
      </c>
    </row>
    <row r="20" spans="1:9" x14ac:dyDescent="0.2">
      <c r="A20" s="2" t="str">
        <v/>
      </c>
      <c r="C20" s="2" t="str">
        <v>bla</v>
      </c>
      <c r="E20" s="2" t="str">
        <v>bla</v>
      </c>
    </row>
    <row r="21" spans="1:9" x14ac:dyDescent="0.2">
      <c r="A21" s="2" t="str">
        <v/>
      </c>
      <c r="C21" s="2" t="str">
        <v>bla</v>
      </c>
      <c r="E21" s="2" t="str">
        <v>bla</v>
      </c>
    </row>
    <row r="22" spans="1:9" x14ac:dyDescent="0.2">
      <c r="A22" s="2" t="str">
        <v/>
      </c>
      <c r="C22" s="2" t="str">
        <v>bla</v>
      </c>
      <c r="E22" s="2" t="str">
        <v>bla</v>
      </c>
    </row>
    <row r="23" spans="1:9" x14ac:dyDescent="0.2">
      <c r="A23" s="2" t="str">
        <v/>
      </c>
      <c r="C23" s="2" t="str">
        <v>bla</v>
      </c>
      <c r="E23" s="2" t="str">
        <v>bla</v>
      </c>
    </row>
    <row r="24" spans="1:9" x14ac:dyDescent="0.2">
      <c r="A24" s="2" t="str">
        <v/>
      </c>
      <c r="C24" s="2" t="str">
        <v>bla</v>
      </c>
      <c r="E24" s="2" t="str">
        <v>bla</v>
      </c>
    </row>
    <row r="25" spans="1:9" x14ac:dyDescent="0.2">
      <c r="A25" s="2" t="str">
        <v>England</v>
      </c>
      <c r="C25" s="2" t="str">
        <v>England</v>
      </c>
      <c r="E25" s="2" t="str">
        <v>England</v>
      </c>
    </row>
    <row r="26" spans="1:9" x14ac:dyDescent="0.2">
      <c r="A26" s="2" t="str">
        <v/>
      </c>
      <c r="C26" s="2" t="str">
        <v>bla</v>
      </c>
      <c r="E26" s="2" t="str">
        <v>bla</v>
      </c>
    </row>
    <row r="27" spans="1:9" x14ac:dyDescent="0.2">
      <c r="A27" s="2" t="str">
        <v/>
      </c>
      <c r="C27" s="2" t="str">
        <v>bla</v>
      </c>
      <c r="E27" s="2" t="str">
        <v>bla</v>
      </c>
    </row>
    <row r="28" spans="1:9" x14ac:dyDescent="0.2">
      <c r="A28" s="2" t="str">
        <v/>
      </c>
      <c r="C28" s="2" t="str">
        <v>bla</v>
      </c>
      <c r="E28" s="2" t="str">
        <v>bla</v>
      </c>
    </row>
    <row r="29" spans="1:9" x14ac:dyDescent="0.2">
      <c r="A29" s="2" t="str">
        <v/>
      </c>
      <c r="C29" s="2" t="str">
        <v>bla</v>
      </c>
      <c r="E29" s="2" t="str">
        <v>bla</v>
      </c>
    </row>
    <row r="30" spans="1:9" x14ac:dyDescent="0.2">
      <c r="A30" s="2" t="str">
        <v/>
      </c>
      <c r="C30" s="2" t="str">
        <v>bla</v>
      </c>
      <c r="E30" s="2" t="str">
        <v>bla</v>
      </c>
    </row>
    <row r="31" spans="1:9" x14ac:dyDescent="0.2">
      <c r="A31" s="2" t="str">
        <v/>
      </c>
      <c r="C31" s="2" t="str">
        <v>bla</v>
      </c>
      <c r="E31" s="2" t="str">
        <v>bla</v>
      </c>
    </row>
    <row r="32" spans="1:9" x14ac:dyDescent="0.2">
      <c r="A32" s="2" t="str">
        <v>Netherlands</v>
      </c>
      <c r="C32" s="2" t="str">
        <v>Netherlands</v>
      </c>
      <c r="E32" s="2" t="str">
        <v>Netherlands</v>
      </c>
    </row>
    <row r="33" spans="1:5" x14ac:dyDescent="0.2">
      <c r="A33" s="2" t="str">
        <v/>
      </c>
      <c r="C33" s="2" t="str">
        <v>bla</v>
      </c>
      <c r="E33" s="2" t="str">
        <v>bla</v>
      </c>
    </row>
    <row r="34" spans="1:5" x14ac:dyDescent="0.2">
      <c r="A34" s="2" t="str">
        <v/>
      </c>
      <c r="C34" s="2" t="str">
        <v>bla</v>
      </c>
      <c r="E34" s="2" t="str">
        <v>bla</v>
      </c>
    </row>
    <row r="35" spans="1:5" x14ac:dyDescent="0.2">
      <c r="A35" s="2" t="str">
        <v/>
      </c>
      <c r="C35" s="2" t="str">
        <v>bla</v>
      </c>
      <c r="E35" s="2" t="str">
        <v>bla</v>
      </c>
    </row>
    <row r="36" spans="1:5" x14ac:dyDescent="0.2">
      <c r="A36" s="2" t="str">
        <v/>
      </c>
      <c r="C36" s="2" t="str">
        <v>bla</v>
      </c>
      <c r="E36" s="2" t="str">
        <v>bla</v>
      </c>
    </row>
    <row r="37" spans="1:5" x14ac:dyDescent="0.2">
      <c r="A37" s="2" t="str">
        <v/>
      </c>
      <c r="C37" s="2" t="str">
        <v>bla</v>
      </c>
      <c r="E37" s="2" t="str">
        <v>bla</v>
      </c>
    </row>
    <row r="38" spans="1:5" x14ac:dyDescent="0.2">
      <c r="A38" s="2" t="str">
        <v/>
      </c>
      <c r="C38" s="2" t="str">
        <v>bla</v>
      </c>
      <c r="E38" s="2" t="str">
        <v>bla</v>
      </c>
    </row>
    <row r="39" spans="1:5" x14ac:dyDescent="0.2">
      <c r="A39" s="2" t="str">
        <v>Sweden</v>
      </c>
      <c r="C39" s="2" t="str">
        <v>Sweden</v>
      </c>
      <c r="E39" s="2" t="str">
        <v>Sweden</v>
      </c>
    </row>
    <row r="40" spans="1:5" x14ac:dyDescent="0.2">
      <c r="A40" s="2" t="str">
        <v/>
      </c>
      <c r="C40" s="2" t="str">
        <v>bla</v>
      </c>
      <c r="E40" s="2" t="str">
        <v>bla</v>
      </c>
    </row>
    <row r="41" spans="1:5" x14ac:dyDescent="0.2">
      <c r="A41" s="2" t="str">
        <v>USA</v>
      </c>
      <c r="C41" s="2" t="str">
        <v>USA</v>
      </c>
      <c r="E41" s="2" t="str">
        <v>USA</v>
      </c>
    </row>
    <row r="42" spans="1:5" x14ac:dyDescent="0.2">
      <c r="A42" s="2" t="str">
        <v/>
      </c>
      <c r="C42" s="2" t="e">
        <v>#N/A</v>
      </c>
      <c r="E42" s="2" t="str">
        <v/>
      </c>
    </row>
    <row r="43" spans="1:5" x14ac:dyDescent="0.2">
      <c r="A43" s="2" t="str">
        <v/>
      </c>
      <c r="C43" s="2" t="e">
        <v>#N/A</v>
      </c>
      <c r="E43" s="2" t="str">
        <v/>
      </c>
    </row>
    <row r="44" spans="1:5" x14ac:dyDescent="0.2">
      <c r="A44" s="2" t="str">
        <v/>
      </c>
      <c r="C44" s="2" t="e">
        <v>#N/A</v>
      </c>
      <c r="E44" s="2" t="str">
        <v/>
      </c>
    </row>
    <row r="45" spans="1:5" x14ac:dyDescent="0.2">
      <c r="A45" s="2" t="str">
        <v/>
      </c>
      <c r="C45" s="2" t="e">
        <v>#N/A</v>
      </c>
      <c r="E45" s="2" t="str">
        <v/>
      </c>
    </row>
    <row r="46" spans="1:5" x14ac:dyDescent="0.2">
      <c r="A46" s="2" t="str">
        <v/>
      </c>
      <c r="C46" s="2" t="e">
        <v>#N/A</v>
      </c>
      <c r="E46" s="2" t="str">
        <v/>
      </c>
    </row>
    <row r="47" spans="1:5" x14ac:dyDescent="0.2">
      <c r="A47" s="2" t="str">
        <v/>
      </c>
      <c r="C47" s="2" t="e">
        <v>#N/A</v>
      </c>
      <c r="E47" s="2" t="str">
        <v/>
      </c>
    </row>
    <row r="48" spans="1:5" x14ac:dyDescent="0.2">
      <c r="A48" s="2" t="str">
        <v/>
      </c>
      <c r="C48" s="2" t="e">
        <v>#N/A</v>
      </c>
      <c r="E48" s="2" t="str">
        <v/>
      </c>
    </row>
    <row r="49" spans="1:5" x14ac:dyDescent="0.2">
      <c r="A49" s="2" t="str">
        <v/>
      </c>
      <c r="C49" s="2" t="e">
        <v>#N/A</v>
      </c>
      <c r="E49" s="2" t="str">
        <v/>
      </c>
    </row>
    <row r="50" spans="1:5" x14ac:dyDescent="0.2">
      <c r="A50" s="2" t="str">
        <v/>
      </c>
      <c r="C50" s="2" t="e">
        <v>#N/A</v>
      </c>
      <c r="E50" s="2" t="str">
        <v/>
      </c>
    </row>
    <row r="51" spans="1:5" x14ac:dyDescent="0.2">
      <c r="A51" s="2" t="str">
        <v>England</v>
      </c>
      <c r="C51" s="2" t="str">
        <v>England</v>
      </c>
      <c r="E51" s="2" t="str">
        <v>England</v>
      </c>
    </row>
    <row r="52" spans="1:5" x14ac:dyDescent="0.2">
      <c r="A52" s="2" t="str">
        <v/>
      </c>
      <c r="C52" s="2" t="e">
        <v>#N/A</v>
      </c>
      <c r="E52" s="2" t="str">
        <v/>
      </c>
    </row>
    <row r="53" spans="1:5" x14ac:dyDescent="0.2">
      <c r="A53" s="2" t="str">
        <v>Germany</v>
      </c>
      <c r="C53" s="2" t="str">
        <v>Germany</v>
      </c>
      <c r="E53" s="2" t="str">
        <v>Germany</v>
      </c>
    </row>
    <row r="54" spans="1:5" x14ac:dyDescent="0.2">
      <c r="A54" s="2" t="str">
        <v>Japan</v>
      </c>
      <c r="C54" s="2" t="str">
        <v>Japan</v>
      </c>
      <c r="E54" s="2" t="str">
        <v>Japan</v>
      </c>
    </row>
    <row r="55" spans="1:5" x14ac:dyDescent="0.2">
      <c r="A55" s="2" t="str">
        <v/>
      </c>
      <c r="C55" s="2" t="e">
        <v>#N/A</v>
      </c>
      <c r="E55" s="2" t="str">
        <v/>
      </c>
    </row>
    <row r="56" spans="1:5" x14ac:dyDescent="0.2">
      <c r="A56" s="2" t="str">
        <v/>
      </c>
      <c r="C56" s="2" t="e">
        <v>#N/A</v>
      </c>
      <c r="E56" s="2" t="str">
        <v/>
      </c>
    </row>
    <row r="57" spans="1:5" hidden="1" x14ac:dyDescent="0.2">
      <c r="A57" s="2" t="str">
        <v/>
      </c>
      <c r="C57" s="2" t="e">
        <v>#N/A</v>
      </c>
      <c r="E57" s="2" t="str">
        <v/>
      </c>
    </row>
    <row r="58" spans="1:5" hidden="1" x14ac:dyDescent="0.2">
      <c r="A58" s="2" t="str">
        <v/>
      </c>
      <c r="C58" s="2" t="e">
        <v>#N/A</v>
      </c>
      <c r="E58" s="2" t="str">
        <v/>
      </c>
    </row>
    <row r="59" spans="1:5" hidden="1" x14ac:dyDescent="0.2">
      <c r="A59" s="2" t="str">
        <v/>
      </c>
      <c r="C59" s="2" t="e">
        <v>#N/A</v>
      </c>
      <c r="E59" s="2" t="str">
        <v/>
      </c>
    </row>
    <row r="60" spans="1:5" hidden="1" x14ac:dyDescent="0.2">
      <c r="A60" s="2" t="str">
        <v/>
      </c>
      <c r="C60" s="2" t="e">
        <v>#N/A</v>
      </c>
      <c r="E60" s="2" t="str">
        <v/>
      </c>
    </row>
    <row r="61" spans="1:5" hidden="1" x14ac:dyDescent="0.2">
      <c r="A61" s="2" t="str">
        <v/>
      </c>
      <c r="C61" s="2" t="e">
        <v>#N/A</v>
      </c>
      <c r="E61" s="2" t="str">
        <v/>
      </c>
    </row>
    <row r="62" spans="1:5" hidden="1" x14ac:dyDescent="0.2">
      <c r="A62" s="2" t="str">
        <v/>
      </c>
      <c r="C62" s="2" t="e">
        <v>#N/A</v>
      </c>
      <c r="E62" s="2" t="str">
        <v/>
      </c>
    </row>
    <row r="63" spans="1:5" hidden="1" x14ac:dyDescent="0.2">
      <c r="A63" s="2" t="str">
        <v/>
      </c>
      <c r="C63" s="2" t="e">
        <v>#N/A</v>
      </c>
      <c r="E63" s="2" t="str">
        <v/>
      </c>
    </row>
    <row r="64" spans="1:5" hidden="1" x14ac:dyDescent="0.2">
      <c r="A64" s="2" t="str">
        <v/>
      </c>
      <c r="C64" s="2" t="e">
        <v>#N/A</v>
      </c>
      <c r="E64" s="2" t="str">
        <v/>
      </c>
    </row>
    <row r="65" spans="1:5" hidden="1" x14ac:dyDescent="0.2">
      <c r="A65" s="2" t="str">
        <v>USA</v>
      </c>
      <c r="C65" s="2" t="str">
        <v>USA</v>
      </c>
      <c r="E65" s="2" t="str">
        <v>USA</v>
      </c>
    </row>
    <row r="66" spans="1:5" hidden="1" x14ac:dyDescent="0.2">
      <c r="A66" s="2" t="str">
        <v/>
      </c>
      <c r="C66" s="2" t="e">
        <v>#N/A</v>
      </c>
      <c r="E66" s="2" t="str">
        <v/>
      </c>
    </row>
    <row r="67" spans="1:5" hidden="1" x14ac:dyDescent="0.2">
      <c r="A67" s="2" t="str">
        <v/>
      </c>
      <c r="C67" s="2" t="e">
        <v>#N/A</v>
      </c>
      <c r="E67" s="2" t="str">
        <v/>
      </c>
    </row>
    <row r="68" spans="1:5" hidden="1" x14ac:dyDescent="0.2">
      <c r="A68" s="2" t="str">
        <v/>
      </c>
      <c r="C68" s="2" t="e">
        <v>#N/A</v>
      </c>
      <c r="E68" s="2" t="str">
        <v/>
      </c>
    </row>
    <row r="69" spans="1:5" hidden="1" x14ac:dyDescent="0.2">
      <c r="A69" s="2" t="str">
        <v/>
      </c>
      <c r="C69" s="2" t="e">
        <v>#N/A</v>
      </c>
      <c r="E69" s="2" t="str">
        <v/>
      </c>
    </row>
    <row r="70" spans="1:5" hidden="1" x14ac:dyDescent="0.2">
      <c r="A70" s="2" t="str">
        <v/>
      </c>
      <c r="C70" s="2" t="e">
        <v>#N/A</v>
      </c>
      <c r="E70" s="2" t="str">
        <v/>
      </c>
    </row>
    <row r="71" spans="1:5" hidden="1" x14ac:dyDescent="0.2">
      <c r="A71" s="2" t="str">
        <v/>
      </c>
      <c r="C71" s="2" t="e">
        <v>#N/A</v>
      </c>
      <c r="E71" s="2" t="str">
        <v/>
      </c>
    </row>
    <row r="72" spans="1:5" hidden="1" x14ac:dyDescent="0.2">
      <c r="A72" s="2" t="str">
        <v/>
      </c>
      <c r="C72" s="2" t="e">
        <v>#N/A</v>
      </c>
      <c r="E72" s="2" t="str">
        <v/>
      </c>
    </row>
    <row r="73" spans="1:5" hidden="1" x14ac:dyDescent="0.2">
      <c r="A73" s="2" t="str">
        <v/>
      </c>
      <c r="C73" s="2" t="e">
        <v>#N/A</v>
      </c>
      <c r="E73" s="2" t="str">
        <v/>
      </c>
    </row>
    <row r="74" spans="1:5" hidden="1" x14ac:dyDescent="0.2">
      <c r="A74" s="2" t="str">
        <v/>
      </c>
      <c r="C74" s="2" t="e">
        <v>#N/A</v>
      </c>
      <c r="E74" s="2" t="str">
        <v/>
      </c>
    </row>
    <row r="75" spans="1:5" hidden="1" x14ac:dyDescent="0.2">
      <c r="A75" s="2" t="str">
        <v/>
      </c>
      <c r="C75" s="2" t="e">
        <v>#N/A</v>
      </c>
      <c r="E75" s="2" t="str">
        <v/>
      </c>
    </row>
    <row r="76" spans="1:5" hidden="1" x14ac:dyDescent="0.2">
      <c r="A76" s="2" t="str">
        <v/>
      </c>
      <c r="C76" s="2" t="e">
        <v>#N/A</v>
      </c>
      <c r="E76" s="2" t="str">
        <v/>
      </c>
    </row>
    <row r="77" spans="1:5" hidden="1" x14ac:dyDescent="0.2">
      <c r="A77" s="2" t="str">
        <v/>
      </c>
      <c r="C77" s="2" t="e">
        <v>#N/A</v>
      </c>
      <c r="E77" s="2" t="str">
        <v/>
      </c>
    </row>
    <row r="78" spans="1:5" hidden="1" x14ac:dyDescent="0.2">
      <c r="A78" s="2" t="str">
        <v/>
      </c>
      <c r="C78" s="2" t="e">
        <v>#N/A</v>
      </c>
      <c r="E78" s="2" t="str">
        <v/>
      </c>
    </row>
    <row r="79" spans="1:5" hidden="1" x14ac:dyDescent="0.2">
      <c r="A79" s="2" t="str">
        <v/>
      </c>
      <c r="C79" s="2" t="e">
        <v>#N/A</v>
      </c>
      <c r="E79" s="2" t="str">
        <v/>
      </c>
    </row>
    <row r="80" spans="1:5" hidden="1" x14ac:dyDescent="0.2">
      <c r="A80" s="2" t="str">
        <v/>
      </c>
      <c r="C80" s="2" t="e">
        <v>#N/A</v>
      </c>
      <c r="E80" s="2" t="str">
        <v/>
      </c>
    </row>
    <row r="81" spans="1:5" hidden="1" x14ac:dyDescent="0.2">
      <c r="A81" s="2" t="str">
        <v/>
      </c>
      <c r="C81" s="2" t="e">
        <v>#N/A</v>
      </c>
      <c r="E81" s="2" t="str">
        <v/>
      </c>
    </row>
    <row r="82" spans="1:5" hidden="1" x14ac:dyDescent="0.2">
      <c r="A82" s="2" t="str">
        <v/>
      </c>
      <c r="C82" s="2" t="e">
        <v>#N/A</v>
      </c>
      <c r="E82" s="2" t="str">
        <v/>
      </c>
    </row>
    <row r="83" spans="1:5" hidden="1" x14ac:dyDescent="0.2">
      <c r="A83" s="2" t="str">
        <v/>
      </c>
      <c r="C83" s="2" t="e">
        <v>#N/A</v>
      </c>
      <c r="E83" s="2" t="str">
        <v/>
      </c>
    </row>
    <row r="84" spans="1:5" hidden="1" x14ac:dyDescent="0.2">
      <c r="A84" s="2" t="str">
        <v/>
      </c>
      <c r="C84" s="2" t="e">
        <v>#N/A</v>
      </c>
      <c r="E84" s="2" t="str">
        <v/>
      </c>
    </row>
    <row r="85" spans="1:5" hidden="1" x14ac:dyDescent="0.2">
      <c r="A85" s="2" t="str">
        <v/>
      </c>
      <c r="C85" s="2" t="e">
        <v>#N/A</v>
      </c>
      <c r="E85" s="2" t="str">
        <v/>
      </c>
    </row>
    <row r="86" spans="1:5" hidden="1" x14ac:dyDescent="0.2">
      <c r="A86" s="2" t="str">
        <v/>
      </c>
      <c r="C86" s="2" t="e">
        <v>#N/A</v>
      </c>
      <c r="E86" s="2" t="str">
        <v/>
      </c>
    </row>
    <row r="87" spans="1:5" hidden="1" x14ac:dyDescent="0.2">
      <c r="A87" s="2" t="str">
        <v/>
      </c>
      <c r="C87" s="2" t="e">
        <v>#N/A</v>
      </c>
      <c r="E87" s="2" t="str">
        <v/>
      </c>
    </row>
    <row r="88" spans="1:5" hidden="1" x14ac:dyDescent="0.2">
      <c r="A88" s="2" t="str">
        <v/>
      </c>
      <c r="C88" s="2" t="e">
        <v>#N/A</v>
      </c>
      <c r="E88" s="2" t="str">
        <v/>
      </c>
    </row>
    <row r="89" spans="1:5" hidden="1" x14ac:dyDescent="0.2">
      <c r="A89" s="2" t="str">
        <v/>
      </c>
      <c r="C89" s="2" t="e">
        <v>#N/A</v>
      </c>
      <c r="E89" s="2" t="str">
        <v/>
      </c>
    </row>
    <row r="90" spans="1:5" hidden="1" x14ac:dyDescent="0.2">
      <c r="A90" s="2" t="str">
        <v/>
      </c>
      <c r="C90" s="2" t="e">
        <v>#N/A</v>
      </c>
      <c r="E90" s="2" t="str">
        <v/>
      </c>
    </row>
    <row r="91" spans="1:5" hidden="1" x14ac:dyDescent="0.2">
      <c r="A91" s="2" t="str">
        <v/>
      </c>
      <c r="C91" s="2" t="e">
        <v>#N/A</v>
      </c>
      <c r="E91" s="2" t="str">
        <v/>
      </c>
    </row>
    <row r="92" spans="1:5" hidden="1" x14ac:dyDescent="0.2">
      <c r="A92" s="2" t="str">
        <v/>
      </c>
      <c r="C92" s="2" t="e">
        <v>#N/A</v>
      </c>
      <c r="E92" s="2" t="str">
        <v/>
      </c>
    </row>
    <row r="93" spans="1:5" hidden="1" x14ac:dyDescent="0.2">
      <c r="A93" s="2" t="str">
        <v/>
      </c>
      <c r="C93" s="2" t="e">
        <v>#N/A</v>
      </c>
      <c r="E93" s="2" t="str">
        <v/>
      </c>
    </row>
    <row r="94" spans="1:5" hidden="1" x14ac:dyDescent="0.2">
      <c r="A94" s="2" t="str">
        <v/>
      </c>
      <c r="C94" s="2" t="e">
        <v>#N/A</v>
      </c>
      <c r="E94" s="2" t="str">
        <v/>
      </c>
    </row>
    <row r="95" spans="1:5" hidden="1" x14ac:dyDescent="0.2">
      <c r="A95" s="2" t="str">
        <v/>
      </c>
      <c r="C95" s="2" t="e">
        <v>#N/A</v>
      </c>
      <c r="E95" s="2" t="str">
        <v/>
      </c>
    </row>
    <row r="96" spans="1:5" hidden="1" x14ac:dyDescent="0.2">
      <c r="A96" s="2" t="str">
        <v/>
      </c>
      <c r="C96" s="2" t="e">
        <v>#N/A</v>
      </c>
      <c r="E96" s="2" t="str">
        <v/>
      </c>
    </row>
    <row r="97" spans="1:5" hidden="1" x14ac:dyDescent="0.2">
      <c r="A97" s="2" t="str">
        <v/>
      </c>
      <c r="C97" s="2" t="e">
        <v>#N/A</v>
      </c>
      <c r="E97" s="2" t="str">
        <v/>
      </c>
    </row>
    <row r="98" spans="1:5" hidden="1" x14ac:dyDescent="0.2">
      <c r="A98" s="2" t="str">
        <v/>
      </c>
      <c r="C98" s="2" t="e">
        <v>#N/A</v>
      </c>
      <c r="E98" s="2" t="str">
        <v/>
      </c>
    </row>
    <row r="99" spans="1:5" hidden="1" x14ac:dyDescent="0.2">
      <c r="A99" s="2" t="str">
        <v/>
      </c>
      <c r="C99" s="2" t="e">
        <v>#N/A</v>
      </c>
      <c r="E99" s="2" t="str">
        <v/>
      </c>
    </row>
    <row r="100" spans="1:5" hidden="1" x14ac:dyDescent="0.2">
      <c r="A100" s="2" t="str">
        <v/>
      </c>
      <c r="C100" s="2" t="e">
        <v>#N/A</v>
      </c>
      <c r="E100" s="2" t="str">
        <v/>
      </c>
    </row>
    <row r="101" spans="1:5" hidden="1" x14ac:dyDescent="0.2">
      <c r="A101" s="2" t="str">
        <v/>
      </c>
      <c r="C101" s="2" t="e">
        <v>#N/A</v>
      </c>
      <c r="E101" s="2" t="str">
        <v/>
      </c>
    </row>
    <row r="102" spans="1:5" hidden="1" x14ac:dyDescent="0.2">
      <c r="A102" s="2" t="str">
        <v/>
      </c>
      <c r="C102" s="2" t="e">
        <v>#N/A</v>
      </c>
      <c r="E102" s="2" t="str">
        <v/>
      </c>
    </row>
    <row r="103" spans="1:5" hidden="1" x14ac:dyDescent="0.2">
      <c r="A103" s="2" t="str">
        <v/>
      </c>
      <c r="C103" s="2" t="e">
        <v>#N/A</v>
      </c>
      <c r="E103" s="2" t="str">
        <v/>
      </c>
    </row>
    <row r="104" spans="1:5" hidden="1" x14ac:dyDescent="0.2">
      <c r="A104" s="2" t="str">
        <v/>
      </c>
      <c r="C104" s="2" t="e">
        <v>#N/A</v>
      </c>
      <c r="E104" s="2" t="str">
        <v/>
      </c>
    </row>
    <row r="105" spans="1:5" hidden="1" x14ac:dyDescent="0.2">
      <c r="A105" s="2" t="str">
        <v/>
      </c>
      <c r="C105" s="2" t="e">
        <v>#N/A</v>
      </c>
      <c r="E105" s="2" t="str">
        <v/>
      </c>
    </row>
    <row r="106" spans="1:5" hidden="1" x14ac:dyDescent="0.2">
      <c r="A106" s="2" t="str">
        <v/>
      </c>
      <c r="C106" s="2" t="e">
        <v>#N/A</v>
      </c>
      <c r="E106" s="2" t="str">
        <v/>
      </c>
    </row>
    <row r="107" spans="1:5" hidden="1" x14ac:dyDescent="0.2">
      <c r="A107" s="2" t="str">
        <v/>
      </c>
      <c r="C107" s="2" t="e">
        <v>#N/A</v>
      </c>
      <c r="E107" s="2" t="str">
        <v/>
      </c>
    </row>
    <row r="108" spans="1:5" hidden="1" x14ac:dyDescent="0.2">
      <c r="A108" s="2" t="str">
        <v/>
      </c>
      <c r="C108" s="2" t="e">
        <v>#N/A</v>
      </c>
      <c r="E108" s="2" t="str">
        <v/>
      </c>
    </row>
    <row r="109" spans="1:5" hidden="1" x14ac:dyDescent="0.2">
      <c r="A109" s="2" t="str">
        <v/>
      </c>
      <c r="C109" s="2" t="e">
        <v>#N/A</v>
      </c>
      <c r="E109" s="2" t="str">
        <v/>
      </c>
    </row>
    <row r="110" spans="1:5" hidden="1" x14ac:dyDescent="0.2">
      <c r="A110" s="2" t="str">
        <v/>
      </c>
      <c r="C110" s="2" t="e">
        <v>#N/A</v>
      </c>
      <c r="E110" s="2" t="str">
        <v/>
      </c>
    </row>
    <row r="111" spans="1:5" hidden="1" x14ac:dyDescent="0.2">
      <c r="A111" s="2" t="str">
        <v/>
      </c>
      <c r="C111" s="2" t="e">
        <v>#N/A</v>
      </c>
      <c r="E111" s="2" t="str">
        <v/>
      </c>
    </row>
    <row r="112" spans="1:5" hidden="1" x14ac:dyDescent="0.2">
      <c r="A112" s="2" t="str">
        <v/>
      </c>
      <c r="C112" s="2" t="e">
        <v>#N/A</v>
      </c>
      <c r="E112" s="2" t="str">
        <v/>
      </c>
    </row>
    <row r="113" spans="1:5" hidden="1" x14ac:dyDescent="0.2">
      <c r="A113" s="2" t="str">
        <v/>
      </c>
      <c r="C113" s="2" t="e">
        <v>#N/A</v>
      </c>
      <c r="E113" s="2" t="str">
        <v/>
      </c>
    </row>
    <row r="114" spans="1:5" hidden="1" x14ac:dyDescent="0.2">
      <c r="A114" s="2" t="str">
        <v/>
      </c>
      <c r="C114" s="2" t="e">
        <v>#N/A</v>
      </c>
      <c r="E114" s="2" t="str">
        <v/>
      </c>
    </row>
    <row r="115" spans="1:5" hidden="1" x14ac:dyDescent="0.2">
      <c r="A115" s="2" t="str">
        <v/>
      </c>
      <c r="C115" s="2" t="e">
        <v>#N/A</v>
      </c>
      <c r="E115" s="2" t="str">
        <v/>
      </c>
    </row>
    <row r="116" spans="1:5" hidden="1" x14ac:dyDescent="0.2">
      <c r="A116" s="2" t="str">
        <v/>
      </c>
      <c r="C116" s="2" t="e">
        <v>#N/A</v>
      </c>
      <c r="E116" s="2" t="str">
        <v/>
      </c>
    </row>
    <row r="117" spans="1:5" hidden="1" x14ac:dyDescent="0.2">
      <c r="A117" s="2" t="str">
        <v/>
      </c>
      <c r="C117" s="2" t="e">
        <v>#N/A</v>
      </c>
      <c r="E117" s="2" t="str">
        <v/>
      </c>
    </row>
    <row r="118" spans="1:5" hidden="1" x14ac:dyDescent="0.2">
      <c r="A118" s="2" t="str">
        <v/>
      </c>
      <c r="C118" s="2" t="e">
        <v>#N/A</v>
      </c>
      <c r="E118" s="2" t="str">
        <v/>
      </c>
    </row>
    <row r="119" spans="1:5" hidden="1" x14ac:dyDescent="0.2">
      <c r="A119" s="2" t="str">
        <v/>
      </c>
      <c r="C119" s="2" t="e">
        <v>#N/A</v>
      </c>
      <c r="E119" s="2" t="str">
        <v/>
      </c>
    </row>
    <row r="120" spans="1:5" hidden="1" x14ac:dyDescent="0.2">
      <c r="A120" s="2" t="str">
        <v/>
      </c>
      <c r="C120" s="2" t="e">
        <v>#N/A</v>
      </c>
      <c r="E120" s="2" t="str">
        <v/>
      </c>
    </row>
    <row r="121" spans="1:5" hidden="1" x14ac:dyDescent="0.2">
      <c r="A121" s="2" t="str">
        <v/>
      </c>
      <c r="C121" s="2" t="e">
        <v>#N/A</v>
      </c>
      <c r="E121" s="2" t="str">
        <v/>
      </c>
    </row>
    <row r="122" spans="1:5" hidden="1" x14ac:dyDescent="0.2">
      <c r="A122" s="2" t="str">
        <v/>
      </c>
      <c r="C122" s="2" t="e">
        <v>#N/A</v>
      </c>
      <c r="E122" s="2" t="str">
        <v/>
      </c>
    </row>
    <row r="123" spans="1:5" hidden="1" x14ac:dyDescent="0.2">
      <c r="A123" s="2" t="str">
        <v/>
      </c>
      <c r="C123" s="2" t="e">
        <v>#N/A</v>
      </c>
      <c r="E123" s="2" t="str">
        <v/>
      </c>
    </row>
    <row r="124" spans="1:5" hidden="1" x14ac:dyDescent="0.2">
      <c r="A124" s="2" t="str">
        <v/>
      </c>
      <c r="C124" s="2" t="e">
        <v>#N/A</v>
      </c>
      <c r="E124" s="2" t="str">
        <v/>
      </c>
    </row>
    <row r="125" spans="1:5" hidden="1" x14ac:dyDescent="0.2">
      <c r="A125" s="2" t="str">
        <v/>
      </c>
      <c r="C125" s="2" t="e">
        <v>#N/A</v>
      </c>
      <c r="E125" s="2" t="str">
        <v/>
      </c>
    </row>
    <row r="126" spans="1:5" hidden="1" x14ac:dyDescent="0.2">
      <c r="A126" s="2" t="str">
        <v/>
      </c>
      <c r="C126" s="2" t="e">
        <v>#N/A</v>
      </c>
      <c r="E126" s="2" t="str">
        <v/>
      </c>
    </row>
    <row r="127" spans="1:5" hidden="1" x14ac:dyDescent="0.2">
      <c r="A127" s="2" t="str">
        <v/>
      </c>
      <c r="C127" s="2" t="e">
        <v>#N/A</v>
      </c>
      <c r="E127" s="2" t="str">
        <v/>
      </c>
    </row>
    <row r="128" spans="1:5" hidden="1" x14ac:dyDescent="0.2">
      <c r="A128" s="2" t="str">
        <v/>
      </c>
      <c r="C128" s="2" t="e">
        <v>#N/A</v>
      </c>
      <c r="E128" s="2" t="str">
        <v/>
      </c>
    </row>
    <row r="129" spans="1:5" hidden="1" x14ac:dyDescent="0.2">
      <c r="A129" s="2" t="str">
        <v/>
      </c>
      <c r="C129" s="2" t="e">
        <v>#N/A</v>
      </c>
      <c r="E129" s="2" t="str">
        <v/>
      </c>
    </row>
    <row r="130" spans="1:5" hidden="1" x14ac:dyDescent="0.2">
      <c r="A130" s="2" t="str">
        <v/>
      </c>
      <c r="C130" s="2" t="e">
        <v>#N/A</v>
      </c>
      <c r="E130" s="2" t="str">
        <v/>
      </c>
    </row>
    <row r="131" spans="1:5" hidden="1" x14ac:dyDescent="0.2">
      <c r="A131" s="2" t="str">
        <v/>
      </c>
      <c r="C131" s="2" t="e">
        <v>#N/A</v>
      </c>
      <c r="E131" s="2" t="str">
        <v/>
      </c>
    </row>
    <row r="132" spans="1:5" hidden="1" x14ac:dyDescent="0.2">
      <c r="A132" s="2" t="str">
        <v/>
      </c>
      <c r="C132" s="2" t="e">
        <v>#N/A</v>
      </c>
      <c r="E132" s="2" t="str">
        <v/>
      </c>
    </row>
    <row r="133" spans="1:5" hidden="1" x14ac:dyDescent="0.2">
      <c r="A133" s="2" t="str">
        <v/>
      </c>
      <c r="C133" s="2" t="e">
        <v>#N/A</v>
      </c>
      <c r="E133" s="2" t="str">
        <v/>
      </c>
    </row>
    <row r="134" spans="1:5" hidden="1" x14ac:dyDescent="0.2">
      <c r="A134" s="2" t="str">
        <v/>
      </c>
      <c r="C134" s="2" t="e">
        <v>#N/A</v>
      </c>
      <c r="E134" s="2" t="str">
        <v/>
      </c>
    </row>
    <row r="135" spans="1:5" hidden="1" x14ac:dyDescent="0.2">
      <c r="A135" s="2" t="str">
        <v/>
      </c>
      <c r="C135" s="2" t="e">
        <v>#N/A</v>
      </c>
      <c r="E135" s="2" t="str">
        <v/>
      </c>
    </row>
    <row r="136" spans="1:5" hidden="1" x14ac:dyDescent="0.2">
      <c r="A136" s="2" t="str">
        <v/>
      </c>
      <c r="C136" s="2" t="e">
        <v>#N/A</v>
      </c>
      <c r="E136" s="2" t="str">
        <v/>
      </c>
    </row>
    <row r="137" spans="1:5" hidden="1" x14ac:dyDescent="0.2">
      <c r="A137" s="2" t="str">
        <v/>
      </c>
      <c r="C137" s="2" t="e">
        <v>#N/A</v>
      </c>
      <c r="E137" s="2" t="str">
        <v/>
      </c>
    </row>
    <row r="138" spans="1:5" hidden="1" x14ac:dyDescent="0.2">
      <c r="A138" s="2" t="str">
        <v/>
      </c>
      <c r="C138" s="2" t="e">
        <v>#N/A</v>
      </c>
      <c r="E138" s="2" t="str">
        <v/>
      </c>
    </row>
    <row r="139" spans="1:5" hidden="1" x14ac:dyDescent="0.2">
      <c r="A139" s="2" t="str">
        <v/>
      </c>
      <c r="C139" s="2" t="e">
        <v>#N/A</v>
      </c>
      <c r="E139" s="2" t="str">
        <v/>
      </c>
    </row>
    <row r="140" spans="1:5" hidden="1" x14ac:dyDescent="0.2">
      <c r="A140" s="2" t="str">
        <v/>
      </c>
      <c r="C140" s="2" t="e">
        <v>#N/A</v>
      </c>
      <c r="E140" s="2" t="str">
        <v/>
      </c>
    </row>
    <row r="141" spans="1:5" hidden="1" x14ac:dyDescent="0.2">
      <c r="A141" s="2" t="str">
        <v/>
      </c>
      <c r="C141" s="2" t="e">
        <v>#N/A</v>
      </c>
      <c r="E141" s="2" t="str">
        <v/>
      </c>
    </row>
    <row r="142" spans="1:5" hidden="1" x14ac:dyDescent="0.2">
      <c r="A142" s="2" t="str">
        <v/>
      </c>
      <c r="C142" s="2" t="e">
        <v>#N/A</v>
      </c>
      <c r="E142" s="2" t="str">
        <v/>
      </c>
    </row>
    <row r="143" spans="1:5" hidden="1" x14ac:dyDescent="0.2">
      <c r="A143" s="2" t="str">
        <v/>
      </c>
      <c r="C143" s="2" t="e">
        <v>#N/A</v>
      </c>
      <c r="E143" s="2" t="str">
        <v/>
      </c>
    </row>
    <row r="144" spans="1:5" hidden="1" x14ac:dyDescent="0.2">
      <c r="A144" s="2" t="str">
        <v/>
      </c>
      <c r="C144" s="2" t="e">
        <v>#N/A</v>
      </c>
      <c r="E144" s="2" t="str">
        <v/>
      </c>
    </row>
    <row r="145" spans="1:9" hidden="1" x14ac:dyDescent="0.2">
      <c r="A145" s="2" t="str">
        <v/>
      </c>
      <c r="C145" s="2" t="e">
        <v>#N/A</v>
      </c>
      <c r="E145" s="2" t="str">
        <v/>
      </c>
    </row>
    <row r="146" spans="1:9" hidden="1" x14ac:dyDescent="0.2">
      <c r="A146" s="2" t="str">
        <v/>
      </c>
      <c r="C146" s="2" t="e">
        <v>#N/A</v>
      </c>
      <c r="E146" s="2" t="str">
        <v/>
      </c>
    </row>
    <row r="147" spans="1:9" hidden="1" x14ac:dyDescent="0.2">
      <c r="A147" s="2" t="str">
        <v/>
      </c>
      <c r="C147" s="2" t="e">
        <v>#N/A</v>
      </c>
      <c r="E147" s="2" t="str">
        <v/>
      </c>
    </row>
    <row r="148" spans="1:9" hidden="1" x14ac:dyDescent="0.2">
      <c r="A148" s="2" t="str">
        <v/>
      </c>
      <c r="C148" s="2" t="e">
        <v>#N/A</v>
      </c>
      <c r="E148" s="2" t="str">
        <v/>
      </c>
    </row>
    <row r="149" spans="1:9" hidden="1" x14ac:dyDescent="0.2">
      <c r="A149" s="2" t="str">
        <v/>
      </c>
      <c r="C149" s="2" t="e">
        <v>#N/A</v>
      </c>
      <c r="E149" s="2" t="str">
        <v/>
      </c>
    </row>
    <row r="150" spans="1:9" hidden="1" x14ac:dyDescent="0.2">
      <c r="A150" s="2" t="str">
        <v/>
      </c>
      <c r="C150" s="2" t="e">
        <v>#N/A</v>
      </c>
      <c r="E150" s="2" t="str">
        <v/>
      </c>
    </row>
    <row r="151" spans="1:9" hidden="1" x14ac:dyDescent="0.2">
      <c r="A151" s="2" t="str">
        <v/>
      </c>
      <c r="C151" s="2" t="e">
        <v>#N/A</v>
      </c>
      <c r="E151" s="2" t="str">
        <v/>
      </c>
    </row>
    <row r="152" spans="1:9" hidden="1" x14ac:dyDescent="0.2">
      <c r="A152" s="2" t="str">
        <v/>
      </c>
      <c r="C152" s="2" t="e">
        <v>#N/A</v>
      </c>
      <c r="E152" s="2" t="str">
        <v/>
      </c>
    </row>
    <row r="153" spans="1:9" hidden="1" x14ac:dyDescent="0.2">
      <c r="A153" s="2" t="str">
        <v/>
      </c>
      <c r="C153" s="2" t="e">
        <v>#N/A</v>
      </c>
      <c r="E153" s="2" t="str">
        <v/>
      </c>
    </row>
    <row r="155" spans="1:9" s="1" customFormat="1" x14ac:dyDescent="0.2"/>
    <row r="156" spans="1:9" x14ac:dyDescent="0.2">
      <c r="A156" s="12" t="s">
        <v>144</v>
      </c>
    </row>
    <row r="158" spans="1:9" x14ac:dyDescent="0.2">
      <c r="A158" t="s">
        <v>87</v>
      </c>
    </row>
    <row r="160" spans="1:9" x14ac:dyDescent="0.2">
      <c r="A160" s="2" cm="1">
        <f t="array" ref="A160:C162">TRANSPOSE(B3:D5)</f>
        <v>1</v>
      </c>
      <c r="B160" s="2">
        <v>4</v>
      </c>
      <c r="C160" s="2">
        <v>7</v>
      </c>
      <c r="E160" s="2" cm="1">
        <f t="array" ref="E160:E162">TRANSPOSE(B3:D3)</f>
        <v>1</v>
      </c>
      <c r="G160" s="2" cm="1">
        <f t="array" ref="G160:I160">TRANSPOSE(B3:B5)</f>
        <v>1</v>
      </c>
      <c r="H160" s="2">
        <v>4</v>
      </c>
      <c r="I160" s="2">
        <v>7</v>
      </c>
    </row>
    <row r="161" spans="1:5" x14ac:dyDescent="0.2">
      <c r="A161" s="2">
        <v>2</v>
      </c>
      <c r="B161" s="2">
        <v>5</v>
      </c>
      <c r="C161" s="2">
        <v>8</v>
      </c>
      <c r="E161" s="2">
        <v>2</v>
      </c>
    </row>
    <row r="162" spans="1:5" x14ac:dyDescent="0.2">
      <c r="A162" s="2">
        <v>3</v>
      </c>
      <c r="B162" s="2">
        <v>6</v>
      </c>
      <c r="C162" s="2">
        <v>9</v>
      </c>
      <c r="E162" s="2">
        <v>3</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EDE5D-C871-8D4D-9790-B15AEBF21742}">
  <sheetPr codeName="Sheet4"/>
  <dimension ref="A1:C40"/>
  <sheetViews>
    <sheetView topLeftCell="B4" workbookViewId="0">
      <selection activeCell="B4" sqref="B4"/>
    </sheetView>
  </sheetViews>
  <sheetFormatPr baseColWidth="10" defaultColWidth="11" defaultRowHeight="16" x14ac:dyDescent="0.2"/>
  <cols>
    <col min="1" max="1" width="13" bestFit="1" customWidth="1"/>
    <col min="2" max="2" width="21.1640625" bestFit="1" customWidth="1"/>
    <col min="3" max="3" width="11.83203125" bestFit="1" customWidth="1"/>
    <col min="4" max="4" width="11.1640625" bestFit="1" customWidth="1"/>
  </cols>
  <sheetData>
    <row r="1" spans="1:3" x14ac:dyDescent="0.2">
      <c r="A1" s="16" t="s">
        <v>24</v>
      </c>
      <c r="B1" t="s">
        <v>88</v>
      </c>
    </row>
    <row r="3" spans="1:3" x14ac:dyDescent="0.2">
      <c r="A3" s="16" t="s">
        <v>89</v>
      </c>
      <c r="B3" t="s">
        <v>90</v>
      </c>
      <c r="C3" t="s">
        <v>91</v>
      </c>
    </row>
    <row r="4" spans="1:3" x14ac:dyDescent="0.2">
      <c r="A4" s="17" t="s">
        <v>44</v>
      </c>
      <c r="B4">
        <v>9</v>
      </c>
      <c r="C4">
        <v>4</v>
      </c>
    </row>
    <row r="5" spans="1:3" x14ac:dyDescent="0.2">
      <c r="A5" s="17" t="s">
        <v>45</v>
      </c>
      <c r="B5">
        <v>26</v>
      </c>
      <c r="C5">
        <v>37</v>
      </c>
    </row>
    <row r="6" spans="1:3" x14ac:dyDescent="0.2">
      <c r="A6" s="17" t="s">
        <v>46</v>
      </c>
      <c r="B6">
        <v>34</v>
      </c>
      <c r="C6">
        <v>65</v>
      </c>
    </row>
    <row r="7" spans="1:3" x14ac:dyDescent="0.2">
      <c r="A7" s="17" t="s">
        <v>70</v>
      </c>
      <c r="B7">
        <v>3</v>
      </c>
      <c r="C7">
        <v>3</v>
      </c>
    </row>
    <row r="8" spans="1:3" x14ac:dyDescent="0.2">
      <c r="A8" s="17" t="s">
        <v>47</v>
      </c>
      <c r="B8">
        <v>8</v>
      </c>
      <c r="C8">
        <v>12</v>
      </c>
    </row>
    <row r="9" spans="1:3" x14ac:dyDescent="0.2">
      <c r="A9" s="17" t="s">
        <v>48</v>
      </c>
      <c r="B9">
        <v>27</v>
      </c>
      <c r="C9">
        <v>34</v>
      </c>
    </row>
    <row r="10" spans="1:3" x14ac:dyDescent="0.2">
      <c r="A10" s="17" t="s">
        <v>49</v>
      </c>
      <c r="B10">
        <v>3</v>
      </c>
      <c r="C10">
        <v>1</v>
      </c>
    </row>
    <row r="11" spans="1:3" x14ac:dyDescent="0.2">
      <c r="A11" s="17" t="s">
        <v>50</v>
      </c>
      <c r="B11">
        <v>33</v>
      </c>
      <c r="C11">
        <v>53</v>
      </c>
    </row>
    <row r="12" spans="1:3" x14ac:dyDescent="0.2">
      <c r="A12" s="17" t="s">
        <v>79</v>
      </c>
      <c r="B12">
        <v>4</v>
      </c>
      <c r="C12">
        <v>2</v>
      </c>
    </row>
    <row r="13" spans="1:3" x14ac:dyDescent="0.2">
      <c r="A13" s="17" t="s">
        <v>68</v>
      </c>
      <c r="B13">
        <v>7</v>
      </c>
      <c r="C13">
        <v>4</v>
      </c>
    </row>
    <row r="14" spans="1:3" x14ac:dyDescent="0.2">
      <c r="A14" s="17" t="s">
        <v>69</v>
      </c>
      <c r="B14">
        <v>3</v>
      </c>
      <c r="C14">
        <v>3</v>
      </c>
    </row>
    <row r="15" spans="1:3" x14ac:dyDescent="0.2">
      <c r="A15" s="17" t="s">
        <v>76</v>
      </c>
      <c r="B15">
        <v>14</v>
      </c>
      <c r="C15">
        <v>19</v>
      </c>
    </row>
    <row r="16" spans="1:3" x14ac:dyDescent="0.2">
      <c r="A16" s="17" t="s">
        <v>71</v>
      </c>
      <c r="B16">
        <v>3</v>
      </c>
      <c r="C16">
        <v>1</v>
      </c>
    </row>
    <row r="17" spans="1:3" x14ac:dyDescent="0.2">
      <c r="A17" s="17" t="s">
        <v>51</v>
      </c>
      <c r="B17">
        <v>26</v>
      </c>
      <c r="C17">
        <v>42</v>
      </c>
    </row>
    <row r="18" spans="1:3" x14ac:dyDescent="0.2">
      <c r="A18" s="17" t="s">
        <v>74</v>
      </c>
      <c r="B18">
        <v>3</v>
      </c>
      <c r="C18">
        <v>2</v>
      </c>
    </row>
    <row r="19" spans="1:3" x14ac:dyDescent="0.2">
      <c r="A19" s="17" t="s">
        <v>52</v>
      </c>
      <c r="B19">
        <v>19</v>
      </c>
      <c r="C19">
        <v>31</v>
      </c>
    </row>
    <row r="20" spans="1:3" x14ac:dyDescent="0.2">
      <c r="A20" s="17" t="s">
        <v>53</v>
      </c>
      <c r="B20">
        <v>44</v>
      </c>
      <c r="C20">
        <v>119</v>
      </c>
    </row>
    <row r="21" spans="1:3" x14ac:dyDescent="0.2">
      <c r="A21" s="17" t="s">
        <v>77</v>
      </c>
      <c r="B21">
        <v>9</v>
      </c>
      <c r="C21">
        <v>6</v>
      </c>
    </row>
    <row r="22" spans="1:3" x14ac:dyDescent="0.2">
      <c r="A22" s="17" t="s">
        <v>54</v>
      </c>
      <c r="B22">
        <v>12</v>
      </c>
      <c r="C22">
        <v>20</v>
      </c>
    </row>
    <row r="23" spans="1:3" x14ac:dyDescent="0.2">
      <c r="A23" s="17" t="s">
        <v>55</v>
      </c>
      <c r="B23">
        <v>3</v>
      </c>
      <c r="C23">
        <v>1</v>
      </c>
    </row>
    <row r="24" spans="1:3" x14ac:dyDescent="0.2">
      <c r="A24" s="17" t="s">
        <v>56</v>
      </c>
      <c r="B24">
        <v>33</v>
      </c>
      <c r="C24">
        <v>37</v>
      </c>
    </row>
    <row r="25" spans="1:3" x14ac:dyDescent="0.2">
      <c r="A25" s="17" t="s">
        <v>75</v>
      </c>
      <c r="B25">
        <v>13</v>
      </c>
      <c r="C25">
        <v>12</v>
      </c>
    </row>
    <row r="26" spans="1:3" x14ac:dyDescent="0.2">
      <c r="A26" s="17" t="s">
        <v>57</v>
      </c>
      <c r="B26">
        <v>10</v>
      </c>
      <c r="C26">
        <v>6</v>
      </c>
    </row>
    <row r="27" spans="1:3" x14ac:dyDescent="0.2">
      <c r="A27" s="17" t="s">
        <v>72</v>
      </c>
      <c r="B27">
        <v>9</v>
      </c>
      <c r="C27">
        <v>6</v>
      </c>
    </row>
    <row r="28" spans="1:3" x14ac:dyDescent="0.2">
      <c r="A28" s="17" t="s">
        <v>58</v>
      </c>
      <c r="B28">
        <v>11</v>
      </c>
      <c r="C28">
        <v>14</v>
      </c>
    </row>
    <row r="29" spans="1:3" x14ac:dyDescent="0.2">
      <c r="A29" s="17" t="s">
        <v>59</v>
      </c>
      <c r="B29">
        <v>15</v>
      </c>
      <c r="C29">
        <v>7</v>
      </c>
    </row>
    <row r="30" spans="1:3" x14ac:dyDescent="0.2">
      <c r="A30" s="17" t="s">
        <v>60</v>
      </c>
      <c r="B30">
        <v>26</v>
      </c>
      <c r="C30">
        <v>19</v>
      </c>
    </row>
    <row r="31" spans="1:3" x14ac:dyDescent="0.2">
      <c r="A31" s="17" t="s">
        <v>61</v>
      </c>
      <c r="B31">
        <v>40</v>
      </c>
      <c r="C31">
        <v>89</v>
      </c>
    </row>
    <row r="32" spans="1:3" x14ac:dyDescent="0.2">
      <c r="A32" s="17" t="s">
        <v>78</v>
      </c>
      <c r="B32">
        <v>8</v>
      </c>
      <c r="C32">
        <v>15</v>
      </c>
    </row>
    <row r="33" spans="1:3" x14ac:dyDescent="0.2">
      <c r="A33" s="17" t="s">
        <v>62</v>
      </c>
      <c r="B33">
        <v>3</v>
      </c>
      <c r="C33">
        <v>5</v>
      </c>
    </row>
    <row r="34" spans="1:3" x14ac:dyDescent="0.2">
      <c r="A34" s="17" t="s">
        <v>63</v>
      </c>
      <c r="B34">
        <v>3</v>
      </c>
      <c r="C34">
        <v>1</v>
      </c>
    </row>
    <row r="35" spans="1:3" x14ac:dyDescent="0.2">
      <c r="A35" s="17" t="s">
        <v>64</v>
      </c>
      <c r="B35">
        <v>7</v>
      </c>
      <c r="C35">
        <v>6</v>
      </c>
    </row>
    <row r="36" spans="1:3" x14ac:dyDescent="0.2">
      <c r="A36" s="17" t="s">
        <v>65</v>
      </c>
      <c r="B36">
        <v>40</v>
      </c>
      <c r="C36">
        <v>69</v>
      </c>
    </row>
    <row r="37" spans="1:3" x14ac:dyDescent="0.2">
      <c r="A37" s="17" t="s">
        <v>73</v>
      </c>
      <c r="B37">
        <v>4</v>
      </c>
      <c r="C37">
        <v>9</v>
      </c>
    </row>
    <row r="38" spans="1:3" x14ac:dyDescent="0.2">
      <c r="A38" s="17" t="s">
        <v>66</v>
      </c>
      <c r="B38">
        <v>6</v>
      </c>
      <c r="C38">
        <v>4</v>
      </c>
    </row>
    <row r="39" spans="1:3" x14ac:dyDescent="0.2">
      <c r="A39" s="17" t="s">
        <v>67</v>
      </c>
      <c r="B39">
        <v>50</v>
      </c>
      <c r="C39">
        <v>135</v>
      </c>
    </row>
    <row r="40" spans="1:3" x14ac:dyDescent="0.2">
      <c r="A40" s="17" t="s">
        <v>92</v>
      </c>
      <c r="B40">
        <v>568</v>
      </c>
      <c r="C40">
        <v>893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2A8B6-DC99-EA49-B083-2DA33E72998A}">
  <sheetPr codeName="Sheet5"/>
  <dimension ref="A1:D11"/>
  <sheetViews>
    <sheetView workbookViewId="0">
      <selection activeCell="C9" sqref="C9"/>
    </sheetView>
  </sheetViews>
  <sheetFormatPr baseColWidth="10" defaultColWidth="11" defaultRowHeight="16" x14ac:dyDescent="0.2"/>
  <cols>
    <col min="1" max="1" width="13" bestFit="1" customWidth="1"/>
    <col min="2" max="2" width="21.1640625" bestFit="1" customWidth="1"/>
    <col min="3" max="3" width="11.83203125" bestFit="1" customWidth="1"/>
    <col min="4" max="4" width="18.83203125" bestFit="1" customWidth="1"/>
  </cols>
  <sheetData>
    <row r="1" spans="1:4" x14ac:dyDescent="0.2">
      <c r="A1" s="16" t="s">
        <v>23</v>
      </c>
      <c r="B1" t="s">
        <v>45</v>
      </c>
    </row>
    <row r="3" spans="1:4" x14ac:dyDescent="0.2">
      <c r="A3" s="16" t="s">
        <v>89</v>
      </c>
      <c r="B3" t="s">
        <v>90</v>
      </c>
      <c r="C3" t="s">
        <v>91</v>
      </c>
      <c r="D3" t="s">
        <v>93</v>
      </c>
    </row>
    <row r="4" spans="1:4" x14ac:dyDescent="0.2">
      <c r="A4" s="17">
        <v>1995</v>
      </c>
      <c r="B4">
        <v>3</v>
      </c>
      <c r="C4">
        <v>3</v>
      </c>
    </row>
    <row r="5" spans="1:4" x14ac:dyDescent="0.2">
      <c r="A5" s="17">
        <v>1999</v>
      </c>
      <c r="B5">
        <v>3</v>
      </c>
      <c r="C5">
        <v>3</v>
      </c>
    </row>
    <row r="6" spans="1:4" x14ac:dyDescent="0.2">
      <c r="A6" s="17">
        <v>2003</v>
      </c>
      <c r="B6">
        <v>3</v>
      </c>
      <c r="C6">
        <v>3</v>
      </c>
      <c r="D6">
        <v>49</v>
      </c>
    </row>
    <row r="7" spans="1:4" x14ac:dyDescent="0.2">
      <c r="A7" s="17">
        <v>2007</v>
      </c>
      <c r="B7">
        <v>4</v>
      </c>
      <c r="C7">
        <v>9</v>
      </c>
      <c r="D7">
        <v>48.3</v>
      </c>
    </row>
    <row r="8" spans="1:4" x14ac:dyDescent="0.2">
      <c r="A8" s="17">
        <v>2011</v>
      </c>
      <c r="B8">
        <v>4</v>
      </c>
      <c r="C8">
        <v>6</v>
      </c>
      <c r="D8">
        <v>53.5</v>
      </c>
    </row>
    <row r="9" spans="1:4" x14ac:dyDescent="0.2">
      <c r="A9" s="17">
        <v>2015</v>
      </c>
      <c r="B9">
        <v>5</v>
      </c>
      <c r="C9">
        <v>5</v>
      </c>
      <c r="D9">
        <v>46.2</v>
      </c>
    </row>
    <row r="10" spans="1:4" x14ac:dyDescent="0.2">
      <c r="A10" s="17">
        <v>2019</v>
      </c>
      <c r="B10">
        <v>4</v>
      </c>
      <c r="C10">
        <v>8</v>
      </c>
      <c r="D10">
        <v>61.3</v>
      </c>
    </row>
    <row r="11" spans="1:4" x14ac:dyDescent="0.2">
      <c r="A11" s="17" t="s">
        <v>92</v>
      </c>
      <c r="B11">
        <v>26</v>
      </c>
      <c r="C11">
        <v>37</v>
      </c>
      <c r="D11">
        <v>51.660000000000004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98F99-263A-E34D-8128-C80B9EDEAD11}">
  <sheetPr codeName="Sheet6"/>
  <dimension ref="A1:T210"/>
  <sheetViews>
    <sheetView tabSelected="1" topLeftCell="A176" workbookViewId="0">
      <selection activeCell="I206" sqref="I206"/>
    </sheetView>
  </sheetViews>
  <sheetFormatPr baseColWidth="10" defaultColWidth="11" defaultRowHeight="16" x14ac:dyDescent="0.2"/>
  <cols>
    <col min="2" max="2" width="15.33203125" customWidth="1"/>
    <col min="9" max="9" width="11.5" customWidth="1"/>
    <col min="15" max="15" width="11.5" customWidth="1"/>
  </cols>
  <sheetData>
    <row r="1" spans="1:12" x14ac:dyDescent="0.2">
      <c r="A1" s="12" t="s">
        <v>94</v>
      </c>
    </row>
    <row r="3" spans="1:12" x14ac:dyDescent="0.2">
      <c r="A3" t="s">
        <v>95</v>
      </c>
      <c r="B3" s="2" cm="1">
        <f t="array" ref="B3:B6">LEN(A3:A6)</f>
        <v>5</v>
      </c>
      <c r="C3" s="18" t="s">
        <v>96</v>
      </c>
    </row>
    <row r="4" spans="1:12" x14ac:dyDescent="0.2">
      <c r="A4" t="s">
        <v>97</v>
      </c>
      <c r="B4" s="2">
        <v>6</v>
      </c>
    </row>
    <row r="5" spans="1:12" x14ac:dyDescent="0.2">
      <c r="A5" t="s">
        <v>98</v>
      </c>
      <c r="B5" s="2">
        <v>2</v>
      </c>
    </row>
    <row r="6" spans="1:12" x14ac:dyDescent="0.2">
      <c r="A6" t="s">
        <v>99</v>
      </c>
      <c r="B6" s="2">
        <v>9</v>
      </c>
    </row>
    <row r="7" spans="1:12" ht="17" thickBot="1" x14ac:dyDescent="0.25">
      <c r="B7" s="19" cm="1">
        <f t="array" ref="B7">SUM(LEN(_xlfn.ANCHORARRAY(B3)))</f>
        <v>4</v>
      </c>
      <c r="C7">
        <f>SUM(_xlfn.ANCHORARRAY(B3))</f>
        <v>22</v>
      </c>
    </row>
    <row r="8" spans="1:12" s="20" customFormat="1" ht="17" thickTop="1" x14ac:dyDescent="0.2">
      <c r="B8" s="42" t="s">
        <v>145</v>
      </c>
      <c r="C8" s="42" t="s">
        <v>146</v>
      </c>
    </row>
    <row r="10" spans="1:12" x14ac:dyDescent="0.2">
      <c r="A10" s="12" t="s">
        <v>100</v>
      </c>
    </row>
    <row r="11" spans="1:12" x14ac:dyDescent="0.2">
      <c r="H11" s="21" t="s">
        <v>101</v>
      </c>
      <c r="K11" s="21" t="s">
        <v>102</v>
      </c>
    </row>
    <row r="12" spans="1:12" x14ac:dyDescent="0.2">
      <c r="A12" s="2" cm="1">
        <f t="array" ref="A12:A147">IF(matches_played=7,1,0)</f>
        <v>0</v>
      </c>
      <c r="B12" t="str">
        <f ca="1">_xlfn.FORMULATEXT(A12)</f>
        <v>=IF(matches_played=7,1,0)</v>
      </c>
      <c r="H12" s="2" cm="1">
        <f t="array" ref="H12:H29">IF(Fire&gt;Water,1,0)</f>
        <v>0</v>
      </c>
      <c r="I12" t="str">
        <f ca="1">_xlfn.FORMULATEXT(H12)</f>
        <v>=IF(Fire&gt;Water,1,0)</v>
      </c>
      <c r="K12" s="2" t="str" cm="1">
        <f t="array" ref="K12:K29">IF(Fire&gt;Water,Attacking,"")</f>
        <v/>
      </c>
      <c r="L12" t="str">
        <f ca="1">_xlfn.FORMULATEXT(K12)</f>
        <v>=IF(Fire&gt;Water,Attacking,"")</v>
      </c>
    </row>
    <row r="13" spans="1:12" x14ac:dyDescent="0.2">
      <c r="A13" s="2">
        <v>0</v>
      </c>
      <c r="H13" s="2">
        <v>0</v>
      </c>
      <c r="K13" s="2" t="str">
        <v/>
      </c>
    </row>
    <row r="14" spans="1:12" x14ac:dyDescent="0.2">
      <c r="A14" s="2">
        <v>0</v>
      </c>
      <c r="B14">
        <v>1</v>
      </c>
      <c r="C14" s="2" cm="1">
        <f t="array" ref="C14">SUM(IF(matches_played=B14,1,0))</f>
        <v>0</v>
      </c>
      <c r="D14" t="str" cm="1">
        <f t="array" aca="1" ref="D14:D20" ca="1">_xlfn.FORMULATEXT(C14:C20)</f>
        <v>=SUM(IF(matches_played=B14,1,0))</v>
      </c>
      <c r="H14" s="2">
        <v>1</v>
      </c>
      <c r="K14" s="2" t="str">
        <v>Water</v>
      </c>
    </row>
    <row r="15" spans="1:12" x14ac:dyDescent="0.2">
      <c r="A15" s="2">
        <v>0</v>
      </c>
      <c r="B15">
        <v>2</v>
      </c>
      <c r="C15" s="2" cm="1">
        <f t="array" ref="C15">SUM(IF(matches_played=B15,1,0))</f>
        <v>0</v>
      </c>
      <c r="D15" t="str">
        <f ca="1"/>
        <v>=SUM(IF(matches_played=B15,1,0))</v>
      </c>
      <c r="H15" s="2">
        <v>0</v>
      </c>
      <c r="K15" s="2" t="str">
        <v/>
      </c>
    </row>
    <row r="16" spans="1:12" x14ac:dyDescent="0.2">
      <c r="A16" s="2">
        <v>0</v>
      </c>
      <c r="B16">
        <v>3</v>
      </c>
      <c r="C16" s="2" cm="1">
        <f t="array" ref="C16">SUM(IF(matches_played=B16,1,0))</f>
        <v>56</v>
      </c>
      <c r="D16" t="str">
        <f ca="1"/>
        <v>=SUM(IF(matches_played=B16,1,0))</v>
      </c>
      <c r="H16" s="2">
        <v>0</v>
      </c>
      <c r="K16" s="2" t="str">
        <v/>
      </c>
    </row>
    <row r="17" spans="1:13" x14ac:dyDescent="0.2">
      <c r="A17" s="2">
        <v>0</v>
      </c>
      <c r="B17">
        <v>4</v>
      </c>
      <c r="C17" s="2" cm="1">
        <f t="array" ref="C17">SUM(IF(matches_played=B17,1,0))</f>
        <v>40</v>
      </c>
      <c r="D17" t="str">
        <f ca="1"/>
        <v>=SUM(IF(matches_played=B17,1,0))</v>
      </c>
      <c r="H17" s="2">
        <v>0</v>
      </c>
      <c r="K17" s="2" t="str">
        <v/>
      </c>
    </row>
    <row r="18" spans="1:13" x14ac:dyDescent="0.2">
      <c r="A18" s="2">
        <v>0</v>
      </c>
      <c r="B18">
        <v>5</v>
      </c>
      <c r="C18" s="2" cm="1">
        <f t="array" ref="C18">SUM(IF(matches_played=B18,1,0))</f>
        <v>8</v>
      </c>
      <c r="D18" t="str">
        <f ca="1"/>
        <v>=SUM(IF(matches_played=B18,1,0))</v>
      </c>
      <c r="H18" s="2">
        <v>0</v>
      </c>
      <c r="K18" s="2" t="str">
        <v/>
      </c>
    </row>
    <row r="19" spans="1:13" x14ac:dyDescent="0.2">
      <c r="A19" s="2">
        <v>1</v>
      </c>
      <c r="B19">
        <v>6</v>
      </c>
      <c r="C19" s="2" cm="1">
        <f t="array" ref="C19">SUM(IF(matches_played=B19,1,0))</f>
        <v>24</v>
      </c>
      <c r="D19" t="str">
        <f ca="1"/>
        <v>=SUM(IF(matches_played=B19,1,0))</v>
      </c>
      <c r="H19" s="2">
        <v>0</v>
      </c>
      <c r="K19" s="2" t="str">
        <v/>
      </c>
    </row>
    <row r="20" spans="1:13" x14ac:dyDescent="0.2">
      <c r="A20" s="2">
        <v>0</v>
      </c>
      <c r="B20">
        <v>7</v>
      </c>
      <c r="C20" s="2" cm="1">
        <f t="array" ref="C20">SUM(IF(matches_played=B20,1,0))</f>
        <v>8</v>
      </c>
      <c r="D20" t="str">
        <f ca="1"/>
        <v>=SUM(IF(matches_played=B20,1,0))</v>
      </c>
      <c r="H20" s="2">
        <v>1</v>
      </c>
      <c r="K20" s="2" t="str">
        <v>Ground</v>
      </c>
    </row>
    <row r="21" spans="1:13" x14ac:dyDescent="0.2">
      <c r="A21" s="2">
        <v>0</v>
      </c>
      <c r="H21" s="2">
        <v>0</v>
      </c>
      <c r="K21" s="2" t="str">
        <v/>
      </c>
    </row>
    <row r="22" spans="1:13" x14ac:dyDescent="0.2">
      <c r="A22" s="2">
        <v>0</v>
      </c>
      <c r="H22" s="2">
        <v>0</v>
      </c>
      <c r="K22" s="2" t="str">
        <v/>
      </c>
    </row>
    <row r="23" spans="1:13" x14ac:dyDescent="0.2">
      <c r="A23" s="2">
        <v>0</v>
      </c>
      <c r="H23" s="2">
        <v>0</v>
      </c>
      <c r="K23" s="2" t="str">
        <v/>
      </c>
    </row>
    <row r="24" spans="1:13" x14ac:dyDescent="0.2">
      <c r="A24" s="2">
        <v>0</v>
      </c>
      <c r="H24" s="2">
        <v>1</v>
      </c>
      <c r="K24" s="2" t="str">
        <v>Rock</v>
      </c>
    </row>
    <row r="25" spans="1:13" x14ac:dyDescent="0.2">
      <c r="A25" s="2">
        <v>0</v>
      </c>
      <c r="H25" s="2">
        <v>0</v>
      </c>
      <c r="K25" s="2" t="str">
        <v/>
      </c>
    </row>
    <row r="26" spans="1:13" x14ac:dyDescent="0.2">
      <c r="A26" s="2">
        <v>1</v>
      </c>
      <c r="H26" s="2">
        <v>0</v>
      </c>
      <c r="K26" s="2" t="str">
        <v/>
      </c>
    </row>
    <row r="27" spans="1:13" x14ac:dyDescent="0.2">
      <c r="A27" s="2">
        <v>0</v>
      </c>
      <c r="H27" s="2">
        <v>0</v>
      </c>
      <c r="K27" s="2" t="str">
        <v/>
      </c>
    </row>
    <row r="28" spans="1:13" x14ac:dyDescent="0.2">
      <c r="A28" s="2">
        <v>0</v>
      </c>
      <c r="H28" s="2">
        <v>0</v>
      </c>
      <c r="K28" s="2" t="str">
        <v/>
      </c>
    </row>
    <row r="29" spans="1:13" x14ac:dyDescent="0.2">
      <c r="A29" s="2">
        <v>0</v>
      </c>
      <c r="H29" s="2">
        <v>0</v>
      </c>
      <c r="K29" s="2" t="str">
        <v/>
      </c>
    </row>
    <row r="30" spans="1:13" ht="17" thickBot="1" x14ac:dyDescent="0.25">
      <c r="A30" s="2">
        <v>0</v>
      </c>
    </row>
    <row r="31" spans="1:13" x14ac:dyDescent="0.2">
      <c r="A31" s="2">
        <v>0</v>
      </c>
      <c r="C31" s="3" t="s">
        <v>103</v>
      </c>
      <c r="D31" s="4" t="s">
        <v>104</v>
      </c>
      <c r="E31" s="4" t="s">
        <v>105</v>
      </c>
      <c r="F31" s="5" t="s">
        <v>106</v>
      </c>
      <c r="I31" t="str">
        <f ca="1">_xlfn.FORMULATEXT(I32)</f>
        <v>=VLOOKUP(H32,lossratios,{2,4},FALSE)</v>
      </c>
      <c r="M31" t="str">
        <f ca="1">_xlfn.FORMULATEXT(M32)</f>
        <v>=AVERAGE(VLOOKUP(H32,lossratios,{2,4},FALSE))</v>
      </c>
    </row>
    <row r="32" spans="1:13" x14ac:dyDescent="0.2">
      <c r="A32" s="2">
        <v>0</v>
      </c>
      <c r="C32" s="6" t="s">
        <v>107</v>
      </c>
      <c r="D32" s="22">
        <v>0.92900000000000005</v>
      </c>
      <c r="E32" s="22">
        <v>0.76500000000000001</v>
      </c>
      <c r="F32" s="23">
        <v>0.94099999999999995</v>
      </c>
      <c r="H32" t="str" cm="1">
        <f t="array" ref="H32:H35">C32:C35</f>
        <v>Motor</v>
      </c>
      <c r="I32" s="2" cm="1">
        <f t="array" ref="I32:J32">VLOOKUP(H32,lossratios,{2,4},FALSE)</f>
        <v>0.92900000000000005</v>
      </c>
      <c r="J32" s="2">
        <v>0.94099999999999995</v>
      </c>
      <c r="M32" s="2" cm="1">
        <f t="array" ref="M32">AVERAGE(VLOOKUP(H32,lossratios,{2,4},FALSE))</f>
        <v>0.93500000000000005</v>
      </c>
    </row>
    <row r="33" spans="1:13" x14ac:dyDescent="0.2">
      <c r="A33" s="2">
        <v>1</v>
      </c>
      <c r="C33" s="6" t="s">
        <v>108</v>
      </c>
      <c r="D33" s="22">
        <v>0.61199999999999999</v>
      </c>
      <c r="E33" s="22">
        <v>0.76100000000000001</v>
      </c>
      <c r="F33" s="23">
        <v>1.093</v>
      </c>
      <c r="H33" t="str">
        <v>Liability</v>
      </c>
      <c r="I33" s="2" cm="1">
        <f t="array" ref="I33:J33">VLOOKUP(H33,lossratios,{2,4},FALSE)</f>
        <v>0.61199999999999999</v>
      </c>
      <c r="J33" s="2">
        <v>1.093</v>
      </c>
      <c r="M33" s="2" cm="1">
        <f t="array" ref="M33">AVERAGE(VLOOKUP(H33,lossratios,{2,4},FALSE))</f>
        <v>0.85250000000000004</v>
      </c>
    </row>
    <row r="34" spans="1:13" x14ac:dyDescent="0.2">
      <c r="A34" s="2">
        <v>0</v>
      </c>
      <c r="C34" s="6" t="s">
        <v>109</v>
      </c>
      <c r="D34" s="22">
        <v>0.871</v>
      </c>
      <c r="E34" s="22">
        <v>0.92800000000000005</v>
      </c>
      <c r="F34" s="23">
        <v>0.65900000000000003</v>
      </c>
      <c r="H34" t="str">
        <v>Life</v>
      </c>
      <c r="I34" s="2" cm="1">
        <f t="array" ref="I34:J34">VLOOKUP(H34,lossratios,{2,4},FALSE)</f>
        <v>0.871</v>
      </c>
      <c r="J34" s="2">
        <v>0.65900000000000003</v>
      </c>
      <c r="M34" s="2" cm="1">
        <f t="array" ref="M34">AVERAGE(VLOOKUP(H34,lossratios,{2,4},FALSE))</f>
        <v>0.76500000000000001</v>
      </c>
    </row>
    <row r="35" spans="1:13" ht="17" thickBot="1" x14ac:dyDescent="0.25">
      <c r="A35" s="2">
        <v>1</v>
      </c>
      <c r="C35" s="8" t="s">
        <v>110</v>
      </c>
      <c r="D35" s="24">
        <v>1.0489999999999999</v>
      </c>
      <c r="E35" s="24">
        <v>0.67500000000000004</v>
      </c>
      <c r="F35" s="25">
        <v>0.96699999999999997</v>
      </c>
      <c r="H35" t="str">
        <v>Property</v>
      </c>
      <c r="I35" s="2" cm="1">
        <f t="array" ref="I35:J35">VLOOKUP(H35,lossratios,{2,4},FALSE)</f>
        <v>1.0489999999999999</v>
      </c>
      <c r="J35" s="2">
        <v>0.96699999999999997</v>
      </c>
      <c r="M35" s="2" cm="1">
        <f t="array" ref="M35">AVERAGE(VLOOKUP(H35,lossratios,{2,4},FALSE))</f>
        <v>1.008</v>
      </c>
    </row>
    <row r="36" spans="1:13" x14ac:dyDescent="0.2">
      <c r="A36" s="2">
        <v>0</v>
      </c>
    </row>
    <row r="37" spans="1:13" x14ac:dyDescent="0.2">
      <c r="A37" s="2">
        <v>0</v>
      </c>
      <c r="H37" t="str">
        <f>C32</f>
        <v>Motor</v>
      </c>
      <c r="I37" s="2" cm="1">
        <f t="array" ref="I37:I38">VLOOKUP(H37,lossratios,{2;4},FALSE)</f>
        <v>0.92900000000000005</v>
      </c>
      <c r="J37" t="str">
        <f ca="1">_xlfn.FORMULATEXT(I37)</f>
        <v>=VLOOKUP(H37,lossratios,{2;4},FALSE)</v>
      </c>
    </row>
    <row r="38" spans="1:13" x14ac:dyDescent="0.2">
      <c r="A38" s="2">
        <v>0</v>
      </c>
      <c r="I38" s="2">
        <v>0.94099999999999995</v>
      </c>
    </row>
    <row r="39" spans="1:13" x14ac:dyDescent="0.2">
      <c r="A39" s="2">
        <v>0</v>
      </c>
    </row>
    <row r="40" spans="1:13" x14ac:dyDescent="0.2">
      <c r="A40" s="2">
        <v>0</v>
      </c>
    </row>
    <row r="41" spans="1:13" hidden="1" x14ac:dyDescent="0.2">
      <c r="A41" s="2">
        <v>0</v>
      </c>
    </row>
    <row r="42" spans="1:13" hidden="1" x14ac:dyDescent="0.2">
      <c r="A42" s="2">
        <v>0</v>
      </c>
    </row>
    <row r="43" spans="1:13" hidden="1" x14ac:dyDescent="0.2">
      <c r="A43" s="2">
        <v>0</v>
      </c>
    </row>
    <row r="44" spans="1:13" hidden="1" x14ac:dyDescent="0.2">
      <c r="A44" s="2">
        <v>0</v>
      </c>
    </row>
    <row r="45" spans="1:13" hidden="1" x14ac:dyDescent="0.2">
      <c r="A45" s="2">
        <v>1</v>
      </c>
    </row>
    <row r="46" spans="1:13" hidden="1" x14ac:dyDescent="0.2">
      <c r="A46" s="2">
        <v>0</v>
      </c>
    </row>
    <row r="47" spans="1:13" hidden="1" x14ac:dyDescent="0.2">
      <c r="A47" s="2">
        <v>1</v>
      </c>
    </row>
    <row r="48" spans="1:13" hidden="1" x14ac:dyDescent="0.2">
      <c r="A48" s="2">
        <v>1</v>
      </c>
    </row>
    <row r="49" spans="1:1" hidden="1" x14ac:dyDescent="0.2">
      <c r="A49" s="2">
        <v>0</v>
      </c>
    </row>
    <row r="50" spans="1:1" hidden="1" x14ac:dyDescent="0.2">
      <c r="A50" s="2">
        <v>0</v>
      </c>
    </row>
    <row r="51" spans="1:1" hidden="1" x14ac:dyDescent="0.2">
      <c r="A51" s="2">
        <v>0</v>
      </c>
    </row>
    <row r="52" spans="1:1" hidden="1" x14ac:dyDescent="0.2">
      <c r="A52" s="2">
        <v>0</v>
      </c>
    </row>
    <row r="53" spans="1:1" hidden="1" x14ac:dyDescent="0.2">
      <c r="A53" s="2">
        <v>0</v>
      </c>
    </row>
    <row r="54" spans="1:1" hidden="1" x14ac:dyDescent="0.2">
      <c r="A54" s="2">
        <v>0</v>
      </c>
    </row>
    <row r="55" spans="1:1" hidden="1" x14ac:dyDescent="0.2">
      <c r="A55" s="2">
        <v>0</v>
      </c>
    </row>
    <row r="56" spans="1:1" hidden="1" x14ac:dyDescent="0.2">
      <c r="A56" s="2">
        <v>0</v>
      </c>
    </row>
    <row r="57" spans="1:1" hidden="1" x14ac:dyDescent="0.2">
      <c r="A57" s="2">
        <v>0</v>
      </c>
    </row>
    <row r="58" spans="1:1" hidden="1" x14ac:dyDescent="0.2">
      <c r="A58" s="2">
        <v>0</v>
      </c>
    </row>
    <row r="59" spans="1:1" hidden="1" x14ac:dyDescent="0.2">
      <c r="A59" s="2">
        <v>1</v>
      </c>
    </row>
    <row r="60" spans="1:1" hidden="1" x14ac:dyDescent="0.2">
      <c r="A60" s="2">
        <v>0</v>
      </c>
    </row>
    <row r="61" spans="1:1" hidden="1" x14ac:dyDescent="0.2">
      <c r="A61" s="2">
        <v>0</v>
      </c>
    </row>
    <row r="62" spans="1:1" hidden="1" x14ac:dyDescent="0.2">
      <c r="A62" s="2">
        <v>0</v>
      </c>
    </row>
    <row r="63" spans="1:1" hidden="1" x14ac:dyDescent="0.2">
      <c r="A63" s="2">
        <v>0</v>
      </c>
    </row>
    <row r="64" spans="1:1" hidden="1" x14ac:dyDescent="0.2">
      <c r="A64" s="2">
        <v>0</v>
      </c>
    </row>
    <row r="65" spans="1:1" hidden="1" x14ac:dyDescent="0.2">
      <c r="A65" s="2">
        <v>0</v>
      </c>
    </row>
    <row r="66" spans="1:1" hidden="1" x14ac:dyDescent="0.2">
      <c r="A66" s="2">
        <v>0</v>
      </c>
    </row>
    <row r="67" spans="1:1" hidden="1" x14ac:dyDescent="0.2">
      <c r="A67" s="2">
        <v>0</v>
      </c>
    </row>
    <row r="68" spans="1:1" hidden="1" x14ac:dyDescent="0.2">
      <c r="A68" s="2">
        <v>0</v>
      </c>
    </row>
    <row r="69" spans="1:1" hidden="1" x14ac:dyDescent="0.2">
      <c r="A69" s="2">
        <v>0</v>
      </c>
    </row>
    <row r="70" spans="1:1" hidden="1" x14ac:dyDescent="0.2">
      <c r="A70" s="2">
        <v>0</v>
      </c>
    </row>
    <row r="71" spans="1:1" hidden="1" x14ac:dyDescent="0.2">
      <c r="A71" s="2">
        <v>0</v>
      </c>
    </row>
    <row r="72" spans="1:1" hidden="1" x14ac:dyDescent="0.2">
      <c r="A72" s="2">
        <v>0</v>
      </c>
    </row>
    <row r="73" spans="1:1" hidden="1" x14ac:dyDescent="0.2">
      <c r="A73" s="2">
        <v>0</v>
      </c>
    </row>
    <row r="74" spans="1:1" hidden="1" x14ac:dyDescent="0.2">
      <c r="A74" s="2">
        <v>0</v>
      </c>
    </row>
    <row r="75" spans="1:1" hidden="1" x14ac:dyDescent="0.2">
      <c r="A75" s="2">
        <v>0</v>
      </c>
    </row>
    <row r="76" spans="1:1" hidden="1" x14ac:dyDescent="0.2">
      <c r="A76" s="2">
        <v>0</v>
      </c>
    </row>
    <row r="77" spans="1:1" hidden="1" x14ac:dyDescent="0.2">
      <c r="A77" s="2">
        <v>0</v>
      </c>
    </row>
    <row r="78" spans="1:1" hidden="1" x14ac:dyDescent="0.2">
      <c r="A78" s="2">
        <v>0</v>
      </c>
    </row>
    <row r="79" spans="1:1" hidden="1" x14ac:dyDescent="0.2">
      <c r="A79" s="2">
        <v>0</v>
      </c>
    </row>
    <row r="80" spans="1:1" hidden="1" x14ac:dyDescent="0.2">
      <c r="A80" s="2">
        <v>0</v>
      </c>
    </row>
    <row r="81" spans="1:1" hidden="1" x14ac:dyDescent="0.2">
      <c r="A81" s="2">
        <v>0</v>
      </c>
    </row>
    <row r="82" spans="1:1" hidden="1" x14ac:dyDescent="0.2">
      <c r="A82" s="2">
        <v>0</v>
      </c>
    </row>
    <row r="83" spans="1:1" hidden="1" x14ac:dyDescent="0.2">
      <c r="A83" s="2">
        <v>0</v>
      </c>
    </row>
    <row r="84" spans="1:1" hidden="1" x14ac:dyDescent="0.2">
      <c r="A84" s="2">
        <v>0</v>
      </c>
    </row>
    <row r="85" spans="1:1" hidden="1" x14ac:dyDescent="0.2">
      <c r="A85" s="2">
        <v>0</v>
      </c>
    </row>
    <row r="86" spans="1:1" hidden="1" x14ac:dyDescent="0.2">
      <c r="A86" s="2">
        <v>0</v>
      </c>
    </row>
    <row r="87" spans="1:1" hidden="1" x14ac:dyDescent="0.2">
      <c r="A87" s="2">
        <v>0</v>
      </c>
    </row>
    <row r="88" spans="1:1" hidden="1" x14ac:dyDescent="0.2">
      <c r="A88" s="2">
        <v>0</v>
      </c>
    </row>
    <row r="89" spans="1:1" hidden="1" x14ac:dyDescent="0.2">
      <c r="A89" s="2">
        <v>0</v>
      </c>
    </row>
    <row r="90" spans="1:1" hidden="1" x14ac:dyDescent="0.2">
      <c r="A90" s="2">
        <v>0</v>
      </c>
    </row>
    <row r="91" spans="1:1" hidden="1" x14ac:dyDescent="0.2">
      <c r="A91" s="2">
        <v>0</v>
      </c>
    </row>
    <row r="92" spans="1:1" hidden="1" x14ac:dyDescent="0.2">
      <c r="A92" s="2">
        <v>0</v>
      </c>
    </row>
    <row r="93" spans="1:1" hidden="1" x14ac:dyDescent="0.2">
      <c r="A93" s="2">
        <v>0</v>
      </c>
    </row>
    <row r="94" spans="1:1" hidden="1" x14ac:dyDescent="0.2">
      <c r="A94" s="2">
        <v>0</v>
      </c>
    </row>
    <row r="95" spans="1:1" hidden="1" x14ac:dyDescent="0.2">
      <c r="A95" s="2">
        <v>0</v>
      </c>
    </row>
    <row r="96" spans="1:1" hidden="1" x14ac:dyDescent="0.2">
      <c r="A96" s="2">
        <v>0</v>
      </c>
    </row>
    <row r="97" spans="1:1" hidden="1" x14ac:dyDescent="0.2">
      <c r="A97" s="2">
        <v>0</v>
      </c>
    </row>
    <row r="98" spans="1:1" hidden="1" x14ac:dyDescent="0.2">
      <c r="A98" s="2">
        <v>0</v>
      </c>
    </row>
    <row r="99" spans="1:1" hidden="1" x14ac:dyDescent="0.2">
      <c r="A99" s="2">
        <v>0</v>
      </c>
    </row>
    <row r="100" spans="1:1" hidden="1" x14ac:dyDescent="0.2">
      <c r="A100" s="2">
        <v>0</v>
      </c>
    </row>
    <row r="101" spans="1:1" hidden="1" x14ac:dyDescent="0.2">
      <c r="A101" s="2">
        <v>0</v>
      </c>
    </row>
    <row r="102" spans="1:1" hidden="1" x14ac:dyDescent="0.2">
      <c r="A102" s="2">
        <v>0</v>
      </c>
    </row>
    <row r="103" spans="1:1" hidden="1" x14ac:dyDescent="0.2">
      <c r="A103" s="2">
        <v>0</v>
      </c>
    </row>
    <row r="104" spans="1:1" hidden="1" x14ac:dyDescent="0.2">
      <c r="A104" s="2">
        <v>0</v>
      </c>
    </row>
    <row r="105" spans="1:1" hidden="1" x14ac:dyDescent="0.2">
      <c r="A105" s="2">
        <v>0</v>
      </c>
    </row>
    <row r="106" spans="1:1" hidden="1" x14ac:dyDescent="0.2">
      <c r="A106" s="2">
        <v>0</v>
      </c>
    </row>
    <row r="107" spans="1:1" hidden="1" x14ac:dyDescent="0.2">
      <c r="A107" s="2">
        <v>0</v>
      </c>
    </row>
    <row r="108" spans="1:1" hidden="1" x14ac:dyDescent="0.2">
      <c r="A108" s="2">
        <v>0</v>
      </c>
    </row>
    <row r="109" spans="1:1" hidden="1" x14ac:dyDescent="0.2">
      <c r="A109" s="2">
        <v>0</v>
      </c>
    </row>
    <row r="110" spans="1:1" hidden="1" x14ac:dyDescent="0.2">
      <c r="A110" s="2">
        <v>0</v>
      </c>
    </row>
    <row r="111" spans="1:1" hidden="1" x14ac:dyDescent="0.2">
      <c r="A111" s="2">
        <v>0</v>
      </c>
    </row>
    <row r="112" spans="1:1" hidden="1" x14ac:dyDescent="0.2">
      <c r="A112" s="2">
        <v>0</v>
      </c>
    </row>
    <row r="113" spans="1:1" hidden="1" x14ac:dyDescent="0.2">
      <c r="A113" s="2">
        <v>0</v>
      </c>
    </row>
    <row r="114" spans="1:1" hidden="1" x14ac:dyDescent="0.2">
      <c r="A114" s="2">
        <v>0</v>
      </c>
    </row>
    <row r="115" spans="1:1" hidden="1" x14ac:dyDescent="0.2">
      <c r="A115" s="2">
        <v>0</v>
      </c>
    </row>
    <row r="116" spans="1:1" hidden="1" x14ac:dyDescent="0.2">
      <c r="A116" s="2">
        <v>0</v>
      </c>
    </row>
    <row r="117" spans="1:1" hidden="1" x14ac:dyDescent="0.2">
      <c r="A117" s="2">
        <v>0</v>
      </c>
    </row>
    <row r="118" spans="1:1" hidden="1" x14ac:dyDescent="0.2">
      <c r="A118" s="2">
        <v>0</v>
      </c>
    </row>
    <row r="119" spans="1:1" hidden="1" x14ac:dyDescent="0.2">
      <c r="A119" s="2">
        <v>0</v>
      </c>
    </row>
    <row r="120" spans="1:1" hidden="1" x14ac:dyDescent="0.2">
      <c r="A120" s="2">
        <v>0</v>
      </c>
    </row>
    <row r="121" spans="1:1" hidden="1" x14ac:dyDescent="0.2">
      <c r="A121" s="2">
        <v>0</v>
      </c>
    </row>
    <row r="122" spans="1:1" hidden="1" x14ac:dyDescent="0.2">
      <c r="A122" s="2">
        <v>0</v>
      </c>
    </row>
    <row r="123" spans="1:1" hidden="1" x14ac:dyDescent="0.2">
      <c r="A123" s="2">
        <v>0</v>
      </c>
    </row>
    <row r="124" spans="1:1" hidden="1" x14ac:dyDescent="0.2">
      <c r="A124" s="2">
        <v>0</v>
      </c>
    </row>
    <row r="125" spans="1:1" hidden="1" x14ac:dyDescent="0.2">
      <c r="A125" s="2">
        <v>0</v>
      </c>
    </row>
    <row r="126" spans="1:1" hidden="1" x14ac:dyDescent="0.2">
      <c r="A126" s="2">
        <v>0</v>
      </c>
    </row>
    <row r="127" spans="1:1" hidden="1" x14ac:dyDescent="0.2">
      <c r="A127" s="2">
        <v>0</v>
      </c>
    </row>
    <row r="128" spans="1:1" hidden="1" x14ac:dyDescent="0.2">
      <c r="A128" s="2">
        <v>0</v>
      </c>
    </row>
    <row r="129" spans="1:1" hidden="1" x14ac:dyDescent="0.2">
      <c r="A129" s="2">
        <v>0</v>
      </c>
    </row>
    <row r="130" spans="1:1" hidden="1" x14ac:dyDescent="0.2">
      <c r="A130" s="2">
        <v>0</v>
      </c>
    </row>
    <row r="131" spans="1:1" hidden="1" x14ac:dyDescent="0.2">
      <c r="A131" s="2">
        <v>0</v>
      </c>
    </row>
    <row r="132" spans="1:1" hidden="1" x14ac:dyDescent="0.2">
      <c r="A132" s="2">
        <v>0</v>
      </c>
    </row>
    <row r="133" spans="1:1" hidden="1" x14ac:dyDescent="0.2">
      <c r="A133" s="2">
        <v>0</v>
      </c>
    </row>
    <row r="134" spans="1:1" hidden="1" x14ac:dyDescent="0.2">
      <c r="A134" s="2">
        <v>0</v>
      </c>
    </row>
    <row r="135" spans="1:1" hidden="1" x14ac:dyDescent="0.2">
      <c r="A135" s="2">
        <v>0</v>
      </c>
    </row>
    <row r="136" spans="1:1" hidden="1" x14ac:dyDescent="0.2">
      <c r="A136" s="2">
        <v>0</v>
      </c>
    </row>
    <row r="137" spans="1:1" hidden="1" x14ac:dyDescent="0.2">
      <c r="A137" s="2">
        <v>0</v>
      </c>
    </row>
    <row r="138" spans="1:1" hidden="1" x14ac:dyDescent="0.2">
      <c r="A138" s="2">
        <v>0</v>
      </c>
    </row>
    <row r="139" spans="1:1" hidden="1" x14ac:dyDescent="0.2">
      <c r="A139" s="2">
        <v>0</v>
      </c>
    </row>
    <row r="140" spans="1:1" hidden="1" x14ac:dyDescent="0.2">
      <c r="A140" s="2">
        <v>0</v>
      </c>
    </row>
    <row r="141" spans="1:1" hidden="1" x14ac:dyDescent="0.2">
      <c r="A141" s="2">
        <v>0</v>
      </c>
    </row>
    <row r="142" spans="1:1" hidden="1" x14ac:dyDescent="0.2">
      <c r="A142" s="2">
        <v>0</v>
      </c>
    </row>
    <row r="143" spans="1:1" hidden="1" x14ac:dyDescent="0.2">
      <c r="A143" s="2">
        <v>0</v>
      </c>
    </row>
    <row r="144" spans="1:1" x14ac:dyDescent="0.2">
      <c r="A144" s="2">
        <v>0</v>
      </c>
    </row>
    <row r="145" spans="1:12" x14ac:dyDescent="0.2">
      <c r="A145" s="2">
        <v>0</v>
      </c>
    </row>
    <row r="146" spans="1:12" x14ac:dyDescent="0.2">
      <c r="A146" s="2">
        <v>0</v>
      </c>
    </row>
    <row r="147" spans="1:12" x14ac:dyDescent="0.2">
      <c r="A147" s="2">
        <v>0</v>
      </c>
    </row>
    <row r="149" spans="1:12" s="1" customFormat="1" x14ac:dyDescent="0.2"/>
    <row r="150" spans="1:12" x14ac:dyDescent="0.2">
      <c r="A150" s="12" t="s">
        <v>111</v>
      </c>
    </row>
    <row r="152" spans="1:12" x14ac:dyDescent="0.2">
      <c r="A152" s="2">
        <f>H12</f>
        <v>0</v>
      </c>
      <c r="B152" t="str">
        <f ca="1">_xlfn.FORMULATEXT(A152)</f>
        <v>=H12</v>
      </c>
      <c r="C152" s="2" cm="1">
        <f t="array" ref="C152:C169">_xlfn.ANCHORARRAY(H12)</f>
        <v>0</v>
      </c>
      <c r="D152" t="str">
        <f ca="1">_xlfn.FORMULATEXT(C152)</f>
        <v>=H12#</v>
      </c>
      <c r="E152" s="2">
        <f>SUM(H12)</f>
        <v>0</v>
      </c>
      <c r="F152" t="str">
        <f ca="1">_xlfn.FORMULATEXT(E152)</f>
        <v>=SUM(H12)</v>
      </c>
      <c r="H152" s="2" cm="1">
        <f t="array" ref="H152:H156">_xlfn.SEQUENCE(5)</f>
        <v>1</v>
      </c>
      <c r="I152" t="str">
        <f ca="1">_xlfn.FORMULATEXT(H152)</f>
        <v>=SEQUENCE(5)</v>
      </c>
      <c r="K152" s="2">
        <f>SUM(H152:H156)</f>
        <v>15</v>
      </c>
      <c r="L152" t="str">
        <f ca="1">_xlfn.FORMULATEXT(K152)</f>
        <v>=SUM(H152:H156)</v>
      </c>
    </row>
    <row r="153" spans="1:12" x14ac:dyDescent="0.2">
      <c r="C153" s="2">
        <v>0</v>
      </c>
      <c r="E153" s="2">
        <f>SUM(_xlfn.ANCHORARRAY(H12))</f>
        <v>3</v>
      </c>
      <c r="F153" t="str">
        <f ca="1">_xlfn.FORMULATEXT(E153)</f>
        <v>=SUM(H12#)</v>
      </c>
      <c r="H153" s="2">
        <v>2</v>
      </c>
      <c r="K153" s="2">
        <f>SUM(_xlfn.ANCHORARRAY(H152))</f>
        <v>15</v>
      </c>
      <c r="L153" t="str">
        <f ca="1">_xlfn.FORMULATEXT(K153)</f>
        <v>=SUM(H152#)</v>
      </c>
    </row>
    <row r="154" spans="1:12" x14ac:dyDescent="0.2">
      <c r="C154" s="2">
        <v>1</v>
      </c>
      <c r="H154" s="2">
        <v>3</v>
      </c>
    </row>
    <row r="155" spans="1:12" x14ac:dyDescent="0.2">
      <c r="C155" s="2">
        <v>0</v>
      </c>
      <c r="H155" s="2">
        <v>4</v>
      </c>
      <c r="J155" s="12" t="s">
        <v>112</v>
      </c>
    </row>
    <row r="156" spans="1:12" x14ac:dyDescent="0.2">
      <c r="C156" s="2">
        <v>0</v>
      </c>
      <c r="H156" s="2">
        <v>5</v>
      </c>
    </row>
    <row r="157" spans="1:12" x14ac:dyDescent="0.2">
      <c r="C157" s="2">
        <v>0</v>
      </c>
    </row>
    <row r="158" spans="1:12" x14ac:dyDescent="0.2">
      <c r="C158" s="2">
        <v>0</v>
      </c>
    </row>
    <row r="159" spans="1:12" x14ac:dyDescent="0.2">
      <c r="C159" s="2">
        <v>0</v>
      </c>
    </row>
    <row r="160" spans="1:12" x14ac:dyDescent="0.2">
      <c r="C160" s="2">
        <v>1</v>
      </c>
    </row>
    <row r="161" spans="1:7" x14ac:dyDescent="0.2">
      <c r="C161" s="2">
        <v>0</v>
      </c>
    </row>
    <row r="162" spans="1:7" x14ac:dyDescent="0.2">
      <c r="C162" s="2">
        <v>0</v>
      </c>
    </row>
    <row r="163" spans="1:7" x14ac:dyDescent="0.2">
      <c r="C163" s="2">
        <v>0</v>
      </c>
    </row>
    <row r="164" spans="1:7" x14ac:dyDescent="0.2">
      <c r="C164" s="2">
        <v>1</v>
      </c>
    </row>
    <row r="165" spans="1:7" x14ac:dyDescent="0.2">
      <c r="C165" s="2">
        <v>0</v>
      </c>
    </row>
    <row r="166" spans="1:7" x14ac:dyDescent="0.2">
      <c r="C166" s="2">
        <v>0</v>
      </c>
    </row>
    <row r="167" spans="1:7" x14ac:dyDescent="0.2">
      <c r="C167" s="2">
        <v>0</v>
      </c>
    </row>
    <row r="168" spans="1:7" x14ac:dyDescent="0.2">
      <c r="C168" s="2">
        <v>0</v>
      </c>
    </row>
    <row r="169" spans="1:7" x14ac:dyDescent="0.2">
      <c r="C169" s="2">
        <v>0</v>
      </c>
    </row>
    <row r="171" spans="1:7" s="1" customFormat="1" x14ac:dyDescent="0.2"/>
    <row r="172" spans="1:7" x14ac:dyDescent="0.2">
      <c r="A172" s="12" t="s">
        <v>113</v>
      </c>
    </row>
    <row r="174" spans="1:7" x14ac:dyDescent="0.2">
      <c r="A174" s="21" t="s">
        <v>114</v>
      </c>
    </row>
    <row r="176" spans="1:7" x14ac:dyDescent="0.2">
      <c r="A176" s="2" t="str" cm="1">
        <f t="array" ref="A176:A182">_xlfn.UNIQUE(IF(matches_played=7,squad,""))</f>
        <v/>
      </c>
      <c r="B176" t="str">
        <f ca="1">_xlfn.FORMULATEXT(A176)</f>
        <v>=UNIQUE(IF(matches_played=7,squad,""))</v>
      </c>
      <c r="F176" s="2" t="str" cm="1">
        <f t="array" ref="F176:F181">_xlfn.UNIQUE(_xlfn._xlws.FILTER(squad,matches_played=7))</f>
        <v>England</v>
      </c>
      <c r="G176" t="str">
        <f ca="1">_xlfn.FORMULATEXT(F176)</f>
        <v>=UNIQUE(FILTER(squad,matches_played=7))</v>
      </c>
    </row>
    <row r="177" spans="1:18" x14ac:dyDescent="0.2">
      <c r="A177" s="2" t="str">
        <v>England</v>
      </c>
      <c r="F177" s="2" t="str">
        <v>Netherlands</v>
      </c>
    </row>
    <row r="178" spans="1:18" x14ac:dyDescent="0.2">
      <c r="A178" s="2" t="str">
        <v>Netherlands</v>
      </c>
      <c r="F178" s="2" t="str">
        <v>Sweden</v>
      </c>
    </row>
    <row r="179" spans="1:18" x14ac:dyDescent="0.2">
      <c r="A179" s="2" t="str">
        <v>Sweden</v>
      </c>
      <c r="F179" s="2" t="str">
        <v>USA</v>
      </c>
    </row>
    <row r="180" spans="1:18" x14ac:dyDescent="0.2">
      <c r="A180" s="2" t="str">
        <v>USA</v>
      </c>
      <c r="F180" s="2" t="str">
        <v>Germany</v>
      </c>
    </row>
    <row r="181" spans="1:18" x14ac:dyDescent="0.2">
      <c r="A181" s="2" t="str">
        <v>Germany</v>
      </c>
      <c r="F181" s="2" t="str">
        <v>Japan</v>
      </c>
    </row>
    <row r="182" spans="1:18" x14ac:dyDescent="0.2">
      <c r="A182" s="2" t="str">
        <v>Japan</v>
      </c>
    </row>
    <row r="183" spans="1:18" s="26" customFormat="1" x14ac:dyDescent="0.2"/>
    <row r="185" spans="1:18" x14ac:dyDescent="0.2">
      <c r="A185" s="12" t="s">
        <v>115</v>
      </c>
      <c r="H185" s="12" t="s">
        <v>116</v>
      </c>
    </row>
    <row r="186" spans="1:18" x14ac:dyDescent="0.2">
      <c r="H186" s="21" t="s">
        <v>117</v>
      </c>
    </row>
    <row r="187" spans="1:18" x14ac:dyDescent="0.2">
      <c r="B187" s="27" t="str" cm="1">
        <f t="array" ref="B187:E191">lossratios</f>
        <v>Loss ratios</v>
      </c>
      <c r="C187" s="28" t="str">
        <v>NSW</v>
      </c>
      <c r="D187" s="28" t="str">
        <v>VIC</v>
      </c>
      <c r="E187" s="29" t="str">
        <v>ACT</v>
      </c>
      <c r="H187" t="str">
        <f ca="1">_xlfn.FORMULATEXT(H188)</f>
        <v>=VLOOKUP(products,B188:E191,4, FALSE)</v>
      </c>
      <c r="M187" s="21" t="s">
        <v>118</v>
      </c>
    </row>
    <row r="188" spans="1:18" x14ac:dyDescent="0.2">
      <c r="B188" s="30" t="str">
        <v>Motor</v>
      </c>
      <c r="C188">
        <v>0.92900000000000005</v>
      </c>
      <c r="D188">
        <v>0.76500000000000001</v>
      </c>
      <c r="E188" s="31">
        <v>0.94099999999999995</v>
      </c>
      <c r="H188" s="2" cm="1">
        <f t="array" ref="H188:H192">VLOOKUP(products,B188:E191,4, FALSE)</f>
        <v>0.94099999999999995</v>
      </c>
      <c r="M188" s="21" t="s">
        <v>119</v>
      </c>
    </row>
    <row r="189" spans="1:18" x14ac:dyDescent="0.2">
      <c r="B189" s="30" t="str">
        <v>Liability</v>
      </c>
      <c r="C189">
        <v>0.61199999999999999</v>
      </c>
      <c r="D189">
        <v>0.76100000000000001</v>
      </c>
      <c r="E189" s="31">
        <v>1.093</v>
      </c>
      <c r="H189" s="2">
        <v>0.65900000000000003</v>
      </c>
      <c r="I189" t="s">
        <v>120</v>
      </c>
      <c r="M189" t="str">
        <f ca="1">_xlfn.FORMULATEXT(M190)</f>
        <v>=VLOOKUP(E197,B188:E191,{2,4;1,3;4,2},FALSE)</v>
      </c>
    </row>
    <row r="190" spans="1:18" x14ac:dyDescent="0.2">
      <c r="B190" s="30" t="str">
        <v>Life</v>
      </c>
      <c r="C190">
        <v>0.871</v>
      </c>
      <c r="D190">
        <v>0.92800000000000005</v>
      </c>
      <c r="E190" s="31">
        <v>0.65900000000000003</v>
      </c>
      <c r="H190" s="2">
        <v>1.093</v>
      </c>
      <c r="I190" t="s">
        <v>121</v>
      </c>
      <c r="M190" s="2" cm="1">
        <f t="array" ref="M190:N192">VLOOKUP(E197,B188:E191,{2,4;1,3;4,2},FALSE)</f>
        <v>0.92900000000000005</v>
      </c>
      <c r="N190" s="2">
        <v>0.94099999999999995</v>
      </c>
      <c r="O190" t="s">
        <v>122</v>
      </c>
      <c r="P190" s="21"/>
      <c r="Q190" s="21"/>
      <c r="R190" s="21"/>
    </row>
    <row r="191" spans="1:18" x14ac:dyDescent="0.2">
      <c r="B191" s="32" t="str">
        <v>Property</v>
      </c>
      <c r="C191" s="26">
        <v>1.0489999999999999</v>
      </c>
      <c r="D191" s="26">
        <v>0.67500000000000004</v>
      </c>
      <c r="E191" s="33">
        <v>0.96699999999999997</v>
      </c>
      <c r="H191" s="2">
        <v>0.96699999999999997</v>
      </c>
      <c r="I191" t="s">
        <v>123</v>
      </c>
      <c r="M191" s="2" t="str">
        <v>Motor</v>
      </c>
      <c r="N191" s="2">
        <v>0.76500000000000001</v>
      </c>
      <c r="O191" t="s">
        <v>124</v>
      </c>
      <c r="P191" s="21"/>
      <c r="Q191" s="21"/>
      <c r="R191" s="21"/>
    </row>
    <row r="192" spans="1:18" x14ac:dyDescent="0.2">
      <c r="H192" t="e">
        <v>#N/A</v>
      </c>
      <c r="I192" t="s">
        <v>125</v>
      </c>
      <c r="M192" s="2">
        <v>0.94099999999999995</v>
      </c>
      <c r="N192" s="2">
        <v>0.92900000000000005</v>
      </c>
      <c r="O192" t="s">
        <v>126</v>
      </c>
      <c r="P192" s="21"/>
      <c r="Q192" s="21"/>
      <c r="R192" s="21"/>
    </row>
    <row r="195" spans="5:20" x14ac:dyDescent="0.2">
      <c r="H195" s="37" t="s">
        <v>127</v>
      </c>
    </row>
    <row r="196" spans="5:20" x14ac:dyDescent="0.2">
      <c r="E196" s="34" t="s">
        <v>128</v>
      </c>
      <c r="H196" s="21" t="s">
        <v>129</v>
      </c>
      <c r="N196" s="38" t="s">
        <v>130</v>
      </c>
      <c r="R196" s="21" t="s">
        <v>131</v>
      </c>
    </row>
    <row r="197" spans="5:20" x14ac:dyDescent="0.2">
      <c r="E197" s="35" t="s">
        <v>107</v>
      </c>
      <c r="H197" t="str">
        <f ca="1">_xlfn.FORMULATEXT(H198)</f>
        <v>=XLOOKUP(products,loss_ratios,E188:E191,"No such product")</v>
      </c>
      <c r="N197" s="40" t="str">
        <f ca="1">_xlfn.FORMULATEXT(N198)</f>
        <v>=MATCH(B188,products,0)</v>
      </c>
      <c r="T197" s="40" t="str">
        <f ca="1">_xlfn.FORMULATEXT(T198)</f>
        <v>=INDEX(C$188:C$191,MATCH(B188,loss_ratios,0))</v>
      </c>
    </row>
    <row r="198" spans="5:20" x14ac:dyDescent="0.2">
      <c r="E198" s="35" t="s">
        <v>109</v>
      </c>
      <c r="H198" s="2" cm="1">
        <f t="array" ref="H198:H202">_xlfn.XLOOKUP(products,loss_ratios,E188:E191,"No such product")</f>
        <v>0.94099999999999995</v>
      </c>
      <c r="N198" s="2">
        <f>MATCH(B188,products,0)</f>
        <v>1</v>
      </c>
      <c r="T198" s="2">
        <f>INDEX(C$188:C$191,MATCH(B188,loss_ratios,0))</f>
        <v>0.92900000000000005</v>
      </c>
    </row>
    <row r="199" spans="5:20" x14ac:dyDescent="0.2">
      <c r="E199" s="35" t="s">
        <v>108</v>
      </c>
      <c r="H199" s="2">
        <v>0.65900000000000003</v>
      </c>
      <c r="I199" t="s">
        <v>132</v>
      </c>
      <c r="N199" s="2">
        <f>MATCH(B189,products,0)</f>
        <v>3</v>
      </c>
      <c r="T199" s="2">
        <f>INDEX(C$188:C$191,MATCH(B189,B$188:B$191,0))</f>
        <v>0.61199999999999999</v>
      </c>
    </row>
    <row r="200" spans="5:20" x14ac:dyDescent="0.2">
      <c r="E200" s="35" t="s">
        <v>110</v>
      </c>
      <c r="H200" s="2">
        <v>1.093</v>
      </c>
      <c r="I200" t="s">
        <v>133</v>
      </c>
      <c r="N200" s="2">
        <f>MATCH(B190,products,0)</f>
        <v>2</v>
      </c>
      <c r="T200" s="2">
        <f>INDEX(C$188:C$191,MATCH(B190,B$188:B$191,0))</f>
        <v>0.871</v>
      </c>
    </row>
    <row r="201" spans="5:20" x14ac:dyDescent="0.2">
      <c r="E201" s="36" t="s">
        <v>134</v>
      </c>
      <c r="H201" s="2">
        <v>0.96699999999999997</v>
      </c>
      <c r="N201" s="2">
        <f>MATCH(B191,products,0)</f>
        <v>4</v>
      </c>
      <c r="T201" s="2">
        <f>INDEX(C$188:C$191,MATCH(B191,B$188:B$191,0))</f>
        <v>1.0489999999999999</v>
      </c>
    </row>
    <row r="202" spans="5:20" x14ac:dyDescent="0.2">
      <c r="H202" s="2" t="str">
        <v>No such product</v>
      </c>
    </row>
    <row r="203" spans="5:20" x14ac:dyDescent="0.2">
      <c r="N203" s="12" t="s">
        <v>135</v>
      </c>
      <c r="O203" s="21" t="s">
        <v>136</v>
      </c>
    </row>
    <row r="204" spans="5:20" x14ac:dyDescent="0.2">
      <c r="H204" t="s">
        <v>137</v>
      </c>
      <c r="N204" t="str">
        <f ca="1">_xlfn.FORMULATEXT(N205)</f>
        <v>=INDEX(products,2)</v>
      </c>
    </row>
    <row r="205" spans="5:20" x14ac:dyDescent="0.2">
      <c r="H205" s="21" t="s">
        <v>138</v>
      </c>
      <c r="J205" s="21" t="s">
        <v>139</v>
      </c>
      <c r="N205" s="2" t="str">
        <f>INDEX(products,2)</f>
        <v>Life</v>
      </c>
    </row>
    <row r="206" spans="5:20" x14ac:dyDescent="0.2">
      <c r="H206" s="2">
        <f>_xlfn.XLOOKUP("Argentina",squad, goals,,0,1)</f>
        <v>2</v>
      </c>
      <c r="I206" t="str">
        <f ca="1">_xlfn.FORMULATEXT(H206)</f>
        <v>=XLOOKUP("Argentina",squad, goals,,0,1)</v>
      </c>
    </row>
    <row r="207" spans="5:20" x14ac:dyDescent="0.2">
      <c r="H207" s="2">
        <f>_xlfn.XLOOKUP("Argentina",squad, goals,,0,-1)</f>
        <v>1</v>
      </c>
      <c r="I207" t="str">
        <f ca="1">_xlfn.FORMULATEXT(H207)</f>
        <v>=XLOOKUP("Argentina",squad, goals,,0,-1)</v>
      </c>
    </row>
    <row r="208" spans="5:20" x14ac:dyDescent="0.2">
      <c r="N208" s="39" t="s">
        <v>140</v>
      </c>
      <c r="R208" s="21" t="s">
        <v>141</v>
      </c>
    </row>
    <row r="209" spans="8:18" x14ac:dyDescent="0.2">
      <c r="H209" t="s">
        <v>142</v>
      </c>
      <c r="N209" s="2">
        <f>_xlfn.XMATCH("Argentina",squad,0,1)</f>
        <v>1</v>
      </c>
      <c r="O209" s="40" t="str">
        <f ca="1">_xlfn.FORMULATEXT(N209)</f>
        <v>=XMATCH("Argentina",squad,0,1)</v>
      </c>
      <c r="R209" t="str">
        <f ca="1">_xlfn.FORMULATEXT(R210)</f>
        <v>=INDEX(goals, XMATCH("Argentina",squad,0,-1))</v>
      </c>
    </row>
    <row r="210" spans="8:18" x14ac:dyDescent="0.2">
      <c r="H210" t="s">
        <v>143</v>
      </c>
      <c r="N210" s="2">
        <f>_xlfn.XMATCH("Argentina",squad,0,-1)</f>
        <v>81</v>
      </c>
      <c r="O210" s="40" t="str">
        <f ca="1">_xlfn.FORMULATEXT(N210)</f>
        <v>=XMATCH("Argentina",squad,0,-1)</v>
      </c>
      <c r="R210" s="2" cm="1">
        <f t="array" ref="R210">INDEX(goals, _xlfn.XMATCH("Argentina",squad,0,-1))</f>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47</vt:i4>
      </vt:variant>
    </vt:vector>
  </HeadingPairs>
  <TitlesOfParts>
    <vt:vector size="53" baseType="lpstr">
      <vt:lpstr>Pokemon data</vt:lpstr>
      <vt:lpstr>FIFA WWC</vt:lpstr>
      <vt:lpstr>M6.1 - Assumed Knowledge</vt:lpstr>
      <vt:lpstr>M6.2 - Pivot table</vt:lpstr>
      <vt:lpstr>M6.2 - Pivot chart</vt:lpstr>
      <vt:lpstr>M6.3 - Dynamic arrays</vt:lpstr>
      <vt:lpstr>age</vt:lpstr>
      <vt:lpstr>assists</vt:lpstr>
      <vt:lpstr>assists_per_90</vt:lpstr>
      <vt:lpstr>Attacking</vt:lpstr>
      <vt:lpstr>Bug</vt:lpstr>
      <vt:lpstr>Dark</vt:lpstr>
      <vt:lpstr>Dragon</vt:lpstr>
      <vt:lpstr>Electric</vt:lpstr>
      <vt:lpstr>Fairy</vt:lpstr>
      <vt:lpstr>FiFA</vt:lpstr>
      <vt:lpstr>Fighting</vt:lpstr>
      <vt:lpstr>Fire</vt:lpstr>
      <vt:lpstr>Flying</vt:lpstr>
      <vt:lpstr>Ghost</vt:lpstr>
      <vt:lpstr>goals</vt:lpstr>
      <vt:lpstr>goals_minus_penalty_kicks_per_90</vt:lpstr>
      <vt:lpstr>goals_per_90</vt:lpstr>
      <vt:lpstr>goals_plus_assists_minus_penalty_kicks_per_90</vt:lpstr>
      <vt:lpstr>goals_plus_assists_per_90</vt:lpstr>
      <vt:lpstr>Grass</vt:lpstr>
      <vt:lpstr>Ground</vt:lpstr>
      <vt:lpstr>Ice</vt:lpstr>
      <vt:lpstr>id</vt:lpstr>
      <vt:lpstr>loss_ratios</vt:lpstr>
      <vt:lpstr>lossratios</vt:lpstr>
      <vt:lpstr>matches_played</vt:lpstr>
      <vt:lpstr>min_playing_time</vt:lpstr>
      <vt:lpstr>minutes_played_90s</vt:lpstr>
      <vt:lpstr>non_penalty_goals</vt:lpstr>
      <vt:lpstr>Normal</vt:lpstr>
      <vt:lpstr>penalty_kicks_attempted</vt:lpstr>
      <vt:lpstr>penalty_kicks_made</vt:lpstr>
      <vt:lpstr>players</vt:lpstr>
      <vt:lpstr>Poison</vt:lpstr>
      <vt:lpstr>pokemon</vt:lpstr>
      <vt:lpstr>possesion</vt:lpstr>
      <vt:lpstr>products</vt:lpstr>
      <vt:lpstr>Psychic</vt:lpstr>
      <vt:lpstr>red_cards</vt:lpstr>
      <vt:lpstr>Rock</vt:lpstr>
      <vt:lpstr>squad</vt:lpstr>
      <vt:lpstr>starts</vt:lpstr>
      <vt:lpstr>Steel</vt:lpstr>
      <vt:lpstr>tblProduct</vt:lpstr>
      <vt:lpstr>Water</vt:lpstr>
      <vt:lpstr>year</vt:lpstr>
      <vt:lpstr>yellow_cards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Benjamin Avanzi</cp:lastModifiedBy>
  <cp:revision/>
  <dcterms:created xsi:type="dcterms:W3CDTF">2023-08-17T06:53:41Z</dcterms:created>
  <dcterms:modified xsi:type="dcterms:W3CDTF">2024-08-01T04:52:40Z</dcterms:modified>
  <cp:category/>
  <cp:contentStatus/>
</cp:coreProperties>
</file>