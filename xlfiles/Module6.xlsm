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Ex3.xml" ContentType="application/vnd.ms-office.chartex+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4" codeName="{873B2839-AC87-7CC4-5C0F-16DCB9831742}"/>
  <workbookPr codeName="ThisWorkbook" defaultThemeVersion="166925"/>
  <mc:AlternateContent xmlns:mc="http://schemas.openxmlformats.org/markup-compatibility/2006">
    <mc:Choice Requires="x15">
      <x15ac:absPath xmlns:x15ac="http://schemas.microsoft.com/office/spreadsheetml/2010/11/ac" url="/Users/bavanzi/Dropbox/Mac (3)/Documents/GitHub/ACTL20004-ACTL90021-2024/xlfiles/"/>
    </mc:Choice>
  </mc:AlternateContent>
  <xr:revisionPtr revIDLastSave="0" documentId="13_ncr:1_{38049A6E-070C-914D-81ED-A2B231E684BD}" xr6:coauthVersionLast="47" xr6:coauthVersionMax="47" xr10:uidLastSave="{00000000-0000-0000-0000-000000000000}"/>
  <bookViews>
    <workbookView xWindow="7840" yWindow="6500" windowWidth="29040" windowHeight="15840" activeTab="2" xr2:uid="{B7D3D78A-6740-C744-9570-1357A85CE16F}"/>
  </bookViews>
  <sheets>
    <sheet name="Pokemon data" sheetId="2" r:id="rId1"/>
    <sheet name="FIFA WWC" sheetId="3" r:id="rId2"/>
    <sheet name="M6.1 - Assumed Knowledge" sheetId="1" r:id="rId3"/>
    <sheet name="M6.2 - Pivot table" sheetId="6" r:id="rId4"/>
    <sheet name="M6.2 - Pivot chart" sheetId="8" r:id="rId5"/>
    <sheet name="M6.3 - Dynamic arrays" sheetId="9" r:id="rId6"/>
    <sheet name="M6.4 - Dynamic references" sheetId="12" r:id="rId7"/>
    <sheet name="M6.5 - Dependents" sheetId="5" r:id="rId8"/>
    <sheet name="M6.6 Simulations" sheetId="13" r:id="rId9"/>
    <sheet name="M6.6 Macros and VBA" sheetId="15" r:id="rId10"/>
  </sheets>
  <definedNames>
    <definedName name="_xlchart.v1.0" hidden="1">'M6.6 Simulations'!$X$4:$X$10003</definedName>
    <definedName name="_xlchart.v1.1" hidden="1">'M6.6 Simulations'!$B$13</definedName>
    <definedName name="_xlchart.v1.2" hidden="1">'M6.6 Simulations'!$B$14:$B$10013</definedName>
    <definedName name="_xlchart.v1.3" hidden="1">'M6.6 Simulations'!$O$4:$O$10003</definedName>
    <definedName name="age">'FIFA WWC'!$E$4:$E$139</definedName>
    <definedName name="assists">'FIFA WWC'!$L$4:$L$139</definedName>
    <definedName name="assists_per_90">'FIFA WWC'!$S$4:$S$139</definedName>
    <definedName name="Attacking">'Pokemon data'!$A$2:$A$19</definedName>
    <definedName name="Bug">'Pokemon data'!$M$2:$M$19</definedName>
    <definedName name="Dark">'Pokemon data'!$Q$2:$Q$19</definedName>
    <definedName name="Dragon">'Pokemon data'!$P$2:$P$19</definedName>
    <definedName name="Electric">'Pokemon data'!$E$2:$E$19</definedName>
    <definedName name="Fairy">'Pokemon data'!$S$2:$S$19</definedName>
    <definedName name="FiFA">'FIFA WWC'!$A$3:$V$139</definedName>
    <definedName name="Fighting">'Pokemon data'!$H$2:$H$19</definedName>
    <definedName name="Fire">'Pokemon data'!$C$2:$C$19</definedName>
    <definedName name="Flying">'Pokemon data'!$K$2:$K$19</definedName>
    <definedName name="Ghost">'Pokemon data'!$O$2:$O$19</definedName>
    <definedName name="goals">'FIFA WWC'!$K$4:$K$139</definedName>
    <definedName name="goals_minus_penalty_kicks_per_90">'FIFA WWC'!$U$4:$U$139</definedName>
    <definedName name="goals_per_90">'FIFA WWC'!$R$4:$R$139</definedName>
    <definedName name="goals_plus_assists_minus_penalty_kicks_per_90">'FIFA WWC'!$V$4:$V$139</definedName>
    <definedName name="goals_plus_assists_per_90">'FIFA WWC'!$T$4:$T$139</definedName>
    <definedName name="Grass">'Pokemon data'!$F$2:$F$19</definedName>
    <definedName name="Ground">'Pokemon data'!$J$2:$J$19</definedName>
    <definedName name="Ice">'Pokemon data'!$G$2:$G$19</definedName>
    <definedName name="id">'FIFA WWC'!$A$4:$A$139</definedName>
    <definedName name="loss_ratios">'M6.3 - Dynamic arrays'!$B$188:$B$191</definedName>
    <definedName name="lossratios">'M6.3 - Dynamic arrays'!$C$31:$F$35</definedName>
    <definedName name="matches_played">'FIFA WWC'!$G$4:$G$139</definedName>
    <definedName name="min_playing_time">'FIFA WWC'!$I$4:$I$139</definedName>
    <definedName name="minutes_played_90s">'FIFA WWC'!$J$4:$J$139</definedName>
    <definedName name="monthly_profit">'M6.4 - Dynamic references'!$B$4:$C$16</definedName>
    <definedName name="months">'M6.4 - Dynamic references'!$B$5:$B$16</definedName>
    <definedName name="non_penalty_goals">'FIFA WWC'!$M$4:$M$139</definedName>
    <definedName name="Normal">'Pokemon data'!$B$2:$S$2</definedName>
    <definedName name="penalty_kicks_attempted">'FIFA WWC'!$O$4:$O$139</definedName>
    <definedName name="penalty_kicks_made">'FIFA WWC'!$N$4:$N$139</definedName>
    <definedName name="players">'FIFA WWC'!$D$4:$D$139</definedName>
    <definedName name="Poison">'Pokemon data'!$I$2:$I$19</definedName>
    <definedName name="pokemon">'Pokemon data'!$A$1:$S$19</definedName>
    <definedName name="possesion">'FIFA WWC'!$F$4:$F$139</definedName>
    <definedName name="products">'M6.3 - Dynamic arrays'!$E$197:$E$201</definedName>
    <definedName name="Psychic">'Pokemon data'!$L$2:$L$19</definedName>
    <definedName name="red_cards">'FIFA WWC'!$Q$4:$Q$139</definedName>
    <definedName name="Rock">'Pokemon data'!$N$2:$N$19</definedName>
    <definedName name="Slicer_squad">#N/A</definedName>
    <definedName name="squad">'FIFA WWC'!$B$4:$B$139</definedName>
    <definedName name="starts">'FIFA WWC'!$H$4:$H$139</definedName>
    <definedName name="Steel">'Pokemon data'!$R$2:$R$19</definedName>
    <definedName name="tblProduct">'M6.3 - Dynamic arrays'!$E$196:$E$201</definedName>
    <definedName name="Water">'Pokemon data'!$D$2:$D$19</definedName>
    <definedName name="weekly_profit">'M6.4 - Dynamic references'!$B$38:$G$42</definedName>
    <definedName name="year">'FIFA WWC'!$C$4:$C$139</definedName>
    <definedName name="yellow_cards">'FIFA WWC'!$P$4:$P$139</definedName>
  </definedNames>
  <calcPr calcId="191028"/>
  <pivotCaches>
    <pivotCache cacheId="3"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60" i="1" l="1" a="1"/>
  <c r="G160" i="1" s="1"/>
  <c r="E160" i="1" a="1"/>
  <c r="E160" i="1" s="1"/>
  <c r="A160" i="1" a="1"/>
  <c r="A160" i="1" s="1"/>
  <c r="I18" i="1"/>
  <c r="G18" i="1"/>
  <c r="E18" i="1" a="1"/>
  <c r="E18" i="1" s="1"/>
  <c r="C18" i="1" a="1"/>
  <c r="C18" i="1" s="1"/>
  <c r="A18" i="1" a="1"/>
  <c r="A18" i="1" s="1"/>
  <c r="N9" i="1"/>
  <c r="J9" i="1"/>
  <c r="F9" i="1"/>
  <c r="B9" i="1"/>
  <c r="V4" i="15" a="1"/>
  <c r="V4" i="15" s="1"/>
  <c r="M4" i="15" a="1"/>
  <c r="M4" i="15" s="1"/>
  <c r="B15" i="15" a="1"/>
  <c r="B15" i="15" s="1"/>
  <c r="B4" i="15" a="1"/>
  <c r="B4" i="15" s="1"/>
  <c r="I29" i="12"/>
  <c r="P38" i="12" a="1"/>
  <c r="P38" i="12" s="1"/>
  <c r="N205" i="9"/>
  <c r="AG8" i="13" a="1"/>
  <c r="AG8" i="13" s="1"/>
  <c r="AH8" i="13" s="1" a="1"/>
  <c r="AH8" i="13" s="1"/>
  <c r="AA24" i="13"/>
  <c r="Z24" i="13"/>
  <c r="E34" i="13"/>
  <c r="X4" i="13" a="1"/>
  <c r="X4" i="13" s="1"/>
  <c r="O4" i="13" a="1"/>
  <c r="O4" i="13" s="1"/>
  <c r="B14" i="13" a="1"/>
  <c r="B14" i="13" s="1"/>
  <c r="I5" i="13" a="1"/>
  <c r="I5" i="13" s="1"/>
  <c r="D5" i="13" a="1"/>
  <c r="D5" i="13" s="1"/>
  <c r="B5" i="13"/>
  <c r="P39" i="12" a="1"/>
  <c r="P39" i="12" s="1"/>
  <c r="F11" i="12" a="1"/>
  <c r="F11" i="12" s="1"/>
  <c r="F6" i="12" a="1"/>
  <c r="F6" i="12" s="1"/>
  <c r="R210" i="9" a="1"/>
  <c r="R210" i="9"/>
  <c r="N210" i="9"/>
  <c r="N209" i="9"/>
  <c r="H207" i="9"/>
  <c r="H206" i="9"/>
  <c r="B187" i="9" a="1"/>
  <c r="B187" i="9"/>
  <c r="F176" i="9" a="1"/>
  <c r="F176" i="9" s="1"/>
  <c r="A176" i="9" a="1"/>
  <c r="A176" i="9" s="1"/>
  <c r="A12" i="9" a="1"/>
  <c r="A12" i="9" s="1"/>
  <c r="H152" i="9" a="1"/>
  <c r="H152" i="9" s="1"/>
  <c r="H37" i="9"/>
  <c r="I37" i="9" s="1" a="1"/>
  <c r="I37" i="9" s="1"/>
  <c r="H32" i="9" a="1"/>
  <c r="H32" i="9" s="1"/>
  <c r="M32" i="9" s="1" a="1"/>
  <c r="M32" i="9" s="1"/>
  <c r="K12" i="9" a="1"/>
  <c r="K12" i="9" s="1"/>
  <c r="H12" i="9" a="1"/>
  <c r="H12" i="9" s="1"/>
  <c r="E153" i="9" s="1"/>
  <c r="C15" i="9" a="1"/>
  <c r="C15" i="9" s="1"/>
  <c r="C16" i="9" a="1"/>
  <c r="C16" i="9" s="1"/>
  <c r="C17" i="9" a="1"/>
  <c r="C17" i="9" s="1"/>
  <c r="C18" i="9" a="1"/>
  <c r="C18" i="9" s="1"/>
  <c r="C19" i="9" a="1"/>
  <c r="C19" i="9" s="1"/>
  <c r="C20" i="9" a="1"/>
  <c r="C20" i="9" s="1"/>
  <c r="C14" i="9" a="1"/>
  <c r="C14" i="9" s="1"/>
  <c r="B3" i="9" a="1"/>
  <c r="B3" i="9" s="1"/>
  <c r="B7" i="9" s="1" a="1"/>
  <c r="B7" i="9" s="1"/>
  <c r="F198" i="5"/>
  <c r="E40" i="5"/>
  <c r="E46" i="5"/>
  <c r="C196" i="5"/>
  <c r="C194" i="5"/>
  <c r="C190" i="5"/>
  <c r="C188" i="5"/>
  <c r="C184" i="5"/>
  <c r="C182" i="5"/>
  <c r="C181" i="5"/>
  <c r="C179" i="5"/>
  <c r="A151" i="5"/>
  <c r="A144" i="5"/>
  <c r="A142" i="5"/>
  <c r="A141" i="5"/>
  <c r="A137" i="5"/>
  <c r="A136" i="5"/>
  <c r="F133" i="5"/>
  <c r="G133" i="5" s="1"/>
  <c r="H133" i="5" s="1"/>
  <c r="I133" i="5" s="1"/>
  <c r="J133" i="5" s="1"/>
  <c r="K133" i="5" s="1"/>
  <c r="L133" i="5" s="1"/>
  <c r="M133" i="5" s="1"/>
  <c r="N133" i="5" s="1"/>
  <c r="O133" i="5" s="1"/>
  <c r="P133" i="5" s="1"/>
  <c r="Q133" i="5" s="1"/>
  <c r="R133" i="5" s="1"/>
  <c r="E133" i="5"/>
  <c r="D133" i="5"/>
  <c r="C133" i="5"/>
  <c r="A124" i="5"/>
  <c r="A196" i="5" s="1"/>
  <c r="A123" i="5"/>
  <c r="A195" i="5" s="1"/>
  <c r="A122" i="5"/>
  <c r="A121" i="5"/>
  <c r="A193" i="5" s="1"/>
  <c r="A120" i="5"/>
  <c r="A119" i="5"/>
  <c r="A191" i="5" s="1"/>
  <c r="A118" i="5"/>
  <c r="A117" i="5"/>
  <c r="A116" i="5"/>
  <c r="A188" i="5" s="1"/>
  <c r="A115" i="5"/>
  <c r="A114" i="5"/>
  <c r="A186" i="5" s="1"/>
  <c r="A113" i="5"/>
  <c r="A185" i="5" s="1"/>
  <c r="A112" i="5"/>
  <c r="A111" i="5"/>
  <c r="A183" i="5" s="1"/>
  <c r="A110" i="5"/>
  <c r="A182" i="5" s="1"/>
  <c r="A109" i="5"/>
  <c r="A181" i="5" s="1"/>
  <c r="A108" i="5"/>
  <c r="A180" i="5" s="1"/>
  <c r="A107" i="5"/>
  <c r="A179" i="5" s="1"/>
  <c r="F104" i="5"/>
  <c r="G104" i="5" s="1"/>
  <c r="H104" i="5" s="1"/>
  <c r="I104" i="5" s="1"/>
  <c r="J104" i="5" s="1"/>
  <c r="K104" i="5" s="1"/>
  <c r="L104" i="5" s="1"/>
  <c r="M104" i="5" s="1"/>
  <c r="N104" i="5" s="1"/>
  <c r="O104" i="5" s="1"/>
  <c r="P104" i="5" s="1"/>
  <c r="Q104" i="5" s="1"/>
  <c r="R104" i="5" s="1"/>
  <c r="S104" i="5" s="1"/>
  <c r="E104" i="5"/>
  <c r="D104" i="5"/>
  <c r="C104" i="5"/>
  <c r="C100" i="5"/>
  <c r="D99" i="5"/>
  <c r="C99" i="5"/>
  <c r="E98" i="5"/>
  <c r="D98" i="5"/>
  <c r="C98" i="5"/>
  <c r="F97" i="5"/>
  <c r="E97" i="5"/>
  <c r="D97" i="5"/>
  <c r="C97" i="5"/>
  <c r="G96" i="5"/>
  <c r="F96" i="5"/>
  <c r="E96" i="5"/>
  <c r="D96" i="5"/>
  <c r="C96" i="5"/>
  <c r="H95" i="5"/>
  <c r="G95" i="5"/>
  <c r="F95" i="5"/>
  <c r="E95" i="5"/>
  <c r="D95" i="5"/>
  <c r="C95" i="5"/>
  <c r="I94" i="5"/>
  <c r="H94" i="5"/>
  <c r="G94" i="5"/>
  <c r="F94" i="5"/>
  <c r="E94" i="5"/>
  <c r="D94" i="5"/>
  <c r="C94" i="5"/>
  <c r="J93" i="5"/>
  <c r="I93" i="5"/>
  <c r="H93" i="5"/>
  <c r="G93" i="5"/>
  <c r="F93" i="5"/>
  <c r="E93" i="5"/>
  <c r="D93" i="5"/>
  <c r="C93" i="5"/>
  <c r="K92" i="5"/>
  <c r="J92" i="5"/>
  <c r="I92" i="5"/>
  <c r="H92" i="5"/>
  <c r="G92" i="5"/>
  <c r="F92" i="5"/>
  <c r="E92" i="5"/>
  <c r="D92" i="5"/>
  <c r="C92" i="5"/>
  <c r="L91" i="5"/>
  <c r="K91" i="5"/>
  <c r="J91" i="5"/>
  <c r="I91" i="5"/>
  <c r="H91" i="5"/>
  <c r="G91" i="5"/>
  <c r="F91" i="5"/>
  <c r="E91" i="5"/>
  <c r="D91" i="5"/>
  <c r="C91" i="5"/>
  <c r="M90" i="5"/>
  <c r="L90" i="5"/>
  <c r="K90" i="5"/>
  <c r="J90" i="5"/>
  <c r="I90" i="5"/>
  <c r="H90" i="5"/>
  <c r="G90" i="5"/>
  <c r="F90" i="5"/>
  <c r="E90" i="5"/>
  <c r="D90" i="5"/>
  <c r="C90" i="5"/>
  <c r="M89" i="5"/>
  <c r="N89" i="5" s="1"/>
  <c r="L89" i="5"/>
  <c r="K89" i="5"/>
  <c r="J89" i="5"/>
  <c r="I89" i="5"/>
  <c r="H89" i="5"/>
  <c r="G89" i="5"/>
  <c r="F89" i="5"/>
  <c r="E89" i="5"/>
  <c r="D89" i="5"/>
  <c r="C89" i="5"/>
  <c r="M88" i="5"/>
  <c r="N88" i="5" s="1"/>
  <c r="O88" i="5" s="1"/>
  <c r="L88" i="5"/>
  <c r="K88" i="5"/>
  <c r="J88" i="5"/>
  <c r="I88" i="5"/>
  <c r="H88" i="5"/>
  <c r="G88" i="5"/>
  <c r="F88" i="5"/>
  <c r="E88" i="5"/>
  <c r="D88" i="5"/>
  <c r="C88" i="5"/>
  <c r="O87" i="5"/>
  <c r="P87" i="5" s="1"/>
  <c r="N87" i="5"/>
  <c r="M87" i="5"/>
  <c r="L87" i="5"/>
  <c r="K87" i="5"/>
  <c r="J87" i="5"/>
  <c r="I87" i="5"/>
  <c r="H87" i="5"/>
  <c r="G87" i="5"/>
  <c r="F87" i="5"/>
  <c r="E87" i="5"/>
  <c r="D87" i="5"/>
  <c r="C87" i="5"/>
  <c r="Q86" i="5"/>
  <c r="N86" i="5"/>
  <c r="O86" i="5" s="1"/>
  <c r="P86" i="5" s="1"/>
  <c r="M86" i="5"/>
  <c r="L86" i="5"/>
  <c r="K86" i="5"/>
  <c r="J86" i="5"/>
  <c r="I86" i="5"/>
  <c r="H86" i="5"/>
  <c r="G86" i="5"/>
  <c r="F86" i="5"/>
  <c r="E86" i="5"/>
  <c r="D86" i="5"/>
  <c r="C86" i="5"/>
  <c r="P85" i="5"/>
  <c r="Q85" i="5" s="1"/>
  <c r="R85" i="5" s="1"/>
  <c r="O85" i="5"/>
  <c r="N85" i="5"/>
  <c r="M85" i="5"/>
  <c r="L85" i="5"/>
  <c r="K85" i="5"/>
  <c r="J85" i="5"/>
  <c r="I85" i="5"/>
  <c r="H85" i="5"/>
  <c r="G85" i="5"/>
  <c r="F85" i="5"/>
  <c r="E85" i="5"/>
  <c r="D85" i="5"/>
  <c r="C85" i="5"/>
  <c r="O84" i="5"/>
  <c r="P84" i="5" s="1"/>
  <c r="Q84" i="5" s="1"/>
  <c r="R84" i="5" s="1"/>
  <c r="S84" i="5" s="1"/>
  <c r="N84" i="5"/>
  <c r="M84" i="5"/>
  <c r="L84" i="5"/>
  <c r="K84" i="5"/>
  <c r="J84" i="5"/>
  <c r="I84" i="5"/>
  <c r="H84" i="5"/>
  <c r="G84" i="5"/>
  <c r="F84" i="5"/>
  <c r="E84" i="5"/>
  <c r="D84" i="5"/>
  <c r="C84" i="5"/>
  <c r="B84" i="5"/>
  <c r="P74" i="5"/>
  <c r="O74" i="5"/>
  <c r="N74" i="5"/>
  <c r="P73" i="5"/>
  <c r="C195" i="5" s="1"/>
  <c r="N73" i="5"/>
  <c r="P72" i="5"/>
  <c r="N72" i="5"/>
  <c r="O72" i="5" s="1"/>
  <c r="P71" i="5"/>
  <c r="O71" i="5" s="1"/>
  <c r="N71" i="5"/>
  <c r="P70" i="5"/>
  <c r="C192" i="5" s="1"/>
  <c r="N70" i="5"/>
  <c r="O70" i="5" s="1"/>
  <c r="P69" i="5"/>
  <c r="O69" i="5" s="1"/>
  <c r="N69" i="5"/>
  <c r="P68" i="5"/>
  <c r="N68" i="5"/>
  <c r="O68" i="5" s="1"/>
  <c r="P67" i="5"/>
  <c r="C189" i="5" s="1"/>
  <c r="N67" i="5"/>
  <c r="P66" i="5"/>
  <c r="N66" i="5"/>
  <c r="O66" i="5" s="1"/>
  <c r="P65" i="5"/>
  <c r="C187" i="5" s="1"/>
  <c r="N65" i="5"/>
  <c r="P64" i="5"/>
  <c r="C186" i="5" s="1"/>
  <c r="N64" i="5"/>
  <c r="O64" i="5" s="1"/>
  <c r="P63" i="5"/>
  <c r="C185" i="5" s="1"/>
  <c r="N63" i="5"/>
  <c r="P62" i="5"/>
  <c r="O62" i="5"/>
  <c r="N62" i="5"/>
  <c r="P61" i="5"/>
  <c r="C183" i="5" s="1"/>
  <c r="N61" i="5"/>
  <c r="P60" i="5"/>
  <c r="N60" i="5"/>
  <c r="O60" i="5" s="1"/>
  <c r="P59" i="5"/>
  <c r="O59" i="5" s="1"/>
  <c r="N59" i="5"/>
  <c r="P58" i="5"/>
  <c r="C180" i="5" s="1"/>
  <c r="N58" i="5"/>
  <c r="O58" i="5" s="1"/>
  <c r="P57" i="5"/>
  <c r="O57" i="5" s="1"/>
  <c r="N57" i="5"/>
  <c r="C33" i="5"/>
  <c r="B109" i="5" s="1"/>
  <c r="B32" i="5"/>
  <c r="B33" i="5" s="1"/>
  <c r="D31" i="5"/>
  <c r="C107" i="5" s="1"/>
  <c r="C31" i="5"/>
  <c r="B107" i="5" s="1"/>
  <c r="A31" i="5"/>
  <c r="D28" i="5"/>
  <c r="E28" i="5" s="1"/>
  <c r="F28" i="5" s="1"/>
  <c r="G28" i="5" s="1"/>
  <c r="H28" i="5" s="1"/>
  <c r="I28" i="5" s="1"/>
  <c r="J28" i="5" s="1"/>
  <c r="K28" i="5" s="1"/>
  <c r="L28" i="5" s="1"/>
  <c r="M28" i="5" s="1"/>
  <c r="N28" i="5" s="1"/>
  <c r="O28" i="5" s="1"/>
  <c r="P28" i="5" s="1"/>
  <c r="Q28" i="5" s="1"/>
  <c r="R28" i="5" s="1"/>
  <c r="S28" i="5" s="1"/>
  <c r="T28" i="5" s="1"/>
  <c r="A9" i="5"/>
  <c r="A32" i="5" s="1"/>
  <c r="D5" i="5"/>
  <c r="E5" i="5" s="1"/>
  <c r="F5" i="5" s="1"/>
  <c r="G5" i="5" s="1"/>
  <c r="H5" i="5" s="1"/>
  <c r="I5" i="5" s="1"/>
  <c r="J5" i="5" s="1"/>
  <c r="K5" i="5" s="1"/>
  <c r="L5" i="5" s="1"/>
  <c r="M5" i="5" s="1"/>
  <c r="N5" i="5" s="1"/>
  <c r="O5" i="5" s="1"/>
  <c r="P5" i="5" s="1"/>
  <c r="Q5" i="5" s="1"/>
  <c r="R5" i="5" s="1"/>
  <c r="S5" i="5" s="1"/>
  <c r="T5" i="5" s="1"/>
  <c r="F152" i="9"/>
  <c r="AG6" i="13"/>
  <c r="H187" i="9"/>
  <c r="F45" i="12"/>
  <c r="M31" i="9"/>
  <c r="I206" i="9"/>
  <c r="B4" i="13"/>
  <c r="P45" i="12"/>
  <c r="I64" i="12" a="1"/>
  <c r="G176" i="9"/>
  <c r="J37" i="9"/>
  <c r="O209" i="9"/>
  <c r="I12" i="9"/>
  <c r="N204" i="9"/>
  <c r="H6" i="12"/>
  <c r="I38" i="12" a="1"/>
  <c r="J64" i="12"/>
  <c r="I4" i="13"/>
  <c r="M189" i="9"/>
  <c r="I207" i="9"/>
  <c r="I33" i="12" a="1"/>
  <c r="R209" i="9"/>
  <c r="D4" i="13"/>
  <c r="B176" i="9"/>
  <c r="L153" i="9"/>
  <c r="J33" i="12"/>
  <c r="N197" i="9"/>
  <c r="H197" i="9"/>
  <c r="O3" i="13"/>
  <c r="P44" i="12"/>
  <c r="I152" i="9"/>
  <c r="B152" i="9"/>
  <c r="AG7" i="13"/>
  <c r="T197" i="9"/>
  <c r="B12" i="9"/>
  <c r="I31" i="9"/>
  <c r="O210" i="9"/>
  <c r="D14" i="9" a="1"/>
  <c r="L152" i="9"/>
  <c r="F44" i="12"/>
  <c r="F153" i="9"/>
  <c r="J29" i="12"/>
  <c r="I39" i="12" a="1"/>
  <c r="L12" i="9"/>
  <c r="H11" i="12"/>
  <c r="B13" i="13"/>
  <c r="X3" i="13"/>
  <c r="I67" i="12" a="1"/>
  <c r="L67" i="12"/>
  <c r="D152" i="9"/>
  <c r="I64" i="12" l="1"/>
  <c r="I67" i="12"/>
  <c r="I38" i="12"/>
  <c r="I33" i="12"/>
  <c r="I39" i="12"/>
  <c r="T198" i="9"/>
  <c r="N198" i="9"/>
  <c r="H198" i="9" a="1"/>
  <c r="H198" i="9" s="1"/>
  <c r="H188" i="9" a="1"/>
  <c r="H188" i="9" s="1"/>
  <c r="M190" i="9" a="1"/>
  <c r="M190" i="9" s="1"/>
  <c r="Z20" i="13"/>
  <c r="AA20" i="13"/>
  <c r="D31" i="13"/>
  <c r="E31" i="13"/>
  <c r="Q20" i="13"/>
  <c r="R20" i="13"/>
  <c r="T199" i="9"/>
  <c r="T200" i="9"/>
  <c r="T201" i="9"/>
  <c r="N199" i="9"/>
  <c r="N200" i="9"/>
  <c r="N201" i="9"/>
  <c r="I35" i="9" a="1"/>
  <c r="I35" i="9" s="1"/>
  <c r="I34" i="9" a="1"/>
  <c r="I34" i="9" s="1"/>
  <c r="I33" i="9" a="1"/>
  <c r="I33" i="9" s="1"/>
  <c r="I32" i="9" a="1"/>
  <c r="I32" i="9" s="1"/>
  <c r="M35" i="9" a="1"/>
  <c r="M35" i="9" s="1"/>
  <c r="M34" i="9" a="1"/>
  <c r="M34" i="9" s="1"/>
  <c r="M33" i="9" a="1"/>
  <c r="M33" i="9" s="1"/>
  <c r="A152" i="9"/>
  <c r="C152" i="9" a="1"/>
  <c r="C152" i="9" s="1"/>
  <c r="E152" i="9"/>
  <c r="K153" i="9"/>
  <c r="K152" i="9"/>
  <c r="D14" i="9"/>
  <c r="B34" i="5"/>
  <c r="E31" i="5"/>
  <c r="D107" i="5" s="1"/>
  <c r="A10" i="5"/>
  <c r="B135" i="5"/>
  <c r="D32" i="5"/>
  <c r="C108" i="5" s="1"/>
  <c r="A190" i="5"/>
  <c r="A146" i="5"/>
  <c r="A194" i="5"/>
  <c r="A150" i="5"/>
  <c r="A143" i="5"/>
  <c r="A187" i="5"/>
  <c r="C32" i="5"/>
  <c r="B108" i="5" s="1"/>
  <c r="A189" i="5"/>
  <c r="A145" i="5"/>
  <c r="A192" i="5"/>
  <c r="A148" i="5"/>
  <c r="A138" i="5"/>
  <c r="A135" i="5"/>
  <c r="A149" i="5"/>
  <c r="C191" i="5"/>
  <c r="C193" i="5"/>
  <c r="O61" i="5"/>
  <c r="O63" i="5"/>
  <c r="O65" i="5"/>
  <c r="O76" i="5" s="1"/>
  <c r="O67" i="5"/>
  <c r="O73" i="5"/>
  <c r="A147" i="5"/>
  <c r="A140" i="5"/>
  <c r="A184" i="5"/>
  <c r="A139" i="5"/>
  <c r="AK10" i="13" l="1"/>
  <c r="AL10" i="13" s="1"/>
  <c r="AK11" i="13"/>
  <c r="AL11" i="13" s="1"/>
  <c r="AK12" i="13"/>
  <c r="AL12" i="13" s="1"/>
  <c r="A33" i="5"/>
  <c r="A11" i="5"/>
  <c r="C135" i="5"/>
  <c r="B136" i="5"/>
  <c r="B35" i="5"/>
  <c r="F31" i="5"/>
  <c r="E107" i="5" s="1"/>
  <c r="C34" i="5"/>
  <c r="B110" i="5" s="1"/>
  <c r="E32" i="5"/>
  <c r="D108" i="5" s="1"/>
  <c r="C136" i="5" s="1"/>
  <c r="D33" i="5"/>
  <c r="C109" i="5" s="1"/>
  <c r="B137" i="5" l="1"/>
  <c r="A34" i="5"/>
  <c r="A12" i="5"/>
  <c r="D135" i="5"/>
  <c r="B36" i="5"/>
  <c r="E33" i="5"/>
  <c r="D109" i="5" s="1"/>
  <c r="F32" i="5"/>
  <c r="E108" i="5" s="1"/>
  <c r="D136" i="5" s="1"/>
  <c r="G31" i="5"/>
  <c r="F107" i="5" s="1"/>
  <c r="C35" i="5"/>
  <c r="B111" i="5" s="1"/>
  <c r="D34" i="5"/>
  <c r="C110" i="5" s="1"/>
  <c r="B138" i="5" s="1"/>
  <c r="A35" i="5" l="1"/>
  <c r="A13" i="5"/>
  <c r="E135" i="5"/>
  <c r="C137" i="5"/>
  <c r="C36" i="5"/>
  <c r="B112" i="5" s="1"/>
  <c r="F33" i="5"/>
  <c r="E109" i="5" s="1"/>
  <c r="G32" i="5"/>
  <c r="F108" i="5" s="1"/>
  <c r="E136" i="5" s="1"/>
  <c r="E34" i="5"/>
  <c r="D110" i="5" s="1"/>
  <c r="C138" i="5" s="1"/>
  <c r="H31" i="5"/>
  <c r="G107" i="5" s="1"/>
  <c r="B37" i="5"/>
  <c r="D35" i="5"/>
  <c r="C111" i="5" s="1"/>
  <c r="B139" i="5" s="1"/>
  <c r="D137" i="5" l="1"/>
  <c r="A36" i="5"/>
  <c r="A14" i="5"/>
  <c r="F135" i="5"/>
  <c r="B38" i="5"/>
  <c r="D36" i="5"/>
  <c r="C112" i="5" s="1"/>
  <c r="F34" i="5"/>
  <c r="E110" i="5" s="1"/>
  <c r="D138" i="5" s="1"/>
  <c r="I31" i="5"/>
  <c r="H107" i="5" s="1"/>
  <c r="E35" i="5"/>
  <c r="D111" i="5" s="1"/>
  <c r="C139" i="5" s="1"/>
  <c r="G33" i="5"/>
  <c r="F109" i="5" s="1"/>
  <c r="E137" i="5" s="1"/>
  <c r="H32" i="5"/>
  <c r="G108" i="5" s="1"/>
  <c r="F136" i="5" s="1"/>
  <c r="C37" i="5"/>
  <c r="B113" i="5" s="1"/>
  <c r="G135" i="5" l="1"/>
  <c r="A37" i="5"/>
  <c r="A15" i="5"/>
  <c r="B140" i="5"/>
  <c r="G34" i="5"/>
  <c r="F110" i="5" s="1"/>
  <c r="E138" i="5" s="1"/>
  <c r="F35" i="5"/>
  <c r="E111" i="5" s="1"/>
  <c r="D139" i="5" s="1"/>
  <c r="C38" i="5"/>
  <c r="B114" i="5" s="1"/>
  <c r="E36" i="5"/>
  <c r="D112" i="5" s="1"/>
  <c r="C140" i="5" s="1"/>
  <c r="B39" i="5"/>
  <c r="I32" i="5"/>
  <c r="H108" i="5" s="1"/>
  <c r="G136" i="5" s="1"/>
  <c r="H33" i="5"/>
  <c r="G109" i="5" s="1"/>
  <c r="J31" i="5"/>
  <c r="I107" i="5" s="1"/>
  <c r="D37" i="5"/>
  <c r="C113" i="5" s="1"/>
  <c r="B141" i="5" s="1"/>
  <c r="C39" i="5" l="1"/>
  <c r="B115" i="5" s="1"/>
  <c r="D38" i="5"/>
  <c r="C114" i="5" s="1"/>
  <c r="B142" i="5" s="1"/>
  <c r="B40" i="5"/>
  <c r="G35" i="5"/>
  <c r="F111" i="5" s="1"/>
  <c r="E37" i="5"/>
  <c r="D113" i="5" s="1"/>
  <c r="C141" i="5" s="1"/>
  <c r="I33" i="5"/>
  <c r="H109" i="5" s="1"/>
  <c r="G137" i="5" s="1"/>
  <c r="J32" i="5"/>
  <c r="I108" i="5" s="1"/>
  <c r="H136" i="5" s="1"/>
  <c r="H34" i="5"/>
  <c r="G110" i="5" s="1"/>
  <c r="F138" i="5" s="1"/>
  <c r="F36" i="5"/>
  <c r="E112" i="5" s="1"/>
  <c r="K31" i="5"/>
  <c r="J107" i="5" s="1"/>
  <c r="H135" i="5"/>
  <c r="A38" i="5"/>
  <c r="A16" i="5"/>
  <c r="F137" i="5"/>
  <c r="I135" i="5" l="1"/>
  <c r="E139" i="5"/>
  <c r="D140" i="5"/>
  <c r="D39" i="5"/>
  <c r="C115" i="5" s="1"/>
  <c r="B143" i="5" s="1"/>
  <c r="E38" i="5"/>
  <c r="D114" i="5" s="1"/>
  <c r="C142" i="5" s="1"/>
  <c r="C40" i="5"/>
  <c r="B116" i="5" s="1"/>
  <c r="B41" i="5"/>
  <c r="H35" i="5"/>
  <c r="G111" i="5" s="1"/>
  <c r="F37" i="5"/>
  <c r="E113" i="5" s="1"/>
  <c r="D141" i="5" s="1"/>
  <c r="J33" i="5"/>
  <c r="I109" i="5" s="1"/>
  <c r="K32" i="5"/>
  <c r="J108" i="5" s="1"/>
  <c r="I136" i="5" s="1"/>
  <c r="I34" i="5"/>
  <c r="H110" i="5" s="1"/>
  <c r="G138" i="5" s="1"/>
  <c r="L31" i="5"/>
  <c r="K107" i="5" s="1"/>
  <c r="G36" i="5"/>
  <c r="F112" i="5" s="1"/>
  <c r="E140" i="5" s="1"/>
  <c r="A39" i="5"/>
  <c r="A17" i="5"/>
  <c r="J135" i="5" l="1"/>
  <c r="F139" i="5"/>
  <c r="D40" i="5"/>
  <c r="C116" i="5" s="1"/>
  <c r="B144" i="5" s="1"/>
  <c r="G37" i="5"/>
  <c r="F113" i="5" s="1"/>
  <c r="B42" i="5"/>
  <c r="E39" i="5"/>
  <c r="D115" i="5" s="1"/>
  <c r="C143" i="5" s="1"/>
  <c r="H36" i="5"/>
  <c r="G112" i="5" s="1"/>
  <c r="F140" i="5" s="1"/>
  <c r="K33" i="5"/>
  <c r="J109" i="5" s="1"/>
  <c r="I137" i="5" s="1"/>
  <c r="L32" i="5"/>
  <c r="K108" i="5" s="1"/>
  <c r="J136" i="5" s="1"/>
  <c r="C41" i="5"/>
  <c r="B117" i="5" s="1"/>
  <c r="I35" i="5"/>
  <c r="H111" i="5" s="1"/>
  <c r="G139" i="5" s="1"/>
  <c r="J34" i="5"/>
  <c r="I110" i="5" s="1"/>
  <c r="H138" i="5" s="1"/>
  <c r="M31" i="5"/>
  <c r="L107" i="5" s="1"/>
  <c r="F38" i="5"/>
  <c r="E114" i="5" s="1"/>
  <c r="A40" i="5"/>
  <c r="A18" i="5"/>
  <c r="H137" i="5"/>
  <c r="D142" i="5" l="1"/>
  <c r="A41" i="5"/>
  <c r="A19" i="5"/>
  <c r="E141" i="5"/>
  <c r="K135" i="5"/>
  <c r="D41" i="5"/>
  <c r="C117" i="5" s="1"/>
  <c r="B145" i="5" s="1"/>
  <c r="D116" i="5"/>
  <c r="C144" i="5" s="1"/>
  <c r="H37" i="5"/>
  <c r="G113" i="5" s="1"/>
  <c r="F39" i="5"/>
  <c r="E115" i="5" s="1"/>
  <c r="D143" i="5" s="1"/>
  <c r="I36" i="5"/>
  <c r="H112" i="5" s="1"/>
  <c r="G140" i="5" s="1"/>
  <c r="L33" i="5"/>
  <c r="K109" i="5" s="1"/>
  <c r="J137" i="5" s="1"/>
  <c r="M32" i="5"/>
  <c r="L108" i="5" s="1"/>
  <c r="K136" i="5" s="1"/>
  <c r="K34" i="5"/>
  <c r="J110" i="5" s="1"/>
  <c r="I138" i="5" s="1"/>
  <c r="N31" i="5"/>
  <c r="M107" i="5" s="1"/>
  <c r="B43" i="5"/>
  <c r="C42" i="5"/>
  <c r="B118" i="5" s="1"/>
  <c r="G38" i="5"/>
  <c r="F114" i="5" s="1"/>
  <c r="E142" i="5" s="1"/>
  <c r="J35" i="5"/>
  <c r="I111" i="5" s="1"/>
  <c r="H139" i="5" l="1"/>
  <c r="A42" i="5"/>
  <c r="A20" i="5"/>
  <c r="B44" i="5"/>
  <c r="E41" i="5"/>
  <c r="D117" i="5" s="1"/>
  <c r="C43" i="5"/>
  <c r="B119" i="5" s="1"/>
  <c r="G39" i="5"/>
  <c r="F115" i="5" s="1"/>
  <c r="J36" i="5"/>
  <c r="I112" i="5" s="1"/>
  <c r="L34" i="5"/>
  <c r="K110" i="5" s="1"/>
  <c r="H38" i="5"/>
  <c r="G114" i="5" s="1"/>
  <c r="O31" i="5"/>
  <c r="N107" i="5" s="1"/>
  <c r="D42" i="5"/>
  <c r="C118" i="5" s="1"/>
  <c r="I37" i="5"/>
  <c r="H113" i="5" s="1"/>
  <c r="F40" i="5"/>
  <c r="E116" i="5" s="1"/>
  <c r="N32" i="5"/>
  <c r="M108" i="5" s="1"/>
  <c r="K35" i="5"/>
  <c r="J111" i="5" s="1"/>
  <c r="M33" i="5"/>
  <c r="L109" i="5" s="1"/>
  <c r="L135" i="5"/>
  <c r="F141" i="5"/>
  <c r="F142" i="5" l="1"/>
  <c r="D144" i="5"/>
  <c r="L136" i="5"/>
  <c r="I139" i="5"/>
  <c r="D43" i="5"/>
  <c r="C119" i="5" s="1"/>
  <c r="B147" i="5" s="1"/>
  <c r="C44" i="5"/>
  <c r="B120" i="5" s="1"/>
  <c r="M34" i="5"/>
  <c r="L110" i="5" s="1"/>
  <c r="I38" i="5"/>
  <c r="H114" i="5" s="1"/>
  <c r="G142" i="5" s="1"/>
  <c r="B45" i="5"/>
  <c r="L35" i="5"/>
  <c r="K111" i="5" s="1"/>
  <c r="J139" i="5" s="1"/>
  <c r="H39" i="5"/>
  <c r="G115" i="5" s="1"/>
  <c r="P31" i="5"/>
  <c r="O107" i="5" s="1"/>
  <c r="E42" i="5"/>
  <c r="D118" i="5" s="1"/>
  <c r="C146" i="5" s="1"/>
  <c r="G40" i="5"/>
  <c r="F116" i="5" s="1"/>
  <c r="E144" i="5" s="1"/>
  <c r="J37" i="5"/>
  <c r="I113" i="5" s="1"/>
  <c r="H141" i="5" s="1"/>
  <c r="K36" i="5"/>
  <c r="J112" i="5" s="1"/>
  <c r="I140" i="5" s="1"/>
  <c r="N33" i="5"/>
  <c r="M109" i="5" s="1"/>
  <c r="L137" i="5" s="1"/>
  <c r="F41" i="5"/>
  <c r="E117" i="5" s="1"/>
  <c r="D145" i="5" s="1"/>
  <c r="O32" i="5"/>
  <c r="N108" i="5" s="1"/>
  <c r="M136" i="5" s="1"/>
  <c r="J138" i="5"/>
  <c r="H140" i="5"/>
  <c r="A43" i="5"/>
  <c r="A21" i="5"/>
  <c r="G141" i="5"/>
  <c r="E143" i="5"/>
  <c r="B146" i="5"/>
  <c r="K137" i="5"/>
  <c r="M135" i="5"/>
  <c r="C145" i="5"/>
  <c r="N135" i="5" l="1"/>
  <c r="F143" i="5"/>
  <c r="A44" i="5"/>
  <c r="A22" i="5"/>
  <c r="F42" i="5"/>
  <c r="E118" i="5" s="1"/>
  <c r="D146" i="5" s="1"/>
  <c r="I39" i="5"/>
  <c r="H115" i="5" s="1"/>
  <c r="J38" i="5"/>
  <c r="I114" i="5" s="1"/>
  <c r="C45" i="5"/>
  <c r="B121" i="5" s="1"/>
  <c r="M35" i="5"/>
  <c r="L111" i="5" s="1"/>
  <c r="N34" i="5"/>
  <c r="M110" i="5" s="1"/>
  <c r="H40" i="5"/>
  <c r="G116" i="5" s="1"/>
  <c r="F144" i="5" s="1"/>
  <c r="K37" i="5"/>
  <c r="J113" i="5" s="1"/>
  <c r="I141" i="5" s="1"/>
  <c r="L36" i="5"/>
  <c r="K112" i="5" s="1"/>
  <c r="D44" i="5"/>
  <c r="C120" i="5" s="1"/>
  <c r="B148" i="5" s="1"/>
  <c r="O33" i="5"/>
  <c r="N109" i="5" s="1"/>
  <c r="P32" i="5"/>
  <c r="O108" i="5" s="1"/>
  <c r="N136" i="5" s="1"/>
  <c r="B46" i="5"/>
  <c r="E43" i="5"/>
  <c r="D119" i="5" s="1"/>
  <c r="G41" i="5"/>
  <c r="F117" i="5" s="1"/>
  <c r="E145" i="5" s="1"/>
  <c r="Q31" i="5"/>
  <c r="P107" i="5" s="1"/>
  <c r="K138" i="5"/>
  <c r="O135" i="5" l="1"/>
  <c r="J140" i="5"/>
  <c r="H142" i="5"/>
  <c r="C147" i="5"/>
  <c r="G143" i="5"/>
  <c r="B47" i="5"/>
  <c r="G42" i="5"/>
  <c r="F118" i="5" s="1"/>
  <c r="J39" i="5"/>
  <c r="I115" i="5" s="1"/>
  <c r="K38" i="5"/>
  <c r="J114" i="5" s="1"/>
  <c r="I40" i="5"/>
  <c r="H116" i="5" s="1"/>
  <c r="L37" i="5"/>
  <c r="K113" i="5" s="1"/>
  <c r="D45" i="5"/>
  <c r="C121" i="5" s="1"/>
  <c r="N35" i="5"/>
  <c r="M111" i="5" s="1"/>
  <c r="H41" i="5"/>
  <c r="G117" i="5" s="1"/>
  <c r="M36" i="5"/>
  <c r="L112" i="5" s="1"/>
  <c r="E44" i="5"/>
  <c r="D120" i="5" s="1"/>
  <c r="P33" i="5"/>
  <c r="O109" i="5" s="1"/>
  <c r="Q32" i="5"/>
  <c r="P108" i="5" s="1"/>
  <c r="F43" i="5"/>
  <c r="E119" i="5" s="1"/>
  <c r="O34" i="5"/>
  <c r="N110" i="5" s="1"/>
  <c r="R31" i="5"/>
  <c r="Q107" i="5" s="1"/>
  <c r="C46" i="5"/>
  <c r="B122" i="5" s="1"/>
  <c r="L138" i="5"/>
  <c r="A45" i="5"/>
  <c r="A23" i="5"/>
  <c r="M137" i="5"/>
  <c r="K139" i="5"/>
  <c r="N137" i="5" l="1"/>
  <c r="G144" i="5"/>
  <c r="K140" i="5"/>
  <c r="M138" i="5"/>
  <c r="H143" i="5"/>
  <c r="J141" i="5"/>
  <c r="A46" i="5"/>
  <c r="A24" i="5"/>
  <c r="C148" i="5"/>
  <c r="P135" i="5"/>
  <c r="I142" i="5"/>
  <c r="F145" i="5"/>
  <c r="D147" i="5"/>
  <c r="L139" i="5"/>
  <c r="E146" i="5"/>
  <c r="O136" i="5"/>
  <c r="B149" i="5"/>
  <c r="J40" i="5"/>
  <c r="I116" i="5" s="1"/>
  <c r="M37" i="5"/>
  <c r="L113" i="5" s="1"/>
  <c r="C47" i="5"/>
  <c r="B123" i="5" s="1"/>
  <c r="L38" i="5"/>
  <c r="K114" i="5" s="1"/>
  <c r="J142" i="5" s="1"/>
  <c r="I41" i="5"/>
  <c r="H117" i="5" s="1"/>
  <c r="G145" i="5" s="1"/>
  <c r="D46" i="5"/>
  <c r="C122" i="5" s="1"/>
  <c r="G43" i="5"/>
  <c r="F119" i="5" s="1"/>
  <c r="E147" i="5" s="1"/>
  <c r="H42" i="5"/>
  <c r="G118" i="5" s="1"/>
  <c r="F146" i="5" s="1"/>
  <c r="N36" i="5"/>
  <c r="M112" i="5" s="1"/>
  <c r="Q33" i="5"/>
  <c r="P109" i="5" s="1"/>
  <c r="R32" i="5"/>
  <c r="Q108" i="5" s="1"/>
  <c r="P136" i="5" s="1"/>
  <c r="E45" i="5"/>
  <c r="D121" i="5" s="1"/>
  <c r="C149" i="5" s="1"/>
  <c r="B48" i="5"/>
  <c r="F44" i="5"/>
  <c r="E120" i="5" s="1"/>
  <c r="S31" i="5"/>
  <c r="R107" i="5" s="1"/>
  <c r="O35" i="5"/>
  <c r="N111" i="5" s="1"/>
  <c r="K39" i="5"/>
  <c r="J115" i="5" s="1"/>
  <c r="P34" i="5"/>
  <c r="O110" i="5" s="1"/>
  <c r="K157" i="5" l="1"/>
  <c r="C48" i="5"/>
  <c r="B124" i="5" s="1"/>
  <c r="F45" i="5"/>
  <c r="E121" i="5" s="1"/>
  <c r="D160" i="5" s="1"/>
  <c r="D166" i="5" s="1"/>
  <c r="G44" i="5"/>
  <c r="F120" i="5" s="1"/>
  <c r="J41" i="5"/>
  <c r="I117" i="5" s="1"/>
  <c r="H163" i="5" s="1"/>
  <c r="D122" i="5"/>
  <c r="H43" i="5"/>
  <c r="G119" i="5" s="1"/>
  <c r="I42" i="5"/>
  <c r="H118" i="5" s="1"/>
  <c r="O36" i="5"/>
  <c r="N112" i="5" s="1"/>
  <c r="R33" i="5"/>
  <c r="Q109" i="5" s="1"/>
  <c r="S32" i="5"/>
  <c r="R108" i="5" s="1"/>
  <c r="K40" i="5"/>
  <c r="J116" i="5" s="1"/>
  <c r="N37" i="5"/>
  <c r="M113" i="5" s="1"/>
  <c r="Q34" i="5"/>
  <c r="P110" i="5" s="1"/>
  <c r="T31" i="5"/>
  <c r="S107" i="5" s="1"/>
  <c r="P35" i="5"/>
  <c r="O111" i="5" s="1"/>
  <c r="N157" i="5" s="1"/>
  <c r="M38" i="5"/>
  <c r="L114" i="5" s="1"/>
  <c r="D47" i="5"/>
  <c r="C123" i="5" s="1"/>
  <c r="L39" i="5"/>
  <c r="K115" i="5" s="1"/>
  <c r="M139" i="5"/>
  <c r="M157" i="5"/>
  <c r="B150" i="5"/>
  <c r="B160" i="5"/>
  <c r="B166" i="5" s="1"/>
  <c r="C160" i="5"/>
  <c r="C166" i="5" s="1"/>
  <c r="C163" i="5"/>
  <c r="I143" i="5"/>
  <c r="I160" i="5"/>
  <c r="O137" i="5"/>
  <c r="O157" i="5"/>
  <c r="M163" i="5"/>
  <c r="M166" i="5" s="1"/>
  <c r="L140" i="5"/>
  <c r="J163" i="5"/>
  <c r="J166" i="5" s="1"/>
  <c r="H144" i="5"/>
  <c r="H160" i="5"/>
  <c r="H166" i="5" s="1"/>
  <c r="N138" i="5"/>
  <c r="A47" i="5"/>
  <c r="A25" i="5"/>
  <c r="A48" i="5" s="1"/>
  <c r="G163" i="5"/>
  <c r="Q135" i="5"/>
  <c r="Q157" i="5"/>
  <c r="Q166" i="5" s="1"/>
  <c r="D148" i="5"/>
  <c r="K141" i="5"/>
  <c r="K160" i="5"/>
  <c r="D163" i="5"/>
  <c r="P137" i="5" l="1"/>
  <c r="B184" i="5"/>
  <c r="D184" i="5" s="1"/>
  <c r="F184" i="5" s="1"/>
  <c r="I184" i="5" s="1"/>
  <c r="M140" i="5"/>
  <c r="M160" i="5"/>
  <c r="O138" i="5"/>
  <c r="P157" i="5"/>
  <c r="E148" i="5"/>
  <c r="E157" i="5"/>
  <c r="E160" i="5"/>
  <c r="E166" i="5" s="1"/>
  <c r="J143" i="5"/>
  <c r="J160" i="5"/>
  <c r="J157" i="5"/>
  <c r="L141" i="5"/>
  <c r="L163" i="5"/>
  <c r="L166" i="5" s="1"/>
  <c r="L169" i="5" s="1"/>
  <c r="L171" i="5" s="1"/>
  <c r="B186" i="5" s="1"/>
  <c r="D186" i="5" s="1"/>
  <c r="F186" i="5" s="1"/>
  <c r="I186" i="5" s="1"/>
  <c r="L160" i="5"/>
  <c r="O163" i="5"/>
  <c r="O166" i="5" s="1"/>
  <c r="P163" i="5"/>
  <c r="P166" i="5" s="1"/>
  <c r="P169" i="5" s="1"/>
  <c r="P171" i="5" s="1"/>
  <c r="B182" i="5" s="1"/>
  <c r="D182" i="5" s="1"/>
  <c r="F182" i="5" s="1"/>
  <c r="I182" i="5" s="1"/>
  <c r="B151" i="5"/>
  <c r="B157" i="5"/>
  <c r="I144" i="5"/>
  <c r="I157" i="5"/>
  <c r="I163" i="5"/>
  <c r="I166" i="5" s="1"/>
  <c r="C150" i="5"/>
  <c r="C157" i="5"/>
  <c r="N139" i="5"/>
  <c r="B179" i="5"/>
  <c r="D179" i="5" s="1"/>
  <c r="F179" i="5" s="1"/>
  <c r="R135" i="5"/>
  <c r="R157" i="5"/>
  <c r="R166" i="5" s="1"/>
  <c r="R169" i="5" s="1"/>
  <c r="R171" i="5" s="1"/>
  <c r="D149" i="5"/>
  <c r="D157" i="5"/>
  <c r="E163" i="5"/>
  <c r="G146" i="5"/>
  <c r="G157" i="5"/>
  <c r="F147" i="5"/>
  <c r="F157" i="5"/>
  <c r="F163" i="5"/>
  <c r="F160" i="5"/>
  <c r="F166" i="5" s="1"/>
  <c r="B169" i="5" s="1"/>
  <c r="B171" i="5" s="1"/>
  <c r="B196" i="5" s="1"/>
  <c r="D196" i="5" s="1"/>
  <c r="F196" i="5" s="1"/>
  <c r="I196" i="5" s="1"/>
  <c r="G160" i="5"/>
  <c r="G166" i="5" s="1"/>
  <c r="Q169" i="5"/>
  <c r="Q171" i="5" s="1"/>
  <c r="B181" i="5" s="1"/>
  <c r="D181" i="5" s="1"/>
  <c r="F181" i="5" s="1"/>
  <c r="I181" i="5" s="1"/>
  <c r="L157" i="5"/>
  <c r="B163" i="5"/>
  <c r="K142" i="5"/>
  <c r="K163" i="5"/>
  <c r="K166" i="5" s="1"/>
  <c r="J169" i="5" s="1"/>
  <c r="J171" i="5" s="1"/>
  <c r="B188" i="5" s="1"/>
  <c r="D188" i="5" s="1"/>
  <c r="F188" i="5" s="1"/>
  <c r="I188" i="5" s="1"/>
  <c r="B180" i="5"/>
  <c r="D180" i="5" s="1"/>
  <c r="F180" i="5" s="1"/>
  <c r="I180" i="5" s="1"/>
  <c r="Q136" i="5"/>
  <c r="H145" i="5"/>
  <c r="H157" i="5"/>
  <c r="N163" i="5"/>
  <c r="N166" i="5" s="1"/>
  <c r="N169" i="5" s="1"/>
  <c r="N171" i="5" s="1"/>
  <c r="I179" i="5" l="1"/>
  <c r="I169" i="5"/>
  <c r="I171" i="5" s="1"/>
  <c r="B189" i="5" s="1"/>
  <c r="D189" i="5" s="1"/>
  <c r="F189" i="5" s="1"/>
  <c r="I189" i="5" s="1"/>
  <c r="G169" i="5"/>
  <c r="G171" i="5" s="1"/>
  <c r="B191" i="5" s="1"/>
  <c r="D191" i="5" s="1"/>
  <c r="F191" i="5" s="1"/>
  <c r="I191" i="5" s="1"/>
  <c r="C169" i="5"/>
  <c r="C171" i="5" s="1"/>
  <c r="B195" i="5" s="1"/>
  <c r="D195" i="5" s="1"/>
  <c r="F195" i="5" s="1"/>
  <c r="I195" i="5" s="1"/>
  <c r="F169" i="5"/>
  <c r="F171" i="5" s="1"/>
  <c r="B192" i="5" s="1"/>
  <c r="D192" i="5" s="1"/>
  <c r="F192" i="5" s="1"/>
  <c r="I192" i="5" s="1"/>
  <c r="E169" i="5"/>
  <c r="E171" i="5" s="1"/>
  <c r="B193" i="5" s="1"/>
  <c r="D193" i="5" s="1"/>
  <c r="F193" i="5" s="1"/>
  <c r="I193" i="5" s="1"/>
  <c r="M169" i="5"/>
  <c r="M171" i="5" s="1"/>
  <c r="B185" i="5" s="1"/>
  <c r="D185" i="5" s="1"/>
  <c r="F185" i="5" s="1"/>
  <c r="I185" i="5" s="1"/>
  <c r="K169" i="5"/>
  <c r="K171" i="5" s="1"/>
  <c r="B187" i="5" s="1"/>
  <c r="D187" i="5" s="1"/>
  <c r="F187" i="5" s="1"/>
  <c r="I187" i="5" s="1"/>
  <c r="H169" i="5"/>
  <c r="H171" i="5" s="1"/>
  <c r="B190" i="5" s="1"/>
  <c r="D190" i="5" s="1"/>
  <c r="F190" i="5" s="1"/>
  <c r="I190" i="5" s="1"/>
  <c r="O169" i="5"/>
  <c r="O171" i="5" s="1"/>
  <c r="B183" i="5" s="1"/>
  <c r="D183" i="5" s="1"/>
  <c r="F183" i="5" s="1"/>
  <c r="I183" i="5" s="1"/>
  <c r="D169" i="5"/>
  <c r="D171" i="5" s="1"/>
  <c r="B194" i="5" s="1"/>
  <c r="D194" i="5" s="1"/>
  <c r="F194" i="5" s="1"/>
  <c r="I194" i="5" s="1"/>
  <c r="I198"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tc={B8DFFE92-4C1F-834A-8B14-DF1C3BAE1D39}</author>
    <author>tc={956F094E-48EA-BD43-A476-97D9B87AF8A6}</author>
  </authors>
  <commentList>
    <comment ref="C16" authorId="0" shapeId="0" xr:uid="{B8DFFE92-4C1F-834A-8B14-DF1C3BAE1D39}">
      <text>
        <t>[Threaded comment]
Your version of Excel allows you to read this threaded comment; however, any edits to it will get removed if the file is opened in a newer version of Excel. Learn more: https://go.microsoft.com/fwlink/?linkid=870924
Comment:
    Note how the formula proceeds to the second condition only if the first is not verified.</t>
      </text>
    </comment>
    <comment ref="E16" authorId="1" shapeId="0" xr:uid="{956F094E-48EA-BD43-A476-97D9B87AF8A6}">
      <text>
        <t>[Threaded comment]
Your version of Excel allows you to read this threaded comment; however, any edits to it will get removed if the file is opened in a newer version of Excel. Learn more: https://go.microsoft.com/fwlink/?linkid=870924
Comment:
    note how the “TRUE” condition at the end (which is always true!!) is a catch all condition (default if none of the preceding conditions are verified)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<sst xmlns="http://schemas.openxmlformats.org/spreadsheetml/2006/main" count="578" uniqueCount="313">
  <si>
    <t>Attacking</t>
  </si>
  <si>
    <t>Normal</t>
  </si>
  <si>
    <t>Fire</t>
  </si>
  <si>
    <t>Water</t>
  </si>
  <si>
    <t>Electric</t>
  </si>
  <si>
    <t>Grass</t>
  </si>
  <si>
    <t>Ice</t>
  </si>
  <si>
    <t>Fighting</t>
  </si>
  <si>
    <t>Poison</t>
  </si>
  <si>
    <t>Ground</t>
  </si>
  <si>
    <t>Flying</t>
  </si>
  <si>
    <t>Psychic</t>
  </si>
  <si>
    <t>Bug</t>
  </si>
  <si>
    <t>Rock</t>
  </si>
  <si>
    <t>Ghost</t>
  </si>
  <si>
    <t>Dragon</t>
  </si>
  <si>
    <t>Dark</t>
  </si>
  <si>
    <t>Steel</t>
  </si>
  <si>
    <t>Fairy</t>
  </si>
  <si>
    <t>Source:</t>
  </si>
  <si>
    <t>https://github.com/zonination/pokemon-chart/blob/master/chart.csv</t>
  </si>
  <si>
    <t>FIFA Women's World Cup Stats (1991 - 2019)</t>
  </si>
  <si>
    <t>id</t>
  </si>
  <si>
    <t>squad</t>
  </si>
  <si>
    <t>year</t>
  </si>
  <si>
    <t>players</t>
  </si>
  <si>
    <t>age</t>
  </si>
  <si>
    <t>possesion</t>
  </si>
  <si>
    <t>matches_played</t>
  </si>
  <si>
    <t>starts</t>
  </si>
  <si>
    <t>min_playing_time</t>
  </si>
  <si>
    <t>minutes_played_90s</t>
  </si>
  <si>
    <t>goals</t>
  </si>
  <si>
    <t>assists</t>
  </si>
  <si>
    <t>non_penalty_goals</t>
  </si>
  <si>
    <t>penalty_kicks_made</t>
  </si>
  <si>
    <t>penalty_kicks_attempted</t>
  </si>
  <si>
    <t>yellow_cards</t>
  </si>
  <si>
    <t>red_cards</t>
  </si>
  <si>
    <t>goals_per_90</t>
  </si>
  <si>
    <t>assists_per_90</t>
  </si>
  <si>
    <t>goals_plus_assists_per_90</t>
  </si>
  <si>
    <t>goals_minus_penalty_kicks_per_90</t>
  </si>
  <si>
    <t>goals_plus_assists_minus_penalty_kicks_per_90</t>
  </si>
  <si>
    <t>Argentina</t>
  </si>
  <si>
    <t>Australia</t>
  </si>
  <si>
    <t>Brazil</t>
  </si>
  <si>
    <t>Cameroon</t>
  </si>
  <si>
    <t>Canada</t>
  </si>
  <si>
    <t>Chile</t>
  </si>
  <si>
    <t>China PR</t>
  </si>
  <si>
    <t>England</t>
  </si>
  <si>
    <t>France</t>
  </si>
  <si>
    <t>Germany</t>
  </si>
  <si>
    <t>Italy</t>
  </si>
  <si>
    <t>Jamaica</t>
  </si>
  <si>
    <t>Japan</t>
  </si>
  <si>
    <t>Korea Rep</t>
  </si>
  <si>
    <t>Netherlands</t>
  </si>
  <si>
    <t>New Zealand</t>
  </si>
  <si>
    <t>Nigeria</t>
  </si>
  <si>
    <t>Norway</t>
  </si>
  <si>
    <t>Scotland</t>
  </si>
  <si>
    <t>South Africa</t>
  </si>
  <si>
    <t>Spain</t>
  </si>
  <si>
    <t>Sweden</t>
  </si>
  <si>
    <t>Thailand</t>
  </si>
  <si>
    <t>USA</t>
  </si>
  <si>
    <t>Colombia</t>
  </si>
  <si>
    <t>Costa Rica</t>
  </si>
  <si>
    <t>C√¥te d'Ivoire</t>
  </si>
  <si>
    <t>Ecuador</t>
  </si>
  <si>
    <t>Mexico</t>
  </si>
  <si>
    <t>Switzerland</t>
  </si>
  <si>
    <t>Equ. Guinea</t>
  </si>
  <si>
    <t>Korea DPR</t>
  </si>
  <si>
    <t>Denmark</t>
  </si>
  <si>
    <t>Ghana</t>
  </si>
  <si>
    <t>Russia</t>
  </si>
  <si>
    <t>Chinese Taipei</t>
  </si>
  <si>
    <t>Absolute and mixed cell references: Chapter 7 EE19, pages 332-342</t>
  </si>
  <si>
    <t>Pull the formula in the top left corner right, and down, over the yellow area. Can you explain the differences?</t>
  </si>
  <si>
    <t>New Excel 2019 functions (IFS, MAXIFS, MINIFS): Chapter 8, pages 381-398</t>
  </si>
  <si>
    <t>Simple if:</t>
  </si>
  <si>
    <t>IFS</t>
  </si>
  <si>
    <t>MAXIFS</t>
  </si>
  <si>
    <t>MINIFS</t>
  </si>
  <si>
    <t>Paste with transpose will achieve the same as transpose:</t>
  </si>
  <si>
    <t>(All)</t>
  </si>
  <si>
    <t>Row Labels</t>
  </si>
  <si>
    <t>Sum of matches_played</t>
  </si>
  <si>
    <t>Sum of goals</t>
  </si>
  <si>
    <t>Grand Total</t>
  </si>
  <si>
    <t>Average of possesion</t>
  </si>
  <si>
    <t>Spilling</t>
  </si>
  <si>
    <t>Hello</t>
  </si>
  <si>
    <t>&lt;-  =LEN(B3:B6)</t>
  </si>
  <si>
    <t xml:space="preserve">World </t>
  </si>
  <si>
    <t>of</t>
  </si>
  <si>
    <t>Actuaries</t>
  </si>
  <si>
    <t>Think in vectors</t>
  </si>
  <si>
    <t>How often is Fire&gt;Water?</t>
  </si>
  <si>
    <t>For which type of pokemon?</t>
  </si>
  <si>
    <t>Loss ratios</t>
  </si>
  <si>
    <t>NSW</t>
  </si>
  <si>
    <t>VIC</t>
  </si>
  <si>
    <t>ACT</t>
  </si>
  <si>
    <t>Motor</t>
  </si>
  <si>
    <t>Liability</t>
  </si>
  <si>
    <t>Life</t>
  </si>
  <si>
    <t>Property</t>
  </si>
  <si>
    <t>The # sign</t>
  </si>
  <si>
    <t xml:space="preserve">Try to change to SEQUENCE(10) and compare sum differences above </t>
  </si>
  <si>
    <t>Some new formulas</t>
  </si>
  <si>
    <t>Which teams played 7 matches?</t>
  </si>
  <si>
    <t>Lookup functions</t>
  </si>
  <si>
    <t>VLOOKUP</t>
  </si>
  <si>
    <t>You can specify a lookup array and find all the corresponding values.</t>
  </si>
  <si>
    <t>Or return multiple columns as previouly shown</t>
  </si>
  <si>
    <t>You can even return multiple rows with different columns!</t>
  </si>
  <si>
    <t>We use 'Products' as the lookup array</t>
  </si>
  <si>
    <t>It must be at the first column of your table</t>
  </si>
  <si>
    <t>-&gt; returning 2nd and 4th column in first row</t>
  </si>
  <si>
    <t>and we select the 4th column to return values.</t>
  </si>
  <si>
    <t>-&gt; 1st and 3rd column in 2nd row</t>
  </si>
  <si>
    <t>-&gt; return N/A if value does not exist.</t>
  </si>
  <si>
    <t>-&gt; 4th and 2nd column in 3rd row</t>
  </si>
  <si>
    <r>
      <rPr>
        <b/>
        <sz val="12"/>
        <color rgb="FFFF0000"/>
        <rFont val="Calibri"/>
        <family val="2"/>
      </rPr>
      <t>XLOOKUP</t>
    </r>
    <r>
      <rPr>
        <sz val="12"/>
        <color rgb="FFFF0000"/>
        <rFont val="Calibri"/>
        <family val="2"/>
      </rPr>
      <t xml:space="preserve"> - We don't have to specify the column number.</t>
    </r>
  </si>
  <si>
    <t>Product</t>
  </si>
  <si>
    <t xml:space="preserve">Specifying return values if not found </t>
  </si>
  <si>
    <r>
      <t xml:space="preserve">MATCH </t>
    </r>
    <r>
      <rPr>
        <sz val="12"/>
        <color rgb="FFFF0000"/>
        <rFont val="Calibri"/>
        <family val="2"/>
        <scheme val="minor"/>
      </rPr>
      <t>- Matching the index of your lookup array</t>
    </r>
  </si>
  <si>
    <t>Combining with INDEX makes it works like a lookup function</t>
  </si>
  <si>
    <t>XLOOKUP does not require your lookup array in your data table</t>
  </si>
  <si>
    <t>However your lookup and return array need to have same length.</t>
  </si>
  <si>
    <t>Travel</t>
  </si>
  <si>
    <t>INDEX</t>
  </si>
  <si>
    <t>INDEX returns the value inside your array with specified index.</t>
  </si>
  <si>
    <t xml:space="preserve">How many goals did Argentina scored? </t>
  </si>
  <si>
    <t>Specifying search mode</t>
  </si>
  <si>
    <t>1: First to last; -1: Last to first</t>
  </si>
  <si>
    <r>
      <rPr>
        <b/>
        <sz val="12"/>
        <color rgb="FFFF0000"/>
        <rFont val="Calibri"/>
        <family val="2"/>
        <scheme val="minor"/>
      </rPr>
      <t>XMATCH</t>
    </r>
    <r>
      <rPr>
        <sz val="12"/>
        <color rgb="FFFF0000"/>
        <rFont val="Calibri"/>
        <family val="2"/>
        <scheme val="minor"/>
      </rPr>
      <t xml:space="preserve"> - allows specified search mode</t>
    </r>
  </si>
  <si>
    <t>allows lookup from the last item.</t>
  </si>
  <si>
    <t>Argentina went to world cup for multiple years.</t>
  </si>
  <si>
    <t>So there will be different number of goals if we search in different order.</t>
  </si>
  <si>
    <t>Dynamic references</t>
  </si>
  <si>
    <t>OFFSET</t>
  </si>
  <si>
    <t>Month</t>
  </si>
  <si>
    <t>Profit</t>
  </si>
  <si>
    <t>Which month?</t>
  </si>
  <si>
    <t>Jan</t>
  </si>
  <si>
    <t>Feb</t>
  </si>
  <si>
    <t>Mar</t>
  </si>
  <si>
    <t>Apr</t>
  </si>
  <si>
    <t>May</t>
  </si>
  <si>
    <t>From</t>
  </si>
  <si>
    <t>To</t>
  </si>
  <si>
    <t>Jun</t>
  </si>
  <si>
    <t>&lt;- try change this</t>
  </si>
  <si>
    <t>Jul</t>
  </si>
  <si>
    <t>You can dynamically reference a specified period!</t>
  </si>
  <si>
    <t>Aug</t>
  </si>
  <si>
    <t>Sep</t>
  </si>
  <si>
    <t>First, select the whole table to offset.</t>
  </si>
  <si>
    <t>Oct</t>
  </si>
  <si>
    <t>Move down 'F10' rows to get to the starting month.</t>
  </si>
  <si>
    <t>Nov</t>
  </si>
  <si>
    <t>You don't need to offset by columns, so 0 as the third argument.</t>
  </si>
  <si>
    <t>Dec</t>
  </si>
  <si>
    <t>Then you select the number of rows between starting and ending mont.</t>
  </si>
  <si>
    <t>And you select 2 columns, which is the original width of your table.</t>
  </si>
  <si>
    <t>ADDRESS</t>
  </si>
  <si>
    <t>find the address of the specified rows and columns</t>
  </si>
  <si>
    <t>What is the address storing the month 'Jan' inside the table?</t>
  </si>
  <si>
    <t>&lt;- We are finding the address at row 26 and column 2, which stores the text 'Jan'.</t>
  </si>
  <si>
    <t>INDIRECT</t>
  </si>
  <si>
    <t>get the value of the address specified in cell</t>
  </si>
  <si>
    <t>What does that address contain?</t>
  </si>
  <si>
    <t>Combining together...</t>
  </si>
  <si>
    <t>You can reference any part of your table!</t>
  </si>
  <si>
    <t>You can do it with OFFSET too!</t>
  </si>
  <si>
    <t xml:space="preserve">To </t>
  </si>
  <si>
    <t>From Week</t>
  </si>
  <si>
    <t>Up to Week</t>
  </si>
  <si>
    <t>&lt;-</t>
  </si>
  <si>
    <t>Change them!</t>
  </si>
  <si>
    <t>-&gt;</t>
  </si>
  <si>
    <t>Week1</t>
  </si>
  <si>
    <t>Week2</t>
  </si>
  <si>
    <t>Week3</t>
  </si>
  <si>
    <t>Week4</t>
  </si>
  <si>
    <t>Get the months-&gt;</t>
  </si>
  <si>
    <t>Get the numbers-&gt;</t>
  </si>
  <si>
    <t>The trick here is similar as INDIRECT(ADDRESS()), we dynamically select the range by adding week numbers.</t>
  </si>
  <si>
    <t>Breakdown:</t>
  </si>
  <si>
    <t>To get the months:</t>
  </si>
  <si>
    <t xml:space="preserve">MATCH(I39,A26:G26,0) </t>
  </si>
  <si>
    <t>Find which column in A26:G26 contains the starting month</t>
  </si>
  <si>
    <t>ADDRESS(38, MATCH(I39,A26:G26,0) )</t>
  </si>
  <si>
    <t>That is the address of the cell inside the table containing the starting month</t>
  </si>
  <si>
    <t>INDIRECT(ADDRESS(..,MATCH()))</t>
  </si>
  <si>
    <t>This gives you the indirect reference to the starting month.</t>
  </si>
  <si>
    <t>The second INDIRECT gives you the indirect reference for the ending month.</t>
  </si>
  <si>
    <t>Combining them will give us the specified months.</t>
  </si>
  <si>
    <t>To get the data:</t>
  </si>
  <si>
    <t>Same as above</t>
  </si>
  <si>
    <t>ADDRESS(38+K39, MATCH(I39,A26:G26,0) )</t>
  </si>
  <si>
    <t>We move down few rows (+K39) based on the starting week</t>
  </si>
  <si>
    <t>This gives you the indirect reference corresponds to the value to the starting month at the starting week.</t>
  </si>
  <si>
    <t>The second INDIRECT gives you the indirect reference for the ending month at the ending week.</t>
  </si>
  <si>
    <t>Note: We need INDIRECT(address):INDIRECT(address) to select the range between two indirect addresses.</t>
  </si>
  <si>
    <t>top left</t>
  </si>
  <si>
    <t>F55</t>
  </si>
  <si>
    <t>bottom right</t>
  </si>
  <si>
    <t>H57</t>
  </si>
  <si>
    <t>Table 3.10</t>
  </si>
  <si>
    <t>Incurred Losses</t>
  </si>
  <si>
    <t>Period</t>
  </si>
  <si>
    <t>Incurred losses to end of development year n=</t>
  </si>
  <si>
    <t>of origin</t>
  </si>
  <si>
    <t>$000</t>
  </si>
  <si>
    <t xml:space="preserve">Inflation </t>
  </si>
  <si>
    <t>Incurred losses, as of 31/12/1995, to end of development year n=</t>
  </si>
  <si>
    <t>factor</t>
  </si>
  <si>
    <t>Table 2.2</t>
  </si>
  <si>
    <t>Forecast Numbers of IBNR Claims</t>
  </si>
  <si>
    <t>Number of claims notified, actual and forecast (bold), in development year</t>
  </si>
  <si>
    <t>Number</t>
  </si>
  <si>
    <t>11 &amp; later</t>
  </si>
  <si>
    <t>to 1995</t>
  </si>
  <si>
    <t>IBNR</t>
  </si>
  <si>
    <t>Total</t>
  </si>
  <si>
    <t>Cumulative reported claim counts</t>
  </si>
  <si>
    <t>Average incurred cost per reported claim, by period of origin and for develop period j=</t>
  </si>
  <si>
    <t>Incurred loss age to age factors</t>
  </si>
  <si>
    <t>Age to age factor from development year n to n+1</t>
  </si>
  <si>
    <t>development year n=</t>
  </si>
  <si>
    <t>Weighted</t>
  </si>
  <si>
    <t>averages:</t>
  </si>
  <si>
    <t>All</t>
  </si>
  <si>
    <t>Last 6</t>
  </si>
  <si>
    <t>experience</t>
  </si>
  <si>
    <t>years</t>
  </si>
  <si>
    <t>Last 3</t>
  </si>
  <si>
    <t>Model(un-</t>
  </si>
  <si>
    <t>smoothed)</t>
  </si>
  <si>
    <t>&lt;- we could decide to set this to 1 to be conservative</t>
  </si>
  <si>
    <t>age-to-</t>
  </si>
  <si>
    <t>ultimate</t>
  </si>
  <si>
    <t>prop-to-ult</t>
  </si>
  <si>
    <t>Paid losses</t>
  </si>
  <si>
    <t>to</t>
  </si>
  <si>
    <t>Out-</t>
  </si>
  <si>
    <t>Incurred</t>
  </si>
  <si>
    <t>Incurred CL/</t>
  </si>
  <si>
    <t>Paid CL</t>
  </si>
  <si>
    <t>Separation</t>
  </si>
  <si>
    <t>Average cost</t>
  </si>
  <si>
    <t xml:space="preserve">Claim </t>
  </si>
  <si>
    <t>Ultimate</t>
  </si>
  <si>
    <t>1995</t>
  </si>
  <si>
    <t>standing</t>
  </si>
  <si>
    <t>CL</t>
  </si>
  <si>
    <t>PPCI</t>
  </si>
  <si>
    <t>unadjusted</t>
  </si>
  <si>
    <t>adjusted</t>
  </si>
  <si>
    <t>method</t>
  </si>
  <si>
    <t>per claim</t>
  </si>
  <si>
    <t>numbers</t>
  </si>
  <si>
    <t>=SUM(F179:F196)</t>
  </si>
  <si>
    <t>this formula is show as text by adding a apostrophe ' in front of it.</t>
  </si>
  <si>
    <t>Basic random functions</t>
  </si>
  <si>
    <t>Simulating different distributions (Continuous)</t>
  </si>
  <si>
    <t>Simulating Discrete RV</t>
  </si>
  <si>
    <t>Weather</t>
  </si>
  <si>
    <t>Probability</t>
  </si>
  <si>
    <t>RAND</t>
  </si>
  <si>
    <t>RANDARRAY</t>
  </si>
  <si>
    <t>Good</t>
  </si>
  <si>
    <t>OK</t>
  </si>
  <si>
    <t>Bad</t>
  </si>
  <si>
    <t>Frequency</t>
  </si>
  <si>
    <t>Empirical Probability</t>
  </si>
  <si>
    <t>Mean</t>
  </si>
  <si>
    <t>SD</t>
  </si>
  <si>
    <t>Var</t>
  </si>
  <si>
    <t>Theoretical</t>
  </si>
  <si>
    <t>Variance</t>
  </si>
  <si>
    <t>Theoretical Variance</t>
  </si>
  <si>
    <t>Record a macro</t>
  </si>
  <si>
    <t>Try running recorded_example1 here!</t>
  </si>
  <si>
    <t>Absolute and relative references in macro</t>
  </si>
  <si>
    <t>Run recorded_absolute_example.</t>
  </si>
  <si>
    <t>Undo everything, select another cell outside the table and run it again. What happens?</t>
  </si>
  <si>
    <t>(You can clear all formatting by Home -&gt; Editing -&gt; Clear -&gt; Clear all formatting)</t>
  </si>
  <si>
    <t>Now click on cell B15 and run recorded_relative example.</t>
  </si>
  <si>
    <t>Click on cell E15 and run it again. What happens?</t>
  </si>
  <si>
    <t>This example shows the difference between absolute and relative referencing in recorded macro.</t>
  </si>
  <si>
    <t>Buttons in macro</t>
  </si>
  <si>
    <t>Try clicking this button!</t>
  </si>
  <si>
    <t>And this shape!</t>
  </si>
  <si>
    <t>Editing a macro</t>
  </si>
  <si>
    <t>Click on any cell between M5:P8. Run recorded_example1_edit.</t>
  </si>
  <si>
    <t>We added new lines, where the font size of the row you selected increases.</t>
  </si>
  <si>
    <t>Added the following lines:</t>
  </si>
  <si>
    <t>Try Here</t>
  </si>
  <si>
    <t>Writing VBA: Conditioning</t>
  </si>
  <si>
    <t>Click on any values under profit and press the button.</t>
  </si>
  <si>
    <t>Here we have three situations with conditioning.</t>
  </si>
  <si>
    <t>Writing VBA: Loop</t>
  </si>
  <si>
    <t>Example: Print numbers from 1 to k, each number n times</t>
  </si>
  <si>
    <t>For Loop</t>
  </si>
  <si>
    <t>While loop version of the previous example.</t>
  </si>
  <si>
    <t>Paste special: Chapter 11, pages 518-530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</si>
</sst>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1" formatCode="_(* #,##0_);_(* \(#,##0\);_(* &quot;-&quot;_);_(@_)"/>
    <numFmt numFmtId="43" formatCode="_(* #,##0.00_);_(* \(#,##0.00\);_(* &quot;-&quot;??_);_(@_)"/>
    <numFmt numFmtId="164" formatCode="0.000"/>
    <numFmt numFmtId="165" formatCode="0.0"/>
    <numFmt numFmtId="166" formatCode="0.0%"/>
    <numFmt numFmtId="167" formatCode="_(* #,##0_);_(* \(#,##0\);_(* &quot;-&quot;??_);_(@_)"/>
  </numFmts>
  <fonts count="23" x14ac:knownFonts="1">
    <font>
      <sz val="12"/>
      <color theme="1"/>
      <name val="Calibri"/>
      <family val="2"/>
      <scheme val="minor"/>
    </font>
    <font>
      <sz val="11"/>
      <color theme="1"/>
      <name val="Calibri"/>
      <family val="2"/>
      <scheme val="minor"/>
    </font>
    <font>
      <b/>
      <sz val="12"/>
      <color theme="1"/>
      <name val="Calibri"/>
      <family val="2"/>
      <scheme val="minor"/>
    </font>
    <font>
      <b/>
      <sz val="12"/>
      <color rgb="FFFF0000"/>
      <name val="Calibri"/>
      <family val="2"/>
      <scheme val="minor"/>
    </font>
    <font>
      <u/>
      <sz val="12"/>
      <color theme="10"/>
      <name val="Calibri"/>
      <family val="2"/>
      <scheme val="minor"/>
    </font>
    <font>
      <sz val="10"/>
      <color rgb="FF000000"/>
      <name val="Arial Unicode MS"/>
      <family val="2"/>
    </font>
    <font>
      <sz val="14"/>
      <color rgb="FF3C4043"/>
      <name val="Arial"/>
      <family val="2"/>
    </font>
    <font>
      <sz val="12"/>
      <color theme="1"/>
      <name val="Calibri"/>
      <family val="2"/>
      <scheme val="minor"/>
    </font>
    <font>
      <b/>
      <sz val="12"/>
      <color rgb="FF000000"/>
      <name val="Arial"/>
      <family val="2"/>
    </font>
    <font>
      <sz val="12"/>
      <color theme="1"/>
      <name val="Arial"/>
      <family val="2"/>
    </font>
    <font>
      <sz val="12"/>
      <color rgb="FF000000"/>
      <name val="Arial"/>
      <family val="2"/>
    </font>
    <font>
      <b/>
      <sz val="12"/>
      <color theme="1"/>
      <name val="Arial"/>
      <family val="2"/>
    </font>
    <font>
      <sz val="12"/>
      <name val="Arial"/>
      <family val="2"/>
    </font>
    <font>
      <sz val="12"/>
      <color rgb="FFFF0000"/>
      <name val="Calibri"/>
      <family val="2"/>
      <scheme val="minor"/>
    </font>
    <font>
      <b/>
      <sz val="12"/>
      <color rgb="FFFF0000"/>
      <name val="Calibri"/>
      <family val="2"/>
    </font>
    <font>
      <sz val="12"/>
      <color rgb="FFFF0000"/>
      <name val="Calibri"/>
      <family val="2"/>
    </font>
    <font>
      <b/>
      <sz val="12"/>
      <color rgb="FFFF0000"/>
      <name val="Calibri"/>
      <family val="2"/>
      <scheme val="minor"/>
    </font>
    <font>
      <sz val="12"/>
      <color rgb="FFFF0000"/>
      <name val="Calibri"/>
      <family val="2"/>
      <scheme val="minor"/>
    </font>
    <font>
      <sz val="12"/>
      <color rgb="FF000000"/>
      <name val="Calibri"/>
      <family val="2"/>
      <scheme val="minor"/>
    </font>
    <font>
      <sz val="11"/>
      <color rgb="FFFF0000"/>
      <name val="Calibri"/>
      <family val="2"/>
      <scheme val="minor"/>
    </font>
    <font>
      <sz val="18"/>
      <color theme="1"/>
      <name val="Calibri"/>
      <family val="2"/>
      <scheme val="minor"/>
    </font>
    <font>
      <sz val="12"/>
      <color rgb="FF000000"/>
      <name val="Calibri"/>
      <family val="2"/>
    </font>
    <font>
      <sz val="10"/>
      <color rgb="FF000000"/>
      <name val="Tahoma"/>
      <family val="2"/>
    </font>
  </fonts>
  <fills count="7">
    <fill>
      <patternFill patternType="none"/>
    </fill>
    <fill>
      <patternFill patternType="gray125"/>
    </fill>
    <fill>
      <patternFill patternType="solid">
        <fgColor rgb="FFFFFF00"/>
        <bgColor indexed="64"/>
      </patternFill>
    </fill>
    <fill>
      <patternFill patternType="solid">
        <fgColor theme="5" tint="0.59999389629810485"/>
        <bgColor indexed="64"/>
      </patternFill>
    </fill>
    <fill>
      <patternFill patternType="solid">
        <fgColor rgb="FFFFC000"/>
        <bgColor indexed="64"/>
      </patternFill>
    </fill>
    <fill>
      <patternFill patternType="solid">
        <fgColor theme="4" tint="0.59999389629810485"/>
        <bgColor indexed="64"/>
      </patternFill>
    </fill>
    <fill>
      <patternFill patternType="solid">
        <fgColor rgb="FFFFFF00"/>
        <bgColor rgb="FF000000"/>
      </patternFill>
    </fill>
  </fills>
  <borders count="31">
    <border>
      <left/>
      <right/>
      <top/>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auto="1"/>
      </bottom>
      <diagonal/>
    </border>
    <border>
      <left/>
      <right style="thin">
        <color auto="1"/>
      </right>
      <top/>
      <bottom/>
      <diagonal/>
    </border>
    <border>
      <left style="thin">
        <color indexed="64"/>
      </left>
      <right/>
      <top/>
      <bottom/>
      <diagonal/>
    </border>
    <border>
      <left/>
      <right/>
      <top style="thin">
        <color indexed="64"/>
      </top>
      <bottom style="double">
        <color indexed="64"/>
      </bottom>
      <diagonal/>
    </border>
    <border>
      <left/>
      <right/>
      <top style="thin">
        <color indexed="64"/>
      </top>
      <bottom style="thin">
        <color auto="1"/>
      </bottom>
      <diagonal/>
    </border>
    <border>
      <left style="thin">
        <color indexed="64"/>
      </left>
      <right style="thin">
        <color indexed="64"/>
      </right>
      <top style="thin">
        <color indexed="64"/>
      </top>
      <bottom style="thin">
        <color indexed="64"/>
      </bottom>
      <diagonal/>
    </border>
    <border>
      <left/>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3">
    <xf numFmtId="0" fontId="0" fillId="0" borderId="0"/>
    <xf numFmtId="0" fontId="4" fillId="0" borderId="0" applyNumberFormat="0" applyFill="0" applyBorder="0" applyAlignment="0" applyProtection="0"/>
    <xf numFmtId="9" fontId="7" fillId="0" borderId="0" applyFont="0" applyFill="0" applyBorder="0" applyAlignment="0" applyProtection="0"/>
  </cellStyleXfs>
  <cellXfs count="118">
    <xf numFmtId="0" fontId="0" fillId="0" borderId="0" xfId="0"/>
    <xf numFmtId="0" fontId="0" fillId="0" borderId="1" xfId="0" applyBorder="1"/>
    <xf numFmtId="0" fontId="0" fillId="2" borderId="0" xfId="0" applyFill="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0" borderId="0" xfId="0" applyFont="1"/>
    <xf numFmtId="0" fontId="3" fillId="0" borderId="0" xfId="0" applyFont="1"/>
    <xf numFmtId="0" fontId="5" fillId="0" borderId="0" xfId="0" applyFont="1"/>
    <xf numFmtId="0" fontId="4" fillId="0" borderId="0" xfId="1"/>
    <xf numFmtId="0" fontId="6" fillId="0" borderId="0" xfId="0" applyFont="1"/>
    <xf numFmtId="0" fontId="8" fillId="0" borderId="0" xfId="0" applyFont="1" applyAlignment="1">
      <alignment horizontal="left"/>
    </xf>
    <xf numFmtId="0" fontId="9" fillId="0" borderId="0" xfId="0" applyFont="1"/>
    <xf numFmtId="0" fontId="10" fillId="0" borderId="0" xfId="0" applyFont="1"/>
    <xf numFmtId="0" fontId="8" fillId="0" borderId="0" xfId="0" applyFont="1" applyAlignment="1">
      <alignment horizontal="center"/>
    </xf>
    <xf numFmtId="0" fontId="11" fillId="0" borderId="0" xfId="0" applyFont="1" applyAlignment="1">
      <alignment horizontal="left"/>
    </xf>
    <xf numFmtId="0" fontId="8" fillId="0" borderId="10" xfId="0" applyFont="1" applyBorder="1"/>
    <xf numFmtId="0" fontId="11" fillId="0" borderId="0" xfId="0" applyFont="1"/>
    <xf numFmtId="0" fontId="8" fillId="0" borderId="10" xfId="0" applyFont="1" applyBorder="1" applyAlignment="1">
      <alignment horizontal="center"/>
    </xf>
    <xf numFmtId="0" fontId="11" fillId="0" borderId="10" xfId="0" applyFont="1" applyBorder="1"/>
    <xf numFmtId="0" fontId="10" fillId="0" borderId="0" xfId="0" applyFont="1" applyAlignment="1">
      <alignment horizontal="center"/>
    </xf>
    <xf numFmtId="41" fontId="10" fillId="0" borderId="0" xfId="0" applyNumberFormat="1" applyFont="1"/>
    <xf numFmtId="164" fontId="10" fillId="0" borderId="11" xfId="0" applyNumberFormat="1" applyFont="1" applyBorder="1"/>
    <xf numFmtId="0" fontId="11" fillId="0" borderId="12" xfId="0" applyFont="1" applyBorder="1"/>
    <xf numFmtId="0" fontId="11" fillId="0" borderId="0" xfId="0" applyFont="1" applyAlignment="1">
      <alignment horizontal="right"/>
    </xf>
    <xf numFmtId="0" fontId="12" fillId="0" borderId="0" xfId="0" applyFont="1"/>
    <xf numFmtId="0" fontId="9" fillId="0" borderId="12" xfId="0" applyFont="1" applyBorder="1"/>
    <xf numFmtId="165" fontId="9" fillId="0" borderId="0" xfId="0" applyNumberFormat="1" applyFont="1"/>
    <xf numFmtId="165" fontId="11" fillId="0" borderId="0" xfId="0" applyNumberFormat="1" applyFont="1"/>
    <xf numFmtId="165" fontId="9" fillId="0" borderId="12" xfId="0" applyNumberFormat="1" applyFont="1" applyBorder="1"/>
    <xf numFmtId="165" fontId="11" fillId="0" borderId="13" xfId="0" applyNumberFormat="1" applyFont="1" applyBorder="1"/>
    <xf numFmtId="0" fontId="10" fillId="0" borderId="0" xfId="0" applyFont="1" applyAlignment="1">
      <alignment horizontal="left"/>
    </xf>
    <xf numFmtId="0" fontId="10" fillId="0" borderId="10" xfId="0" applyFont="1" applyBorder="1" applyAlignment="1">
      <alignment horizontal="center"/>
    </xf>
    <xf numFmtId="0" fontId="10" fillId="0" borderId="10" xfId="0" applyFont="1" applyBorder="1" applyAlignment="1">
      <alignment horizontal="left"/>
    </xf>
    <xf numFmtId="0" fontId="10" fillId="0" borderId="10" xfId="0" applyFont="1" applyBorder="1"/>
    <xf numFmtId="164" fontId="10" fillId="0" borderId="0" xfId="0" applyNumberFormat="1" applyFont="1"/>
    <xf numFmtId="165" fontId="10" fillId="0" borderId="0" xfId="0" applyNumberFormat="1" applyFont="1"/>
    <xf numFmtId="164" fontId="10" fillId="2" borderId="0" xfId="0" applyNumberFormat="1" applyFont="1" applyFill="1"/>
    <xf numFmtId="164" fontId="10" fillId="3" borderId="0" xfId="0" applyNumberFormat="1" applyFont="1" applyFill="1"/>
    <xf numFmtId="164" fontId="10" fillId="4" borderId="0" xfId="0" applyNumberFormat="1" applyFont="1" applyFill="1"/>
    <xf numFmtId="0" fontId="9" fillId="5" borderId="0" xfId="0" applyFont="1" applyFill="1"/>
    <xf numFmtId="0" fontId="9" fillId="0" borderId="0" xfId="0" applyFont="1" applyAlignment="1">
      <alignment horizontal="center"/>
    </xf>
    <xf numFmtId="166" fontId="9" fillId="0" borderId="0" xfId="2" applyNumberFormat="1" applyFont="1"/>
    <xf numFmtId="0" fontId="8" fillId="0" borderId="14" xfId="0" applyFont="1" applyBorder="1" applyAlignment="1">
      <alignment horizontal="center"/>
    </xf>
    <xf numFmtId="0" fontId="8" fillId="0" borderId="1" xfId="0" applyFont="1" applyBorder="1" applyAlignment="1">
      <alignment horizontal="center"/>
    </xf>
    <xf numFmtId="0" fontId="8" fillId="0" borderId="0" xfId="0" applyFont="1"/>
    <xf numFmtId="41" fontId="9" fillId="0" borderId="0" xfId="0" applyNumberFormat="1" applyFont="1"/>
    <xf numFmtId="167" fontId="11" fillId="0" borderId="0" xfId="0" applyNumberFormat="1" applyFont="1"/>
    <xf numFmtId="167" fontId="9" fillId="0" borderId="0" xfId="0" applyNumberFormat="1" applyFont="1"/>
    <xf numFmtId="41" fontId="8" fillId="0" borderId="0" xfId="0" applyNumberFormat="1" applyFont="1"/>
    <xf numFmtId="9" fontId="9" fillId="0" borderId="0" xfId="2" applyFont="1"/>
    <xf numFmtId="43" fontId="9" fillId="0" borderId="0" xfId="0" applyNumberFormat="1" applyFont="1"/>
    <xf numFmtId="41" fontId="8" fillId="0" borderId="10" xfId="0" applyNumberFormat="1" applyFont="1" applyBorder="1"/>
    <xf numFmtId="41" fontId="11" fillId="0" borderId="0" xfId="0" applyNumberFormat="1" applyFont="1"/>
    <xf numFmtId="167" fontId="10" fillId="0" borderId="10" xfId="0" applyNumberFormat="1" applyFont="1" applyBorder="1"/>
    <xf numFmtId="167" fontId="8" fillId="0" borderId="10" xfId="0" applyNumberFormat="1" applyFont="1" applyBorder="1"/>
    <xf numFmtId="0" fontId="9" fillId="0" borderId="0" xfId="0" quotePrefix="1" applyFont="1"/>
    <xf numFmtId="0" fontId="0" fillId="0" borderId="0" xfId="0" pivotButton="1"/>
    <xf numFmtId="0" fontId="0" fillId="0" borderId="0" xfId="0" applyAlignment="1">
      <alignment horizontal="left"/>
    </xf>
    <xf numFmtId="0" fontId="0" fillId="0" borderId="0" xfId="0" quotePrefix="1"/>
    <xf numFmtId="0" fontId="0" fillId="0" borderId="13" xfId="0" applyBorder="1"/>
    <xf numFmtId="0" fontId="0" fillId="0" borderId="10" xfId="0" applyBorder="1"/>
    <xf numFmtId="0" fontId="13" fillId="0" borderId="0" xfId="0" applyFont="1"/>
    <xf numFmtId="164" fontId="0" fillId="0" borderId="0" xfId="0" applyNumberFormat="1"/>
    <xf numFmtId="164" fontId="0" fillId="0" borderId="6" xfId="0" applyNumberFormat="1" applyBorder="1"/>
    <xf numFmtId="164" fontId="0" fillId="0" borderId="8" xfId="0" applyNumberFormat="1" applyBorder="1"/>
    <xf numFmtId="164" fontId="0" fillId="0" borderId="9" xfId="0" applyNumberFormat="1"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14" fillId="0" borderId="0" xfId="0" applyFont="1"/>
    <xf numFmtId="0" fontId="16" fillId="0" borderId="0" xfId="0" applyFont="1"/>
    <xf numFmtId="0" fontId="17" fillId="0" borderId="0" xfId="0" applyFont="1"/>
    <xf numFmtId="0" fontId="18" fillId="0" borderId="0" xfId="0" applyFont="1"/>
    <xf numFmtId="0" fontId="0" fillId="2" borderId="17" xfId="0" applyFill="1" applyBorder="1"/>
    <xf numFmtId="0" fontId="0" fillId="2" borderId="19" xfId="0" applyFill="1" applyBorder="1"/>
    <xf numFmtId="0" fontId="0" fillId="2" borderId="20" xfId="0" applyFill="1" applyBorder="1"/>
    <xf numFmtId="0" fontId="0" fillId="2" borderId="21" xfId="0" applyFill="1" applyBorder="1"/>
    <xf numFmtId="0" fontId="0" fillId="2" borderId="22" xfId="0" applyFill="1" applyBorder="1"/>
    <xf numFmtId="0" fontId="0" fillId="2" borderId="23" xfId="0" applyFill="1" applyBorder="1"/>
    <xf numFmtId="0" fontId="0" fillId="2" borderId="24" xfId="0" applyFill="1" applyBorder="1"/>
    <xf numFmtId="0" fontId="0" fillId="2" borderId="25" xfId="0" applyFill="1" applyBorder="1"/>
    <xf numFmtId="0" fontId="0" fillId="2" borderId="26" xfId="0" applyFill="1" applyBorder="1"/>
    <xf numFmtId="0" fontId="13" fillId="0" borderId="0" xfId="0" applyFont="1" applyAlignment="1">
      <alignment horizontal="center"/>
    </xf>
    <xf numFmtId="0" fontId="13" fillId="0" borderId="0" xfId="0" applyFont="1" applyAlignment="1">
      <alignment horizontal="right"/>
    </xf>
    <xf numFmtId="0" fontId="0" fillId="5" borderId="0" xfId="0" applyFill="1"/>
    <xf numFmtId="0" fontId="13" fillId="0" borderId="18" xfId="0" applyFont="1" applyBorder="1"/>
    <xf numFmtId="0" fontId="3" fillId="0" borderId="17" xfId="0" applyFont="1" applyBorder="1"/>
    <xf numFmtId="0" fontId="0" fillId="0" borderId="27" xfId="0" applyBorder="1"/>
    <xf numFmtId="0" fontId="0" fillId="0" borderId="28" xfId="0" applyBorder="1"/>
    <xf numFmtId="0" fontId="0" fillId="0" borderId="12" xfId="0" applyBorder="1"/>
    <xf numFmtId="0" fontId="0" fillId="0" borderId="11" xfId="0" applyBorder="1"/>
    <xf numFmtId="0" fontId="0" fillId="0" borderId="29" xfId="0" applyBorder="1"/>
    <xf numFmtId="0" fontId="0" fillId="0" borderId="30" xfId="0" applyBorder="1"/>
    <xf numFmtId="0" fontId="1" fillId="0" borderId="0" xfId="0" applyFont="1" applyAlignment="1">
      <alignment horizontal="right"/>
    </xf>
    <xf numFmtId="0" fontId="19" fillId="0" borderId="0" xfId="0" applyFont="1" applyAlignment="1">
      <alignment horizontal="right"/>
    </xf>
    <xf numFmtId="0" fontId="1" fillId="2" borderId="0" xfId="0" applyFont="1" applyFill="1" applyAlignment="1">
      <alignment horizontal="right"/>
    </xf>
    <xf numFmtId="0" fontId="19" fillId="2" borderId="0" xfId="0" applyFont="1" applyFill="1" applyAlignment="1">
      <alignment horizontal="right"/>
    </xf>
    <xf numFmtId="0" fontId="3" fillId="0" borderId="1" xfId="0" applyFont="1" applyBorder="1"/>
    <xf numFmtId="0" fontId="20" fillId="0" borderId="0" xfId="0" applyFont="1"/>
    <xf numFmtId="0" fontId="20" fillId="0" borderId="11" xfId="0" applyFont="1" applyBorder="1"/>
    <xf numFmtId="0" fontId="20" fillId="0" borderId="12" xfId="0" applyFont="1" applyBorder="1"/>
    <xf numFmtId="0" fontId="20" fillId="2" borderId="0" xfId="0" applyFont="1" applyFill="1"/>
    <xf numFmtId="0" fontId="2" fillId="0" borderId="15" xfId="0" applyFont="1" applyBorder="1"/>
    <xf numFmtId="0" fontId="18" fillId="6" borderId="0" xfId="0" applyFont="1" applyFill="1" applyAlignment="1">
      <alignment wrapText="1"/>
    </xf>
  </cellXfs>
  <cellStyles count="3">
    <cellStyle name="Hyperlink" xfId="1" builtinId="8"/>
    <cellStyle name="Normal" xfId="0" builtinId="0"/>
    <cellStyle name="Per cent 2" xfId="2" xr:uid="{905027FE-9333-1A4A-81D0-E99E9246473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[Module6.xlsm]M6.2 - Pivot chart!PivotTable4</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'M6.2 - Pivot chart'!$B$3</c:f>
              <c:strCache>
                <c:ptCount val="1"/>
                <c:pt idx="0">
                  <c:v>Sum of matches_played</c:v>
                </c:pt>
              </c:strCache>
            </c:strRef>
          </c:tx>
          <c:spPr>
            <a:solidFill>
              <a:schemeClr val="accent1"/>
            </a:solidFill>
            <a:ln>
              <a:noFill/>
            </a:ln>
            <a:effectLst/>
          </c:spPr>
          <c:invertIfNegative val="0"/>
          <c:cat>
            <c:strRef>
              <c:f>'M6.2 - Pivot chart'!$A$4:$A$11</c:f>
              <c:strCache>
                <c:ptCount val="7"/>
                <c:pt idx="0">
                  <c:v>1995</c:v>
                </c:pt>
                <c:pt idx="1">
                  <c:v>1999</c:v>
                </c:pt>
                <c:pt idx="2">
                  <c:v>2003</c:v>
                </c:pt>
                <c:pt idx="3">
                  <c:v>2007</c:v>
                </c:pt>
                <c:pt idx="4">
                  <c:v>2011</c:v>
                </c:pt>
                <c:pt idx="5">
                  <c:v>2015</c:v>
                </c:pt>
                <c:pt idx="6">
                  <c:v>2019</c:v>
                </c:pt>
              </c:strCache>
            </c:strRef>
          </c:cat>
          <c:val>
            <c:numRef>
              <c:f>'M6.2 - Pivot chart'!$B$4:$B$11</c:f>
              <c:numCache>
                <c:formatCode>General</c:formatCode>
                <c:ptCount val="7"/>
                <c:pt idx="0">
                  <c:v>3</c:v>
                </c:pt>
                <c:pt idx="1">
                  <c:v>3</c:v>
                </c:pt>
                <c:pt idx="2">
                  <c:v>3</c:v>
                </c:pt>
                <c:pt idx="3">
                  <c:v>4</c:v>
                </c:pt>
                <c:pt idx="4">
                  <c:v>4</c:v>
                </c:pt>
                <c:pt idx="5">
                  <c:v>5</c:v>
                </c:pt>
                <c:pt idx="6">
                  <c:v>4</c:v>
                </c:pt>
              </c:numCache>
            </c:numRef>
          </c:val>
          <c:extLst>
            <c:ext xmlns:c16="http://schemas.microsoft.com/office/drawing/2014/chart" uri="{C3380CC4-5D6E-409C-BE32-E72D297353CC}">
              <c16:uniqueId val="{00000000-DB96-4667-A91C-18020170F659}"/>
            </c:ext>
          </c:extLst>
        </c:ser>
        <c:ser>
          <c:idx val="1"/>
          <c:order val="1"/>
          <c:tx>
            <c:strRef>
              <c:f>'M6.2 - Pivot chart'!$C$3</c:f>
              <c:strCache>
                <c:ptCount val="1"/>
                <c:pt idx="0">
                  <c:v>Sum of goals</c:v>
                </c:pt>
              </c:strCache>
            </c:strRef>
          </c:tx>
          <c:spPr>
            <a:solidFill>
              <a:schemeClr val="accent2"/>
            </a:solidFill>
            <a:ln>
              <a:noFill/>
            </a:ln>
            <a:effectLst/>
          </c:spPr>
          <c:invertIfNegative val="0"/>
          <c:cat>
            <c:strRef>
              <c:f>'M6.2 - Pivot chart'!$A$4:$A$11</c:f>
              <c:strCache>
                <c:ptCount val="7"/>
                <c:pt idx="0">
                  <c:v>1995</c:v>
                </c:pt>
                <c:pt idx="1">
                  <c:v>1999</c:v>
                </c:pt>
                <c:pt idx="2">
                  <c:v>2003</c:v>
                </c:pt>
                <c:pt idx="3">
                  <c:v>2007</c:v>
                </c:pt>
                <c:pt idx="4">
                  <c:v>2011</c:v>
                </c:pt>
                <c:pt idx="5">
                  <c:v>2015</c:v>
                </c:pt>
                <c:pt idx="6">
                  <c:v>2019</c:v>
                </c:pt>
              </c:strCache>
            </c:strRef>
          </c:cat>
          <c:val>
            <c:numRef>
              <c:f>'M6.2 - Pivot chart'!$C$4:$C$11</c:f>
              <c:numCache>
                <c:formatCode>General</c:formatCode>
                <c:ptCount val="7"/>
                <c:pt idx="0">
                  <c:v>3</c:v>
                </c:pt>
                <c:pt idx="1">
                  <c:v>3</c:v>
                </c:pt>
                <c:pt idx="2">
                  <c:v>3</c:v>
                </c:pt>
                <c:pt idx="3">
                  <c:v>9</c:v>
                </c:pt>
                <c:pt idx="4">
                  <c:v>6</c:v>
                </c:pt>
                <c:pt idx="5">
                  <c:v>5</c:v>
                </c:pt>
                <c:pt idx="6">
                  <c:v>8</c:v>
                </c:pt>
              </c:numCache>
            </c:numRef>
          </c:val>
          <c:extLst>
            <c:ext xmlns:c16="http://schemas.microsoft.com/office/drawing/2014/chart" uri="{C3380CC4-5D6E-409C-BE32-E72D297353CC}">
              <c16:uniqueId val="{00000001-DB96-4667-A91C-18020170F659}"/>
            </c:ext>
          </c:extLst>
        </c:ser>
        <c:dLbls>
          <c:showLegendKey val="0"/>
          <c:showVal val="0"/>
          <c:showCatName val="0"/>
          <c:showSerName val="0"/>
          <c:showPercent val="0"/>
          <c:showBubbleSize val="0"/>
        </c:dLbls>
        <c:gapWidth val="219"/>
        <c:axId val="408426607"/>
        <c:axId val="2039344704"/>
      </c:barChart>
      <c:lineChart>
        <c:grouping val="standard"/>
        <c:varyColors val="0"/>
        <c:ser>
          <c:idx val="2"/>
          <c:order val="2"/>
          <c:tx>
            <c:strRef>
              <c:f>'M6.2 - Pivot chart'!$D$3</c:f>
              <c:strCache>
                <c:ptCount val="1"/>
                <c:pt idx="0">
                  <c:v>Average of possesion</c:v>
                </c:pt>
              </c:strCache>
            </c:strRef>
          </c:tx>
          <c:spPr>
            <a:ln w="28575" cap="rnd">
              <a:solidFill>
                <a:schemeClr val="accent3"/>
              </a:solidFill>
              <a:round/>
            </a:ln>
            <a:effectLst/>
          </c:spPr>
          <c:marker>
            <c:symbol val="none"/>
          </c:marker>
          <c:cat>
            <c:strRef>
              <c:f>'M6.2 - Pivot chart'!$A$4:$A$11</c:f>
              <c:strCache>
                <c:ptCount val="7"/>
                <c:pt idx="0">
                  <c:v>1995</c:v>
                </c:pt>
                <c:pt idx="1">
                  <c:v>1999</c:v>
                </c:pt>
                <c:pt idx="2">
                  <c:v>2003</c:v>
                </c:pt>
                <c:pt idx="3">
                  <c:v>2007</c:v>
                </c:pt>
                <c:pt idx="4">
                  <c:v>2011</c:v>
                </c:pt>
                <c:pt idx="5">
                  <c:v>2015</c:v>
                </c:pt>
                <c:pt idx="6">
                  <c:v>2019</c:v>
                </c:pt>
              </c:strCache>
            </c:strRef>
          </c:cat>
          <c:val>
            <c:numRef>
              <c:f>'M6.2 - Pivot chart'!$D$4:$D$11</c:f>
              <c:numCache>
                <c:formatCode>General</c:formatCode>
                <c:ptCount val="7"/>
                <c:pt idx="2">
                  <c:v>49</c:v>
                </c:pt>
                <c:pt idx="3">
                  <c:v>48.3</c:v>
                </c:pt>
                <c:pt idx="4">
                  <c:v>53.5</c:v>
                </c:pt>
                <c:pt idx="5">
                  <c:v>46.2</c:v>
                </c:pt>
                <c:pt idx="6">
                  <c:v>61.3</c:v>
                </c:pt>
              </c:numCache>
            </c:numRef>
          </c:val>
          <c:smooth val="0"/>
          <c:extLst>
            <c:ext xmlns:c16="http://schemas.microsoft.com/office/drawing/2014/chart" uri="{C3380CC4-5D6E-409C-BE32-E72D297353CC}">
              <c16:uniqueId val="{00000002-DB96-4667-A91C-18020170F659}"/>
            </c:ext>
          </c:extLst>
        </c:ser>
        <c:dLbls>
          <c:showLegendKey val="0"/>
          <c:showVal val="0"/>
          <c:showCatName val="0"/>
          <c:showSerName val="0"/>
          <c:showPercent val="0"/>
          <c:showBubbleSize val="0"/>
        </c:dLbls>
        <c:marker val="1"/>
        <c:smooth val="0"/>
        <c:axId val="2091505488"/>
        <c:axId val="2091503760"/>
      </c:lineChart>
      <c:catAx>
        <c:axId val="4084266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9344704"/>
        <c:crosses val="autoZero"/>
        <c:auto val="1"/>
        <c:lblAlgn val="ctr"/>
        <c:lblOffset val="100"/>
        <c:noMultiLvlLbl val="0"/>
      </c:catAx>
      <c:valAx>
        <c:axId val="20393447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426607"/>
        <c:crosses val="autoZero"/>
        <c:crossBetween val="between"/>
      </c:valAx>
      <c:valAx>
        <c:axId val="209150376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1505488"/>
        <c:crosses val="max"/>
        <c:crossBetween val="between"/>
      </c:valAx>
      <c:catAx>
        <c:axId val="2091505488"/>
        <c:scaling>
          <c:orientation val="minMax"/>
        </c:scaling>
        <c:delete val="1"/>
        <c:axPos val="b"/>
        <c:numFmt formatCode="General" sourceLinked="1"/>
        <c:majorTickMark val="out"/>
        <c:minorTickMark val="none"/>
        <c:tickLblPos val="nextTo"/>
        <c:crossAx val="209150376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tx>
        <cx:txData>
          <cx:v>Simulated U(0,1)</cx:v>
        </cx:txData>
      </cx:tx>
      <cx:txPr>
        <a:bodyPr vertOverflow="overflow" horzOverflow="overflow" wrap="square" lIns="0" tIns="0" rIns="0" bIns="0"/>
        <a:lstStyle/>
        <a:p>
          <a:pPr algn="ctr" rtl="0">
            <a:defRPr sz="1400" b="0" i="0">
              <a:solidFill>
                <a:srgbClr val="7F7F7F"/>
              </a:solidFill>
              <a:latin typeface="Calibri" panose="020F0502020204030204" pitchFamily="34" charset="0"/>
              <a:ea typeface="Calibri" panose="020F0502020204030204" pitchFamily="34" charset="0"/>
              <a:cs typeface="Calibri" panose="020F0502020204030204" pitchFamily="34" charset="0"/>
            </a:defRPr>
          </a:pPr>
          <a:r>
            <a:t>Simulated U(0,1)</a:t>
          </a:r>
        </a:p>
      </cx:txPr>
    </cx:title>
    <cx:plotArea>
      <cx:plotAreaRegion>
        <cx:series layoutId="clusteredColumn" uniqueId="{F0B8C912-EE1A-4FB5-9F75-1FD9082BA9B6}">
          <cx:tx>
            <cx:txData>
              <cx:f>_xlchart.v1.1</cx:f>
              <cx:v>=RANDARRAY(10000)</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dataLabels>
          <cx:dataId val="0"/>
          <cx:layoutPr>
            <cx:binning intervalClosed="r">
              <cx:binSize val="0.050000000000000003"/>
            </cx:binning>
          </cx:layoutPr>
        </cx:series>
      </cx:plotAreaRegion>
      <cx:axis id="0">
        <cx:catScaling gapWidth="0"/>
        <cx:tickLabels/>
        <cx:numFmt formatCode="#,##0.00" sourceLinked="0"/>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max="1000" min="0"/>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Simulated N(0,1)</cx:v>
        </cx:txData>
      </cx:tx>
      <cx:txPr>
        <a:bodyPr vertOverflow="overflow" horzOverflow="overflow" wrap="square" lIns="0" tIns="0" rIns="0" bIns="0"/>
        <a:lstStyle/>
        <a:p>
          <a:pPr algn="ctr" rtl="0">
            <a:defRPr sz="1400" b="0" i="0">
              <a:solidFill>
                <a:srgbClr val="7F7F7F"/>
              </a:solidFill>
              <a:latin typeface="Calibri" panose="020F0502020204030204" pitchFamily="34" charset="0"/>
              <a:ea typeface="Calibri" panose="020F0502020204030204" pitchFamily="34" charset="0"/>
              <a:cs typeface="Calibri" panose="020F0502020204030204" pitchFamily="34" charset="0"/>
            </a:defRPr>
          </a:pPr>
          <a:r>
            <a:t>Simulated N(0,1)</a:t>
          </a:r>
        </a:p>
      </cx:txPr>
    </cx:title>
    <cx:plotArea>
      <cx:plotAreaRegion>
        <cx:series layoutId="clusteredColumn" uniqueId="{1692C4DA-5B04-49FA-9E9F-A2137BED9647}">
          <cx:dataId val="0"/>
          <cx:layoutPr>
            <cx:binning intervalClosed="r">
              <cx:binSize val="0.10000000000000001"/>
            </cx:binning>
          </cx:layoutPr>
        </cx:series>
      </cx:plotAreaRegion>
      <cx:axis id="0">
        <cx:catScaling gapWidth="0"/>
        <cx:tickLabels/>
        <cx:numFmt formatCode="#,##0.00" sourceLinked="0"/>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Simulated Gamma(10,5)</cx:v>
        </cx:txData>
      </cx:tx>
      <cx:txPr>
        <a:bodyPr vertOverflow="overflow" horzOverflow="overflow" wrap="square" lIns="0" tIns="0" rIns="0" bIns="0"/>
        <a:lstStyle/>
        <a:p>
          <a:pPr algn="ctr" rtl="0">
            <a:defRPr sz="1400" b="0" i="0">
              <a:solidFill>
                <a:srgbClr val="7F7F7F"/>
              </a:solidFill>
              <a:latin typeface="Calibri" panose="020F0502020204030204" pitchFamily="34" charset="0"/>
              <a:ea typeface="Calibri" panose="020F0502020204030204" pitchFamily="34" charset="0"/>
              <a:cs typeface="Calibri" panose="020F0502020204030204" pitchFamily="34" charset="0"/>
            </a:defRPr>
          </a:pPr>
          <a:r>
            <a:t>Simulated Gamma(10,5)</a:t>
          </a:r>
        </a:p>
      </cx:txPr>
    </cx:title>
    <cx:plotArea>
      <cx:plotAreaRegion>
        <cx:series layoutId="clusteredColumn" uniqueId="{8445B9F1-82DF-49F7-9362-A52051D3C46F}">
          <cx:dataId val="0"/>
          <cx:layoutPr>
            <cx:binning intervalClosed="r"/>
          </cx:layoutPr>
        </cx:series>
      </cx:plotAreaRegion>
      <cx:axis id="0">
        <cx:catScaling gapWidth="0"/>
        <cx:tickLabels/>
        <cx:numFmt formatCode="#,##0.00" sourceLinked="0"/>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microsoft.com/office/2014/relationships/chartEx" Target="../charts/chartEx3.xml"/><Relationship Id="rId2" Type="http://schemas.microsoft.com/office/2014/relationships/chartEx" Target="../charts/chartEx2.xml"/><Relationship Id="rId1" Type="http://schemas.microsoft.com/office/2014/relationships/chartEx" Target="../charts/chartEx1.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4.png"/><Relationship Id="rId5" Type="http://schemas.microsoft.com/office/2007/relationships/hdphoto" Target="../media/hdphoto2.wdp"/><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oneCellAnchor>
    <xdr:from>
      <xdr:col>10</xdr:col>
      <xdr:colOff>431800</xdr:colOff>
      <xdr:row>32</xdr:row>
      <xdr:rowOff>82550</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8686800" y="68389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88900</xdr:colOff>
      <xdr:row>16</xdr:row>
      <xdr:rowOff>25400</xdr:rowOff>
    </xdr:from>
    <xdr:to>
      <xdr:col>2</xdr:col>
      <xdr:colOff>304800</xdr:colOff>
      <xdr:row>29</xdr:row>
      <xdr:rowOff>3172</xdr:rowOff>
    </xdr:to>
    <mc:AlternateContent xmlns:mc="http://schemas.openxmlformats.org/markup-compatibility/2006" xmlns:a14="http://schemas.microsoft.com/office/drawing/2010/main">
      <mc:Choice Requires="a14">
        <xdr:graphicFrame macro="">
          <xdr:nvGraphicFramePr>
            <xdr:cNvPr id="3" name="squad">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squad"/>
            </a:graphicData>
          </a:graphic>
        </xdr:graphicFrame>
      </mc:Choice>
      <mc:Fallback xmlns="">
        <xdr:sp macro="" textlink="">
          <xdr:nvSpPr>
            <xdr:cNvPr id="0" name=""/>
            <xdr:cNvSpPr>
              <a:spLocks noTextEdit="1"/>
            </xdr:cNvSpPr>
          </xdr:nvSpPr>
          <xdr:spPr>
            <a:xfrm>
              <a:off x="1079500" y="3276600"/>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695325</xdr:colOff>
      <xdr:row>0</xdr:row>
      <xdr:rowOff>161925</xdr:rowOff>
    </xdr:from>
    <xdr:to>
      <xdr:col>18</xdr:col>
      <xdr:colOff>203200</xdr:colOff>
      <xdr:row>36</xdr:row>
      <xdr:rowOff>123825</xdr:rowOff>
    </xdr:to>
    <xdr:graphicFrame macro="">
      <xdr:nvGraphicFramePr>
        <xdr:cNvPr id="4" name="圖表 3">
          <a:extLst>
            <a:ext uri="{FF2B5EF4-FFF2-40B4-BE49-F238E27FC236}">
              <a16:creationId xmlns:a16="http://schemas.microsoft.com/office/drawing/2014/main" id="{00000000-0008-0000-0400-000004000000}"/>
            </a:ext>
            <a:ext uri="{147F2762-F138-4A5C-976F-8EAC2B608ADB}">
              <a16:predDERef xmlns:a16="http://schemas.microsoft.com/office/drawing/2014/main" pred="{391C3527-C6FA-3533-7E21-BBB72A6D53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xdr:colOff>
      <xdr:row>14</xdr:row>
      <xdr:rowOff>0</xdr:rowOff>
    </xdr:from>
    <xdr:to>
      <xdr:col>9</xdr:col>
      <xdr:colOff>466725</xdr:colOff>
      <xdr:row>27</xdr:row>
      <xdr:rowOff>142875</xdr:rowOff>
    </xdr:to>
    <mc:AlternateContent xmlns:mc="http://schemas.openxmlformats.org/markup-compatibility/2006">
      <mc:Choice xmlns:cx1="http://schemas.microsoft.com/office/drawing/2015/9/8/chartex" Requires="cx1">
        <xdr:graphicFrame macro="">
          <xdr:nvGraphicFramePr>
            <xdr:cNvPr id="3" name="圖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028825" y="2844800"/>
              <a:ext cx="4495800" cy="2784475"/>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114300</xdr:colOff>
      <xdr:row>3</xdr:row>
      <xdr:rowOff>47625</xdr:rowOff>
    </xdr:from>
    <xdr:to>
      <xdr:col>22</xdr:col>
      <xdr:colOff>276225</xdr:colOff>
      <xdr:row>16</xdr:row>
      <xdr:rowOff>190500</xdr:rowOff>
    </xdr:to>
    <mc:AlternateContent xmlns:mc="http://schemas.openxmlformats.org/markup-compatibility/2006">
      <mc:Choice xmlns:cx1="http://schemas.microsoft.com/office/drawing/2015/9/8/chartex" Requires="cx1">
        <xdr:graphicFrame macro="">
          <xdr:nvGraphicFramePr>
            <xdr:cNvPr id="4" name="圖表 3">
              <a:extLst>
                <a:ext uri="{FF2B5EF4-FFF2-40B4-BE49-F238E27FC236}">
                  <a16:creationId xmlns:a16="http://schemas.microsoft.com/office/drawing/2014/main" id="{00000000-0008-0000-0800-000004000000}"/>
                </a:ext>
                <a:ext uri="{147F2762-F138-4A5C-976F-8EAC2B608ADB}">
                  <a16:predDERef xmlns:a16="http://schemas.microsoft.com/office/drawing/2014/main" pred="{6AECB59A-E807-A6CE-27E5-50C505B5B12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0223500" y="657225"/>
              <a:ext cx="4873625" cy="2784475"/>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24</xdr:col>
      <xdr:colOff>104775</xdr:colOff>
      <xdr:row>3</xdr:row>
      <xdr:rowOff>0</xdr:rowOff>
    </xdr:from>
    <xdr:to>
      <xdr:col>30</xdr:col>
      <xdr:colOff>619125</xdr:colOff>
      <xdr:row>16</xdr:row>
      <xdr:rowOff>142875</xdr:rowOff>
    </xdr:to>
    <mc:AlternateContent xmlns:mc="http://schemas.openxmlformats.org/markup-compatibility/2006">
      <mc:Choice xmlns:cx1="http://schemas.microsoft.com/office/drawing/2015/9/8/chartex" Requires="cx1">
        <xdr:graphicFrame macro="">
          <xdr:nvGraphicFramePr>
            <xdr:cNvPr id="5" name="圖表 4">
              <a:extLst>
                <a:ext uri="{FF2B5EF4-FFF2-40B4-BE49-F238E27FC236}">
                  <a16:creationId xmlns:a16="http://schemas.microsoft.com/office/drawing/2014/main" id="{00000000-0008-0000-0800-000005000000}"/>
                </a:ext>
                <a:ext uri="{147F2762-F138-4A5C-976F-8EAC2B608ADB}">
                  <a16:predDERef xmlns:a16="http://schemas.microsoft.com/office/drawing/2014/main" pred="{E6002B3E-A065-EE2C-8D16-28124F50755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6271875" y="609600"/>
              <a:ext cx="4552950" cy="2784475"/>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304800</xdr:colOff>
          <xdr:row>2</xdr:row>
          <xdr:rowOff>63500</xdr:rowOff>
        </xdr:from>
        <xdr:to>
          <xdr:col>9</xdr:col>
          <xdr:colOff>279400</xdr:colOff>
          <xdr:row>3</xdr:row>
          <xdr:rowOff>101600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Calibri" pitchFamily="2" charset="0"/>
                  <a:cs typeface="Calibri" pitchFamily="2" charset="0"/>
                </a:rPr>
                <a:t>recorded_example1</a:t>
              </a:r>
            </a:p>
            <a:p>
              <a:pPr algn="ctr" rtl="0">
                <a:defRPr sz="1000"/>
              </a:pPr>
              <a:endParaRPr lang="en-GB"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twoCellAnchor>
    <xdr:from>
      <xdr:col>7</xdr:col>
      <xdr:colOff>209549</xdr:colOff>
      <xdr:row>5</xdr:row>
      <xdr:rowOff>66676</xdr:rowOff>
    </xdr:from>
    <xdr:to>
      <xdr:col>9</xdr:col>
      <xdr:colOff>314324</xdr:colOff>
      <xdr:row>7</xdr:row>
      <xdr:rowOff>85726</xdr:rowOff>
    </xdr:to>
    <xdr:sp macro="[0]!recorded_example1" textlink="">
      <xdr:nvSpPr>
        <xdr:cNvPr id="2" name="Cube 1">
          <a:extLst>
            <a:ext uri="{FF2B5EF4-FFF2-40B4-BE49-F238E27FC236}">
              <a16:creationId xmlns:a16="http://schemas.microsoft.com/office/drawing/2014/main" id="{00000000-0008-0000-0900-000002000000}"/>
            </a:ext>
          </a:extLst>
        </xdr:cNvPr>
        <xdr:cNvSpPr/>
      </xdr:nvSpPr>
      <xdr:spPr>
        <a:xfrm>
          <a:off x="5048249" y="1266826"/>
          <a:ext cx="1476375" cy="419100"/>
        </a:xfrm>
        <a:prstGeom prst="cub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recorded_example1</a:t>
          </a:r>
        </a:p>
      </xdr:txBody>
    </xdr:sp>
    <xdr:clientData/>
  </xdr:twoCellAnchor>
  <mc:AlternateContent xmlns:mc="http://schemas.openxmlformats.org/markup-compatibility/2006">
    <mc:Choice xmlns:a14="http://schemas.microsoft.com/office/drawing/2010/main" Requires="a14">
      <xdr:twoCellAnchor editAs="oneCell">
        <xdr:from>
          <xdr:col>14</xdr:col>
          <xdr:colOff>0</xdr:colOff>
          <xdr:row>11</xdr:row>
          <xdr:rowOff>50800</xdr:rowOff>
        </xdr:from>
        <xdr:to>
          <xdr:col>16</xdr:col>
          <xdr:colOff>406400</xdr:colOff>
          <xdr:row>12</xdr:row>
          <xdr:rowOff>101600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900-000002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Calibri" pitchFamily="2" charset="0"/>
                  <a:cs typeface="Calibri" pitchFamily="2" charset="0"/>
                </a:rPr>
                <a:t>recorded_example1_edit</a:t>
              </a:r>
            </a:p>
            <a:p>
              <a:pPr algn="ctr" rtl="0">
                <a:defRPr sz="1000"/>
              </a:pPr>
              <a:endParaRPr lang="en-GB"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twoCellAnchor editAs="oneCell">
    <xdr:from>
      <xdr:col>12</xdr:col>
      <xdr:colOff>104776</xdr:colOff>
      <xdr:row>15</xdr:row>
      <xdr:rowOff>133350</xdr:rowOff>
    </xdr:from>
    <xdr:to>
      <xdr:col>18</xdr:col>
      <xdr:colOff>588753</xdr:colOff>
      <xdr:row>24</xdr:row>
      <xdr:rowOff>28575</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25000"/>
                  </a14:imgEffect>
                </a14:imgLayer>
              </a14:imgProps>
            </a:ext>
            <a:ext uri="{28A0092B-C50C-407E-A947-70E740481C1C}">
              <a14:useLocalDpi xmlns:a14="http://schemas.microsoft.com/office/drawing/2010/main" val="0"/>
            </a:ext>
          </a:extLst>
        </a:blip>
        <a:stretch>
          <a:fillRect/>
        </a:stretch>
      </xdr:blipFill>
      <xdr:spPr>
        <a:xfrm>
          <a:off x="8372476" y="3324225"/>
          <a:ext cx="4951202" cy="18859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xdr:col>
          <xdr:colOff>317500</xdr:colOff>
          <xdr:row>12</xdr:row>
          <xdr:rowOff>139700</xdr:rowOff>
        </xdr:from>
        <xdr:to>
          <xdr:col>10</xdr:col>
          <xdr:colOff>520700</xdr:colOff>
          <xdr:row>17</xdr:row>
          <xdr:rowOff>228600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900-000003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Calibri" pitchFamily="2" charset="0"/>
                  <a:cs typeface="Calibri" pitchFamily="2" charset="0"/>
                </a:rPr>
                <a:t>Click here to clear all formats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23</xdr:col>
          <xdr:colOff>228600</xdr:colOff>
          <xdr:row>14</xdr:row>
          <xdr:rowOff>177800</xdr:rowOff>
        </xdr:from>
        <xdr:to>
          <xdr:col>24</xdr:col>
          <xdr:colOff>596900</xdr:colOff>
          <xdr:row>15</xdr:row>
          <xdr:rowOff>127000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900-000004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Calibri" pitchFamily="2" charset="0"/>
                  <a:cs typeface="Calibri" pitchFamily="2" charset="0"/>
                </a:rPr>
                <a:t>Good Profit?</a:t>
              </a:r>
            </a:p>
          </xdr:txBody>
        </xdr:sp>
        <xdr:clientData fPrintsWithSheet="0"/>
      </xdr:twoCellAnchor>
    </mc:Choice>
    <mc:Fallback/>
  </mc:AlternateContent>
  <xdr:twoCellAnchor editAs="oneCell">
    <xdr:from>
      <xdr:col>21</xdr:col>
      <xdr:colOff>104776</xdr:colOff>
      <xdr:row>19</xdr:row>
      <xdr:rowOff>95250</xdr:rowOff>
    </xdr:from>
    <xdr:to>
      <xdr:col>25</xdr:col>
      <xdr:colOff>638176</xdr:colOff>
      <xdr:row>30</xdr:row>
      <xdr:rowOff>88476</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4897101" y="4276725"/>
          <a:ext cx="3276600" cy="219350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25400</xdr:colOff>
          <xdr:row>16</xdr:row>
          <xdr:rowOff>25400</xdr:rowOff>
        </xdr:from>
        <xdr:to>
          <xdr:col>7</xdr:col>
          <xdr:colOff>596900</xdr:colOff>
          <xdr:row>16</xdr:row>
          <xdr:rowOff>266700</xdr:rowOff>
        </xdr:to>
        <xdr:sp macro="" textlink="">
          <xdr:nvSpPr>
            <xdr:cNvPr id="11269" name="Button 5" hidden="1">
              <a:extLst>
                <a:ext uri="{63B3BB69-23CF-44E3-9099-C40C66FF867C}">
                  <a14:compatExt spid="_x0000_s11269"/>
                </a:ext>
                <a:ext uri="{FF2B5EF4-FFF2-40B4-BE49-F238E27FC236}">
                  <a16:creationId xmlns:a16="http://schemas.microsoft.com/office/drawing/2014/main" id="{00000000-0008-0000-0900-000005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Calibri" pitchFamily="2" charset="0"/>
                  <a:cs typeface="Calibri" pitchFamily="2" charset="0"/>
                </a:rPr>
                <a:t>Relative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660400</xdr:colOff>
          <xdr:row>14</xdr:row>
          <xdr:rowOff>76200</xdr:rowOff>
        </xdr:from>
        <xdr:to>
          <xdr:col>7</xdr:col>
          <xdr:colOff>673100</xdr:colOff>
          <xdr:row>15</xdr:row>
          <xdr:rowOff>25400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900-000006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Calibri" pitchFamily="2" charset="0"/>
                  <a:cs typeface="Calibri" pitchFamily="2" charset="0"/>
                </a:rPr>
                <a:t>Absolute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50800</xdr:colOff>
          <xdr:row>4</xdr:row>
          <xdr:rowOff>25400</xdr:rowOff>
        </xdr:from>
        <xdr:to>
          <xdr:col>29</xdr:col>
          <xdr:colOff>520700</xdr:colOff>
          <xdr:row>4</xdr:row>
          <xdr:rowOff>266700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900-000007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Calibri" pitchFamily="2" charset="0"/>
                  <a:cs typeface="Calibri" pitchFamily="2" charset="0"/>
                </a:rPr>
                <a:t>Print numbers</a:t>
              </a:r>
            </a:p>
          </xdr:txBody>
        </xdr:sp>
        <xdr:clientData fPrintsWithSheet="0"/>
      </xdr:twoCellAnchor>
    </mc:Choice>
    <mc:Fallback/>
  </mc:AlternateContent>
  <xdr:twoCellAnchor editAs="oneCell">
    <xdr:from>
      <xdr:col>30</xdr:col>
      <xdr:colOff>209550</xdr:colOff>
      <xdr:row>4</xdr:row>
      <xdr:rowOff>38100</xdr:rowOff>
    </xdr:from>
    <xdr:to>
      <xdr:col>35</xdr:col>
      <xdr:colOff>495300</xdr:colOff>
      <xdr:row>14</xdr:row>
      <xdr:rowOff>104102</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4">
          <a:extLst>
            <a:ext uri="{BEBA8EAE-BF5A-486C-A8C5-ECC9F3942E4B}">
              <a14:imgProps xmlns:a14="http://schemas.microsoft.com/office/drawing/2010/main">
                <a14:imgLayer r:embed="rId5">
                  <a14:imgEffect>
                    <a14:sharpenSoften amount="25000"/>
                  </a14:imgEffect>
                </a14:imgLayer>
              </a14:imgProps>
            </a:ext>
            <a:ext uri="{28A0092B-C50C-407E-A947-70E740481C1C}">
              <a14:useLocalDpi xmlns:a14="http://schemas.microsoft.com/office/drawing/2010/main" val="0"/>
            </a:ext>
          </a:extLst>
        </a:blip>
        <a:stretch>
          <a:fillRect/>
        </a:stretch>
      </xdr:blipFill>
      <xdr:spPr>
        <a:xfrm>
          <a:off x="21174075" y="838200"/>
          <a:ext cx="3714750" cy="235200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37</xdr:col>
          <xdr:colOff>190500</xdr:colOff>
          <xdr:row>4</xdr:row>
          <xdr:rowOff>25400</xdr:rowOff>
        </xdr:from>
        <xdr:to>
          <xdr:col>39</xdr:col>
          <xdr:colOff>292100</xdr:colOff>
          <xdr:row>4</xdr:row>
          <xdr:rowOff>266700</xdr:rowOff>
        </xdr:to>
        <xdr:sp macro="" textlink="">
          <xdr:nvSpPr>
            <xdr:cNvPr id="11272" name="Button 8" hidden="1">
              <a:extLst>
                <a:ext uri="{63B3BB69-23CF-44E3-9099-C40C66FF867C}">
                  <a14:compatExt spid="_x0000_s11272"/>
                </a:ext>
                <a:ext uri="{FF2B5EF4-FFF2-40B4-BE49-F238E27FC236}">
                  <a16:creationId xmlns:a16="http://schemas.microsoft.com/office/drawing/2014/main" id="{00000000-0008-0000-0900-000008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Calibri" pitchFamily="2" charset="0"/>
                  <a:cs typeface="Calibri" pitchFamily="2" charset="0"/>
                </a:rPr>
                <a:t>Print numbers (While)</a:t>
              </a:r>
            </a:p>
          </xdr:txBody>
        </xdr:sp>
        <xdr:clientData fPrintsWithSheet="0"/>
      </xdr:twoCellAnchor>
    </mc:Choice>
    <mc:Fallback/>
  </mc:AlternateContent>
  <xdr:twoCellAnchor editAs="oneCell">
    <xdr:from>
      <xdr:col>39</xdr:col>
      <xdr:colOff>66675</xdr:colOff>
      <xdr:row>5</xdr:row>
      <xdr:rowOff>190500</xdr:rowOff>
    </xdr:from>
    <xdr:to>
      <xdr:col>43</xdr:col>
      <xdr:colOff>638638</xdr:colOff>
      <xdr:row>17</xdr:row>
      <xdr:rowOff>67046</xdr:rowOff>
    </xdr:to>
    <xdr:pic>
      <xdr:nvPicPr>
        <xdr:cNvPr id="10" name="Picture 9">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7203400" y="1285875"/>
          <a:ext cx="3315163" cy="2657846"/>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Benjamin Avanzi" id="{41D526D4-9D67-3148-83A7-7F4FDCAD8DB6}" userId="S::b.avanzi@unimelb.edu.au::4c1a0c65-cf17-4469-a7d7-15c887ee25bb"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158.870142939813" createdVersion="8" refreshedVersion="8" minRefreshableVersion="3" recordCount="136" xr:uid="{61FC52FC-B3E2-3643-BB68-795569812EE9}">
  <cacheSource type="worksheet">
    <worksheetSource ref="A3:V139" sheet="FIFA WWC"/>
  </cacheSource>
  <cacheFields count="22">
    <cacheField name="id" numFmtId="0">
      <sharedItems containsSemiMixedTypes="0" containsString="0" containsNumber="1" containsInteger="1" minValue="1" maxValue="136"/>
    </cacheField>
    <cacheField name="squad" numFmtId="0">
      <sharedItems count="36">
        <s v="Argentina"/>
        <s v="Australia"/>
        <s v="Brazil"/>
        <s v="Cameroon"/>
        <s v="Canada"/>
        <s v="Chile"/>
        <s v="China PR"/>
        <s v="England"/>
        <s v="France"/>
        <s v="Germany"/>
        <s v="Italy"/>
        <s v="Jamaica"/>
        <s v="Japan"/>
        <s v="Korea Rep"/>
        <s v="Netherlands"/>
        <s v="New Zealand"/>
        <s v="Nigeria"/>
        <s v="Norway"/>
        <s v="Scotland"/>
        <s v="South Africa"/>
        <s v="Spain"/>
        <s v="Sweden"/>
        <s v="Thailand"/>
        <s v="USA"/>
        <s v="Colombia"/>
        <s v="Costa Rica"/>
        <s v="C√¥te d'Ivoire"/>
        <s v="Ecuador"/>
        <s v="Mexico"/>
        <s v="Switzerland"/>
        <s v="Equ. Guinea"/>
        <s v="Korea DPR"/>
        <s v="Denmark"/>
        <s v="Ghana"/>
        <s v="Russia"/>
        <s v="Chinese Taipei"/>
      </sharedItems>
    </cacheField>
    <cacheField name="year" numFmtId="0">
      <sharedItems containsSemiMixedTypes="0" containsString="0" containsNumber="1" containsInteger="1" minValue="1991" maxValue="2019" count="8">
        <n v="2019"/>
        <n v="2015"/>
        <n v="2011"/>
        <n v="2007"/>
        <n v="2003"/>
        <n v="1999"/>
        <n v="1995"/>
        <n v="1991"/>
      </sharedItems>
    </cacheField>
    <cacheField name="players" numFmtId="0">
      <sharedItems containsSemiMixedTypes="0" containsString="0" containsNumber="1" containsInteger="1" minValue="13" maxValue="23" count="11">
        <n v="18"/>
        <n v="20"/>
        <n v="16"/>
        <n v="17"/>
        <n v="22"/>
        <n v="19"/>
        <n v="21"/>
        <n v="15"/>
        <n v="23"/>
        <n v="14"/>
        <n v="13"/>
      </sharedItems>
    </cacheField>
    <cacheField name="age" numFmtId="0">
      <sharedItems containsSemiMixedTypes="0" containsString="0" containsNumber="1" minValue="18.2" maxValue="29.7"/>
    </cacheField>
    <cacheField name="possesion" numFmtId="0">
      <sharedItems containsString="0" containsBlank="1" containsNumber="1" minValue="30" maxValue="63"/>
    </cacheField>
    <cacheField name="matches_played" numFmtId="0">
      <sharedItems containsSemiMixedTypes="0" containsString="0" containsNumber="1" containsInteger="1" minValue="3" maxValue="7" count="5">
        <n v="3"/>
        <n v="4"/>
        <n v="7"/>
        <n v="5"/>
        <n v="6"/>
      </sharedItems>
    </cacheField>
    <cacheField name="starts" numFmtId="0">
      <sharedItems containsSemiMixedTypes="0" containsString="0" containsNumber="1" containsInteger="1" minValue="33" maxValue="77"/>
    </cacheField>
    <cacheField name="min_playing_time" numFmtId="0">
      <sharedItems containsSemiMixedTypes="0" containsString="0" containsNumber="1" containsInteger="1" minValue="240" maxValue="690"/>
    </cacheField>
    <cacheField name="minutes_played_90s" numFmtId="0">
      <sharedItems containsSemiMixedTypes="0" containsString="0" containsNumber="1" minValue="2.7" maxValue="7.7"/>
    </cacheField>
    <cacheField name="goals" numFmtId="0">
      <sharedItems containsSemiMixedTypes="0" containsString="0" containsNumber="1" containsInteger="1" minValue="0" maxValue="25"/>
    </cacheField>
    <cacheField name="assists" numFmtId="0">
      <sharedItems containsSemiMixedTypes="0" containsString="0" containsNumber="1" containsInteger="1" minValue="0" maxValue="17"/>
    </cacheField>
    <cacheField name="non_penalty_goals" numFmtId="0">
      <sharedItems containsSemiMixedTypes="0" containsString="0" containsNumber="1" containsInteger="1" minValue="0" maxValue="25"/>
    </cacheField>
    <cacheField name="penalty_kicks_made" numFmtId="0">
      <sharedItems containsSemiMixedTypes="0" containsString="0" containsNumber="1" containsInteger="1" minValue="0" maxValue="4"/>
    </cacheField>
    <cacheField name="penalty_kicks_attempted" numFmtId="0">
      <sharedItems containsSemiMixedTypes="0" containsString="0" containsNumber="1" containsInteger="1" minValue="0" maxValue="4"/>
    </cacheField>
    <cacheField name="yellow_cards" numFmtId="0">
      <sharedItems containsString="0" containsBlank="1" containsNumber="1" containsInteger="1" minValue="0" maxValue="8"/>
    </cacheField>
    <cacheField name="red_cards" numFmtId="0">
      <sharedItems containsString="0" containsBlank="1" containsNumber="1" containsInteger="1" minValue="0" maxValue="1"/>
    </cacheField>
    <cacheField name="goals_per_90" numFmtId="0">
      <sharedItems containsSemiMixedTypes="0" containsString="0" containsNumber="1" minValue="0" maxValue="4.6900000000000004"/>
    </cacheField>
    <cacheField name="assists_per_90" numFmtId="0">
      <sharedItems containsSemiMixedTypes="0" containsString="0" containsNumber="1" minValue="0" maxValue="2.4300000000000002"/>
    </cacheField>
    <cacheField name="goals_plus_assists_per_90" numFmtId="0">
      <sharedItems containsSemiMixedTypes="0" containsString="0" containsNumber="1" minValue="0" maxValue="6.75"/>
    </cacheField>
    <cacheField name="goals_minus_penalty_kicks_per_90" numFmtId="0">
      <sharedItems containsSemiMixedTypes="0" containsString="0" containsNumber="1" minValue="0" maxValue="4.5"/>
    </cacheField>
    <cacheField name="goals_plus_assists_minus_penalty_kicks_per_90" numFmtId="0">
      <sharedItems containsSemiMixedTypes="0" containsString="0" containsNumber="1" minValue="0" maxValue="6.56"/>
    </cacheField>
  </cacheFields>
  <extLst>
    <ext xmlns:x14="http://schemas.microsoft.com/office/spreadsheetml/2009/9/main" uri="{725AE2AE-9491-48be-B2B4-4EB974FC3084}">
      <x14:pivotCacheDefinition pivotCacheId="168059363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6">
  <r>
    <n v="1"/>
    <x v="0"/>
    <x v="0"/>
    <x v="0"/>
    <n v="26.8"/>
    <n v="34.700000000000003"/>
    <x v="0"/>
    <n v="33"/>
    <n v="270"/>
    <n v="3"/>
    <n v="2"/>
    <n v="1"/>
    <n v="1"/>
    <n v="1"/>
    <n v="1"/>
    <n v="3"/>
    <n v="0"/>
    <n v="0.67"/>
    <n v="0.33"/>
    <n v="1"/>
    <n v="0.33"/>
    <n v="0.67"/>
  </r>
  <r>
    <n v="2"/>
    <x v="1"/>
    <x v="0"/>
    <x v="0"/>
    <n v="25.4"/>
    <n v="61.3"/>
    <x v="1"/>
    <n v="44"/>
    <n v="390"/>
    <n v="4.3"/>
    <n v="8"/>
    <n v="4"/>
    <n v="8"/>
    <n v="0"/>
    <n v="1"/>
    <n v="2"/>
    <n v="0"/>
    <n v="1.85"/>
    <n v="0.92"/>
    <n v="2.77"/>
    <n v="1.85"/>
    <n v="2.77"/>
  </r>
  <r>
    <n v="3"/>
    <x v="2"/>
    <x v="0"/>
    <x v="0"/>
    <n v="29.7"/>
    <n v="51.5"/>
    <x v="1"/>
    <n v="44"/>
    <n v="390"/>
    <n v="4.3"/>
    <n v="7"/>
    <n v="3"/>
    <n v="5"/>
    <n v="2"/>
    <n v="3"/>
    <n v="7"/>
    <n v="0"/>
    <n v="1.62"/>
    <n v="0.69"/>
    <n v="2.31"/>
    <n v="1.1499999999999999"/>
    <n v="1.85"/>
  </r>
  <r>
    <n v="4"/>
    <x v="3"/>
    <x v="0"/>
    <x v="1"/>
    <n v="27.7"/>
    <n v="36"/>
    <x v="1"/>
    <n v="44"/>
    <n v="360"/>
    <n v="4"/>
    <n v="3"/>
    <n v="3"/>
    <n v="3"/>
    <n v="0"/>
    <n v="0"/>
    <n v="6"/>
    <n v="0"/>
    <n v="0.75"/>
    <n v="0.75"/>
    <n v="1.5"/>
    <n v="0.75"/>
    <n v="1.5"/>
  </r>
  <r>
    <n v="5"/>
    <x v="4"/>
    <x v="0"/>
    <x v="2"/>
    <n v="27"/>
    <n v="63"/>
    <x v="1"/>
    <n v="44"/>
    <n v="360"/>
    <n v="4"/>
    <n v="4"/>
    <n v="3"/>
    <n v="4"/>
    <n v="0"/>
    <n v="1"/>
    <n v="2"/>
    <n v="0"/>
    <n v="1"/>
    <n v="0.75"/>
    <n v="1.75"/>
    <n v="1"/>
    <n v="1.75"/>
  </r>
  <r>
    <n v="6"/>
    <x v="5"/>
    <x v="0"/>
    <x v="0"/>
    <n v="26.8"/>
    <n v="42"/>
    <x v="0"/>
    <n v="33"/>
    <n v="270"/>
    <n v="3"/>
    <n v="1"/>
    <n v="1"/>
    <n v="1"/>
    <n v="0"/>
    <n v="1"/>
    <n v="5"/>
    <n v="0"/>
    <n v="0.33"/>
    <n v="0.33"/>
    <n v="0.67"/>
    <n v="0.33"/>
    <n v="0.67"/>
  </r>
  <r>
    <n v="7"/>
    <x v="6"/>
    <x v="0"/>
    <x v="3"/>
    <n v="26.6"/>
    <n v="47"/>
    <x v="1"/>
    <n v="44"/>
    <n v="360"/>
    <n v="4"/>
    <n v="1"/>
    <n v="1"/>
    <n v="1"/>
    <n v="0"/>
    <n v="0"/>
    <n v="5"/>
    <n v="0"/>
    <n v="0.25"/>
    <n v="0.25"/>
    <n v="0.5"/>
    <n v="0.25"/>
    <n v="0.5"/>
  </r>
  <r>
    <n v="8"/>
    <x v="7"/>
    <x v="0"/>
    <x v="4"/>
    <n v="27.8"/>
    <n v="60.4"/>
    <x v="2"/>
    <n v="77"/>
    <n v="630"/>
    <n v="7"/>
    <n v="13"/>
    <n v="12"/>
    <n v="12"/>
    <n v="1"/>
    <n v="4"/>
    <n v="1"/>
    <n v="1"/>
    <n v="1.86"/>
    <n v="1.71"/>
    <n v="3.57"/>
    <n v="1.71"/>
    <n v="3.43"/>
  </r>
  <r>
    <n v="9"/>
    <x v="8"/>
    <x v="0"/>
    <x v="3"/>
    <n v="27.8"/>
    <n v="58.8"/>
    <x v="3"/>
    <n v="55"/>
    <n v="480"/>
    <n v="5.3"/>
    <n v="10"/>
    <n v="8"/>
    <n v="8"/>
    <n v="2"/>
    <n v="2"/>
    <n v="2"/>
    <n v="0"/>
    <n v="1.87"/>
    <n v="1.5"/>
    <n v="3.38"/>
    <n v="1.5"/>
    <n v="3"/>
  </r>
  <r>
    <n v="10"/>
    <x v="9"/>
    <x v="0"/>
    <x v="5"/>
    <n v="25.5"/>
    <n v="57.2"/>
    <x v="3"/>
    <n v="55"/>
    <n v="450"/>
    <n v="5"/>
    <n v="10"/>
    <n v="4"/>
    <n v="9"/>
    <n v="1"/>
    <n v="1"/>
    <n v="2"/>
    <n v="0"/>
    <n v="2"/>
    <n v="0.8"/>
    <n v="2.8"/>
    <n v="1.8"/>
    <n v="2.6"/>
  </r>
  <r>
    <n v="11"/>
    <x v="10"/>
    <x v="0"/>
    <x v="3"/>
    <n v="26.5"/>
    <n v="43.4"/>
    <x v="3"/>
    <n v="55"/>
    <n v="450"/>
    <n v="5"/>
    <n v="9"/>
    <n v="6"/>
    <n v="8"/>
    <n v="1"/>
    <n v="1"/>
    <n v="4"/>
    <n v="0"/>
    <n v="1.8"/>
    <n v="1.2"/>
    <n v="3"/>
    <n v="1.6"/>
    <n v="2.8"/>
  </r>
  <r>
    <n v="12"/>
    <x v="11"/>
    <x v="0"/>
    <x v="1"/>
    <n v="22.9"/>
    <n v="36.700000000000003"/>
    <x v="0"/>
    <n v="33"/>
    <n v="270"/>
    <n v="3"/>
    <n v="1"/>
    <n v="1"/>
    <n v="1"/>
    <n v="0"/>
    <n v="0"/>
    <n v="4"/>
    <n v="0"/>
    <n v="0.33"/>
    <n v="0.33"/>
    <n v="0.67"/>
    <n v="0.33"/>
    <n v="0.67"/>
  </r>
  <r>
    <n v="13"/>
    <x v="12"/>
    <x v="0"/>
    <x v="3"/>
    <n v="24.8"/>
    <n v="53.8"/>
    <x v="1"/>
    <n v="44"/>
    <n v="360"/>
    <n v="4"/>
    <n v="3"/>
    <n v="2"/>
    <n v="2"/>
    <n v="1"/>
    <n v="1"/>
    <n v="4"/>
    <n v="0"/>
    <n v="0.75"/>
    <n v="0.5"/>
    <n v="1.25"/>
    <n v="0.5"/>
    <n v="1"/>
  </r>
  <r>
    <n v="14"/>
    <x v="13"/>
    <x v="0"/>
    <x v="5"/>
    <n v="26.9"/>
    <n v="52"/>
    <x v="0"/>
    <n v="33"/>
    <n v="270"/>
    <n v="3"/>
    <n v="1"/>
    <n v="1"/>
    <n v="1"/>
    <n v="0"/>
    <n v="0"/>
    <n v="4"/>
    <n v="0"/>
    <n v="0.33"/>
    <n v="0.33"/>
    <n v="0.67"/>
    <n v="0.33"/>
    <n v="0.67"/>
  </r>
  <r>
    <n v="15"/>
    <x v="14"/>
    <x v="0"/>
    <x v="2"/>
    <n v="26.1"/>
    <n v="57.1"/>
    <x v="2"/>
    <n v="77"/>
    <n v="660"/>
    <n v="7.3"/>
    <n v="11"/>
    <n v="7"/>
    <n v="10"/>
    <n v="1"/>
    <n v="1"/>
    <n v="0"/>
    <n v="0"/>
    <n v="1.5"/>
    <n v="0.95"/>
    <n v="2.4500000000000002"/>
    <n v="1.36"/>
    <n v="2.3199999999999998"/>
  </r>
  <r>
    <n v="16"/>
    <x v="15"/>
    <x v="0"/>
    <x v="3"/>
    <n v="27.6"/>
    <n v="39.299999999999997"/>
    <x v="0"/>
    <n v="33"/>
    <n v="270"/>
    <n v="3"/>
    <n v="0"/>
    <n v="0"/>
    <n v="0"/>
    <n v="0"/>
    <n v="0"/>
    <n v="1"/>
    <n v="0"/>
    <n v="0"/>
    <n v="0"/>
    <n v="0"/>
    <n v="0"/>
    <n v="0"/>
  </r>
  <r>
    <n v="17"/>
    <x v="16"/>
    <x v="0"/>
    <x v="1"/>
    <n v="25.7"/>
    <n v="34.799999999999997"/>
    <x v="1"/>
    <n v="44"/>
    <n v="360"/>
    <n v="4"/>
    <n v="1"/>
    <n v="1"/>
    <n v="1"/>
    <n v="0"/>
    <n v="0"/>
    <n v="6"/>
    <n v="1"/>
    <n v="0.25"/>
    <n v="0.25"/>
    <n v="0.5"/>
    <n v="0.25"/>
    <n v="0.5"/>
  </r>
  <r>
    <n v="18"/>
    <x v="17"/>
    <x v="0"/>
    <x v="3"/>
    <n v="26.8"/>
    <n v="50.2"/>
    <x v="3"/>
    <n v="55"/>
    <n v="480"/>
    <n v="5.3"/>
    <n v="5"/>
    <n v="3"/>
    <n v="3"/>
    <n v="2"/>
    <n v="2"/>
    <n v="1"/>
    <n v="0"/>
    <n v="0.94"/>
    <n v="0.56000000000000005"/>
    <n v="1.5"/>
    <n v="0.56000000000000005"/>
    <n v="1.1299999999999999"/>
  </r>
  <r>
    <n v="19"/>
    <x v="18"/>
    <x v="0"/>
    <x v="5"/>
    <n v="26.4"/>
    <n v="47"/>
    <x v="0"/>
    <n v="33"/>
    <n v="270"/>
    <n v="3"/>
    <n v="5"/>
    <n v="3"/>
    <n v="5"/>
    <n v="0"/>
    <n v="0"/>
    <n v="6"/>
    <n v="0"/>
    <n v="1.67"/>
    <n v="1"/>
    <n v="2.67"/>
    <n v="1.67"/>
    <n v="2.67"/>
  </r>
  <r>
    <n v="20"/>
    <x v="19"/>
    <x v="0"/>
    <x v="5"/>
    <n v="27.5"/>
    <n v="38"/>
    <x v="0"/>
    <n v="33"/>
    <n v="270"/>
    <n v="3"/>
    <n v="1"/>
    <n v="1"/>
    <n v="1"/>
    <n v="0"/>
    <n v="0"/>
    <n v="7"/>
    <n v="1"/>
    <n v="0.33"/>
    <n v="0.33"/>
    <n v="0.67"/>
    <n v="0.33"/>
    <n v="0.67"/>
  </r>
  <r>
    <n v="21"/>
    <x v="20"/>
    <x v="0"/>
    <x v="5"/>
    <n v="25.2"/>
    <n v="62.5"/>
    <x v="1"/>
    <n v="44"/>
    <n v="360"/>
    <n v="4"/>
    <n v="4"/>
    <n v="2"/>
    <n v="2"/>
    <n v="2"/>
    <n v="2"/>
    <n v="1"/>
    <n v="0"/>
    <n v="1"/>
    <n v="0.5"/>
    <n v="1.5"/>
    <n v="0.5"/>
    <n v="1"/>
  </r>
  <r>
    <n v="22"/>
    <x v="21"/>
    <x v="0"/>
    <x v="1"/>
    <n v="28.5"/>
    <n v="48.4"/>
    <x v="2"/>
    <n v="77"/>
    <n v="660"/>
    <n v="7.3"/>
    <n v="12"/>
    <n v="7"/>
    <n v="11"/>
    <n v="1"/>
    <n v="1"/>
    <n v="2"/>
    <n v="0"/>
    <n v="1.64"/>
    <n v="0.95"/>
    <n v="2.59"/>
    <n v="1.5"/>
    <n v="2.4500000000000002"/>
  </r>
  <r>
    <n v="23"/>
    <x v="22"/>
    <x v="0"/>
    <x v="0"/>
    <n v="27.8"/>
    <n v="30"/>
    <x v="0"/>
    <n v="33"/>
    <n v="270"/>
    <n v="3"/>
    <n v="1"/>
    <n v="1"/>
    <n v="1"/>
    <n v="0"/>
    <n v="0"/>
    <n v="5"/>
    <n v="0"/>
    <n v="0.33"/>
    <n v="0.33"/>
    <n v="0.67"/>
    <n v="0.33"/>
    <n v="0.67"/>
  </r>
  <r>
    <n v="24"/>
    <x v="23"/>
    <x v="0"/>
    <x v="6"/>
    <n v="28.8"/>
    <n v="56"/>
    <x v="2"/>
    <n v="77"/>
    <n v="630"/>
    <n v="7"/>
    <n v="25"/>
    <n v="17"/>
    <n v="22"/>
    <n v="3"/>
    <n v="4"/>
    <n v="0"/>
    <n v="0"/>
    <n v="3.57"/>
    <n v="2.4300000000000002"/>
    <n v="6"/>
    <n v="3.14"/>
    <n v="5.57"/>
  </r>
  <r>
    <n v="25"/>
    <x v="1"/>
    <x v="1"/>
    <x v="3"/>
    <n v="23.6"/>
    <n v="46.2"/>
    <x v="3"/>
    <n v="55"/>
    <n v="450"/>
    <n v="5"/>
    <n v="5"/>
    <n v="4"/>
    <n v="5"/>
    <n v="0"/>
    <n v="0"/>
    <n v="0"/>
    <n v="0"/>
    <n v="1"/>
    <n v="0.8"/>
    <n v="1.8"/>
    <n v="1"/>
    <n v="1.8"/>
  </r>
  <r>
    <n v="26"/>
    <x v="2"/>
    <x v="1"/>
    <x v="1"/>
    <n v="27.4"/>
    <n v="59"/>
    <x v="1"/>
    <n v="44"/>
    <n v="360"/>
    <n v="4"/>
    <n v="4"/>
    <n v="1"/>
    <n v="3"/>
    <n v="1"/>
    <n v="1"/>
    <n v="1"/>
    <n v="0"/>
    <n v="1"/>
    <n v="0.25"/>
    <n v="1.25"/>
    <n v="0.75"/>
    <n v="1"/>
  </r>
  <r>
    <n v="27"/>
    <x v="3"/>
    <x v="1"/>
    <x v="3"/>
    <n v="25.1"/>
    <n v="48.8"/>
    <x v="1"/>
    <n v="44"/>
    <n v="360"/>
    <n v="4"/>
    <n v="9"/>
    <n v="5"/>
    <n v="5"/>
    <n v="4"/>
    <n v="4"/>
    <n v="6"/>
    <n v="0"/>
    <n v="2.25"/>
    <n v="1.25"/>
    <n v="3.5"/>
    <n v="1.25"/>
    <n v="2.5"/>
  </r>
  <r>
    <n v="28"/>
    <x v="4"/>
    <x v="1"/>
    <x v="0"/>
    <n v="27.2"/>
    <n v="55"/>
    <x v="3"/>
    <n v="55"/>
    <n v="450"/>
    <n v="5"/>
    <n v="4"/>
    <n v="1"/>
    <n v="3"/>
    <n v="1"/>
    <n v="1"/>
    <n v="3"/>
    <n v="0"/>
    <n v="0.8"/>
    <n v="0.2"/>
    <n v="1"/>
    <n v="0.6"/>
    <n v="0.8"/>
  </r>
  <r>
    <n v="29"/>
    <x v="6"/>
    <x v="1"/>
    <x v="0"/>
    <n v="23.6"/>
    <n v="48.6"/>
    <x v="3"/>
    <n v="55"/>
    <n v="450"/>
    <n v="5"/>
    <n v="4"/>
    <n v="2"/>
    <n v="3"/>
    <n v="1"/>
    <n v="1"/>
    <n v="2"/>
    <n v="0"/>
    <n v="0.8"/>
    <n v="0.4"/>
    <n v="1.2"/>
    <n v="0.6"/>
    <n v="1"/>
  </r>
  <r>
    <n v="30"/>
    <x v="24"/>
    <x v="1"/>
    <x v="0"/>
    <n v="24.3"/>
    <n v="44.3"/>
    <x v="1"/>
    <n v="44"/>
    <n v="360"/>
    <n v="4"/>
    <n v="4"/>
    <n v="4"/>
    <n v="4"/>
    <n v="0"/>
    <n v="0"/>
    <n v="8"/>
    <n v="0"/>
    <n v="1"/>
    <n v="1"/>
    <n v="2"/>
    <n v="1"/>
    <n v="2"/>
  </r>
  <r>
    <n v="31"/>
    <x v="25"/>
    <x v="1"/>
    <x v="7"/>
    <n v="25"/>
    <n v="42.3"/>
    <x v="0"/>
    <n v="33"/>
    <n v="270"/>
    <n v="3"/>
    <n v="3"/>
    <n v="3"/>
    <n v="3"/>
    <n v="0"/>
    <n v="0"/>
    <n v="0"/>
    <n v="0"/>
    <n v="1"/>
    <n v="1"/>
    <n v="2"/>
    <n v="1"/>
    <n v="2"/>
  </r>
  <r>
    <n v="32"/>
    <x v="26"/>
    <x v="1"/>
    <x v="5"/>
    <n v="25"/>
    <n v="45"/>
    <x v="0"/>
    <n v="33"/>
    <n v="270"/>
    <n v="3"/>
    <n v="3"/>
    <n v="0"/>
    <n v="3"/>
    <n v="0"/>
    <n v="0"/>
    <n v="8"/>
    <n v="0"/>
    <n v="1"/>
    <n v="0"/>
    <n v="1"/>
    <n v="1"/>
    <n v="1"/>
  </r>
  <r>
    <n v="33"/>
    <x v="27"/>
    <x v="1"/>
    <x v="5"/>
    <n v="23.4"/>
    <n v="38.700000000000003"/>
    <x v="0"/>
    <n v="33"/>
    <n v="270"/>
    <n v="3"/>
    <n v="1"/>
    <n v="0"/>
    <n v="0"/>
    <n v="1"/>
    <n v="1"/>
    <n v="6"/>
    <n v="1"/>
    <n v="0.33"/>
    <n v="0"/>
    <n v="0.33"/>
    <n v="0"/>
    <n v="0"/>
  </r>
  <r>
    <n v="34"/>
    <x v="7"/>
    <x v="1"/>
    <x v="4"/>
    <n v="27.6"/>
    <n v="48.1"/>
    <x v="2"/>
    <n v="77"/>
    <n v="660"/>
    <n v="7.3"/>
    <n v="10"/>
    <n v="4"/>
    <n v="7"/>
    <n v="3"/>
    <n v="3"/>
    <n v="3"/>
    <n v="0"/>
    <n v="1.36"/>
    <n v="0.55000000000000004"/>
    <n v="1.91"/>
    <n v="0.95"/>
    <n v="1.5"/>
  </r>
  <r>
    <n v="35"/>
    <x v="8"/>
    <x v="1"/>
    <x v="5"/>
    <n v="27.3"/>
    <n v="53.6"/>
    <x v="3"/>
    <n v="55"/>
    <n v="480"/>
    <n v="5.3"/>
    <n v="9"/>
    <n v="7"/>
    <n v="9"/>
    <n v="0"/>
    <n v="0"/>
    <n v="0"/>
    <n v="0"/>
    <n v="1.69"/>
    <n v="1.31"/>
    <n v="3"/>
    <n v="1.69"/>
    <n v="3"/>
  </r>
  <r>
    <n v="36"/>
    <x v="9"/>
    <x v="1"/>
    <x v="6"/>
    <n v="26.9"/>
    <n v="54.7"/>
    <x v="2"/>
    <n v="77"/>
    <n v="690"/>
    <n v="7.7"/>
    <n v="20"/>
    <n v="11"/>
    <n v="18"/>
    <n v="2"/>
    <n v="2"/>
    <n v="1"/>
    <n v="0"/>
    <n v="2.61"/>
    <n v="1.43"/>
    <n v="4.04"/>
    <n v="2.35"/>
    <n v="3.78"/>
  </r>
  <r>
    <n v="37"/>
    <x v="12"/>
    <x v="1"/>
    <x v="8"/>
    <n v="27.9"/>
    <n v="55.1"/>
    <x v="2"/>
    <n v="77"/>
    <n v="630"/>
    <n v="7"/>
    <n v="9"/>
    <n v="5"/>
    <n v="7"/>
    <n v="2"/>
    <n v="2"/>
    <n v="1"/>
    <n v="0"/>
    <n v="1.29"/>
    <n v="0.71"/>
    <n v="2"/>
    <n v="1"/>
    <n v="1.71"/>
  </r>
  <r>
    <n v="38"/>
    <x v="13"/>
    <x v="1"/>
    <x v="5"/>
    <n v="26.1"/>
    <n v="43.8"/>
    <x v="1"/>
    <n v="44"/>
    <n v="360"/>
    <n v="4"/>
    <n v="4"/>
    <n v="3"/>
    <n v="3"/>
    <n v="1"/>
    <n v="1"/>
    <n v="5"/>
    <n v="0"/>
    <n v="1"/>
    <n v="0.75"/>
    <n v="1.75"/>
    <n v="0.75"/>
    <n v="1.5"/>
  </r>
  <r>
    <n v="39"/>
    <x v="28"/>
    <x v="1"/>
    <x v="3"/>
    <n v="24.3"/>
    <n v="52.3"/>
    <x v="0"/>
    <n v="33"/>
    <n v="270"/>
    <n v="3"/>
    <n v="2"/>
    <n v="1"/>
    <n v="2"/>
    <n v="0"/>
    <n v="0"/>
    <n v="4"/>
    <n v="0"/>
    <n v="0.67"/>
    <n v="0.33"/>
    <n v="1"/>
    <n v="0.67"/>
    <n v="1"/>
  </r>
  <r>
    <n v="40"/>
    <x v="14"/>
    <x v="1"/>
    <x v="0"/>
    <n v="24.3"/>
    <n v="49"/>
    <x v="1"/>
    <n v="44"/>
    <n v="360"/>
    <n v="4"/>
    <n v="3"/>
    <n v="3"/>
    <n v="3"/>
    <n v="0"/>
    <n v="0"/>
    <n v="3"/>
    <n v="0"/>
    <n v="0.75"/>
    <n v="0.75"/>
    <n v="1.5"/>
    <n v="0.75"/>
    <n v="1.5"/>
  </r>
  <r>
    <n v="41"/>
    <x v="15"/>
    <x v="1"/>
    <x v="7"/>
    <n v="24.9"/>
    <n v="46.7"/>
    <x v="0"/>
    <n v="33"/>
    <n v="270"/>
    <n v="3"/>
    <n v="2"/>
    <n v="2"/>
    <n v="2"/>
    <n v="0"/>
    <n v="0"/>
    <n v="4"/>
    <n v="0"/>
    <n v="0.67"/>
    <n v="0.67"/>
    <n v="1.33"/>
    <n v="0.67"/>
    <n v="1.33"/>
  </r>
  <r>
    <n v="42"/>
    <x v="16"/>
    <x v="1"/>
    <x v="3"/>
    <n v="24.6"/>
    <n v="48.3"/>
    <x v="0"/>
    <n v="33"/>
    <n v="270"/>
    <n v="3"/>
    <n v="3"/>
    <n v="3"/>
    <n v="3"/>
    <n v="0"/>
    <n v="0"/>
    <n v="6"/>
    <n v="1"/>
    <n v="1"/>
    <n v="1"/>
    <n v="2"/>
    <n v="1"/>
    <n v="2"/>
  </r>
  <r>
    <n v="43"/>
    <x v="17"/>
    <x v="1"/>
    <x v="0"/>
    <n v="26.7"/>
    <n v="54.5"/>
    <x v="1"/>
    <n v="44"/>
    <n v="360"/>
    <n v="4"/>
    <n v="9"/>
    <n v="6"/>
    <n v="9"/>
    <n v="0"/>
    <n v="0"/>
    <n v="1"/>
    <n v="0"/>
    <n v="2.25"/>
    <n v="1.5"/>
    <n v="3.75"/>
    <n v="2.25"/>
    <n v="3.75"/>
  </r>
  <r>
    <n v="44"/>
    <x v="20"/>
    <x v="1"/>
    <x v="3"/>
    <n v="25.3"/>
    <n v="50.7"/>
    <x v="0"/>
    <n v="33"/>
    <n v="270"/>
    <n v="3"/>
    <n v="2"/>
    <n v="2"/>
    <n v="2"/>
    <n v="0"/>
    <n v="0"/>
    <n v="3"/>
    <n v="0"/>
    <n v="0.67"/>
    <n v="0.67"/>
    <n v="1.33"/>
    <n v="0.67"/>
    <n v="1.33"/>
  </r>
  <r>
    <n v="45"/>
    <x v="21"/>
    <x v="1"/>
    <x v="0"/>
    <n v="28.1"/>
    <n v="49.3"/>
    <x v="1"/>
    <n v="44"/>
    <n v="360"/>
    <n v="4"/>
    <n v="4"/>
    <n v="2"/>
    <n v="4"/>
    <n v="0"/>
    <n v="0"/>
    <n v="0"/>
    <n v="0"/>
    <n v="1"/>
    <n v="0.5"/>
    <n v="1.5"/>
    <n v="1"/>
    <n v="1.5"/>
  </r>
  <r>
    <n v="46"/>
    <x v="29"/>
    <x v="1"/>
    <x v="3"/>
    <n v="25"/>
    <n v="55.3"/>
    <x v="1"/>
    <n v="44"/>
    <n v="360"/>
    <n v="4"/>
    <n v="9"/>
    <n v="7"/>
    <n v="8"/>
    <n v="1"/>
    <n v="1"/>
    <n v="4"/>
    <n v="0"/>
    <n v="2.25"/>
    <n v="1.75"/>
    <n v="4"/>
    <n v="2"/>
    <n v="3.75"/>
  </r>
  <r>
    <n v="47"/>
    <x v="22"/>
    <x v="1"/>
    <x v="3"/>
    <n v="25.7"/>
    <n v="40"/>
    <x v="0"/>
    <n v="33"/>
    <n v="270"/>
    <n v="3"/>
    <n v="3"/>
    <n v="3"/>
    <n v="3"/>
    <n v="0"/>
    <n v="0"/>
    <n v="3"/>
    <n v="0"/>
    <n v="1"/>
    <n v="1"/>
    <n v="2"/>
    <n v="1"/>
    <n v="2"/>
  </r>
  <r>
    <n v="48"/>
    <x v="23"/>
    <x v="1"/>
    <x v="1"/>
    <n v="28.4"/>
    <n v="52.9"/>
    <x v="2"/>
    <n v="77"/>
    <n v="630"/>
    <n v="7"/>
    <n v="14"/>
    <n v="7"/>
    <n v="12"/>
    <n v="2"/>
    <n v="2"/>
    <n v="2"/>
    <n v="0"/>
    <n v="2"/>
    <n v="1"/>
    <n v="3"/>
    <n v="1.71"/>
    <n v="2.71"/>
  </r>
  <r>
    <n v="49"/>
    <x v="1"/>
    <x v="2"/>
    <x v="1"/>
    <n v="22.8"/>
    <n v="53.5"/>
    <x v="1"/>
    <n v="44"/>
    <n v="360"/>
    <n v="4"/>
    <n v="6"/>
    <n v="6"/>
    <n v="6"/>
    <n v="0"/>
    <n v="0"/>
    <n v="0"/>
    <n v="0"/>
    <n v="1.5"/>
    <n v="1.5"/>
    <n v="3"/>
    <n v="1.5"/>
    <n v="3"/>
  </r>
  <r>
    <n v="50"/>
    <x v="2"/>
    <x v="2"/>
    <x v="2"/>
    <n v="27"/>
    <n v="53.3"/>
    <x v="1"/>
    <n v="44"/>
    <n v="390"/>
    <n v="4.3"/>
    <n v="9"/>
    <n v="6"/>
    <n v="7"/>
    <n v="2"/>
    <n v="2"/>
    <n v="0"/>
    <n v="0"/>
    <n v="2.08"/>
    <n v="1.38"/>
    <n v="3.46"/>
    <n v="1.62"/>
    <n v="3"/>
  </r>
  <r>
    <n v="51"/>
    <x v="4"/>
    <x v="2"/>
    <x v="5"/>
    <n v="25.9"/>
    <n v="47.3"/>
    <x v="0"/>
    <n v="33"/>
    <n v="270"/>
    <n v="3"/>
    <n v="1"/>
    <n v="0"/>
    <n v="1"/>
    <n v="0"/>
    <n v="0"/>
    <n v="0"/>
    <n v="0"/>
    <n v="0.33"/>
    <n v="0"/>
    <n v="0.33"/>
    <n v="0.33"/>
    <n v="0.33"/>
  </r>
  <r>
    <n v="52"/>
    <x v="24"/>
    <x v="2"/>
    <x v="3"/>
    <n v="22.4"/>
    <n v="49.3"/>
    <x v="0"/>
    <n v="33"/>
    <n v="270"/>
    <n v="3"/>
    <n v="0"/>
    <n v="0"/>
    <n v="0"/>
    <n v="0"/>
    <n v="0"/>
    <n v="0"/>
    <n v="0"/>
    <n v="0"/>
    <n v="0"/>
    <n v="0"/>
    <n v="0"/>
    <n v="0"/>
  </r>
  <r>
    <n v="53"/>
    <x v="7"/>
    <x v="2"/>
    <x v="0"/>
    <n v="26.9"/>
    <n v="49.3"/>
    <x v="1"/>
    <n v="44"/>
    <n v="390"/>
    <n v="4.3"/>
    <n v="6"/>
    <n v="7"/>
    <n v="6"/>
    <n v="0"/>
    <n v="0"/>
    <n v="0"/>
    <n v="0"/>
    <n v="1.38"/>
    <n v="1.62"/>
    <n v="3"/>
    <n v="1.38"/>
    <n v="3"/>
  </r>
  <r>
    <n v="54"/>
    <x v="30"/>
    <x v="2"/>
    <x v="7"/>
    <n v="26.1"/>
    <n v="40.700000000000003"/>
    <x v="0"/>
    <n v="33"/>
    <n v="270"/>
    <n v="3"/>
    <n v="2"/>
    <n v="0"/>
    <n v="2"/>
    <n v="0"/>
    <n v="0"/>
    <m/>
    <m/>
    <n v="0.67"/>
    <n v="0"/>
    <n v="0.67"/>
    <n v="0.67"/>
    <n v="0.67"/>
  </r>
  <r>
    <n v="55"/>
    <x v="8"/>
    <x v="2"/>
    <x v="1"/>
    <n v="26.7"/>
    <n v="52.3"/>
    <x v="4"/>
    <n v="66"/>
    <n v="570"/>
    <n v="6.3"/>
    <n v="10"/>
    <n v="9"/>
    <n v="10"/>
    <n v="0"/>
    <n v="0"/>
    <n v="0"/>
    <n v="0"/>
    <n v="1.58"/>
    <n v="1.42"/>
    <n v="3"/>
    <n v="1.58"/>
    <n v="3"/>
  </r>
  <r>
    <n v="56"/>
    <x v="9"/>
    <x v="2"/>
    <x v="3"/>
    <n v="26.4"/>
    <n v="50"/>
    <x v="1"/>
    <n v="44"/>
    <n v="390"/>
    <n v="4.3"/>
    <n v="7"/>
    <n v="6"/>
    <n v="6"/>
    <n v="1"/>
    <n v="1"/>
    <n v="0"/>
    <n v="0"/>
    <n v="1.62"/>
    <n v="1.38"/>
    <n v="3"/>
    <n v="1.38"/>
    <n v="2.77"/>
  </r>
  <r>
    <n v="57"/>
    <x v="12"/>
    <x v="2"/>
    <x v="0"/>
    <n v="25.4"/>
    <n v="56.5"/>
    <x v="4"/>
    <n v="66"/>
    <n v="600"/>
    <n v="6.7"/>
    <n v="12"/>
    <n v="10"/>
    <n v="12"/>
    <n v="0"/>
    <n v="0"/>
    <n v="0"/>
    <n v="0"/>
    <n v="1.8"/>
    <n v="1.5"/>
    <n v="3.3"/>
    <n v="1.8"/>
    <n v="3.3"/>
  </r>
  <r>
    <n v="58"/>
    <x v="31"/>
    <x v="2"/>
    <x v="3"/>
    <n v="21.1"/>
    <n v="50.7"/>
    <x v="0"/>
    <n v="33"/>
    <n v="270"/>
    <n v="3"/>
    <n v="0"/>
    <n v="0"/>
    <n v="0"/>
    <n v="0"/>
    <n v="0"/>
    <m/>
    <m/>
    <n v="0"/>
    <n v="0"/>
    <n v="0"/>
    <n v="0"/>
    <n v="0"/>
  </r>
  <r>
    <n v="59"/>
    <x v="28"/>
    <x v="2"/>
    <x v="0"/>
    <n v="23.1"/>
    <n v="47.7"/>
    <x v="0"/>
    <n v="33"/>
    <n v="270"/>
    <n v="3"/>
    <n v="3"/>
    <n v="3"/>
    <n v="3"/>
    <n v="0"/>
    <n v="0"/>
    <n v="0"/>
    <n v="0"/>
    <n v="1"/>
    <n v="1"/>
    <n v="2"/>
    <n v="1"/>
    <n v="2"/>
  </r>
  <r>
    <n v="60"/>
    <x v="15"/>
    <x v="2"/>
    <x v="2"/>
    <n v="24.4"/>
    <n v="45.7"/>
    <x v="0"/>
    <n v="33"/>
    <n v="270"/>
    <n v="3"/>
    <n v="4"/>
    <n v="3"/>
    <n v="4"/>
    <n v="0"/>
    <n v="0"/>
    <n v="0"/>
    <n v="0"/>
    <n v="1.33"/>
    <n v="1"/>
    <n v="2.33"/>
    <n v="1.33"/>
    <n v="2.33"/>
  </r>
  <r>
    <n v="61"/>
    <x v="16"/>
    <x v="2"/>
    <x v="3"/>
    <n v="24.3"/>
    <n v="50.7"/>
    <x v="0"/>
    <n v="33"/>
    <n v="270"/>
    <n v="3"/>
    <n v="1"/>
    <n v="0"/>
    <n v="1"/>
    <n v="0"/>
    <n v="0"/>
    <n v="0"/>
    <n v="0"/>
    <n v="0.33"/>
    <n v="0"/>
    <n v="0.33"/>
    <n v="0.33"/>
    <n v="0.33"/>
  </r>
  <r>
    <n v="62"/>
    <x v="17"/>
    <x v="2"/>
    <x v="0"/>
    <n v="24.7"/>
    <n v="50.7"/>
    <x v="0"/>
    <n v="33"/>
    <n v="270"/>
    <n v="3"/>
    <n v="2"/>
    <n v="1"/>
    <n v="2"/>
    <n v="0"/>
    <n v="0"/>
    <n v="0"/>
    <n v="0"/>
    <n v="0.67"/>
    <n v="0.33"/>
    <n v="1"/>
    <n v="0.67"/>
    <n v="1"/>
  </r>
  <r>
    <n v="63"/>
    <x v="21"/>
    <x v="2"/>
    <x v="5"/>
    <n v="28.4"/>
    <n v="45.3"/>
    <x v="4"/>
    <n v="66"/>
    <n v="540"/>
    <n v="6"/>
    <n v="10"/>
    <n v="4"/>
    <n v="9"/>
    <n v="1"/>
    <n v="1"/>
    <n v="0"/>
    <n v="0"/>
    <n v="1.67"/>
    <n v="0.67"/>
    <n v="2.33"/>
    <n v="1.5"/>
    <n v="2.17"/>
  </r>
  <r>
    <n v="64"/>
    <x v="23"/>
    <x v="2"/>
    <x v="0"/>
    <n v="28.3"/>
    <n v="50.5"/>
    <x v="4"/>
    <n v="66"/>
    <n v="600"/>
    <n v="6.7"/>
    <n v="12"/>
    <n v="9"/>
    <n v="12"/>
    <n v="0"/>
    <n v="0"/>
    <n v="0"/>
    <n v="0"/>
    <n v="1.8"/>
    <n v="1.35"/>
    <n v="3.15"/>
    <n v="1.8"/>
    <n v="3.15"/>
  </r>
  <r>
    <n v="65"/>
    <x v="0"/>
    <x v="3"/>
    <x v="5"/>
    <n v="21"/>
    <n v="38.299999999999997"/>
    <x v="0"/>
    <n v="33"/>
    <n v="270"/>
    <n v="3"/>
    <n v="1"/>
    <n v="0"/>
    <n v="1"/>
    <n v="0"/>
    <n v="0"/>
    <m/>
    <m/>
    <n v="0.33"/>
    <n v="0"/>
    <n v="0.33"/>
    <n v="0.33"/>
    <n v="0.33"/>
  </r>
  <r>
    <n v="66"/>
    <x v="1"/>
    <x v="3"/>
    <x v="0"/>
    <n v="24.7"/>
    <n v="48.3"/>
    <x v="1"/>
    <n v="44"/>
    <n v="360"/>
    <n v="4"/>
    <n v="9"/>
    <n v="6"/>
    <n v="9"/>
    <n v="0"/>
    <n v="0"/>
    <m/>
    <m/>
    <n v="2.25"/>
    <n v="1.5"/>
    <n v="3.75"/>
    <n v="2.25"/>
    <n v="3.75"/>
  </r>
  <r>
    <n v="67"/>
    <x v="2"/>
    <x v="3"/>
    <x v="2"/>
    <n v="25.7"/>
    <n v="61.3"/>
    <x v="4"/>
    <n v="66"/>
    <n v="540"/>
    <n v="6"/>
    <n v="16"/>
    <n v="7"/>
    <n v="16"/>
    <n v="0"/>
    <n v="0"/>
    <m/>
    <m/>
    <n v="2.67"/>
    <n v="1.17"/>
    <n v="3.83"/>
    <n v="2.67"/>
    <n v="3.83"/>
  </r>
  <r>
    <n v="68"/>
    <x v="4"/>
    <x v="3"/>
    <x v="0"/>
    <n v="23.8"/>
    <n v="39.299999999999997"/>
    <x v="0"/>
    <n v="33"/>
    <n v="270"/>
    <n v="3"/>
    <n v="7"/>
    <n v="3"/>
    <n v="7"/>
    <n v="0"/>
    <n v="0"/>
    <m/>
    <m/>
    <n v="2.33"/>
    <n v="1"/>
    <n v="3.33"/>
    <n v="2.33"/>
    <n v="3.33"/>
  </r>
  <r>
    <n v="69"/>
    <x v="6"/>
    <x v="3"/>
    <x v="0"/>
    <n v="24.9"/>
    <n v="47.3"/>
    <x v="1"/>
    <n v="44"/>
    <n v="360"/>
    <n v="4"/>
    <n v="5"/>
    <n v="0"/>
    <n v="5"/>
    <n v="0"/>
    <n v="0"/>
    <m/>
    <m/>
    <n v="1.25"/>
    <n v="0"/>
    <n v="1.25"/>
    <n v="1.25"/>
    <n v="1.25"/>
  </r>
  <r>
    <n v="70"/>
    <x v="32"/>
    <x v="3"/>
    <x v="2"/>
    <n v="26.9"/>
    <n v="50.7"/>
    <x v="0"/>
    <n v="33"/>
    <n v="270"/>
    <n v="3"/>
    <n v="4"/>
    <n v="2"/>
    <n v="4"/>
    <n v="0"/>
    <n v="0"/>
    <m/>
    <m/>
    <n v="1.33"/>
    <n v="0.67"/>
    <n v="2"/>
    <n v="1.33"/>
    <n v="2"/>
  </r>
  <r>
    <n v="71"/>
    <x v="7"/>
    <x v="3"/>
    <x v="0"/>
    <n v="24.8"/>
    <n v="52.5"/>
    <x v="1"/>
    <n v="44"/>
    <n v="360"/>
    <n v="4"/>
    <n v="7"/>
    <n v="5"/>
    <n v="5"/>
    <n v="2"/>
    <n v="2"/>
    <m/>
    <m/>
    <n v="1.75"/>
    <n v="1.25"/>
    <n v="3"/>
    <n v="1.25"/>
    <n v="2.5"/>
  </r>
  <r>
    <n v="72"/>
    <x v="9"/>
    <x v="3"/>
    <x v="3"/>
    <n v="26.5"/>
    <n v="49.5"/>
    <x v="4"/>
    <n v="66"/>
    <n v="540"/>
    <n v="6"/>
    <n v="20"/>
    <n v="11"/>
    <n v="19"/>
    <n v="1"/>
    <n v="1"/>
    <m/>
    <m/>
    <n v="3.33"/>
    <n v="1.83"/>
    <n v="5.17"/>
    <n v="3.17"/>
    <n v="5"/>
  </r>
  <r>
    <n v="73"/>
    <x v="33"/>
    <x v="3"/>
    <x v="5"/>
    <n v="24.5"/>
    <n v="52.3"/>
    <x v="0"/>
    <n v="33"/>
    <n v="270"/>
    <n v="3"/>
    <n v="3"/>
    <n v="0"/>
    <n v="2"/>
    <n v="1"/>
    <n v="1"/>
    <m/>
    <m/>
    <n v="1"/>
    <n v="0"/>
    <n v="1"/>
    <n v="0.67"/>
    <n v="0.67"/>
  </r>
  <r>
    <n v="74"/>
    <x v="12"/>
    <x v="3"/>
    <x v="2"/>
    <n v="24.7"/>
    <n v="56"/>
    <x v="0"/>
    <n v="33"/>
    <n v="270"/>
    <n v="3"/>
    <n v="3"/>
    <n v="0"/>
    <n v="3"/>
    <n v="0"/>
    <n v="0"/>
    <m/>
    <m/>
    <n v="1"/>
    <n v="0"/>
    <n v="1"/>
    <n v="1"/>
    <n v="1"/>
  </r>
  <r>
    <n v="75"/>
    <x v="31"/>
    <x v="3"/>
    <x v="7"/>
    <n v="22.8"/>
    <n v="52.8"/>
    <x v="1"/>
    <n v="44"/>
    <n v="360"/>
    <n v="4"/>
    <n v="5"/>
    <n v="1"/>
    <n v="5"/>
    <n v="0"/>
    <n v="0"/>
    <m/>
    <m/>
    <n v="1.25"/>
    <n v="0.25"/>
    <n v="1.5"/>
    <n v="1.25"/>
    <n v="1.5"/>
  </r>
  <r>
    <n v="76"/>
    <x v="15"/>
    <x v="3"/>
    <x v="0"/>
    <n v="24.5"/>
    <n v="39.700000000000003"/>
    <x v="0"/>
    <n v="33"/>
    <n v="270"/>
    <n v="3"/>
    <n v="0"/>
    <n v="0"/>
    <n v="0"/>
    <n v="0"/>
    <n v="0"/>
    <m/>
    <m/>
    <n v="0"/>
    <n v="0"/>
    <n v="0"/>
    <n v="0"/>
    <n v="0"/>
  </r>
  <r>
    <n v="77"/>
    <x v="16"/>
    <x v="3"/>
    <x v="7"/>
    <n v="23.6"/>
    <n v="51"/>
    <x v="0"/>
    <n v="33"/>
    <n v="270"/>
    <n v="3"/>
    <n v="1"/>
    <n v="0"/>
    <n v="1"/>
    <n v="0"/>
    <n v="0"/>
    <m/>
    <m/>
    <n v="0.33"/>
    <n v="0"/>
    <n v="0.33"/>
    <n v="0.33"/>
    <n v="0.33"/>
  </r>
  <r>
    <n v="78"/>
    <x v="17"/>
    <x v="3"/>
    <x v="5"/>
    <n v="26.3"/>
    <n v="53.7"/>
    <x v="4"/>
    <n v="66"/>
    <n v="540"/>
    <n v="6"/>
    <n v="12"/>
    <n v="10"/>
    <n v="11"/>
    <n v="1"/>
    <n v="1"/>
    <m/>
    <m/>
    <n v="2"/>
    <n v="1.67"/>
    <n v="3.67"/>
    <n v="1.83"/>
    <n v="3.5"/>
  </r>
  <r>
    <n v="79"/>
    <x v="21"/>
    <x v="3"/>
    <x v="2"/>
    <n v="26.1"/>
    <n v="49.7"/>
    <x v="0"/>
    <n v="33"/>
    <n v="270"/>
    <n v="3"/>
    <n v="3"/>
    <n v="3"/>
    <n v="3"/>
    <n v="0"/>
    <n v="0"/>
    <m/>
    <m/>
    <n v="1"/>
    <n v="1"/>
    <n v="2"/>
    <n v="1"/>
    <n v="2"/>
  </r>
  <r>
    <n v="80"/>
    <x v="23"/>
    <x v="3"/>
    <x v="0"/>
    <n v="26.7"/>
    <n v="46.5"/>
    <x v="4"/>
    <n v="66"/>
    <n v="540"/>
    <n v="6"/>
    <n v="12"/>
    <n v="3"/>
    <n v="11"/>
    <n v="1"/>
    <n v="1"/>
    <m/>
    <m/>
    <n v="2"/>
    <n v="0.5"/>
    <n v="2.5"/>
    <n v="1.83"/>
    <n v="2.33"/>
  </r>
  <r>
    <n v="81"/>
    <x v="0"/>
    <x v="4"/>
    <x v="2"/>
    <n v="23"/>
    <n v="49"/>
    <x v="0"/>
    <n v="33"/>
    <n v="270"/>
    <n v="3"/>
    <n v="1"/>
    <n v="0"/>
    <n v="1"/>
    <n v="0"/>
    <n v="0"/>
    <m/>
    <m/>
    <n v="0.33"/>
    <n v="0"/>
    <n v="0.33"/>
    <n v="0.33"/>
    <n v="0.33"/>
  </r>
  <r>
    <n v="82"/>
    <x v="1"/>
    <x v="4"/>
    <x v="2"/>
    <n v="23.4"/>
    <n v="49"/>
    <x v="0"/>
    <n v="33"/>
    <n v="270"/>
    <n v="3"/>
    <n v="3"/>
    <n v="0"/>
    <n v="3"/>
    <n v="0"/>
    <n v="0"/>
    <m/>
    <m/>
    <n v="1"/>
    <n v="0"/>
    <n v="1"/>
    <n v="1"/>
    <n v="1"/>
  </r>
  <r>
    <n v="83"/>
    <x v="2"/>
    <x v="4"/>
    <x v="2"/>
    <n v="22.4"/>
    <n v="55"/>
    <x v="1"/>
    <n v="44"/>
    <n v="360"/>
    <n v="4"/>
    <n v="9"/>
    <n v="0"/>
    <n v="9"/>
    <n v="0"/>
    <n v="0"/>
    <m/>
    <m/>
    <n v="2.25"/>
    <n v="0"/>
    <n v="2.25"/>
    <n v="2.25"/>
    <n v="2.25"/>
  </r>
  <r>
    <n v="84"/>
    <x v="4"/>
    <x v="4"/>
    <x v="3"/>
    <n v="22.7"/>
    <n v="41.7"/>
    <x v="4"/>
    <n v="66"/>
    <n v="540"/>
    <n v="6"/>
    <n v="10"/>
    <n v="0"/>
    <n v="10"/>
    <n v="0"/>
    <n v="0"/>
    <m/>
    <m/>
    <n v="1.67"/>
    <n v="0"/>
    <n v="1.67"/>
    <n v="1.67"/>
    <n v="1.67"/>
  </r>
  <r>
    <n v="85"/>
    <x v="6"/>
    <x v="4"/>
    <x v="0"/>
    <n v="27"/>
    <n v="61"/>
    <x v="1"/>
    <n v="44"/>
    <n v="360"/>
    <n v="4"/>
    <n v="3"/>
    <n v="0"/>
    <n v="3"/>
    <n v="0"/>
    <n v="0"/>
    <m/>
    <m/>
    <n v="0.75"/>
    <n v="0"/>
    <n v="0.75"/>
    <n v="0.75"/>
    <n v="0.75"/>
  </r>
  <r>
    <n v="86"/>
    <x v="8"/>
    <x v="4"/>
    <x v="3"/>
    <n v="25.2"/>
    <n v="46.3"/>
    <x v="0"/>
    <n v="33"/>
    <n v="270"/>
    <n v="3"/>
    <n v="2"/>
    <n v="0"/>
    <n v="2"/>
    <n v="0"/>
    <n v="0"/>
    <m/>
    <m/>
    <n v="0.67"/>
    <n v="0"/>
    <n v="0.67"/>
    <n v="0.67"/>
    <n v="0.67"/>
  </r>
  <r>
    <n v="87"/>
    <x v="9"/>
    <x v="4"/>
    <x v="5"/>
    <n v="27"/>
    <n v="51.8"/>
    <x v="4"/>
    <n v="66"/>
    <n v="570"/>
    <n v="6.3"/>
    <n v="25"/>
    <n v="0"/>
    <n v="25"/>
    <n v="0"/>
    <n v="0"/>
    <m/>
    <m/>
    <n v="3.95"/>
    <n v="0"/>
    <n v="3.95"/>
    <n v="3.95"/>
    <n v="3.95"/>
  </r>
  <r>
    <n v="88"/>
    <x v="33"/>
    <x v="4"/>
    <x v="7"/>
    <n v="25.4"/>
    <n v="47.7"/>
    <x v="0"/>
    <n v="33"/>
    <n v="270"/>
    <n v="3"/>
    <n v="2"/>
    <n v="0"/>
    <n v="2"/>
    <n v="0"/>
    <n v="0"/>
    <m/>
    <m/>
    <n v="0.67"/>
    <n v="0"/>
    <n v="0.67"/>
    <n v="0.67"/>
    <n v="0.67"/>
  </r>
  <r>
    <n v="89"/>
    <x v="12"/>
    <x v="4"/>
    <x v="2"/>
    <n v="24.2"/>
    <n v="54.7"/>
    <x v="0"/>
    <n v="33"/>
    <n v="270"/>
    <n v="3"/>
    <n v="7"/>
    <n v="0"/>
    <n v="7"/>
    <n v="0"/>
    <n v="0"/>
    <m/>
    <m/>
    <n v="2.33"/>
    <n v="0"/>
    <n v="2.33"/>
    <n v="2.33"/>
    <n v="2.33"/>
  </r>
  <r>
    <n v="90"/>
    <x v="31"/>
    <x v="4"/>
    <x v="7"/>
    <n v="24.6"/>
    <n v="52.3"/>
    <x v="0"/>
    <n v="33"/>
    <n v="270"/>
    <n v="3"/>
    <n v="3"/>
    <n v="0"/>
    <n v="3"/>
    <n v="0"/>
    <n v="0"/>
    <m/>
    <m/>
    <n v="1"/>
    <n v="0"/>
    <n v="1"/>
    <n v="1"/>
    <n v="1"/>
  </r>
  <r>
    <n v="91"/>
    <x v="13"/>
    <x v="4"/>
    <x v="0"/>
    <n v="22.2"/>
    <n v="48.7"/>
    <x v="0"/>
    <n v="33"/>
    <n v="270"/>
    <n v="3"/>
    <n v="1"/>
    <n v="0"/>
    <n v="1"/>
    <n v="0"/>
    <n v="0"/>
    <m/>
    <m/>
    <n v="0.33"/>
    <n v="0"/>
    <n v="0.33"/>
    <n v="0.33"/>
    <n v="0.33"/>
  </r>
  <r>
    <n v="92"/>
    <x v="16"/>
    <x v="4"/>
    <x v="2"/>
    <n v="24.7"/>
    <n v="51.3"/>
    <x v="0"/>
    <n v="33"/>
    <n v="270"/>
    <n v="3"/>
    <n v="0"/>
    <n v="0"/>
    <n v="0"/>
    <n v="0"/>
    <n v="0"/>
    <m/>
    <m/>
    <n v="0"/>
    <n v="0"/>
    <n v="0"/>
    <n v="0"/>
    <n v="0"/>
  </r>
  <r>
    <n v="93"/>
    <x v="17"/>
    <x v="4"/>
    <x v="2"/>
    <n v="25.3"/>
    <n v="48"/>
    <x v="1"/>
    <n v="44"/>
    <n v="360"/>
    <n v="4"/>
    <n v="10"/>
    <n v="1"/>
    <n v="10"/>
    <n v="0"/>
    <n v="0"/>
    <m/>
    <m/>
    <n v="2.5"/>
    <n v="0.25"/>
    <n v="2.75"/>
    <n v="2.5"/>
    <n v="2.75"/>
  </r>
  <r>
    <n v="94"/>
    <x v="34"/>
    <x v="4"/>
    <x v="3"/>
    <n v="28.1"/>
    <n v="45"/>
    <x v="1"/>
    <n v="44"/>
    <n v="360"/>
    <n v="4"/>
    <n v="5"/>
    <n v="1"/>
    <n v="5"/>
    <n v="0"/>
    <n v="0"/>
    <m/>
    <m/>
    <n v="1.25"/>
    <n v="0.25"/>
    <n v="1.5"/>
    <n v="1.25"/>
    <n v="1.5"/>
  </r>
  <r>
    <n v="95"/>
    <x v="21"/>
    <x v="4"/>
    <x v="0"/>
    <n v="25.9"/>
    <n v="48.2"/>
    <x v="4"/>
    <n v="66"/>
    <n v="570"/>
    <n v="6.3"/>
    <n v="10"/>
    <n v="0"/>
    <n v="10"/>
    <n v="0"/>
    <n v="0"/>
    <m/>
    <m/>
    <n v="1.58"/>
    <n v="0"/>
    <n v="1.58"/>
    <n v="1.58"/>
    <n v="1.58"/>
  </r>
  <r>
    <n v="96"/>
    <x v="23"/>
    <x v="4"/>
    <x v="0"/>
    <n v="28.1"/>
    <n v="52.8"/>
    <x v="4"/>
    <n v="66"/>
    <n v="540"/>
    <n v="6"/>
    <n v="15"/>
    <n v="4"/>
    <n v="15"/>
    <n v="0"/>
    <n v="0"/>
    <m/>
    <m/>
    <n v="2.5"/>
    <n v="0.67"/>
    <n v="3.17"/>
    <n v="2.5"/>
    <n v="3.17"/>
  </r>
  <r>
    <n v="97"/>
    <x v="1"/>
    <x v="5"/>
    <x v="3"/>
    <n v="25"/>
    <m/>
    <x v="0"/>
    <n v="33"/>
    <n v="270"/>
    <n v="3"/>
    <n v="3"/>
    <n v="1"/>
    <n v="3"/>
    <n v="0"/>
    <n v="0"/>
    <m/>
    <m/>
    <n v="1"/>
    <n v="0.33"/>
    <n v="1.33"/>
    <n v="1"/>
    <n v="1.33"/>
  </r>
  <r>
    <n v="98"/>
    <x v="2"/>
    <x v="5"/>
    <x v="7"/>
    <n v="25"/>
    <m/>
    <x v="4"/>
    <n v="66"/>
    <n v="554"/>
    <n v="6.2"/>
    <n v="16"/>
    <n v="10"/>
    <n v="16"/>
    <n v="0"/>
    <n v="0"/>
    <m/>
    <m/>
    <n v="2.6"/>
    <n v="1.62"/>
    <n v="4.22"/>
    <n v="2.6"/>
    <n v="4.22"/>
  </r>
  <r>
    <n v="99"/>
    <x v="4"/>
    <x v="5"/>
    <x v="7"/>
    <n v="25.9"/>
    <m/>
    <x v="0"/>
    <n v="33"/>
    <n v="270"/>
    <n v="3"/>
    <n v="3"/>
    <n v="3"/>
    <n v="3"/>
    <n v="0"/>
    <n v="0"/>
    <m/>
    <m/>
    <n v="1"/>
    <n v="1"/>
    <n v="2"/>
    <n v="1"/>
    <n v="2"/>
  </r>
  <r>
    <n v="100"/>
    <x v="6"/>
    <x v="5"/>
    <x v="9"/>
    <n v="26.6"/>
    <m/>
    <x v="4"/>
    <n v="66"/>
    <n v="570"/>
    <n v="6.3"/>
    <n v="19"/>
    <n v="9"/>
    <n v="18"/>
    <n v="1"/>
    <n v="1"/>
    <m/>
    <m/>
    <n v="3"/>
    <n v="1.42"/>
    <n v="4.42"/>
    <n v="2.84"/>
    <n v="4.26"/>
  </r>
  <r>
    <n v="101"/>
    <x v="32"/>
    <x v="5"/>
    <x v="3"/>
    <n v="25.5"/>
    <m/>
    <x v="0"/>
    <n v="33"/>
    <n v="270"/>
    <n v="3"/>
    <n v="1"/>
    <n v="0"/>
    <n v="1"/>
    <n v="0"/>
    <n v="0"/>
    <m/>
    <m/>
    <n v="0.33"/>
    <n v="0"/>
    <n v="0.33"/>
    <n v="0.33"/>
    <n v="0.33"/>
  </r>
  <r>
    <n v="102"/>
    <x v="9"/>
    <x v="5"/>
    <x v="0"/>
    <n v="24.4"/>
    <m/>
    <x v="1"/>
    <n v="44"/>
    <n v="360"/>
    <n v="4"/>
    <n v="11"/>
    <n v="4"/>
    <n v="11"/>
    <n v="0"/>
    <n v="0"/>
    <m/>
    <m/>
    <n v="2.75"/>
    <n v="1"/>
    <n v="3.75"/>
    <n v="2.75"/>
    <n v="3.75"/>
  </r>
  <r>
    <n v="103"/>
    <x v="33"/>
    <x v="5"/>
    <x v="2"/>
    <n v="23.6"/>
    <m/>
    <x v="0"/>
    <n v="33"/>
    <n v="270"/>
    <n v="3"/>
    <n v="1"/>
    <n v="0"/>
    <n v="1"/>
    <n v="0"/>
    <n v="0"/>
    <m/>
    <m/>
    <n v="0.33"/>
    <n v="0"/>
    <n v="0.33"/>
    <n v="0.33"/>
    <n v="0.33"/>
  </r>
  <r>
    <n v="104"/>
    <x v="10"/>
    <x v="5"/>
    <x v="3"/>
    <n v="26.7"/>
    <m/>
    <x v="0"/>
    <n v="33"/>
    <n v="270"/>
    <n v="3"/>
    <n v="3"/>
    <n v="1"/>
    <n v="3"/>
    <n v="0"/>
    <n v="0"/>
    <m/>
    <m/>
    <n v="1"/>
    <n v="0.33"/>
    <n v="1.33"/>
    <n v="1"/>
    <n v="1.33"/>
  </r>
  <r>
    <n v="105"/>
    <x v="12"/>
    <x v="5"/>
    <x v="7"/>
    <n v="23"/>
    <m/>
    <x v="0"/>
    <n v="33"/>
    <n v="270"/>
    <n v="3"/>
    <n v="1"/>
    <n v="1"/>
    <n v="1"/>
    <n v="0"/>
    <n v="0"/>
    <m/>
    <m/>
    <n v="0.33"/>
    <n v="0.33"/>
    <n v="0.67"/>
    <n v="0.33"/>
    <n v="0.67"/>
  </r>
  <r>
    <n v="106"/>
    <x v="31"/>
    <x v="5"/>
    <x v="2"/>
    <n v="24.5"/>
    <m/>
    <x v="0"/>
    <n v="33"/>
    <n v="270"/>
    <n v="3"/>
    <n v="4"/>
    <n v="2"/>
    <n v="4"/>
    <n v="0"/>
    <n v="0"/>
    <m/>
    <m/>
    <n v="1.33"/>
    <n v="0.67"/>
    <n v="2"/>
    <n v="1.33"/>
    <n v="2"/>
  </r>
  <r>
    <n v="107"/>
    <x v="28"/>
    <x v="5"/>
    <x v="7"/>
    <n v="21.5"/>
    <m/>
    <x v="0"/>
    <n v="33"/>
    <n v="270"/>
    <n v="3"/>
    <n v="1"/>
    <n v="0"/>
    <n v="1"/>
    <n v="0"/>
    <n v="0"/>
    <m/>
    <m/>
    <n v="0.33"/>
    <n v="0"/>
    <n v="0.33"/>
    <n v="0.33"/>
    <n v="0.33"/>
  </r>
  <r>
    <n v="108"/>
    <x v="16"/>
    <x v="5"/>
    <x v="2"/>
    <n v="23.5"/>
    <m/>
    <x v="1"/>
    <n v="44"/>
    <n v="374"/>
    <n v="4.2"/>
    <n v="8"/>
    <n v="3"/>
    <n v="8"/>
    <n v="0"/>
    <n v="0"/>
    <m/>
    <m/>
    <n v="1.93"/>
    <n v="0.72"/>
    <n v="2.65"/>
    <n v="1.93"/>
    <n v="2.65"/>
  </r>
  <r>
    <n v="109"/>
    <x v="17"/>
    <x v="5"/>
    <x v="5"/>
    <n v="25.1"/>
    <m/>
    <x v="4"/>
    <n v="66"/>
    <n v="540"/>
    <n v="6"/>
    <n v="15"/>
    <n v="10"/>
    <n v="15"/>
    <n v="0"/>
    <n v="0"/>
    <m/>
    <m/>
    <n v="2.5"/>
    <n v="1.67"/>
    <n v="4.17"/>
    <n v="2.5"/>
    <n v="4.17"/>
  </r>
  <r>
    <n v="110"/>
    <x v="34"/>
    <x v="5"/>
    <x v="7"/>
    <n v="25.6"/>
    <m/>
    <x v="1"/>
    <n v="44"/>
    <n v="360"/>
    <n v="4"/>
    <n v="10"/>
    <n v="9"/>
    <n v="10"/>
    <n v="0"/>
    <n v="0"/>
    <m/>
    <m/>
    <n v="2.5"/>
    <n v="2.25"/>
    <n v="4.75"/>
    <n v="2.5"/>
    <n v="4.75"/>
  </r>
  <r>
    <n v="111"/>
    <x v="21"/>
    <x v="5"/>
    <x v="3"/>
    <n v="24.6"/>
    <m/>
    <x v="1"/>
    <n v="44"/>
    <n v="360"/>
    <n v="4"/>
    <n v="7"/>
    <n v="5"/>
    <n v="7"/>
    <n v="0"/>
    <n v="0"/>
    <m/>
    <m/>
    <n v="1.75"/>
    <n v="1.25"/>
    <n v="3"/>
    <n v="1.75"/>
    <n v="3"/>
  </r>
  <r>
    <n v="112"/>
    <x v="23"/>
    <x v="5"/>
    <x v="0"/>
    <n v="27.4"/>
    <m/>
    <x v="4"/>
    <n v="66"/>
    <n v="570"/>
    <n v="6.3"/>
    <n v="17"/>
    <n v="15"/>
    <n v="16"/>
    <n v="1"/>
    <n v="1"/>
    <m/>
    <m/>
    <n v="2.68"/>
    <n v="2.37"/>
    <n v="5.05"/>
    <n v="2.5299999999999998"/>
    <n v="4.8899999999999997"/>
  </r>
  <r>
    <n v="113"/>
    <x v="1"/>
    <x v="6"/>
    <x v="3"/>
    <n v="25"/>
    <m/>
    <x v="0"/>
    <n v="33"/>
    <n v="270"/>
    <n v="3"/>
    <n v="3"/>
    <n v="0"/>
    <n v="3"/>
    <n v="0"/>
    <n v="0"/>
    <m/>
    <m/>
    <n v="1"/>
    <n v="0"/>
    <n v="1"/>
    <n v="1"/>
    <n v="1"/>
  </r>
  <r>
    <n v="114"/>
    <x v="2"/>
    <x v="6"/>
    <x v="2"/>
    <n v="27.9"/>
    <m/>
    <x v="0"/>
    <n v="33"/>
    <n v="270"/>
    <n v="3"/>
    <n v="3"/>
    <n v="1"/>
    <n v="3"/>
    <n v="0"/>
    <n v="0"/>
    <m/>
    <m/>
    <n v="1"/>
    <n v="0.33"/>
    <n v="1.33"/>
    <n v="1"/>
    <n v="1.33"/>
  </r>
  <r>
    <n v="115"/>
    <x v="4"/>
    <x v="6"/>
    <x v="7"/>
    <n v="26.2"/>
    <m/>
    <x v="0"/>
    <n v="33"/>
    <n v="270"/>
    <n v="3"/>
    <n v="5"/>
    <n v="0"/>
    <n v="5"/>
    <n v="0"/>
    <n v="0"/>
    <m/>
    <m/>
    <n v="1.67"/>
    <n v="0"/>
    <n v="1.67"/>
    <n v="1.67"/>
    <n v="1.67"/>
  </r>
  <r>
    <n v="116"/>
    <x v="6"/>
    <x v="6"/>
    <x v="2"/>
    <n v="24.3"/>
    <m/>
    <x v="4"/>
    <n v="66"/>
    <n v="570"/>
    <n v="6.3"/>
    <n v="11"/>
    <n v="0"/>
    <n v="11"/>
    <n v="0"/>
    <n v="0"/>
    <m/>
    <m/>
    <n v="1.74"/>
    <n v="0"/>
    <n v="1.74"/>
    <n v="1.74"/>
    <n v="1.74"/>
  </r>
  <r>
    <n v="117"/>
    <x v="32"/>
    <x v="6"/>
    <x v="3"/>
    <n v="21.3"/>
    <m/>
    <x v="1"/>
    <n v="44"/>
    <n v="360"/>
    <n v="4"/>
    <n v="7"/>
    <n v="0"/>
    <n v="7"/>
    <n v="0"/>
    <n v="0"/>
    <m/>
    <m/>
    <n v="1.75"/>
    <n v="0"/>
    <n v="1.75"/>
    <n v="1.75"/>
    <n v="1.75"/>
  </r>
  <r>
    <n v="118"/>
    <x v="7"/>
    <x v="6"/>
    <x v="2"/>
    <n v="27.8"/>
    <m/>
    <x v="1"/>
    <n v="44"/>
    <n v="360"/>
    <n v="4"/>
    <n v="6"/>
    <n v="0"/>
    <n v="6"/>
    <n v="0"/>
    <n v="0"/>
    <m/>
    <m/>
    <n v="1.5"/>
    <n v="0"/>
    <n v="1.5"/>
    <n v="1.5"/>
    <n v="1.5"/>
  </r>
  <r>
    <n v="119"/>
    <x v="9"/>
    <x v="6"/>
    <x v="3"/>
    <n v="25.3"/>
    <m/>
    <x v="4"/>
    <n v="66"/>
    <n v="540"/>
    <n v="6"/>
    <n v="13"/>
    <n v="0"/>
    <n v="13"/>
    <n v="0"/>
    <n v="0"/>
    <m/>
    <m/>
    <n v="2.17"/>
    <n v="0"/>
    <n v="2.17"/>
    <n v="2.17"/>
    <n v="2.17"/>
  </r>
  <r>
    <n v="120"/>
    <x v="12"/>
    <x v="6"/>
    <x v="9"/>
    <n v="22.6"/>
    <m/>
    <x v="1"/>
    <n v="44"/>
    <n v="360"/>
    <n v="4"/>
    <n v="2"/>
    <n v="0"/>
    <n v="2"/>
    <n v="0"/>
    <n v="0"/>
    <m/>
    <m/>
    <n v="0.5"/>
    <n v="0"/>
    <n v="0.5"/>
    <n v="0.5"/>
    <n v="0.5"/>
  </r>
  <r>
    <n v="121"/>
    <x v="16"/>
    <x v="6"/>
    <x v="2"/>
    <n v="20.6"/>
    <m/>
    <x v="0"/>
    <n v="33"/>
    <n v="270"/>
    <n v="3"/>
    <n v="5"/>
    <n v="0"/>
    <n v="5"/>
    <n v="0"/>
    <n v="0"/>
    <m/>
    <m/>
    <n v="1.67"/>
    <n v="0"/>
    <n v="1.67"/>
    <n v="1.67"/>
    <n v="1.67"/>
  </r>
  <r>
    <n v="122"/>
    <x v="17"/>
    <x v="6"/>
    <x v="3"/>
    <n v="24.6"/>
    <m/>
    <x v="4"/>
    <n v="66"/>
    <n v="540"/>
    <n v="6"/>
    <n v="23"/>
    <n v="0"/>
    <n v="23"/>
    <n v="0"/>
    <n v="0"/>
    <m/>
    <m/>
    <n v="3.83"/>
    <n v="0"/>
    <n v="3.83"/>
    <n v="3.83"/>
    <n v="3.83"/>
  </r>
  <r>
    <n v="123"/>
    <x v="21"/>
    <x v="6"/>
    <x v="0"/>
    <n v="27.5"/>
    <m/>
    <x v="1"/>
    <n v="44"/>
    <n v="390"/>
    <n v="4.3"/>
    <n v="6"/>
    <n v="0"/>
    <n v="6"/>
    <n v="0"/>
    <n v="0"/>
    <m/>
    <m/>
    <n v="1.38"/>
    <n v="0"/>
    <n v="1.38"/>
    <n v="1.38"/>
    <n v="1.38"/>
  </r>
  <r>
    <n v="124"/>
    <x v="23"/>
    <x v="6"/>
    <x v="0"/>
    <n v="24.1"/>
    <m/>
    <x v="4"/>
    <n v="66"/>
    <n v="540"/>
    <n v="6"/>
    <n v="15"/>
    <n v="4"/>
    <n v="15"/>
    <n v="0"/>
    <n v="0"/>
    <m/>
    <m/>
    <n v="2.5"/>
    <n v="0.67"/>
    <n v="3.17"/>
    <n v="2.5"/>
    <n v="3.17"/>
  </r>
  <r>
    <n v="125"/>
    <x v="2"/>
    <x v="7"/>
    <x v="3"/>
    <n v="25.7"/>
    <m/>
    <x v="0"/>
    <n v="33"/>
    <n v="240"/>
    <n v="2.7"/>
    <n v="1"/>
    <n v="0"/>
    <n v="1"/>
    <n v="0"/>
    <n v="0"/>
    <m/>
    <m/>
    <n v="0.37"/>
    <n v="0"/>
    <n v="0.37"/>
    <n v="0.37"/>
    <n v="0.37"/>
  </r>
  <r>
    <n v="126"/>
    <x v="6"/>
    <x v="7"/>
    <x v="7"/>
    <n v="22.1"/>
    <m/>
    <x v="1"/>
    <n v="44"/>
    <n v="320"/>
    <n v="3.6"/>
    <n v="10"/>
    <n v="3"/>
    <n v="10"/>
    <n v="0"/>
    <n v="0"/>
    <m/>
    <m/>
    <n v="2.81"/>
    <n v="0.84"/>
    <n v="3.66"/>
    <n v="2.81"/>
    <n v="3.66"/>
  </r>
  <r>
    <n v="127"/>
    <x v="35"/>
    <x v="7"/>
    <x v="2"/>
    <n v="21.2"/>
    <m/>
    <x v="1"/>
    <n v="44"/>
    <n v="320"/>
    <n v="3.6"/>
    <n v="2"/>
    <n v="1"/>
    <n v="2"/>
    <n v="0"/>
    <n v="0"/>
    <m/>
    <m/>
    <n v="0.56000000000000005"/>
    <n v="0.28000000000000003"/>
    <n v="0.84"/>
    <n v="0.56000000000000005"/>
    <n v="0.84"/>
  </r>
  <r>
    <n v="128"/>
    <x v="32"/>
    <x v="7"/>
    <x v="7"/>
    <n v="23.8"/>
    <m/>
    <x v="1"/>
    <n v="44"/>
    <n v="340"/>
    <n v="3.8"/>
    <n v="7"/>
    <n v="5"/>
    <n v="5"/>
    <n v="2"/>
    <n v="2"/>
    <m/>
    <m/>
    <n v="1.85"/>
    <n v="1.32"/>
    <n v="3.18"/>
    <n v="1.32"/>
    <n v="2.65"/>
  </r>
  <r>
    <n v="129"/>
    <x v="9"/>
    <x v="7"/>
    <x v="0"/>
    <n v="23.8"/>
    <m/>
    <x v="4"/>
    <n v="66"/>
    <n v="500"/>
    <n v="5.6"/>
    <n v="13"/>
    <n v="9"/>
    <n v="12"/>
    <n v="1"/>
    <n v="1"/>
    <m/>
    <m/>
    <n v="2.34"/>
    <n v="1.62"/>
    <n v="3.96"/>
    <n v="2.16"/>
    <n v="3.78"/>
  </r>
  <r>
    <n v="130"/>
    <x v="10"/>
    <x v="7"/>
    <x v="3"/>
    <n v="24.2"/>
    <m/>
    <x v="1"/>
    <n v="44"/>
    <n v="340"/>
    <n v="3.8"/>
    <n v="8"/>
    <n v="5"/>
    <n v="8"/>
    <n v="0"/>
    <n v="0"/>
    <m/>
    <m/>
    <n v="2.12"/>
    <n v="1.32"/>
    <n v="3.44"/>
    <n v="2.12"/>
    <n v="3.44"/>
  </r>
  <r>
    <n v="131"/>
    <x v="12"/>
    <x v="7"/>
    <x v="10"/>
    <n v="24.3"/>
    <m/>
    <x v="0"/>
    <n v="33"/>
    <n v="240"/>
    <n v="2.7"/>
    <n v="0"/>
    <n v="0"/>
    <n v="0"/>
    <n v="0"/>
    <n v="0"/>
    <m/>
    <m/>
    <n v="0"/>
    <n v="0"/>
    <n v="0"/>
    <n v="0"/>
    <n v="0"/>
  </r>
  <r>
    <n v="132"/>
    <x v="15"/>
    <x v="7"/>
    <x v="7"/>
    <n v="25.5"/>
    <m/>
    <x v="0"/>
    <n v="33"/>
    <n v="240"/>
    <n v="2.7"/>
    <n v="1"/>
    <n v="1"/>
    <n v="1"/>
    <n v="0"/>
    <n v="0"/>
    <m/>
    <m/>
    <n v="0.37"/>
    <n v="0.37"/>
    <n v="0.75"/>
    <n v="0.37"/>
    <n v="0.75"/>
  </r>
  <r>
    <n v="133"/>
    <x v="16"/>
    <x v="7"/>
    <x v="3"/>
    <n v="18.2"/>
    <m/>
    <x v="0"/>
    <n v="33"/>
    <n v="240"/>
    <n v="2.7"/>
    <n v="0"/>
    <n v="0"/>
    <n v="0"/>
    <n v="0"/>
    <n v="0"/>
    <m/>
    <m/>
    <n v="0"/>
    <n v="0"/>
    <n v="0"/>
    <n v="0"/>
    <n v="0"/>
  </r>
  <r>
    <n v="134"/>
    <x v="17"/>
    <x v="7"/>
    <x v="7"/>
    <n v="24.1"/>
    <m/>
    <x v="4"/>
    <n v="66"/>
    <n v="500"/>
    <n v="5.6"/>
    <n v="13"/>
    <n v="6"/>
    <n v="12"/>
    <n v="1"/>
    <n v="1"/>
    <m/>
    <m/>
    <n v="2.34"/>
    <n v="1.08"/>
    <n v="3.42"/>
    <n v="2.16"/>
    <n v="3.24"/>
  </r>
  <r>
    <n v="135"/>
    <x v="21"/>
    <x v="7"/>
    <x v="0"/>
    <n v="25.4"/>
    <m/>
    <x v="4"/>
    <n v="66"/>
    <n v="480"/>
    <n v="5.3"/>
    <n v="17"/>
    <n v="11"/>
    <n v="16"/>
    <n v="1"/>
    <n v="1"/>
    <m/>
    <m/>
    <n v="3.19"/>
    <n v="2.06"/>
    <n v="5.25"/>
    <n v="3"/>
    <n v="5.0599999999999996"/>
  </r>
  <r>
    <n v="136"/>
    <x v="23"/>
    <x v="7"/>
    <x v="2"/>
    <n v="23"/>
    <m/>
    <x v="4"/>
    <n v="66"/>
    <n v="480"/>
    <n v="5.3"/>
    <n v="25"/>
    <n v="11"/>
    <n v="24"/>
    <n v="1"/>
    <n v="1"/>
    <m/>
    <m/>
    <n v="4.6900000000000004"/>
    <n v="2.06"/>
    <n v="6.75"/>
    <n v="4.5"/>
    <n v="6.5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C5C0B95-95B2-0B43-AAB5-55D34F086EBC}" name="PivotTable2"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40" firstHeaderRow="0" firstDataRow="1" firstDataCol="1" rowPageCount="1" colPageCount="1"/>
  <pivotFields count="22">
    <pivotField showAll="0"/>
    <pivotField axis="axisRow" showAll="0">
      <items count="37">
        <item x="0"/>
        <item x="1"/>
        <item x="2"/>
        <item x="26"/>
        <item x="3"/>
        <item x="4"/>
        <item x="5"/>
        <item x="6"/>
        <item x="35"/>
        <item x="24"/>
        <item x="25"/>
        <item x="32"/>
        <item x="27"/>
        <item x="7"/>
        <item x="30"/>
        <item x="8"/>
        <item x="9"/>
        <item x="33"/>
        <item x="10"/>
        <item x="11"/>
        <item x="12"/>
        <item x="31"/>
        <item x="13"/>
        <item x="28"/>
        <item x="14"/>
        <item x="15"/>
        <item x="16"/>
        <item x="17"/>
        <item x="34"/>
        <item x="18"/>
        <item x="19"/>
        <item x="20"/>
        <item x="21"/>
        <item x="29"/>
        <item x="22"/>
        <item x="23"/>
        <item t="default"/>
      </items>
    </pivotField>
    <pivotField axis="axisPage" showAll="0">
      <items count="9">
        <item x="7"/>
        <item x="6"/>
        <item x="5"/>
        <item x="4"/>
        <item x="3"/>
        <item x="2"/>
        <item x="1"/>
        <item x="0"/>
        <item t="default"/>
      </items>
    </pivotField>
    <pivotField showAll="0"/>
    <pivotField showAll="0"/>
    <pivotField showAll="0"/>
    <pivotField dataField="1"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3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t="grand">
      <x/>
    </i>
  </rowItems>
  <colFields count="1">
    <field x="-2"/>
  </colFields>
  <colItems count="2">
    <i>
      <x/>
    </i>
    <i i="1">
      <x v="1"/>
    </i>
  </colItems>
  <pageFields count="1">
    <pageField fld="2" hier="-1"/>
  </pageFields>
  <dataFields count="2">
    <dataField name="Sum of matches_played" fld="6" baseField="0" baseItem="0"/>
    <dataField name="Sum of goals"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4287B85-2685-1048-B561-3F05CD3B0AA0}" name="PivotTable4"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D11" firstHeaderRow="0" firstDataRow="1" firstDataCol="1" rowPageCount="1" colPageCount="1"/>
  <pivotFields count="22">
    <pivotField showAll="0"/>
    <pivotField axis="axisPage" multipleItemSelectionAllowed="1" showAll="0">
      <items count="37">
        <item h="1" x="0"/>
        <item x="1"/>
        <item h="1" x="2"/>
        <item h="1" x="26"/>
        <item h="1" x="3"/>
        <item h="1" x="4"/>
        <item h="1" x="5"/>
        <item h="1" x="6"/>
        <item h="1" x="35"/>
        <item h="1" x="24"/>
        <item h="1" x="25"/>
        <item h="1" x="32"/>
        <item h="1" x="27"/>
        <item h="1" x="7"/>
        <item h="1" x="30"/>
        <item h="1" x="8"/>
        <item h="1" x="9"/>
        <item h="1" x="33"/>
        <item h="1" x="10"/>
        <item h="1" x="11"/>
        <item h="1" x="12"/>
        <item h="1" x="31"/>
        <item h="1" x="13"/>
        <item h="1" x="28"/>
        <item h="1" x="14"/>
        <item h="1" x="15"/>
        <item h="1" x="16"/>
        <item h="1" x="17"/>
        <item h="1" x="34"/>
        <item h="1" x="18"/>
        <item h="1" x="19"/>
        <item h="1" x="20"/>
        <item h="1" x="21"/>
        <item h="1" x="29"/>
        <item h="1" x="22"/>
        <item h="1" x="23"/>
        <item t="default"/>
      </items>
    </pivotField>
    <pivotField axis="axisRow" showAll="0">
      <items count="9">
        <item x="7"/>
        <item x="6"/>
        <item x="5"/>
        <item x="4"/>
        <item x="3"/>
        <item x="2"/>
        <item x="1"/>
        <item x="0"/>
        <item t="default"/>
      </items>
    </pivotField>
    <pivotField showAll="0"/>
    <pivotField showAll="0"/>
    <pivotField dataField="1" showAll="0"/>
    <pivotField dataField="1" showAll="0">
      <items count="6">
        <item x="0"/>
        <item x="1"/>
        <item x="3"/>
        <item x="4"/>
        <item x="2"/>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8">
    <i>
      <x v="1"/>
    </i>
    <i>
      <x v="2"/>
    </i>
    <i>
      <x v="3"/>
    </i>
    <i>
      <x v="4"/>
    </i>
    <i>
      <x v="5"/>
    </i>
    <i>
      <x v="6"/>
    </i>
    <i>
      <x v="7"/>
    </i>
    <i t="grand">
      <x/>
    </i>
  </rowItems>
  <colFields count="1">
    <field x="-2"/>
  </colFields>
  <colItems count="3">
    <i>
      <x/>
    </i>
    <i i="1">
      <x v="1"/>
    </i>
    <i i="2">
      <x v="2"/>
    </i>
  </colItems>
  <pageFields count="1">
    <pageField fld="1" hier="-1"/>
  </pageFields>
  <dataFields count="3">
    <dataField name="Sum of matches_played" fld="6" baseField="0" baseItem="0"/>
    <dataField name="Sum of goals" fld="10" baseField="0" baseItem="0"/>
    <dataField name="Average of possesion" fld="5" subtotal="average" baseField="0" baseItem="0"/>
  </dataFields>
  <chartFormats count="15">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1" format="5" series="1">
      <pivotArea type="data" outline="0" fieldPosition="0">
        <references count="1">
          <reference field="4294967294" count="1" selected="0">
            <x v="0"/>
          </reference>
        </references>
      </pivotArea>
    </chartFormat>
    <chartFormat chart="1" format="6" series="1">
      <pivotArea type="data" outline="0" fieldPosition="0">
        <references count="1">
          <reference field="4294967294" count="1" selected="0">
            <x v="1"/>
          </reference>
        </references>
      </pivotArea>
    </chartFormat>
    <chartFormat chart="1" format="7" series="1">
      <pivotArea type="data" outline="0" fieldPosition="0">
        <references count="1">
          <reference field="4294967294" count="1" selected="0">
            <x v="2"/>
          </reference>
        </references>
      </pivotArea>
    </chartFormat>
    <chartFormat chart="2" format="8" series="1">
      <pivotArea type="data" outline="0" fieldPosition="0">
        <references count="1">
          <reference field="4294967294" count="1" selected="0">
            <x v="0"/>
          </reference>
        </references>
      </pivotArea>
    </chartFormat>
    <chartFormat chart="2" format="9" series="1">
      <pivotArea type="data" outline="0" fieldPosition="0">
        <references count="1">
          <reference field="4294967294" count="1" selected="0">
            <x v="1"/>
          </reference>
        </references>
      </pivotArea>
    </chartFormat>
    <chartFormat chart="2" format="10" series="1">
      <pivotArea type="data" outline="0" fieldPosition="0">
        <references count="1">
          <reference field="4294967294" count="1" selected="0">
            <x v="2"/>
          </reference>
        </references>
      </pivotArea>
    </chartFormat>
    <chartFormat chart="3" format="11" series="1">
      <pivotArea type="data" outline="0" fieldPosition="0">
        <references count="1">
          <reference field="4294967294" count="1" selected="0">
            <x v="0"/>
          </reference>
        </references>
      </pivotArea>
    </chartFormat>
    <chartFormat chart="3" format="12" series="1">
      <pivotArea type="data" outline="0" fieldPosition="0">
        <references count="1">
          <reference field="4294967294" count="1" selected="0">
            <x v="1"/>
          </reference>
        </references>
      </pivotArea>
    </chartFormat>
    <chartFormat chart="3" format="13" series="1">
      <pivotArea type="data" outline="0" fieldPosition="0">
        <references count="1">
          <reference field="4294967294" count="1" selected="0">
            <x v="2"/>
          </reference>
        </references>
      </pivotArea>
    </chartFormat>
    <chartFormat chart="4" format="14" series="1">
      <pivotArea type="data" outline="0" fieldPosition="0">
        <references count="1">
          <reference field="4294967294" count="1" selected="0">
            <x v="0"/>
          </reference>
        </references>
      </pivotArea>
    </chartFormat>
    <chartFormat chart="4" format="15" series="1">
      <pivotArea type="data" outline="0" fieldPosition="0">
        <references count="1">
          <reference field="4294967294" count="1" selected="0">
            <x v="1"/>
          </reference>
        </references>
      </pivotArea>
    </chartFormat>
    <chartFormat chart="4" format="16"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Matches, goals and possessio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quad" xr10:uid="{39507514-BCAA-DE4E-82BE-9CACED3CD5EA}" sourceName="squad">
  <pivotTables>
    <pivotTable tabId="8" name="PivotTable4"/>
  </pivotTables>
  <data>
    <tabular pivotCacheId="1680593638">
      <items count="36">
        <i x="0"/>
        <i x="1" s="1"/>
        <i x="2"/>
        <i x="26"/>
        <i x="3"/>
        <i x="4"/>
        <i x="5"/>
        <i x="6"/>
        <i x="35"/>
        <i x="24"/>
        <i x="25"/>
        <i x="32"/>
        <i x="27"/>
        <i x="7"/>
        <i x="30"/>
        <i x="8"/>
        <i x="9"/>
        <i x="33"/>
        <i x="10"/>
        <i x="11"/>
        <i x="12"/>
        <i x="31"/>
        <i x="13"/>
        <i x="28"/>
        <i x="14"/>
        <i x="15"/>
        <i x="16"/>
        <i x="17"/>
        <i x="34"/>
        <i x="18"/>
        <i x="19"/>
        <i x="20"/>
        <i x="21"/>
        <i x="29"/>
        <i x="22"/>
        <i x="2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quad" xr10:uid="{455DA9B7-5FDA-7249-9F52-1296C7E6A8F7}" cache="Slicer_squad" caption="squad" rowHeight="251883"/>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16" dT="2023-08-17T09:47:37.39" personId="{41D526D4-9D67-3148-83A7-7F4FDCAD8DB6}" id="{B8DFFE92-4C1F-834A-8B14-DF1C3BAE1D39}">
    <text>Note how the formula proceeds to the second condition only if the first is not verified.</text>
  </threadedComment>
  <threadedComment ref="E16" dT="2023-08-17T09:47:37.39" personId="{41D526D4-9D67-3148-83A7-7F4FDCAD8DB6}" id="{956F094E-48EA-BD43-A476-97D9B87AF8A6}">
    <text>note how the “TRUE” condition at the end (which is always true!!) is a catch all condition (default if none of the preceding conditions are verified)</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github.com/zonination/pokemon-chart/blob/master/chart.csv" TargetMode="Externa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75C904-E326-9543-B211-79A5D7A9CA2E}">
  <sheetPr codeName="Sheet1"/>
  <dimension ref="A1:S22"/>
  <sheetViews>
    <sheetView workbookViewId="0">
      <selection activeCell="B25" sqref="B25"/>
    </sheetView>
  </sheetViews>
  <sheetFormatPr baseColWidth="10" defaultColWidth="11" defaultRowHeight="16" x14ac:dyDescent="0.2"/>
  <sheetData>
    <row r="1" spans="1:19" ht="17" x14ac:dyDescent="0.25">
      <c r="A1" s="13"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row>
    <row r="2" spans="1:19" ht="17" x14ac:dyDescent="0.25">
      <c r="A2" s="13" t="s">
        <v>1</v>
      </c>
      <c r="B2">
        <v>1</v>
      </c>
      <c r="C2">
        <v>1</v>
      </c>
      <c r="D2">
        <v>1</v>
      </c>
      <c r="E2">
        <v>1</v>
      </c>
      <c r="F2">
        <v>1</v>
      </c>
      <c r="G2">
        <v>1</v>
      </c>
      <c r="H2">
        <v>1</v>
      </c>
      <c r="I2">
        <v>1</v>
      </c>
      <c r="J2">
        <v>1</v>
      </c>
      <c r="K2">
        <v>1</v>
      </c>
      <c r="L2">
        <v>1</v>
      </c>
      <c r="M2">
        <v>1</v>
      </c>
      <c r="N2">
        <v>0.5</v>
      </c>
      <c r="O2">
        <v>0</v>
      </c>
      <c r="P2">
        <v>1</v>
      </c>
      <c r="Q2">
        <v>1</v>
      </c>
      <c r="R2">
        <v>0.5</v>
      </c>
      <c r="S2">
        <v>1</v>
      </c>
    </row>
    <row r="3" spans="1:19" ht="17" x14ac:dyDescent="0.25">
      <c r="A3" s="13" t="s">
        <v>2</v>
      </c>
      <c r="B3">
        <v>1</v>
      </c>
      <c r="C3">
        <v>0.5</v>
      </c>
      <c r="D3">
        <v>0.5</v>
      </c>
      <c r="E3">
        <v>1</v>
      </c>
      <c r="F3">
        <v>2</v>
      </c>
      <c r="G3">
        <v>2</v>
      </c>
      <c r="H3">
        <v>1</v>
      </c>
      <c r="I3">
        <v>1</v>
      </c>
      <c r="J3">
        <v>1</v>
      </c>
      <c r="K3">
        <v>1</v>
      </c>
      <c r="L3">
        <v>1</v>
      </c>
      <c r="M3">
        <v>2</v>
      </c>
      <c r="N3">
        <v>0.5</v>
      </c>
      <c r="O3">
        <v>1</v>
      </c>
      <c r="P3">
        <v>0.5</v>
      </c>
      <c r="Q3">
        <v>1</v>
      </c>
      <c r="R3">
        <v>2</v>
      </c>
      <c r="S3">
        <v>1</v>
      </c>
    </row>
    <row r="4" spans="1:19" ht="17" x14ac:dyDescent="0.25">
      <c r="A4" s="13" t="s">
        <v>3</v>
      </c>
      <c r="B4">
        <v>1</v>
      </c>
      <c r="C4">
        <v>2</v>
      </c>
      <c r="D4">
        <v>0.5</v>
      </c>
      <c r="E4">
        <v>1</v>
      </c>
      <c r="F4">
        <v>0.5</v>
      </c>
      <c r="G4">
        <v>1</v>
      </c>
      <c r="H4">
        <v>1</v>
      </c>
      <c r="I4">
        <v>1</v>
      </c>
      <c r="J4">
        <v>2</v>
      </c>
      <c r="K4">
        <v>1</v>
      </c>
      <c r="L4">
        <v>1</v>
      </c>
      <c r="M4">
        <v>1</v>
      </c>
      <c r="N4">
        <v>2</v>
      </c>
      <c r="O4">
        <v>1</v>
      </c>
      <c r="P4">
        <v>0.5</v>
      </c>
      <c r="Q4">
        <v>1</v>
      </c>
      <c r="R4">
        <v>1</v>
      </c>
      <c r="S4">
        <v>1</v>
      </c>
    </row>
    <row r="5" spans="1:19" ht="17" x14ac:dyDescent="0.25">
      <c r="A5" s="13" t="s">
        <v>4</v>
      </c>
      <c r="B5">
        <v>1</v>
      </c>
      <c r="C5">
        <v>1</v>
      </c>
      <c r="D5">
        <v>2</v>
      </c>
      <c r="E5">
        <v>0.5</v>
      </c>
      <c r="F5">
        <v>0.5</v>
      </c>
      <c r="G5">
        <v>1</v>
      </c>
      <c r="H5">
        <v>1</v>
      </c>
      <c r="I5">
        <v>1</v>
      </c>
      <c r="J5">
        <v>0</v>
      </c>
      <c r="K5">
        <v>2</v>
      </c>
      <c r="L5">
        <v>1</v>
      </c>
      <c r="M5">
        <v>1</v>
      </c>
      <c r="N5">
        <v>1</v>
      </c>
      <c r="O5">
        <v>1</v>
      </c>
      <c r="P5">
        <v>0.5</v>
      </c>
      <c r="Q5">
        <v>1</v>
      </c>
      <c r="R5">
        <v>1</v>
      </c>
      <c r="S5">
        <v>1</v>
      </c>
    </row>
    <row r="6" spans="1:19" ht="17" x14ac:dyDescent="0.25">
      <c r="A6" s="13" t="s">
        <v>5</v>
      </c>
      <c r="B6">
        <v>1</v>
      </c>
      <c r="C6">
        <v>0.5</v>
      </c>
      <c r="D6">
        <v>2</v>
      </c>
      <c r="E6">
        <v>1</v>
      </c>
      <c r="F6">
        <v>0.5</v>
      </c>
      <c r="G6">
        <v>1</v>
      </c>
      <c r="H6">
        <v>1</v>
      </c>
      <c r="I6">
        <v>0.5</v>
      </c>
      <c r="J6">
        <v>2</v>
      </c>
      <c r="K6">
        <v>0.5</v>
      </c>
      <c r="L6">
        <v>1</v>
      </c>
      <c r="M6">
        <v>0.5</v>
      </c>
      <c r="N6">
        <v>2</v>
      </c>
      <c r="O6">
        <v>1</v>
      </c>
      <c r="P6">
        <v>0.5</v>
      </c>
      <c r="Q6">
        <v>1</v>
      </c>
      <c r="R6">
        <v>0.5</v>
      </c>
      <c r="S6">
        <v>1</v>
      </c>
    </row>
    <row r="7" spans="1:19" ht="17" x14ac:dyDescent="0.25">
      <c r="A7" s="13" t="s">
        <v>6</v>
      </c>
      <c r="B7">
        <v>1</v>
      </c>
      <c r="C7">
        <v>0.5</v>
      </c>
      <c r="D7">
        <v>0.5</v>
      </c>
      <c r="E7">
        <v>1</v>
      </c>
      <c r="F7">
        <v>2</v>
      </c>
      <c r="G7">
        <v>0.5</v>
      </c>
      <c r="H7">
        <v>1</v>
      </c>
      <c r="I7">
        <v>1</v>
      </c>
      <c r="J7">
        <v>2</v>
      </c>
      <c r="K7">
        <v>2</v>
      </c>
      <c r="L7">
        <v>1</v>
      </c>
      <c r="M7">
        <v>1</v>
      </c>
      <c r="N7">
        <v>1</v>
      </c>
      <c r="O7">
        <v>1</v>
      </c>
      <c r="P7">
        <v>2</v>
      </c>
      <c r="Q7">
        <v>1</v>
      </c>
      <c r="R7">
        <v>0.5</v>
      </c>
      <c r="S7">
        <v>1</v>
      </c>
    </row>
    <row r="8" spans="1:19" ht="17" x14ac:dyDescent="0.25">
      <c r="A8" s="13" t="s">
        <v>7</v>
      </c>
      <c r="B8">
        <v>2</v>
      </c>
      <c r="C8">
        <v>1</v>
      </c>
      <c r="D8">
        <v>1</v>
      </c>
      <c r="E8">
        <v>1</v>
      </c>
      <c r="F8">
        <v>1</v>
      </c>
      <c r="G8">
        <v>2</v>
      </c>
      <c r="H8">
        <v>1</v>
      </c>
      <c r="I8">
        <v>0.5</v>
      </c>
      <c r="J8">
        <v>1</v>
      </c>
      <c r="K8">
        <v>0.5</v>
      </c>
      <c r="L8">
        <v>0.5</v>
      </c>
      <c r="M8">
        <v>0.5</v>
      </c>
      <c r="N8">
        <v>2</v>
      </c>
      <c r="O8">
        <v>0</v>
      </c>
      <c r="P8">
        <v>1</v>
      </c>
      <c r="Q8">
        <v>2</v>
      </c>
      <c r="R8">
        <v>2</v>
      </c>
      <c r="S8">
        <v>0.5</v>
      </c>
    </row>
    <row r="9" spans="1:19" ht="17" x14ac:dyDescent="0.25">
      <c r="A9" s="13" t="s">
        <v>8</v>
      </c>
      <c r="B9">
        <v>1</v>
      </c>
      <c r="C9">
        <v>1</v>
      </c>
      <c r="D9">
        <v>1</v>
      </c>
      <c r="E9">
        <v>1</v>
      </c>
      <c r="F9">
        <v>2</v>
      </c>
      <c r="G9">
        <v>1</v>
      </c>
      <c r="H9">
        <v>1</v>
      </c>
      <c r="I9">
        <v>0.5</v>
      </c>
      <c r="J9">
        <v>0.5</v>
      </c>
      <c r="K9">
        <v>1</v>
      </c>
      <c r="L9">
        <v>1</v>
      </c>
      <c r="M9">
        <v>1</v>
      </c>
      <c r="N9">
        <v>0.5</v>
      </c>
      <c r="O9">
        <v>0.5</v>
      </c>
      <c r="P9">
        <v>1</v>
      </c>
      <c r="Q9">
        <v>1</v>
      </c>
      <c r="R9">
        <v>0</v>
      </c>
      <c r="S9">
        <v>2</v>
      </c>
    </row>
    <row r="10" spans="1:19" ht="17" x14ac:dyDescent="0.25">
      <c r="A10" s="13" t="s">
        <v>9</v>
      </c>
      <c r="B10">
        <v>1</v>
      </c>
      <c r="C10">
        <v>2</v>
      </c>
      <c r="D10">
        <v>1</v>
      </c>
      <c r="E10">
        <v>2</v>
      </c>
      <c r="F10">
        <v>0.5</v>
      </c>
      <c r="G10">
        <v>1</v>
      </c>
      <c r="H10">
        <v>1</v>
      </c>
      <c r="I10">
        <v>2</v>
      </c>
      <c r="J10">
        <v>1</v>
      </c>
      <c r="K10">
        <v>0</v>
      </c>
      <c r="L10">
        <v>1</v>
      </c>
      <c r="M10">
        <v>0.5</v>
      </c>
      <c r="N10">
        <v>2</v>
      </c>
      <c r="O10">
        <v>1</v>
      </c>
      <c r="P10">
        <v>1</v>
      </c>
      <c r="Q10">
        <v>1</v>
      </c>
      <c r="R10">
        <v>2</v>
      </c>
      <c r="S10">
        <v>1</v>
      </c>
    </row>
    <row r="11" spans="1:19" ht="17" x14ac:dyDescent="0.25">
      <c r="A11" s="13" t="s">
        <v>10</v>
      </c>
      <c r="B11">
        <v>1</v>
      </c>
      <c r="C11">
        <v>1</v>
      </c>
      <c r="D11">
        <v>1</v>
      </c>
      <c r="E11">
        <v>0.5</v>
      </c>
      <c r="F11">
        <v>2</v>
      </c>
      <c r="G11">
        <v>1</v>
      </c>
      <c r="H11">
        <v>2</v>
      </c>
      <c r="I11">
        <v>1</v>
      </c>
      <c r="J11">
        <v>1</v>
      </c>
      <c r="K11">
        <v>1</v>
      </c>
      <c r="L11">
        <v>1</v>
      </c>
      <c r="M11">
        <v>2</v>
      </c>
      <c r="N11">
        <v>0.5</v>
      </c>
      <c r="O11">
        <v>1</v>
      </c>
      <c r="P11">
        <v>1</v>
      </c>
      <c r="Q11">
        <v>1</v>
      </c>
      <c r="R11">
        <v>0.5</v>
      </c>
      <c r="S11">
        <v>1</v>
      </c>
    </row>
    <row r="12" spans="1:19" ht="17" x14ac:dyDescent="0.25">
      <c r="A12" s="13" t="s">
        <v>11</v>
      </c>
      <c r="B12">
        <v>1</v>
      </c>
      <c r="C12">
        <v>1</v>
      </c>
      <c r="D12">
        <v>1</v>
      </c>
      <c r="E12">
        <v>1</v>
      </c>
      <c r="F12">
        <v>1</v>
      </c>
      <c r="G12">
        <v>1</v>
      </c>
      <c r="H12">
        <v>2</v>
      </c>
      <c r="I12">
        <v>2</v>
      </c>
      <c r="J12">
        <v>1</v>
      </c>
      <c r="K12">
        <v>1</v>
      </c>
      <c r="L12">
        <v>0.5</v>
      </c>
      <c r="M12">
        <v>1</v>
      </c>
      <c r="N12">
        <v>1</v>
      </c>
      <c r="O12">
        <v>1</v>
      </c>
      <c r="P12">
        <v>1</v>
      </c>
      <c r="Q12">
        <v>0</v>
      </c>
      <c r="R12">
        <v>0.5</v>
      </c>
      <c r="S12">
        <v>1</v>
      </c>
    </row>
    <row r="13" spans="1:19" ht="17" x14ac:dyDescent="0.25">
      <c r="A13" s="13" t="s">
        <v>12</v>
      </c>
      <c r="B13">
        <v>1</v>
      </c>
      <c r="C13">
        <v>0.5</v>
      </c>
      <c r="D13">
        <v>1</v>
      </c>
      <c r="E13">
        <v>1</v>
      </c>
      <c r="F13">
        <v>2</v>
      </c>
      <c r="G13">
        <v>1</v>
      </c>
      <c r="H13">
        <v>0.5</v>
      </c>
      <c r="I13">
        <v>0.5</v>
      </c>
      <c r="J13">
        <v>1</v>
      </c>
      <c r="K13">
        <v>0.5</v>
      </c>
      <c r="L13">
        <v>2</v>
      </c>
      <c r="M13">
        <v>1</v>
      </c>
      <c r="N13">
        <v>1</v>
      </c>
      <c r="O13">
        <v>0.5</v>
      </c>
      <c r="P13">
        <v>1</v>
      </c>
      <c r="Q13">
        <v>2</v>
      </c>
      <c r="R13">
        <v>0.5</v>
      </c>
      <c r="S13">
        <v>0.5</v>
      </c>
    </row>
    <row r="14" spans="1:19" ht="17" x14ac:dyDescent="0.25">
      <c r="A14" s="13" t="s">
        <v>13</v>
      </c>
      <c r="B14">
        <v>1</v>
      </c>
      <c r="C14">
        <v>2</v>
      </c>
      <c r="D14">
        <v>1</v>
      </c>
      <c r="E14">
        <v>1</v>
      </c>
      <c r="F14">
        <v>1</v>
      </c>
      <c r="G14">
        <v>2</v>
      </c>
      <c r="H14">
        <v>0.5</v>
      </c>
      <c r="I14">
        <v>1</v>
      </c>
      <c r="J14">
        <v>0.5</v>
      </c>
      <c r="K14">
        <v>2</v>
      </c>
      <c r="L14">
        <v>1</v>
      </c>
      <c r="M14">
        <v>2</v>
      </c>
      <c r="N14">
        <v>1</v>
      </c>
      <c r="O14">
        <v>1</v>
      </c>
      <c r="P14">
        <v>1</v>
      </c>
      <c r="Q14">
        <v>1</v>
      </c>
      <c r="R14">
        <v>0.5</v>
      </c>
      <c r="S14">
        <v>1</v>
      </c>
    </row>
    <row r="15" spans="1:19" ht="17" x14ac:dyDescent="0.25">
      <c r="A15" s="13" t="s">
        <v>14</v>
      </c>
      <c r="B15">
        <v>0</v>
      </c>
      <c r="C15">
        <v>1</v>
      </c>
      <c r="D15">
        <v>1</v>
      </c>
      <c r="E15">
        <v>1</v>
      </c>
      <c r="F15">
        <v>1</v>
      </c>
      <c r="G15">
        <v>1</v>
      </c>
      <c r="H15">
        <v>1</v>
      </c>
      <c r="I15">
        <v>1</v>
      </c>
      <c r="J15">
        <v>1</v>
      </c>
      <c r="K15">
        <v>1</v>
      </c>
      <c r="L15">
        <v>2</v>
      </c>
      <c r="M15">
        <v>1</v>
      </c>
      <c r="N15">
        <v>1</v>
      </c>
      <c r="O15">
        <v>2</v>
      </c>
      <c r="P15">
        <v>1</v>
      </c>
      <c r="Q15">
        <v>0.5</v>
      </c>
      <c r="R15">
        <v>1</v>
      </c>
      <c r="S15">
        <v>1</v>
      </c>
    </row>
    <row r="16" spans="1:19" ht="17" x14ac:dyDescent="0.25">
      <c r="A16" s="13" t="s">
        <v>15</v>
      </c>
      <c r="B16">
        <v>1</v>
      </c>
      <c r="C16">
        <v>1</v>
      </c>
      <c r="D16">
        <v>1</v>
      </c>
      <c r="E16">
        <v>1</v>
      </c>
      <c r="F16">
        <v>1</v>
      </c>
      <c r="G16">
        <v>1</v>
      </c>
      <c r="H16">
        <v>1</v>
      </c>
      <c r="I16">
        <v>1</v>
      </c>
      <c r="J16">
        <v>1</v>
      </c>
      <c r="K16">
        <v>1</v>
      </c>
      <c r="L16">
        <v>1</v>
      </c>
      <c r="M16">
        <v>1</v>
      </c>
      <c r="N16">
        <v>1</v>
      </c>
      <c r="O16">
        <v>1</v>
      </c>
      <c r="P16">
        <v>2</v>
      </c>
      <c r="Q16">
        <v>1</v>
      </c>
      <c r="R16">
        <v>0.5</v>
      </c>
      <c r="S16">
        <v>0</v>
      </c>
    </row>
    <row r="17" spans="1:19" ht="17" x14ac:dyDescent="0.25">
      <c r="A17" s="13" t="s">
        <v>16</v>
      </c>
      <c r="B17">
        <v>1</v>
      </c>
      <c r="C17">
        <v>1</v>
      </c>
      <c r="D17">
        <v>1</v>
      </c>
      <c r="E17">
        <v>1</v>
      </c>
      <c r="F17">
        <v>1</v>
      </c>
      <c r="G17">
        <v>1</v>
      </c>
      <c r="H17">
        <v>0.5</v>
      </c>
      <c r="I17">
        <v>1</v>
      </c>
      <c r="J17">
        <v>1</v>
      </c>
      <c r="K17">
        <v>1</v>
      </c>
      <c r="L17">
        <v>2</v>
      </c>
      <c r="M17">
        <v>1</v>
      </c>
      <c r="N17">
        <v>1</v>
      </c>
      <c r="O17">
        <v>2</v>
      </c>
      <c r="P17">
        <v>1</v>
      </c>
      <c r="Q17">
        <v>0.5</v>
      </c>
      <c r="R17">
        <v>1</v>
      </c>
      <c r="S17">
        <v>0.5</v>
      </c>
    </row>
    <row r="18" spans="1:19" ht="17" x14ac:dyDescent="0.25">
      <c r="A18" s="13" t="s">
        <v>17</v>
      </c>
      <c r="B18">
        <v>1</v>
      </c>
      <c r="C18">
        <v>0.5</v>
      </c>
      <c r="D18">
        <v>0.5</v>
      </c>
      <c r="E18">
        <v>0.5</v>
      </c>
      <c r="F18">
        <v>1</v>
      </c>
      <c r="G18">
        <v>2</v>
      </c>
      <c r="H18">
        <v>1</v>
      </c>
      <c r="I18">
        <v>1</v>
      </c>
      <c r="J18">
        <v>1</v>
      </c>
      <c r="K18">
        <v>1</v>
      </c>
      <c r="L18">
        <v>1</v>
      </c>
      <c r="M18">
        <v>1</v>
      </c>
      <c r="N18">
        <v>2</v>
      </c>
      <c r="O18">
        <v>1</v>
      </c>
      <c r="P18">
        <v>1</v>
      </c>
      <c r="Q18">
        <v>1</v>
      </c>
      <c r="R18">
        <v>0.5</v>
      </c>
      <c r="S18">
        <v>2</v>
      </c>
    </row>
    <row r="19" spans="1:19" ht="17" x14ac:dyDescent="0.25">
      <c r="A19" s="13" t="s">
        <v>18</v>
      </c>
      <c r="B19">
        <v>1</v>
      </c>
      <c r="C19">
        <v>0.5</v>
      </c>
      <c r="D19">
        <v>1</v>
      </c>
      <c r="E19">
        <v>1</v>
      </c>
      <c r="F19">
        <v>1</v>
      </c>
      <c r="G19">
        <v>1</v>
      </c>
      <c r="H19">
        <v>2</v>
      </c>
      <c r="I19">
        <v>0.5</v>
      </c>
      <c r="J19">
        <v>1</v>
      </c>
      <c r="K19">
        <v>1</v>
      </c>
      <c r="L19">
        <v>1</v>
      </c>
      <c r="M19">
        <v>1</v>
      </c>
      <c r="N19">
        <v>1</v>
      </c>
      <c r="O19">
        <v>1</v>
      </c>
      <c r="P19">
        <v>2</v>
      </c>
      <c r="Q19">
        <v>2</v>
      </c>
      <c r="R19">
        <v>0.5</v>
      </c>
      <c r="S19">
        <v>1</v>
      </c>
    </row>
    <row r="22" spans="1:19" ht="17" x14ac:dyDescent="0.25">
      <c r="A22" s="13" t="s">
        <v>19</v>
      </c>
      <c r="B22" s="14" t="s">
        <v>20</v>
      </c>
    </row>
  </sheetData>
  <hyperlinks>
    <hyperlink ref="B22" r:id="rId1" xr:uid="{86729434-85F6-AA47-8D13-C198526A046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99C1C-D30A-8A45-AEF3-1A6BD10676CA}">
  <sheetPr codeName="Sheet2"/>
  <dimension ref="A1:V139"/>
  <sheetViews>
    <sheetView workbookViewId="0">
      <selection activeCell="B84" sqref="B84"/>
    </sheetView>
  </sheetViews>
  <sheetFormatPr baseColWidth="10" defaultColWidth="11" defaultRowHeight="16" x14ac:dyDescent="0.2"/>
  <sheetData>
    <row r="1" spans="1:22" ht="18" x14ac:dyDescent="0.2">
      <c r="A1" s="15" t="s">
        <v>21</v>
      </c>
    </row>
    <row r="3" spans="1:22" x14ac:dyDescent="0.2">
      <c r="A3" t="s">
        <v>22</v>
      </c>
      <c r="B3" t="s">
        <v>23</v>
      </c>
      <c r="C3" t="s">
        <v>24</v>
      </c>
      <c r="D3" t="s">
        <v>25</v>
      </c>
      <c r="E3" t="s">
        <v>26</v>
      </c>
      <c r="F3" t="s">
        <v>27</v>
      </c>
      <c r="G3" t="s">
        <v>28</v>
      </c>
      <c r="H3" t="s">
        <v>29</v>
      </c>
      <c r="I3" t="s">
        <v>30</v>
      </c>
      <c r="J3" t="s">
        <v>31</v>
      </c>
      <c r="K3" t="s">
        <v>32</v>
      </c>
      <c r="L3" t="s">
        <v>33</v>
      </c>
      <c r="M3" t="s">
        <v>34</v>
      </c>
      <c r="N3" t="s">
        <v>35</v>
      </c>
      <c r="O3" t="s">
        <v>36</v>
      </c>
      <c r="P3" t="s">
        <v>37</v>
      </c>
      <c r="Q3" t="s">
        <v>38</v>
      </c>
      <c r="R3" t="s">
        <v>39</v>
      </c>
      <c r="S3" t="s">
        <v>40</v>
      </c>
      <c r="T3" t="s">
        <v>41</v>
      </c>
      <c r="U3" t="s">
        <v>42</v>
      </c>
      <c r="V3" t="s">
        <v>43</v>
      </c>
    </row>
    <row r="4" spans="1:22" x14ac:dyDescent="0.2">
      <c r="A4">
        <v>1</v>
      </c>
      <c r="B4" t="s">
        <v>44</v>
      </c>
      <c r="C4">
        <v>2019</v>
      </c>
      <c r="D4">
        <v>18</v>
      </c>
      <c r="E4">
        <v>26.8</v>
      </c>
      <c r="F4">
        <v>34.700000000000003</v>
      </c>
      <c r="G4">
        <v>3</v>
      </c>
      <c r="H4">
        <v>33</v>
      </c>
      <c r="I4">
        <v>270</v>
      </c>
      <c r="J4">
        <v>3</v>
      </c>
      <c r="K4">
        <v>2</v>
      </c>
      <c r="L4">
        <v>1</v>
      </c>
      <c r="M4">
        <v>1</v>
      </c>
      <c r="N4">
        <v>1</v>
      </c>
      <c r="O4">
        <v>1</v>
      </c>
      <c r="P4">
        <v>3</v>
      </c>
      <c r="Q4">
        <v>0</v>
      </c>
      <c r="R4">
        <v>0.67</v>
      </c>
      <c r="S4">
        <v>0.33</v>
      </c>
      <c r="T4">
        <v>1</v>
      </c>
      <c r="U4">
        <v>0.33</v>
      </c>
      <c r="V4">
        <v>0.67</v>
      </c>
    </row>
    <row r="5" spans="1:22" x14ac:dyDescent="0.2">
      <c r="A5">
        <v>2</v>
      </c>
      <c r="B5" t="s">
        <v>45</v>
      </c>
      <c r="C5">
        <v>2019</v>
      </c>
      <c r="D5">
        <v>18</v>
      </c>
      <c r="E5">
        <v>25.4</v>
      </c>
      <c r="F5">
        <v>61.3</v>
      </c>
      <c r="G5">
        <v>4</v>
      </c>
      <c r="H5">
        <v>44</v>
      </c>
      <c r="I5">
        <v>390</v>
      </c>
      <c r="J5">
        <v>4.3</v>
      </c>
      <c r="K5">
        <v>8</v>
      </c>
      <c r="L5">
        <v>4</v>
      </c>
      <c r="M5">
        <v>8</v>
      </c>
      <c r="N5">
        <v>0</v>
      </c>
      <c r="O5">
        <v>1</v>
      </c>
      <c r="P5">
        <v>2</v>
      </c>
      <c r="Q5">
        <v>0</v>
      </c>
      <c r="R5">
        <v>1.85</v>
      </c>
      <c r="S5">
        <v>0.92</v>
      </c>
      <c r="T5">
        <v>2.77</v>
      </c>
      <c r="U5">
        <v>1.85</v>
      </c>
      <c r="V5">
        <v>2.77</v>
      </c>
    </row>
    <row r="6" spans="1:22" x14ac:dyDescent="0.2">
      <c r="A6">
        <v>3</v>
      </c>
      <c r="B6" t="s">
        <v>46</v>
      </c>
      <c r="C6">
        <v>2019</v>
      </c>
      <c r="D6">
        <v>18</v>
      </c>
      <c r="E6">
        <v>29.7</v>
      </c>
      <c r="F6">
        <v>51.5</v>
      </c>
      <c r="G6">
        <v>4</v>
      </c>
      <c r="H6">
        <v>44</v>
      </c>
      <c r="I6">
        <v>390</v>
      </c>
      <c r="J6">
        <v>4.3</v>
      </c>
      <c r="K6">
        <v>7</v>
      </c>
      <c r="L6">
        <v>3</v>
      </c>
      <c r="M6">
        <v>5</v>
      </c>
      <c r="N6">
        <v>2</v>
      </c>
      <c r="O6">
        <v>3</v>
      </c>
      <c r="P6">
        <v>7</v>
      </c>
      <c r="Q6">
        <v>0</v>
      </c>
      <c r="R6">
        <v>1.62</v>
      </c>
      <c r="S6">
        <v>0.69</v>
      </c>
      <c r="T6">
        <v>2.31</v>
      </c>
      <c r="U6">
        <v>1.1499999999999999</v>
      </c>
      <c r="V6">
        <v>1.85</v>
      </c>
    </row>
    <row r="7" spans="1:22" x14ac:dyDescent="0.2">
      <c r="A7">
        <v>4</v>
      </c>
      <c r="B7" t="s">
        <v>47</v>
      </c>
      <c r="C7">
        <v>2019</v>
      </c>
      <c r="D7">
        <v>20</v>
      </c>
      <c r="E7">
        <v>27.7</v>
      </c>
      <c r="F7">
        <v>36</v>
      </c>
      <c r="G7">
        <v>4</v>
      </c>
      <c r="H7">
        <v>44</v>
      </c>
      <c r="I7">
        <v>360</v>
      </c>
      <c r="J7">
        <v>4</v>
      </c>
      <c r="K7">
        <v>3</v>
      </c>
      <c r="L7">
        <v>3</v>
      </c>
      <c r="M7">
        <v>3</v>
      </c>
      <c r="N7">
        <v>0</v>
      </c>
      <c r="O7">
        <v>0</v>
      </c>
      <c r="P7">
        <v>6</v>
      </c>
      <c r="Q7">
        <v>0</v>
      </c>
      <c r="R7">
        <v>0.75</v>
      </c>
      <c r="S7">
        <v>0.75</v>
      </c>
      <c r="T7">
        <v>1.5</v>
      </c>
      <c r="U7">
        <v>0.75</v>
      </c>
      <c r="V7">
        <v>1.5</v>
      </c>
    </row>
    <row r="8" spans="1:22" x14ac:dyDescent="0.2">
      <c r="A8">
        <v>5</v>
      </c>
      <c r="B8" t="s">
        <v>48</v>
      </c>
      <c r="C8">
        <v>2019</v>
      </c>
      <c r="D8">
        <v>16</v>
      </c>
      <c r="E8">
        <v>27</v>
      </c>
      <c r="F8">
        <v>63</v>
      </c>
      <c r="G8">
        <v>4</v>
      </c>
      <c r="H8">
        <v>44</v>
      </c>
      <c r="I8">
        <v>360</v>
      </c>
      <c r="J8">
        <v>4</v>
      </c>
      <c r="K8">
        <v>4</v>
      </c>
      <c r="L8">
        <v>3</v>
      </c>
      <c r="M8">
        <v>4</v>
      </c>
      <c r="N8">
        <v>0</v>
      </c>
      <c r="O8">
        <v>1</v>
      </c>
      <c r="P8">
        <v>2</v>
      </c>
      <c r="Q8">
        <v>0</v>
      </c>
      <c r="R8">
        <v>1</v>
      </c>
      <c r="S8">
        <v>0.75</v>
      </c>
      <c r="T8">
        <v>1.75</v>
      </c>
      <c r="U8">
        <v>1</v>
      </c>
      <c r="V8">
        <v>1.75</v>
      </c>
    </row>
    <row r="9" spans="1:22" x14ac:dyDescent="0.2">
      <c r="A9">
        <v>6</v>
      </c>
      <c r="B9" t="s">
        <v>49</v>
      </c>
      <c r="C9">
        <v>2019</v>
      </c>
      <c r="D9">
        <v>18</v>
      </c>
      <c r="E9">
        <v>26.8</v>
      </c>
      <c r="F9">
        <v>42</v>
      </c>
      <c r="G9">
        <v>3</v>
      </c>
      <c r="H9">
        <v>33</v>
      </c>
      <c r="I9">
        <v>270</v>
      </c>
      <c r="J9">
        <v>3</v>
      </c>
      <c r="K9">
        <v>1</v>
      </c>
      <c r="L9">
        <v>1</v>
      </c>
      <c r="M9">
        <v>1</v>
      </c>
      <c r="N9">
        <v>0</v>
      </c>
      <c r="O9">
        <v>1</v>
      </c>
      <c r="P9">
        <v>5</v>
      </c>
      <c r="Q9">
        <v>0</v>
      </c>
      <c r="R9">
        <v>0.33</v>
      </c>
      <c r="S9">
        <v>0.33</v>
      </c>
      <c r="T9">
        <v>0.67</v>
      </c>
      <c r="U9">
        <v>0.33</v>
      </c>
      <c r="V9">
        <v>0.67</v>
      </c>
    </row>
    <row r="10" spans="1:22" x14ac:dyDescent="0.2">
      <c r="A10">
        <v>7</v>
      </c>
      <c r="B10" t="s">
        <v>50</v>
      </c>
      <c r="C10">
        <v>2019</v>
      </c>
      <c r="D10">
        <v>17</v>
      </c>
      <c r="E10">
        <v>26.6</v>
      </c>
      <c r="F10">
        <v>47</v>
      </c>
      <c r="G10">
        <v>4</v>
      </c>
      <c r="H10">
        <v>44</v>
      </c>
      <c r="I10">
        <v>360</v>
      </c>
      <c r="J10">
        <v>4</v>
      </c>
      <c r="K10">
        <v>1</v>
      </c>
      <c r="L10">
        <v>1</v>
      </c>
      <c r="M10">
        <v>1</v>
      </c>
      <c r="N10">
        <v>0</v>
      </c>
      <c r="O10">
        <v>0</v>
      </c>
      <c r="P10">
        <v>5</v>
      </c>
      <c r="Q10">
        <v>0</v>
      </c>
      <c r="R10">
        <v>0.25</v>
      </c>
      <c r="S10">
        <v>0.25</v>
      </c>
      <c r="T10">
        <v>0.5</v>
      </c>
      <c r="U10">
        <v>0.25</v>
      </c>
      <c r="V10">
        <v>0.5</v>
      </c>
    </row>
    <row r="11" spans="1:22" x14ac:dyDescent="0.2">
      <c r="A11">
        <v>8</v>
      </c>
      <c r="B11" t="s">
        <v>51</v>
      </c>
      <c r="C11">
        <v>2019</v>
      </c>
      <c r="D11">
        <v>22</v>
      </c>
      <c r="E11">
        <v>27.8</v>
      </c>
      <c r="F11">
        <v>60.4</v>
      </c>
      <c r="G11">
        <v>7</v>
      </c>
      <c r="H11">
        <v>77</v>
      </c>
      <c r="I11">
        <v>630</v>
      </c>
      <c r="J11">
        <v>7</v>
      </c>
      <c r="K11">
        <v>13</v>
      </c>
      <c r="L11">
        <v>12</v>
      </c>
      <c r="M11">
        <v>12</v>
      </c>
      <c r="N11">
        <v>1</v>
      </c>
      <c r="O11">
        <v>4</v>
      </c>
      <c r="P11">
        <v>1</v>
      </c>
      <c r="Q11">
        <v>1</v>
      </c>
      <c r="R11">
        <v>1.86</v>
      </c>
      <c r="S11">
        <v>1.71</v>
      </c>
      <c r="T11">
        <v>3.57</v>
      </c>
      <c r="U11">
        <v>1.71</v>
      </c>
      <c r="V11">
        <v>3.43</v>
      </c>
    </row>
    <row r="12" spans="1:22" x14ac:dyDescent="0.2">
      <c r="A12">
        <v>9</v>
      </c>
      <c r="B12" t="s">
        <v>52</v>
      </c>
      <c r="C12">
        <v>2019</v>
      </c>
      <c r="D12">
        <v>17</v>
      </c>
      <c r="E12">
        <v>27.8</v>
      </c>
      <c r="F12">
        <v>58.8</v>
      </c>
      <c r="G12">
        <v>5</v>
      </c>
      <c r="H12">
        <v>55</v>
      </c>
      <c r="I12">
        <v>480</v>
      </c>
      <c r="J12">
        <v>5.3</v>
      </c>
      <c r="K12">
        <v>10</v>
      </c>
      <c r="L12">
        <v>8</v>
      </c>
      <c r="M12">
        <v>8</v>
      </c>
      <c r="N12">
        <v>2</v>
      </c>
      <c r="O12">
        <v>2</v>
      </c>
      <c r="P12">
        <v>2</v>
      </c>
      <c r="Q12">
        <v>0</v>
      </c>
      <c r="R12">
        <v>1.87</v>
      </c>
      <c r="S12">
        <v>1.5</v>
      </c>
      <c r="T12">
        <v>3.38</v>
      </c>
      <c r="U12">
        <v>1.5</v>
      </c>
      <c r="V12">
        <v>3</v>
      </c>
    </row>
    <row r="13" spans="1:22" x14ac:dyDescent="0.2">
      <c r="A13">
        <v>10</v>
      </c>
      <c r="B13" t="s">
        <v>53</v>
      </c>
      <c r="C13">
        <v>2019</v>
      </c>
      <c r="D13">
        <v>19</v>
      </c>
      <c r="E13">
        <v>25.5</v>
      </c>
      <c r="F13">
        <v>57.2</v>
      </c>
      <c r="G13">
        <v>5</v>
      </c>
      <c r="H13">
        <v>55</v>
      </c>
      <c r="I13">
        <v>450</v>
      </c>
      <c r="J13">
        <v>5</v>
      </c>
      <c r="K13">
        <v>10</v>
      </c>
      <c r="L13">
        <v>4</v>
      </c>
      <c r="M13">
        <v>9</v>
      </c>
      <c r="N13">
        <v>1</v>
      </c>
      <c r="O13">
        <v>1</v>
      </c>
      <c r="P13">
        <v>2</v>
      </c>
      <c r="Q13">
        <v>0</v>
      </c>
      <c r="R13">
        <v>2</v>
      </c>
      <c r="S13">
        <v>0.8</v>
      </c>
      <c r="T13">
        <v>2.8</v>
      </c>
      <c r="U13">
        <v>1.8</v>
      </c>
      <c r="V13">
        <v>2.6</v>
      </c>
    </row>
    <row r="14" spans="1:22" x14ac:dyDescent="0.2">
      <c r="A14">
        <v>11</v>
      </c>
      <c r="B14" t="s">
        <v>54</v>
      </c>
      <c r="C14">
        <v>2019</v>
      </c>
      <c r="D14">
        <v>17</v>
      </c>
      <c r="E14">
        <v>26.5</v>
      </c>
      <c r="F14">
        <v>43.4</v>
      </c>
      <c r="G14">
        <v>5</v>
      </c>
      <c r="H14">
        <v>55</v>
      </c>
      <c r="I14">
        <v>450</v>
      </c>
      <c r="J14">
        <v>5</v>
      </c>
      <c r="K14">
        <v>9</v>
      </c>
      <c r="L14">
        <v>6</v>
      </c>
      <c r="M14">
        <v>8</v>
      </c>
      <c r="N14">
        <v>1</v>
      </c>
      <c r="O14">
        <v>1</v>
      </c>
      <c r="P14">
        <v>4</v>
      </c>
      <c r="Q14">
        <v>0</v>
      </c>
      <c r="R14">
        <v>1.8</v>
      </c>
      <c r="S14">
        <v>1.2</v>
      </c>
      <c r="T14">
        <v>3</v>
      </c>
      <c r="U14">
        <v>1.6</v>
      </c>
      <c r="V14">
        <v>2.8</v>
      </c>
    </row>
    <row r="15" spans="1:22" x14ac:dyDescent="0.2">
      <c r="A15">
        <v>12</v>
      </c>
      <c r="B15" t="s">
        <v>55</v>
      </c>
      <c r="C15">
        <v>2019</v>
      </c>
      <c r="D15">
        <v>20</v>
      </c>
      <c r="E15">
        <v>22.9</v>
      </c>
      <c r="F15">
        <v>36.700000000000003</v>
      </c>
      <c r="G15">
        <v>3</v>
      </c>
      <c r="H15">
        <v>33</v>
      </c>
      <c r="I15">
        <v>270</v>
      </c>
      <c r="J15">
        <v>3</v>
      </c>
      <c r="K15">
        <v>1</v>
      </c>
      <c r="L15">
        <v>1</v>
      </c>
      <c r="M15">
        <v>1</v>
      </c>
      <c r="N15">
        <v>0</v>
      </c>
      <c r="O15">
        <v>0</v>
      </c>
      <c r="P15">
        <v>4</v>
      </c>
      <c r="Q15">
        <v>0</v>
      </c>
      <c r="R15">
        <v>0.33</v>
      </c>
      <c r="S15">
        <v>0.33</v>
      </c>
      <c r="T15">
        <v>0.67</v>
      </c>
      <c r="U15">
        <v>0.33</v>
      </c>
      <c r="V15">
        <v>0.67</v>
      </c>
    </row>
    <row r="16" spans="1:22" x14ac:dyDescent="0.2">
      <c r="A16">
        <v>13</v>
      </c>
      <c r="B16" t="s">
        <v>56</v>
      </c>
      <c r="C16">
        <v>2019</v>
      </c>
      <c r="D16">
        <v>17</v>
      </c>
      <c r="E16">
        <v>24.8</v>
      </c>
      <c r="F16">
        <v>53.8</v>
      </c>
      <c r="G16">
        <v>4</v>
      </c>
      <c r="H16">
        <v>44</v>
      </c>
      <c r="I16">
        <v>360</v>
      </c>
      <c r="J16">
        <v>4</v>
      </c>
      <c r="K16">
        <v>3</v>
      </c>
      <c r="L16">
        <v>2</v>
      </c>
      <c r="M16">
        <v>2</v>
      </c>
      <c r="N16">
        <v>1</v>
      </c>
      <c r="O16">
        <v>1</v>
      </c>
      <c r="P16">
        <v>4</v>
      </c>
      <c r="Q16">
        <v>0</v>
      </c>
      <c r="R16">
        <v>0.75</v>
      </c>
      <c r="S16">
        <v>0.5</v>
      </c>
      <c r="T16">
        <v>1.25</v>
      </c>
      <c r="U16">
        <v>0.5</v>
      </c>
      <c r="V16">
        <v>1</v>
      </c>
    </row>
    <row r="17" spans="1:22" x14ac:dyDescent="0.2">
      <c r="A17">
        <v>14</v>
      </c>
      <c r="B17" t="s">
        <v>57</v>
      </c>
      <c r="C17">
        <v>2019</v>
      </c>
      <c r="D17">
        <v>19</v>
      </c>
      <c r="E17">
        <v>26.9</v>
      </c>
      <c r="F17">
        <v>52</v>
      </c>
      <c r="G17">
        <v>3</v>
      </c>
      <c r="H17">
        <v>33</v>
      </c>
      <c r="I17">
        <v>270</v>
      </c>
      <c r="J17">
        <v>3</v>
      </c>
      <c r="K17">
        <v>1</v>
      </c>
      <c r="L17">
        <v>1</v>
      </c>
      <c r="M17">
        <v>1</v>
      </c>
      <c r="N17">
        <v>0</v>
      </c>
      <c r="O17">
        <v>0</v>
      </c>
      <c r="P17">
        <v>4</v>
      </c>
      <c r="Q17">
        <v>0</v>
      </c>
      <c r="R17">
        <v>0.33</v>
      </c>
      <c r="S17">
        <v>0.33</v>
      </c>
      <c r="T17">
        <v>0.67</v>
      </c>
      <c r="U17">
        <v>0.33</v>
      </c>
      <c r="V17">
        <v>0.67</v>
      </c>
    </row>
    <row r="18" spans="1:22" x14ac:dyDescent="0.2">
      <c r="A18">
        <v>15</v>
      </c>
      <c r="B18" t="s">
        <v>58</v>
      </c>
      <c r="C18">
        <v>2019</v>
      </c>
      <c r="D18">
        <v>16</v>
      </c>
      <c r="E18">
        <v>26.1</v>
      </c>
      <c r="F18">
        <v>57.1</v>
      </c>
      <c r="G18">
        <v>7</v>
      </c>
      <c r="H18">
        <v>77</v>
      </c>
      <c r="I18">
        <v>660</v>
      </c>
      <c r="J18">
        <v>7.3</v>
      </c>
      <c r="K18">
        <v>11</v>
      </c>
      <c r="L18">
        <v>7</v>
      </c>
      <c r="M18">
        <v>10</v>
      </c>
      <c r="N18">
        <v>1</v>
      </c>
      <c r="O18">
        <v>1</v>
      </c>
      <c r="P18">
        <v>0</v>
      </c>
      <c r="Q18">
        <v>0</v>
      </c>
      <c r="R18">
        <v>1.5</v>
      </c>
      <c r="S18">
        <v>0.95</v>
      </c>
      <c r="T18">
        <v>2.4500000000000002</v>
      </c>
      <c r="U18">
        <v>1.36</v>
      </c>
      <c r="V18">
        <v>2.3199999999999998</v>
      </c>
    </row>
    <row r="19" spans="1:22" x14ac:dyDescent="0.2">
      <c r="A19">
        <v>16</v>
      </c>
      <c r="B19" t="s">
        <v>59</v>
      </c>
      <c r="C19">
        <v>2019</v>
      </c>
      <c r="D19">
        <v>17</v>
      </c>
      <c r="E19">
        <v>27.6</v>
      </c>
      <c r="F19">
        <v>39.299999999999997</v>
      </c>
      <c r="G19">
        <v>3</v>
      </c>
      <c r="H19">
        <v>33</v>
      </c>
      <c r="I19">
        <v>270</v>
      </c>
      <c r="J19">
        <v>3</v>
      </c>
      <c r="K19">
        <v>0</v>
      </c>
      <c r="L19">
        <v>0</v>
      </c>
      <c r="M19">
        <v>0</v>
      </c>
      <c r="N19">
        <v>0</v>
      </c>
      <c r="O19">
        <v>0</v>
      </c>
      <c r="P19">
        <v>1</v>
      </c>
      <c r="Q19">
        <v>0</v>
      </c>
      <c r="R19">
        <v>0</v>
      </c>
      <c r="S19">
        <v>0</v>
      </c>
      <c r="T19">
        <v>0</v>
      </c>
      <c r="U19">
        <v>0</v>
      </c>
      <c r="V19">
        <v>0</v>
      </c>
    </row>
    <row r="20" spans="1:22" x14ac:dyDescent="0.2">
      <c r="A20">
        <v>17</v>
      </c>
      <c r="B20" t="s">
        <v>60</v>
      </c>
      <c r="C20">
        <v>2019</v>
      </c>
      <c r="D20">
        <v>20</v>
      </c>
      <c r="E20">
        <v>25.7</v>
      </c>
      <c r="F20">
        <v>34.799999999999997</v>
      </c>
      <c r="G20">
        <v>4</v>
      </c>
      <c r="H20">
        <v>44</v>
      </c>
      <c r="I20">
        <v>360</v>
      </c>
      <c r="J20">
        <v>4</v>
      </c>
      <c r="K20">
        <v>1</v>
      </c>
      <c r="L20">
        <v>1</v>
      </c>
      <c r="M20">
        <v>1</v>
      </c>
      <c r="N20">
        <v>0</v>
      </c>
      <c r="O20">
        <v>0</v>
      </c>
      <c r="P20">
        <v>6</v>
      </c>
      <c r="Q20">
        <v>1</v>
      </c>
      <c r="R20">
        <v>0.25</v>
      </c>
      <c r="S20">
        <v>0.25</v>
      </c>
      <c r="T20">
        <v>0.5</v>
      </c>
      <c r="U20">
        <v>0.25</v>
      </c>
      <c r="V20">
        <v>0.5</v>
      </c>
    </row>
    <row r="21" spans="1:22" x14ac:dyDescent="0.2">
      <c r="A21">
        <v>18</v>
      </c>
      <c r="B21" t="s">
        <v>61</v>
      </c>
      <c r="C21">
        <v>2019</v>
      </c>
      <c r="D21">
        <v>17</v>
      </c>
      <c r="E21">
        <v>26.8</v>
      </c>
      <c r="F21">
        <v>50.2</v>
      </c>
      <c r="G21">
        <v>5</v>
      </c>
      <c r="H21">
        <v>55</v>
      </c>
      <c r="I21">
        <v>480</v>
      </c>
      <c r="J21">
        <v>5.3</v>
      </c>
      <c r="K21">
        <v>5</v>
      </c>
      <c r="L21">
        <v>3</v>
      </c>
      <c r="M21">
        <v>3</v>
      </c>
      <c r="N21">
        <v>2</v>
      </c>
      <c r="O21">
        <v>2</v>
      </c>
      <c r="P21">
        <v>1</v>
      </c>
      <c r="Q21">
        <v>0</v>
      </c>
      <c r="R21">
        <v>0.94</v>
      </c>
      <c r="S21">
        <v>0.56000000000000005</v>
      </c>
      <c r="T21">
        <v>1.5</v>
      </c>
      <c r="U21">
        <v>0.56000000000000005</v>
      </c>
      <c r="V21">
        <v>1.1299999999999999</v>
      </c>
    </row>
    <row r="22" spans="1:22" x14ac:dyDescent="0.2">
      <c r="A22">
        <v>19</v>
      </c>
      <c r="B22" t="s">
        <v>62</v>
      </c>
      <c r="C22">
        <v>2019</v>
      </c>
      <c r="D22">
        <v>19</v>
      </c>
      <c r="E22">
        <v>26.4</v>
      </c>
      <c r="F22">
        <v>47</v>
      </c>
      <c r="G22">
        <v>3</v>
      </c>
      <c r="H22">
        <v>33</v>
      </c>
      <c r="I22">
        <v>270</v>
      </c>
      <c r="J22">
        <v>3</v>
      </c>
      <c r="K22">
        <v>5</v>
      </c>
      <c r="L22">
        <v>3</v>
      </c>
      <c r="M22">
        <v>5</v>
      </c>
      <c r="N22">
        <v>0</v>
      </c>
      <c r="O22">
        <v>0</v>
      </c>
      <c r="P22">
        <v>6</v>
      </c>
      <c r="Q22">
        <v>0</v>
      </c>
      <c r="R22">
        <v>1.67</v>
      </c>
      <c r="S22">
        <v>1</v>
      </c>
      <c r="T22">
        <v>2.67</v>
      </c>
      <c r="U22">
        <v>1.67</v>
      </c>
      <c r="V22">
        <v>2.67</v>
      </c>
    </row>
    <row r="23" spans="1:22" x14ac:dyDescent="0.2">
      <c r="A23">
        <v>20</v>
      </c>
      <c r="B23" t="s">
        <v>63</v>
      </c>
      <c r="C23">
        <v>2019</v>
      </c>
      <c r="D23">
        <v>19</v>
      </c>
      <c r="E23">
        <v>27.5</v>
      </c>
      <c r="F23">
        <v>38</v>
      </c>
      <c r="G23">
        <v>3</v>
      </c>
      <c r="H23">
        <v>33</v>
      </c>
      <c r="I23">
        <v>270</v>
      </c>
      <c r="J23">
        <v>3</v>
      </c>
      <c r="K23">
        <v>1</v>
      </c>
      <c r="L23">
        <v>1</v>
      </c>
      <c r="M23">
        <v>1</v>
      </c>
      <c r="N23">
        <v>0</v>
      </c>
      <c r="O23">
        <v>0</v>
      </c>
      <c r="P23">
        <v>7</v>
      </c>
      <c r="Q23">
        <v>1</v>
      </c>
      <c r="R23">
        <v>0.33</v>
      </c>
      <c r="S23">
        <v>0.33</v>
      </c>
      <c r="T23">
        <v>0.67</v>
      </c>
      <c r="U23">
        <v>0.33</v>
      </c>
      <c r="V23">
        <v>0.67</v>
      </c>
    </row>
    <row r="24" spans="1:22" x14ac:dyDescent="0.2">
      <c r="A24">
        <v>21</v>
      </c>
      <c r="B24" t="s">
        <v>64</v>
      </c>
      <c r="C24">
        <v>2019</v>
      </c>
      <c r="D24">
        <v>19</v>
      </c>
      <c r="E24">
        <v>25.2</v>
      </c>
      <c r="F24">
        <v>62.5</v>
      </c>
      <c r="G24">
        <v>4</v>
      </c>
      <c r="H24">
        <v>44</v>
      </c>
      <c r="I24">
        <v>360</v>
      </c>
      <c r="J24">
        <v>4</v>
      </c>
      <c r="K24">
        <v>4</v>
      </c>
      <c r="L24">
        <v>2</v>
      </c>
      <c r="M24">
        <v>2</v>
      </c>
      <c r="N24">
        <v>2</v>
      </c>
      <c r="O24">
        <v>2</v>
      </c>
      <c r="P24">
        <v>1</v>
      </c>
      <c r="Q24">
        <v>0</v>
      </c>
      <c r="R24">
        <v>1</v>
      </c>
      <c r="S24">
        <v>0.5</v>
      </c>
      <c r="T24">
        <v>1.5</v>
      </c>
      <c r="U24">
        <v>0.5</v>
      </c>
      <c r="V24">
        <v>1</v>
      </c>
    </row>
    <row r="25" spans="1:22" x14ac:dyDescent="0.2">
      <c r="A25">
        <v>22</v>
      </c>
      <c r="B25" t="s">
        <v>65</v>
      </c>
      <c r="C25">
        <v>2019</v>
      </c>
      <c r="D25">
        <v>20</v>
      </c>
      <c r="E25">
        <v>28.5</v>
      </c>
      <c r="F25">
        <v>48.4</v>
      </c>
      <c r="G25">
        <v>7</v>
      </c>
      <c r="H25">
        <v>77</v>
      </c>
      <c r="I25">
        <v>660</v>
      </c>
      <c r="J25">
        <v>7.3</v>
      </c>
      <c r="K25">
        <v>12</v>
      </c>
      <c r="L25">
        <v>7</v>
      </c>
      <c r="M25">
        <v>11</v>
      </c>
      <c r="N25">
        <v>1</v>
      </c>
      <c r="O25">
        <v>1</v>
      </c>
      <c r="P25">
        <v>2</v>
      </c>
      <c r="Q25">
        <v>0</v>
      </c>
      <c r="R25">
        <v>1.64</v>
      </c>
      <c r="S25">
        <v>0.95</v>
      </c>
      <c r="T25">
        <v>2.59</v>
      </c>
      <c r="U25">
        <v>1.5</v>
      </c>
      <c r="V25">
        <v>2.4500000000000002</v>
      </c>
    </row>
    <row r="26" spans="1:22" x14ac:dyDescent="0.2">
      <c r="A26">
        <v>23</v>
      </c>
      <c r="B26" t="s">
        <v>66</v>
      </c>
      <c r="C26">
        <v>2019</v>
      </c>
      <c r="D26">
        <v>18</v>
      </c>
      <c r="E26">
        <v>27.8</v>
      </c>
      <c r="F26">
        <v>30</v>
      </c>
      <c r="G26">
        <v>3</v>
      </c>
      <c r="H26">
        <v>33</v>
      </c>
      <c r="I26">
        <v>270</v>
      </c>
      <c r="J26">
        <v>3</v>
      </c>
      <c r="K26">
        <v>1</v>
      </c>
      <c r="L26">
        <v>1</v>
      </c>
      <c r="M26">
        <v>1</v>
      </c>
      <c r="N26">
        <v>0</v>
      </c>
      <c r="O26">
        <v>0</v>
      </c>
      <c r="P26">
        <v>5</v>
      </c>
      <c r="Q26">
        <v>0</v>
      </c>
      <c r="R26">
        <v>0.33</v>
      </c>
      <c r="S26">
        <v>0.33</v>
      </c>
      <c r="T26">
        <v>0.67</v>
      </c>
      <c r="U26">
        <v>0.33</v>
      </c>
      <c r="V26">
        <v>0.67</v>
      </c>
    </row>
    <row r="27" spans="1:22" x14ac:dyDescent="0.2">
      <c r="A27">
        <v>24</v>
      </c>
      <c r="B27" t="s">
        <v>67</v>
      </c>
      <c r="C27">
        <v>2019</v>
      </c>
      <c r="D27">
        <v>21</v>
      </c>
      <c r="E27">
        <v>28.8</v>
      </c>
      <c r="F27">
        <v>56</v>
      </c>
      <c r="G27">
        <v>7</v>
      </c>
      <c r="H27">
        <v>77</v>
      </c>
      <c r="I27">
        <v>630</v>
      </c>
      <c r="J27">
        <v>7</v>
      </c>
      <c r="K27">
        <v>25</v>
      </c>
      <c r="L27">
        <v>17</v>
      </c>
      <c r="M27">
        <v>22</v>
      </c>
      <c r="N27">
        <v>3</v>
      </c>
      <c r="O27">
        <v>4</v>
      </c>
      <c r="P27">
        <v>0</v>
      </c>
      <c r="Q27">
        <v>0</v>
      </c>
      <c r="R27">
        <v>3.57</v>
      </c>
      <c r="S27">
        <v>2.4300000000000002</v>
      </c>
      <c r="T27">
        <v>6</v>
      </c>
      <c r="U27">
        <v>3.14</v>
      </c>
      <c r="V27">
        <v>5.57</v>
      </c>
    </row>
    <row r="28" spans="1:22" x14ac:dyDescent="0.2">
      <c r="A28">
        <v>25</v>
      </c>
      <c r="B28" t="s">
        <v>45</v>
      </c>
      <c r="C28">
        <v>2015</v>
      </c>
      <c r="D28">
        <v>17</v>
      </c>
      <c r="E28">
        <v>23.6</v>
      </c>
      <c r="F28">
        <v>46.2</v>
      </c>
      <c r="G28">
        <v>5</v>
      </c>
      <c r="H28">
        <v>55</v>
      </c>
      <c r="I28">
        <v>450</v>
      </c>
      <c r="J28">
        <v>5</v>
      </c>
      <c r="K28">
        <v>5</v>
      </c>
      <c r="L28">
        <v>4</v>
      </c>
      <c r="M28">
        <v>5</v>
      </c>
      <c r="N28">
        <v>0</v>
      </c>
      <c r="O28">
        <v>0</v>
      </c>
      <c r="P28">
        <v>0</v>
      </c>
      <c r="Q28">
        <v>0</v>
      </c>
      <c r="R28">
        <v>1</v>
      </c>
      <c r="S28">
        <v>0.8</v>
      </c>
      <c r="T28">
        <v>1.8</v>
      </c>
      <c r="U28">
        <v>1</v>
      </c>
      <c r="V28">
        <v>1.8</v>
      </c>
    </row>
    <row r="29" spans="1:22" x14ac:dyDescent="0.2">
      <c r="A29">
        <v>26</v>
      </c>
      <c r="B29" t="s">
        <v>46</v>
      </c>
      <c r="C29">
        <v>2015</v>
      </c>
      <c r="D29">
        <v>20</v>
      </c>
      <c r="E29">
        <v>27.4</v>
      </c>
      <c r="F29">
        <v>59</v>
      </c>
      <c r="G29">
        <v>4</v>
      </c>
      <c r="H29">
        <v>44</v>
      </c>
      <c r="I29">
        <v>360</v>
      </c>
      <c r="J29">
        <v>4</v>
      </c>
      <c r="K29">
        <v>4</v>
      </c>
      <c r="L29">
        <v>1</v>
      </c>
      <c r="M29">
        <v>3</v>
      </c>
      <c r="N29">
        <v>1</v>
      </c>
      <c r="O29">
        <v>1</v>
      </c>
      <c r="P29">
        <v>1</v>
      </c>
      <c r="Q29">
        <v>0</v>
      </c>
      <c r="R29">
        <v>1</v>
      </c>
      <c r="S29">
        <v>0.25</v>
      </c>
      <c r="T29">
        <v>1.25</v>
      </c>
      <c r="U29">
        <v>0.75</v>
      </c>
      <c r="V29">
        <v>1</v>
      </c>
    </row>
    <row r="30" spans="1:22" x14ac:dyDescent="0.2">
      <c r="A30">
        <v>27</v>
      </c>
      <c r="B30" t="s">
        <v>47</v>
      </c>
      <c r="C30">
        <v>2015</v>
      </c>
      <c r="D30">
        <v>17</v>
      </c>
      <c r="E30">
        <v>25.1</v>
      </c>
      <c r="F30">
        <v>48.8</v>
      </c>
      <c r="G30">
        <v>4</v>
      </c>
      <c r="H30">
        <v>44</v>
      </c>
      <c r="I30">
        <v>360</v>
      </c>
      <c r="J30">
        <v>4</v>
      </c>
      <c r="K30">
        <v>9</v>
      </c>
      <c r="L30">
        <v>5</v>
      </c>
      <c r="M30">
        <v>5</v>
      </c>
      <c r="N30">
        <v>4</v>
      </c>
      <c r="O30">
        <v>4</v>
      </c>
      <c r="P30">
        <v>6</v>
      </c>
      <c r="Q30">
        <v>0</v>
      </c>
      <c r="R30">
        <v>2.25</v>
      </c>
      <c r="S30">
        <v>1.25</v>
      </c>
      <c r="T30">
        <v>3.5</v>
      </c>
      <c r="U30">
        <v>1.25</v>
      </c>
      <c r="V30">
        <v>2.5</v>
      </c>
    </row>
    <row r="31" spans="1:22" x14ac:dyDescent="0.2">
      <c r="A31">
        <v>28</v>
      </c>
      <c r="B31" t="s">
        <v>48</v>
      </c>
      <c r="C31">
        <v>2015</v>
      </c>
      <c r="D31">
        <v>18</v>
      </c>
      <c r="E31">
        <v>27.2</v>
      </c>
      <c r="F31">
        <v>55</v>
      </c>
      <c r="G31">
        <v>5</v>
      </c>
      <c r="H31">
        <v>55</v>
      </c>
      <c r="I31">
        <v>450</v>
      </c>
      <c r="J31">
        <v>5</v>
      </c>
      <c r="K31">
        <v>4</v>
      </c>
      <c r="L31">
        <v>1</v>
      </c>
      <c r="M31">
        <v>3</v>
      </c>
      <c r="N31">
        <v>1</v>
      </c>
      <c r="O31">
        <v>1</v>
      </c>
      <c r="P31">
        <v>3</v>
      </c>
      <c r="Q31">
        <v>0</v>
      </c>
      <c r="R31">
        <v>0.8</v>
      </c>
      <c r="S31">
        <v>0.2</v>
      </c>
      <c r="T31">
        <v>1</v>
      </c>
      <c r="U31">
        <v>0.6</v>
      </c>
      <c r="V31">
        <v>0.8</v>
      </c>
    </row>
    <row r="32" spans="1:22" x14ac:dyDescent="0.2">
      <c r="A32">
        <v>29</v>
      </c>
      <c r="B32" t="s">
        <v>50</v>
      </c>
      <c r="C32">
        <v>2015</v>
      </c>
      <c r="D32">
        <v>18</v>
      </c>
      <c r="E32">
        <v>23.6</v>
      </c>
      <c r="F32">
        <v>48.6</v>
      </c>
      <c r="G32">
        <v>5</v>
      </c>
      <c r="H32">
        <v>55</v>
      </c>
      <c r="I32">
        <v>450</v>
      </c>
      <c r="J32">
        <v>5</v>
      </c>
      <c r="K32">
        <v>4</v>
      </c>
      <c r="L32">
        <v>2</v>
      </c>
      <c r="M32">
        <v>3</v>
      </c>
      <c r="N32">
        <v>1</v>
      </c>
      <c r="O32">
        <v>1</v>
      </c>
      <c r="P32">
        <v>2</v>
      </c>
      <c r="Q32">
        <v>0</v>
      </c>
      <c r="R32">
        <v>0.8</v>
      </c>
      <c r="S32">
        <v>0.4</v>
      </c>
      <c r="T32">
        <v>1.2</v>
      </c>
      <c r="U32">
        <v>0.6</v>
      </c>
      <c r="V32">
        <v>1</v>
      </c>
    </row>
    <row r="33" spans="1:22" x14ac:dyDescent="0.2">
      <c r="A33">
        <v>30</v>
      </c>
      <c r="B33" t="s">
        <v>68</v>
      </c>
      <c r="C33">
        <v>2015</v>
      </c>
      <c r="D33">
        <v>18</v>
      </c>
      <c r="E33">
        <v>24.3</v>
      </c>
      <c r="F33">
        <v>44.3</v>
      </c>
      <c r="G33">
        <v>4</v>
      </c>
      <c r="H33">
        <v>44</v>
      </c>
      <c r="I33">
        <v>360</v>
      </c>
      <c r="J33">
        <v>4</v>
      </c>
      <c r="K33">
        <v>4</v>
      </c>
      <c r="L33">
        <v>4</v>
      </c>
      <c r="M33">
        <v>4</v>
      </c>
      <c r="N33">
        <v>0</v>
      </c>
      <c r="O33">
        <v>0</v>
      </c>
      <c r="P33">
        <v>8</v>
      </c>
      <c r="Q33">
        <v>0</v>
      </c>
      <c r="R33">
        <v>1</v>
      </c>
      <c r="S33">
        <v>1</v>
      </c>
      <c r="T33">
        <v>2</v>
      </c>
      <c r="U33">
        <v>1</v>
      </c>
      <c r="V33">
        <v>2</v>
      </c>
    </row>
    <row r="34" spans="1:22" x14ac:dyDescent="0.2">
      <c r="A34">
        <v>31</v>
      </c>
      <c r="B34" t="s">
        <v>69</v>
      </c>
      <c r="C34">
        <v>2015</v>
      </c>
      <c r="D34">
        <v>15</v>
      </c>
      <c r="E34">
        <v>25</v>
      </c>
      <c r="F34">
        <v>42.3</v>
      </c>
      <c r="G34">
        <v>3</v>
      </c>
      <c r="H34">
        <v>33</v>
      </c>
      <c r="I34">
        <v>270</v>
      </c>
      <c r="J34">
        <v>3</v>
      </c>
      <c r="K34">
        <v>3</v>
      </c>
      <c r="L34">
        <v>3</v>
      </c>
      <c r="M34">
        <v>3</v>
      </c>
      <c r="N34">
        <v>0</v>
      </c>
      <c r="O34">
        <v>0</v>
      </c>
      <c r="P34">
        <v>0</v>
      </c>
      <c r="Q34">
        <v>0</v>
      </c>
      <c r="R34">
        <v>1</v>
      </c>
      <c r="S34">
        <v>1</v>
      </c>
      <c r="T34">
        <v>2</v>
      </c>
      <c r="U34">
        <v>1</v>
      </c>
      <c r="V34">
        <v>2</v>
      </c>
    </row>
    <row r="35" spans="1:22" x14ac:dyDescent="0.2">
      <c r="A35">
        <v>32</v>
      </c>
      <c r="B35" t="s">
        <v>70</v>
      </c>
      <c r="C35">
        <v>2015</v>
      </c>
      <c r="D35">
        <v>19</v>
      </c>
      <c r="E35">
        <v>25</v>
      </c>
      <c r="F35">
        <v>45</v>
      </c>
      <c r="G35">
        <v>3</v>
      </c>
      <c r="H35">
        <v>33</v>
      </c>
      <c r="I35">
        <v>270</v>
      </c>
      <c r="J35">
        <v>3</v>
      </c>
      <c r="K35">
        <v>3</v>
      </c>
      <c r="L35">
        <v>0</v>
      </c>
      <c r="M35">
        <v>3</v>
      </c>
      <c r="N35">
        <v>0</v>
      </c>
      <c r="O35">
        <v>0</v>
      </c>
      <c r="P35">
        <v>8</v>
      </c>
      <c r="Q35">
        <v>0</v>
      </c>
      <c r="R35">
        <v>1</v>
      </c>
      <c r="S35">
        <v>0</v>
      </c>
      <c r="T35">
        <v>1</v>
      </c>
      <c r="U35">
        <v>1</v>
      </c>
      <c r="V35">
        <v>1</v>
      </c>
    </row>
    <row r="36" spans="1:22" x14ac:dyDescent="0.2">
      <c r="A36">
        <v>33</v>
      </c>
      <c r="B36" t="s">
        <v>71</v>
      </c>
      <c r="C36">
        <v>2015</v>
      </c>
      <c r="D36">
        <v>19</v>
      </c>
      <c r="E36">
        <v>23.4</v>
      </c>
      <c r="F36">
        <v>38.700000000000003</v>
      </c>
      <c r="G36">
        <v>3</v>
      </c>
      <c r="H36">
        <v>33</v>
      </c>
      <c r="I36">
        <v>270</v>
      </c>
      <c r="J36">
        <v>3</v>
      </c>
      <c r="K36">
        <v>1</v>
      </c>
      <c r="L36">
        <v>0</v>
      </c>
      <c r="M36">
        <v>0</v>
      </c>
      <c r="N36">
        <v>1</v>
      </c>
      <c r="O36">
        <v>1</v>
      </c>
      <c r="P36">
        <v>6</v>
      </c>
      <c r="Q36">
        <v>1</v>
      </c>
      <c r="R36">
        <v>0.33</v>
      </c>
      <c r="S36">
        <v>0</v>
      </c>
      <c r="T36">
        <v>0.33</v>
      </c>
      <c r="U36">
        <v>0</v>
      </c>
      <c r="V36">
        <v>0</v>
      </c>
    </row>
    <row r="37" spans="1:22" x14ac:dyDescent="0.2">
      <c r="A37">
        <v>34</v>
      </c>
      <c r="B37" t="s">
        <v>51</v>
      </c>
      <c r="C37">
        <v>2015</v>
      </c>
      <c r="D37">
        <v>22</v>
      </c>
      <c r="E37">
        <v>27.6</v>
      </c>
      <c r="F37">
        <v>48.1</v>
      </c>
      <c r="G37">
        <v>7</v>
      </c>
      <c r="H37">
        <v>77</v>
      </c>
      <c r="I37">
        <v>660</v>
      </c>
      <c r="J37">
        <v>7.3</v>
      </c>
      <c r="K37">
        <v>10</v>
      </c>
      <c r="L37">
        <v>4</v>
      </c>
      <c r="M37">
        <v>7</v>
      </c>
      <c r="N37">
        <v>3</v>
      </c>
      <c r="O37">
        <v>3</v>
      </c>
      <c r="P37">
        <v>3</v>
      </c>
      <c r="Q37">
        <v>0</v>
      </c>
      <c r="R37">
        <v>1.36</v>
      </c>
      <c r="S37">
        <v>0.55000000000000004</v>
      </c>
      <c r="T37">
        <v>1.91</v>
      </c>
      <c r="U37">
        <v>0.95</v>
      </c>
      <c r="V37">
        <v>1.5</v>
      </c>
    </row>
    <row r="38" spans="1:22" x14ac:dyDescent="0.2">
      <c r="A38">
        <v>35</v>
      </c>
      <c r="B38" t="s">
        <v>52</v>
      </c>
      <c r="C38">
        <v>2015</v>
      </c>
      <c r="D38">
        <v>19</v>
      </c>
      <c r="E38">
        <v>27.3</v>
      </c>
      <c r="F38">
        <v>53.6</v>
      </c>
      <c r="G38">
        <v>5</v>
      </c>
      <c r="H38">
        <v>55</v>
      </c>
      <c r="I38">
        <v>480</v>
      </c>
      <c r="J38">
        <v>5.3</v>
      </c>
      <c r="K38">
        <v>9</v>
      </c>
      <c r="L38">
        <v>7</v>
      </c>
      <c r="M38">
        <v>9</v>
      </c>
      <c r="N38">
        <v>0</v>
      </c>
      <c r="O38">
        <v>0</v>
      </c>
      <c r="P38">
        <v>0</v>
      </c>
      <c r="Q38">
        <v>0</v>
      </c>
      <c r="R38">
        <v>1.69</v>
      </c>
      <c r="S38">
        <v>1.31</v>
      </c>
      <c r="T38">
        <v>3</v>
      </c>
      <c r="U38">
        <v>1.69</v>
      </c>
      <c r="V38">
        <v>3</v>
      </c>
    </row>
    <row r="39" spans="1:22" x14ac:dyDescent="0.2">
      <c r="A39">
        <v>36</v>
      </c>
      <c r="B39" t="s">
        <v>53</v>
      </c>
      <c r="C39">
        <v>2015</v>
      </c>
      <c r="D39">
        <v>21</v>
      </c>
      <c r="E39">
        <v>26.9</v>
      </c>
      <c r="F39">
        <v>54.7</v>
      </c>
      <c r="G39">
        <v>7</v>
      </c>
      <c r="H39">
        <v>77</v>
      </c>
      <c r="I39">
        <v>690</v>
      </c>
      <c r="J39">
        <v>7.7</v>
      </c>
      <c r="K39">
        <v>20</v>
      </c>
      <c r="L39">
        <v>11</v>
      </c>
      <c r="M39">
        <v>18</v>
      </c>
      <c r="N39">
        <v>2</v>
      </c>
      <c r="O39">
        <v>2</v>
      </c>
      <c r="P39">
        <v>1</v>
      </c>
      <c r="Q39">
        <v>0</v>
      </c>
      <c r="R39">
        <v>2.61</v>
      </c>
      <c r="S39">
        <v>1.43</v>
      </c>
      <c r="T39">
        <v>4.04</v>
      </c>
      <c r="U39">
        <v>2.35</v>
      </c>
      <c r="V39">
        <v>3.78</v>
      </c>
    </row>
    <row r="40" spans="1:22" x14ac:dyDescent="0.2">
      <c r="A40">
        <v>37</v>
      </c>
      <c r="B40" t="s">
        <v>56</v>
      </c>
      <c r="C40">
        <v>2015</v>
      </c>
      <c r="D40">
        <v>23</v>
      </c>
      <c r="E40">
        <v>27.9</v>
      </c>
      <c r="F40">
        <v>55.1</v>
      </c>
      <c r="G40">
        <v>7</v>
      </c>
      <c r="H40">
        <v>77</v>
      </c>
      <c r="I40">
        <v>630</v>
      </c>
      <c r="J40">
        <v>7</v>
      </c>
      <c r="K40">
        <v>9</v>
      </c>
      <c r="L40">
        <v>5</v>
      </c>
      <c r="M40">
        <v>7</v>
      </c>
      <c r="N40">
        <v>2</v>
      </c>
      <c r="O40">
        <v>2</v>
      </c>
      <c r="P40">
        <v>1</v>
      </c>
      <c r="Q40">
        <v>0</v>
      </c>
      <c r="R40">
        <v>1.29</v>
      </c>
      <c r="S40">
        <v>0.71</v>
      </c>
      <c r="T40">
        <v>2</v>
      </c>
      <c r="U40">
        <v>1</v>
      </c>
      <c r="V40">
        <v>1.71</v>
      </c>
    </row>
    <row r="41" spans="1:22" x14ac:dyDescent="0.2">
      <c r="A41">
        <v>38</v>
      </c>
      <c r="B41" t="s">
        <v>57</v>
      </c>
      <c r="C41">
        <v>2015</v>
      </c>
      <c r="D41">
        <v>19</v>
      </c>
      <c r="E41">
        <v>26.1</v>
      </c>
      <c r="F41">
        <v>43.8</v>
      </c>
      <c r="G41">
        <v>4</v>
      </c>
      <c r="H41">
        <v>44</v>
      </c>
      <c r="I41">
        <v>360</v>
      </c>
      <c r="J41">
        <v>4</v>
      </c>
      <c r="K41">
        <v>4</v>
      </c>
      <c r="L41">
        <v>3</v>
      </c>
      <c r="M41">
        <v>3</v>
      </c>
      <c r="N41">
        <v>1</v>
      </c>
      <c r="O41">
        <v>1</v>
      </c>
      <c r="P41">
        <v>5</v>
      </c>
      <c r="Q41">
        <v>0</v>
      </c>
      <c r="R41">
        <v>1</v>
      </c>
      <c r="S41">
        <v>0.75</v>
      </c>
      <c r="T41">
        <v>1.75</v>
      </c>
      <c r="U41">
        <v>0.75</v>
      </c>
      <c r="V41">
        <v>1.5</v>
      </c>
    </row>
    <row r="42" spans="1:22" x14ac:dyDescent="0.2">
      <c r="A42">
        <v>39</v>
      </c>
      <c r="B42" t="s">
        <v>72</v>
      </c>
      <c r="C42">
        <v>2015</v>
      </c>
      <c r="D42">
        <v>17</v>
      </c>
      <c r="E42">
        <v>24.3</v>
      </c>
      <c r="F42">
        <v>52.3</v>
      </c>
      <c r="G42">
        <v>3</v>
      </c>
      <c r="H42">
        <v>33</v>
      </c>
      <c r="I42">
        <v>270</v>
      </c>
      <c r="J42">
        <v>3</v>
      </c>
      <c r="K42">
        <v>2</v>
      </c>
      <c r="L42">
        <v>1</v>
      </c>
      <c r="M42">
        <v>2</v>
      </c>
      <c r="N42">
        <v>0</v>
      </c>
      <c r="O42">
        <v>0</v>
      </c>
      <c r="P42">
        <v>4</v>
      </c>
      <c r="Q42">
        <v>0</v>
      </c>
      <c r="R42">
        <v>0.67</v>
      </c>
      <c r="S42">
        <v>0.33</v>
      </c>
      <c r="T42">
        <v>1</v>
      </c>
      <c r="U42">
        <v>0.67</v>
      </c>
      <c r="V42">
        <v>1</v>
      </c>
    </row>
    <row r="43" spans="1:22" x14ac:dyDescent="0.2">
      <c r="A43">
        <v>40</v>
      </c>
      <c r="B43" t="s">
        <v>58</v>
      </c>
      <c r="C43">
        <v>2015</v>
      </c>
      <c r="D43">
        <v>18</v>
      </c>
      <c r="E43">
        <v>24.3</v>
      </c>
      <c r="F43">
        <v>49</v>
      </c>
      <c r="G43">
        <v>4</v>
      </c>
      <c r="H43">
        <v>44</v>
      </c>
      <c r="I43">
        <v>360</v>
      </c>
      <c r="J43">
        <v>4</v>
      </c>
      <c r="K43">
        <v>3</v>
      </c>
      <c r="L43">
        <v>3</v>
      </c>
      <c r="M43">
        <v>3</v>
      </c>
      <c r="N43">
        <v>0</v>
      </c>
      <c r="O43">
        <v>0</v>
      </c>
      <c r="P43">
        <v>3</v>
      </c>
      <c r="Q43">
        <v>0</v>
      </c>
      <c r="R43">
        <v>0.75</v>
      </c>
      <c r="S43">
        <v>0.75</v>
      </c>
      <c r="T43">
        <v>1.5</v>
      </c>
      <c r="U43">
        <v>0.75</v>
      </c>
      <c r="V43">
        <v>1.5</v>
      </c>
    </row>
    <row r="44" spans="1:22" x14ac:dyDescent="0.2">
      <c r="A44">
        <v>41</v>
      </c>
      <c r="B44" t="s">
        <v>59</v>
      </c>
      <c r="C44">
        <v>2015</v>
      </c>
      <c r="D44">
        <v>15</v>
      </c>
      <c r="E44">
        <v>24.9</v>
      </c>
      <c r="F44">
        <v>46.7</v>
      </c>
      <c r="G44">
        <v>3</v>
      </c>
      <c r="H44">
        <v>33</v>
      </c>
      <c r="I44">
        <v>270</v>
      </c>
      <c r="J44">
        <v>3</v>
      </c>
      <c r="K44">
        <v>2</v>
      </c>
      <c r="L44">
        <v>2</v>
      </c>
      <c r="M44">
        <v>2</v>
      </c>
      <c r="N44">
        <v>0</v>
      </c>
      <c r="O44">
        <v>0</v>
      </c>
      <c r="P44">
        <v>4</v>
      </c>
      <c r="Q44">
        <v>0</v>
      </c>
      <c r="R44">
        <v>0.67</v>
      </c>
      <c r="S44">
        <v>0.67</v>
      </c>
      <c r="T44">
        <v>1.33</v>
      </c>
      <c r="U44">
        <v>0.67</v>
      </c>
      <c r="V44">
        <v>1.33</v>
      </c>
    </row>
    <row r="45" spans="1:22" x14ac:dyDescent="0.2">
      <c r="A45">
        <v>42</v>
      </c>
      <c r="B45" t="s">
        <v>60</v>
      </c>
      <c r="C45">
        <v>2015</v>
      </c>
      <c r="D45">
        <v>17</v>
      </c>
      <c r="E45">
        <v>24.6</v>
      </c>
      <c r="F45">
        <v>48.3</v>
      </c>
      <c r="G45">
        <v>3</v>
      </c>
      <c r="H45">
        <v>33</v>
      </c>
      <c r="I45">
        <v>270</v>
      </c>
      <c r="J45">
        <v>3</v>
      </c>
      <c r="K45">
        <v>3</v>
      </c>
      <c r="L45">
        <v>3</v>
      </c>
      <c r="M45">
        <v>3</v>
      </c>
      <c r="N45">
        <v>0</v>
      </c>
      <c r="O45">
        <v>0</v>
      </c>
      <c r="P45">
        <v>6</v>
      </c>
      <c r="Q45">
        <v>1</v>
      </c>
      <c r="R45">
        <v>1</v>
      </c>
      <c r="S45">
        <v>1</v>
      </c>
      <c r="T45">
        <v>2</v>
      </c>
      <c r="U45">
        <v>1</v>
      </c>
      <c r="V45">
        <v>2</v>
      </c>
    </row>
    <row r="46" spans="1:22" x14ac:dyDescent="0.2">
      <c r="A46">
        <v>43</v>
      </c>
      <c r="B46" t="s">
        <v>61</v>
      </c>
      <c r="C46">
        <v>2015</v>
      </c>
      <c r="D46">
        <v>18</v>
      </c>
      <c r="E46">
        <v>26.7</v>
      </c>
      <c r="F46">
        <v>54.5</v>
      </c>
      <c r="G46">
        <v>4</v>
      </c>
      <c r="H46">
        <v>44</v>
      </c>
      <c r="I46">
        <v>360</v>
      </c>
      <c r="J46">
        <v>4</v>
      </c>
      <c r="K46">
        <v>9</v>
      </c>
      <c r="L46">
        <v>6</v>
      </c>
      <c r="M46">
        <v>9</v>
      </c>
      <c r="N46">
        <v>0</v>
      </c>
      <c r="O46">
        <v>0</v>
      </c>
      <c r="P46">
        <v>1</v>
      </c>
      <c r="Q46">
        <v>0</v>
      </c>
      <c r="R46">
        <v>2.25</v>
      </c>
      <c r="S46">
        <v>1.5</v>
      </c>
      <c r="T46">
        <v>3.75</v>
      </c>
      <c r="U46">
        <v>2.25</v>
      </c>
      <c r="V46">
        <v>3.75</v>
      </c>
    </row>
    <row r="47" spans="1:22" x14ac:dyDescent="0.2">
      <c r="A47">
        <v>44</v>
      </c>
      <c r="B47" t="s">
        <v>64</v>
      </c>
      <c r="C47">
        <v>2015</v>
      </c>
      <c r="D47">
        <v>17</v>
      </c>
      <c r="E47">
        <v>25.3</v>
      </c>
      <c r="F47">
        <v>50.7</v>
      </c>
      <c r="G47">
        <v>3</v>
      </c>
      <c r="H47">
        <v>33</v>
      </c>
      <c r="I47">
        <v>270</v>
      </c>
      <c r="J47">
        <v>3</v>
      </c>
      <c r="K47">
        <v>2</v>
      </c>
      <c r="L47">
        <v>2</v>
      </c>
      <c r="M47">
        <v>2</v>
      </c>
      <c r="N47">
        <v>0</v>
      </c>
      <c r="O47">
        <v>0</v>
      </c>
      <c r="P47">
        <v>3</v>
      </c>
      <c r="Q47">
        <v>0</v>
      </c>
      <c r="R47">
        <v>0.67</v>
      </c>
      <c r="S47">
        <v>0.67</v>
      </c>
      <c r="T47">
        <v>1.33</v>
      </c>
      <c r="U47">
        <v>0.67</v>
      </c>
      <c r="V47">
        <v>1.33</v>
      </c>
    </row>
    <row r="48" spans="1:22" x14ac:dyDescent="0.2">
      <c r="A48">
        <v>45</v>
      </c>
      <c r="B48" t="s">
        <v>65</v>
      </c>
      <c r="C48">
        <v>2015</v>
      </c>
      <c r="D48">
        <v>18</v>
      </c>
      <c r="E48">
        <v>28.1</v>
      </c>
      <c r="F48">
        <v>49.3</v>
      </c>
      <c r="G48">
        <v>4</v>
      </c>
      <c r="H48">
        <v>44</v>
      </c>
      <c r="I48">
        <v>360</v>
      </c>
      <c r="J48">
        <v>4</v>
      </c>
      <c r="K48">
        <v>4</v>
      </c>
      <c r="L48">
        <v>2</v>
      </c>
      <c r="M48">
        <v>4</v>
      </c>
      <c r="N48">
        <v>0</v>
      </c>
      <c r="O48">
        <v>0</v>
      </c>
      <c r="P48">
        <v>0</v>
      </c>
      <c r="Q48">
        <v>0</v>
      </c>
      <c r="R48">
        <v>1</v>
      </c>
      <c r="S48">
        <v>0.5</v>
      </c>
      <c r="T48">
        <v>1.5</v>
      </c>
      <c r="U48">
        <v>1</v>
      </c>
      <c r="V48">
        <v>1.5</v>
      </c>
    </row>
    <row r="49" spans="1:22" x14ac:dyDescent="0.2">
      <c r="A49">
        <v>46</v>
      </c>
      <c r="B49" t="s">
        <v>73</v>
      </c>
      <c r="C49">
        <v>2015</v>
      </c>
      <c r="D49">
        <v>17</v>
      </c>
      <c r="E49">
        <v>25</v>
      </c>
      <c r="F49">
        <v>55.3</v>
      </c>
      <c r="G49">
        <v>4</v>
      </c>
      <c r="H49">
        <v>44</v>
      </c>
      <c r="I49">
        <v>360</v>
      </c>
      <c r="J49">
        <v>4</v>
      </c>
      <c r="K49">
        <v>9</v>
      </c>
      <c r="L49">
        <v>7</v>
      </c>
      <c r="M49">
        <v>8</v>
      </c>
      <c r="N49">
        <v>1</v>
      </c>
      <c r="O49">
        <v>1</v>
      </c>
      <c r="P49">
        <v>4</v>
      </c>
      <c r="Q49">
        <v>0</v>
      </c>
      <c r="R49">
        <v>2.25</v>
      </c>
      <c r="S49">
        <v>1.75</v>
      </c>
      <c r="T49">
        <v>4</v>
      </c>
      <c r="U49">
        <v>2</v>
      </c>
      <c r="V49">
        <v>3.75</v>
      </c>
    </row>
    <row r="50" spans="1:22" x14ac:dyDescent="0.2">
      <c r="A50">
        <v>47</v>
      </c>
      <c r="B50" t="s">
        <v>66</v>
      </c>
      <c r="C50">
        <v>2015</v>
      </c>
      <c r="D50">
        <v>17</v>
      </c>
      <c r="E50">
        <v>25.7</v>
      </c>
      <c r="F50">
        <v>40</v>
      </c>
      <c r="G50">
        <v>3</v>
      </c>
      <c r="H50">
        <v>33</v>
      </c>
      <c r="I50">
        <v>270</v>
      </c>
      <c r="J50">
        <v>3</v>
      </c>
      <c r="K50">
        <v>3</v>
      </c>
      <c r="L50">
        <v>3</v>
      </c>
      <c r="M50">
        <v>3</v>
      </c>
      <c r="N50">
        <v>0</v>
      </c>
      <c r="O50">
        <v>0</v>
      </c>
      <c r="P50">
        <v>3</v>
      </c>
      <c r="Q50">
        <v>0</v>
      </c>
      <c r="R50">
        <v>1</v>
      </c>
      <c r="S50">
        <v>1</v>
      </c>
      <c r="T50">
        <v>2</v>
      </c>
      <c r="U50">
        <v>1</v>
      </c>
      <c r="V50">
        <v>2</v>
      </c>
    </row>
    <row r="51" spans="1:22" x14ac:dyDescent="0.2">
      <c r="A51">
        <v>48</v>
      </c>
      <c r="B51" t="s">
        <v>67</v>
      </c>
      <c r="C51">
        <v>2015</v>
      </c>
      <c r="D51">
        <v>20</v>
      </c>
      <c r="E51">
        <v>28.4</v>
      </c>
      <c r="F51">
        <v>52.9</v>
      </c>
      <c r="G51">
        <v>7</v>
      </c>
      <c r="H51">
        <v>77</v>
      </c>
      <c r="I51">
        <v>630</v>
      </c>
      <c r="J51">
        <v>7</v>
      </c>
      <c r="K51">
        <v>14</v>
      </c>
      <c r="L51">
        <v>7</v>
      </c>
      <c r="M51">
        <v>12</v>
      </c>
      <c r="N51">
        <v>2</v>
      </c>
      <c r="O51">
        <v>2</v>
      </c>
      <c r="P51">
        <v>2</v>
      </c>
      <c r="Q51">
        <v>0</v>
      </c>
      <c r="R51">
        <v>2</v>
      </c>
      <c r="S51">
        <v>1</v>
      </c>
      <c r="T51">
        <v>3</v>
      </c>
      <c r="U51">
        <v>1.71</v>
      </c>
      <c r="V51">
        <v>2.71</v>
      </c>
    </row>
    <row r="52" spans="1:22" x14ac:dyDescent="0.2">
      <c r="A52">
        <v>49</v>
      </c>
      <c r="B52" t="s">
        <v>45</v>
      </c>
      <c r="C52">
        <v>2011</v>
      </c>
      <c r="D52">
        <v>20</v>
      </c>
      <c r="E52">
        <v>22.8</v>
      </c>
      <c r="F52">
        <v>53.5</v>
      </c>
      <c r="G52">
        <v>4</v>
      </c>
      <c r="H52">
        <v>44</v>
      </c>
      <c r="I52">
        <v>360</v>
      </c>
      <c r="J52">
        <v>4</v>
      </c>
      <c r="K52">
        <v>6</v>
      </c>
      <c r="L52">
        <v>6</v>
      </c>
      <c r="M52">
        <v>6</v>
      </c>
      <c r="N52">
        <v>0</v>
      </c>
      <c r="O52">
        <v>0</v>
      </c>
      <c r="P52">
        <v>0</v>
      </c>
      <c r="Q52">
        <v>0</v>
      </c>
      <c r="R52">
        <v>1.5</v>
      </c>
      <c r="S52">
        <v>1.5</v>
      </c>
      <c r="T52">
        <v>3</v>
      </c>
      <c r="U52">
        <v>1.5</v>
      </c>
      <c r="V52">
        <v>3</v>
      </c>
    </row>
    <row r="53" spans="1:22" x14ac:dyDescent="0.2">
      <c r="A53">
        <v>50</v>
      </c>
      <c r="B53" t="s">
        <v>46</v>
      </c>
      <c r="C53">
        <v>2011</v>
      </c>
      <c r="D53">
        <v>16</v>
      </c>
      <c r="E53">
        <v>27</v>
      </c>
      <c r="F53">
        <v>53.3</v>
      </c>
      <c r="G53">
        <v>4</v>
      </c>
      <c r="H53">
        <v>44</v>
      </c>
      <c r="I53">
        <v>390</v>
      </c>
      <c r="J53">
        <v>4.3</v>
      </c>
      <c r="K53">
        <v>9</v>
      </c>
      <c r="L53">
        <v>6</v>
      </c>
      <c r="M53">
        <v>7</v>
      </c>
      <c r="N53">
        <v>2</v>
      </c>
      <c r="O53">
        <v>2</v>
      </c>
      <c r="P53">
        <v>0</v>
      </c>
      <c r="Q53">
        <v>0</v>
      </c>
      <c r="R53">
        <v>2.08</v>
      </c>
      <c r="S53">
        <v>1.38</v>
      </c>
      <c r="T53">
        <v>3.46</v>
      </c>
      <c r="U53">
        <v>1.62</v>
      </c>
      <c r="V53">
        <v>3</v>
      </c>
    </row>
    <row r="54" spans="1:22" x14ac:dyDescent="0.2">
      <c r="A54">
        <v>51</v>
      </c>
      <c r="B54" t="s">
        <v>48</v>
      </c>
      <c r="C54">
        <v>2011</v>
      </c>
      <c r="D54">
        <v>19</v>
      </c>
      <c r="E54">
        <v>25.9</v>
      </c>
      <c r="F54">
        <v>47.3</v>
      </c>
      <c r="G54">
        <v>3</v>
      </c>
      <c r="H54">
        <v>33</v>
      </c>
      <c r="I54">
        <v>270</v>
      </c>
      <c r="J54">
        <v>3</v>
      </c>
      <c r="K54">
        <v>1</v>
      </c>
      <c r="L54">
        <v>0</v>
      </c>
      <c r="M54">
        <v>1</v>
      </c>
      <c r="N54">
        <v>0</v>
      </c>
      <c r="O54">
        <v>0</v>
      </c>
      <c r="P54">
        <v>0</v>
      </c>
      <c r="Q54">
        <v>0</v>
      </c>
      <c r="R54">
        <v>0.33</v>
      </c>
      <c r="S54">
        <v>0</v>
      </c>
      <c r="T54">
        <v>0.33</v>
      </c>
      <c r="U54">
        <v>0.33</v>
      </c>
      <c r="V54">
        <v>0.33</v>
      </c>
    </row>
    <row r="55" spans="1:22" x14ac:dyDescent="0.2">
      <c r="A55">
        <v>52</v>
      </c>
      <c r="B55" t="s">
        <v>68</v>
      </c>
      <c r="C55">
        <v>2011</v>
      </c>
      <c r="D55">
        <v>17</v>
      </c>
      <c r="E55">
        <v>22.4</v>
      </c>
      <c r="F55">
        <v>49.3</v>
      </c>
      <c r="G55">
        <v>3</v>
      </c>
      <c r="H55">
        <v>33</v>
      </c>
      <c r="I55">
        <v>270</v>
      </c>
      <c r="J55">
        <v>3</v>
      </c>
      <c r="K55">
        <v>0</v>
      </c>
      <c r="L55">
        <v>0</v>
      </c>
      <c r="M55">
        <v>0</v>
      </c>
      <c r="N55">
        <v>0</v>
      </c>
      <c r="O55">
        <v>0</v>
      </c>
      <c r="P55">
        <v>0</v>
      </c>
      <c r="Q55">
        <v>0</v>
      </c>
      <c r="R55">
        <v>0</v>
      </c>
      <c r="S55">
        <v>0</v>
      </c>
      <c r="T55">
        <v>0</v>
      </c>
      <c r="U55">
        <v>0</v>
      </c>
      <c r="V55">
        <v>0</v>
      </c>
    </row>
    <row r="56" spans="1:22" x14ac:dyDescent="0.2">
      <c r="A56">
        <v>53</v>
      </c>
      <c r="B56" t="s">
        <v>51</v>
      </c>
      <c r="C56">
        <v>2011</v>
      </c>
      <c r="D56">
        <v>18</v>
      </c>
      <c r="E56">
        <v>26.9</v>
      </c>
      <c r="F56">
        <v>49.3</v>
      </c>
      <c r="G56">
        <v>4</v>
      </c>
      <c r="H56">
        <v>44</v>
      </c>
      <c r="I56">
        <v>390</v>
      </c>
      <c r="J56">
        <v>4.3</v>
      </c>
      <c r="K56">
        <v>6</v>
      </c>
      <c r="L56">
        <v>7</v>
      </c>
      <c r="M56">
        <v>6</v>
      </c>
      <c r="N56">
        <v>0</v>
      </c>
      <c r="O56">
        <v>0</v>
      </c>
      <c r="P56">
        <v>0</v>
      </c>
      <c r="Q56">
        <v>0</v>
      </c>
      <c r="R56">
        <v>1.38</v>
      </c>
      <c r="S56">
        <v>1.62</v>
      </c>
      <c r="T56">
        <v>3</v>
      </c>
      <c r="U56">
        <v>1.38</v>
      </c>
      <c r="V56">
        <v>3</v>
      </c>
    </row>
    <row r="57" spans="1:22" x14ac:dyDescent="0.2">
      <c r="A57">
        <v>54</v>
      </c>
      <c r="B57" t="s">
        <v>74</v>
      </c>
      <c r="C57">
        <v>2011</v>
      </c>
      <c r="D57">
        <v>15</v>
      </c>
      <c r="E57">
        <v>26.1</v>
      </c>
      <c r="F57">
        <v>40.700000000000003</v>
      </c>
      <c r="G57">
        <v>3</v>
      </c>
      <c r="H57">
        <v>33</v>
      </c>
      <c r="I57">
        <v>270</v>
      </c>
      <c r="J57">
        <v>3</v>
      </c>
      <c r="K57">
        <v>2</v>
      </c>
      <c r="L57">
        <v>0</v>
      </c>
      <c r="M57">
        <v>2</v>
      </c>
      <c r="N57">
        <v>0</v>
      </c>
      <c r="O57">
        <v>0</v>
      </c>
      <c r="R57">
        <v>0.67</v>
      </c>
      <c r="S57">
        <v>0</v>
      </c>
      <c r="T57">
        <v>0.67</v>
      </c>
      <c r="U57">
        <v>0.67</v>
      </c>
      <c r="V57">
        <v>0.67</v>
      </c>
    </row>
    <row r="58" spans="1:22" x14ac:dyDescent="0.2">
      <c r="A58">
        <v>55</v>
      </c>
      <c r="B58" t="s">
        <v>52</v>
      </c>
      <c r="C58">
        <v>2011</v>
      </c>
      <c r="D58">
        <v>20</v>
      </c>
      <c r="E58">
        <v>26.7</v>
      </c>
      <c r="F58">
        <v>52.3</v>
      </c>
      <c r="G58">
        <v>6</v>
      </c>
      <c r="H58">
        <v>66</v>
      </c>
      <c r="I58">
        <v>570</v>
      </c>
      <c r="J58">
        <v>6.3</v>
      </c>
      <c r="K58">
        <v>10</v>
      </c>
      <c r="L58">
        <v>9</v>
      </c>
      <c r="M58">
        <v>10</v>
      </c>
      <c r="N58">
        <v>0</v>
      </c>
      <c r="O58">
        <v>0</v>
      </c>
      <c r="P58">
        <v>0</v>
      </c>
      <c r="Q58">
        <v>0</v>
      </c>
      <c r="R58">
        <v>1.58</v>
      </c>
      <c r="S58">
        <v>1.42</v>
      </c>
      <c r="T58">
        <v>3</v>
      </c>
      <c r="U58">
        <v>1.58</v>
      </c>
      <c r="V58">
        <v>3</v>
      </c>
    </row>
    <row r="59" spans="1:22" x14ac:dyDescent="0.2">
      <c r="A59">
        <v>56</v>
      </c>
      <c r="B59" t="s">
        <v>53</v>
      </c>
      <c r="C59">
        <v>2011</v>
      </c>
      <c r="D59">
        <v>17</v>
      </c>
      <c r="E59">
        <v>26.4</v>
      </c>
      <c r="F59">
        <v>50</v>
      </c>
      <c r="G59">
        <v>4</v>
      </c>
      <c r="H59">
        <v>44</v>
      </c>
      <c r="I59">
        <v>390</v>
      </c>
      <c r="J59">
        <v>4.3</v>
      </c>
      <c r="K59">
        <v>7</v>
      </c>
      <c r="L59">
        <v>6</v>
      </c>
      <c r="M59">
        <v>6</v>
      </c>
      <c r="N59">
        <v>1</v>
      </c>
      <c r="O59">
        <v>1</v>
      </c>
      <c r="P59">
        <v>0</v>
      </c>
      <c r="Q59">
        <v>0</v>
      </c>
      <c r="R59">
        <v>1.62</v>
      </c>
      <c r="S59">
        <v>1.38</v>
      </c>
      <c r="T59">
        <v>3</v>
      </c>
      <c r="U59">
        <v>1.38</v>
      </c>
      <c r="V59">
        <v>2.77</v>
      </c>
    </row>
    <row r="60" spans="1:22" x14ac:dyDescent="0.2">
      <c r="A60">
        <v>57</v>
      </c>
      <c r="B60" t="s">
        <v>56</v>
      </c>
      <c r="C60">
        <v>2011</v>
      </c>
      <c r="D60">
        <v>18</v>
      </c>
      <c r="E60">
        <v>25.4</v>
      </c>
      <c r="F60">
        <v>56.5</v>
      </c>
      <c r="G60">
        <v>6</v>
      </c>
      <c r="H60">
        <v>66</v>
      </c>
      <c r="I60">
        <v>600</v>
      </c>
      <c r="J60">
        <v>6.7</v>
      </c>
      <c r="K60">
        <v>12</v>
      </c>
      <c r="L60">
        <v>10</v>
      </c>
      <c r="M60">
        <v>12</v>
      </c>
      <c r="N60">
        <v>0</v>
      </c>
      <c r="O60">
        <v>0</v>
      </c>
      <c r="P60">
        <v>0</v>
      </c>
      <c r="Q60">
        <v>0</v>
      </c>
      <c r="R60">
        <v>1.8</v>
      </c>
      <c r="S60">
        <v>1.5</v>
      </c>
      <c r="T60">
        <v>3.3</v>
      </c>
      <c r="U60">
        <v>1.8</v>
      </c>
      <c r="V60">
        <v>3.3</v>
      </c>
    </row>
    <row r="61" spans="1:22" x14ac:dyDescent="0.2">
      <c r="A61">
        <v>58</v>
      </c>
      <c r="B61" t="s">
        <v>75</v>
      </c>
      <c r="C61">
        <v>2011</v>
      </c>
      <c r="D61">
        <v>17</v>
      </c>
      <c r="E61">
        <v>21.1</v>
      </c>
      <c r="F61">
        <v>50.7</v>
      </c>
      <c r="G61">
        <v>3</v>
      </c>
      <c r="H61">
        <v>33</v>
      </c>
      <c r="I61">
        <v>270</v>
      </c>
      <c r="J61">
        <v>3</v>
      </c>
      <c r="K61">
        <v>0</v>
      </c>
      <c r="L61">
        <v>0</v>
      </c>
      <c r="M61">
        <v>0</v>
      </c>
      <c r="N61">
        <v>0</v>
      </c>
      <c r="O61">
        <v>0</v>
      </c>
      <c r="R61">
        <v>0</v>
      </c>
      <c r="S61">
        <v>0</v>
      </c>
      <c r="T61">
        <v>0</v>
      </c>
      <c r="U61">
        <v>0</v>
      </c>
      <c r="V61">
        <v>0</v>
      </c>
    </row>
    <row r="62" spans="1:22" x14ac:dyDescent="0.2">
      <c r="A62">
        <v>59</v>
      </c>
      <c r="B62" t="s">
        <v>72</v>
      </c>
      <c r="C62">
        <v>2011</v>
      </c>
      <c r="D62">
        <v>18</v>
      </c>
      <c r="E62">
        <v>23.1</v>
      </c>
      <c r="F62">
        <v>47.7</v>
      </c>
      <c r="G62">
        <v>3</v>
      </c>
      <c r="H62">
        <v>33</v>
      </c>
      <c r="I62">
        <v>270</v>
      </c>
      <c r="J62">
        <v>3</v>
      </c>
      <c r="K62">
        <v>3</v>
      </c>
      <c r="L62">
        <v>3</v>
      </c>
      <c r="M62">
        <v>3</v>
      </c>
      <c r="N62">
        <v>0</v>
      </c>
      <c r="O62">
        <v>0</v>
      </c>
      <c r="P62">
        <v>0</v>
      </c>
      <c r="Q62">
        <v>0</v>
      </c>
      <c r="R62">
        <v>1</v>
      </c>
      <c r="S62">
        <v>1</v>
      </c>
      <c r="T62">
        <v>2</v>
      </c>
      <c r="U62">
        <v>1</v>
      </c>
      <c r="V62">
        <v>2</v>
      </c>
    </row>
    <row r="63" spans="1:22" x14ac:dyDescent="0.2">
      <c r="A63">
        <v>60</v>
      </c>
      <c r="B63" t="s">
        <v>59</v>
      </c>
      <c r="C63">
        <v>2011</v>
      </c>
      <c r="D63">
        <v>16</v>
      </c>
      <c r="E63">
        <v>24.4</v>
      </c>
      <c r="F63">
        <v>45.7</v>
      </c>
      <c r="G63">
        <v>3</v>
      </c>
      <c r="H63">
        <v>33</v>
      </c>
      <c r="I63">
        <v>270</v>
      </c>
      <c r="J63">
        <v>3</v>
      </c>
      <c r="K63">
        <v>4</v>
      </c>
      <c r="L63">
        <v>3</v>
      </c>
      <c r="M63">
        <v>4</v>
      </c>
      <c r="N63">
        <v>0</v>
      </c>
      <c r="O63">
        <v>0</v>
      </c>
      <c r="P63">
        <v>0</v>
      </c>
      <c r="Q63">
        <v>0</v>
      </c>
      <c r="R63">
        <v>1.33</v>
      </c>
      <c r="S63">
        <v>1</v>
      </c>
      <c r="T63">
        <v>2.33</v>
      </c>
      <c r="U63">
        <v>1.33</v>
      </c>
      <c r="V63">
        <v>2.33</v>
      </c>
    </row>
    <row r="64" spans="1:22" x14ac:dyDescent="0.2">
      <c r="A64">
        <v>61</v>
      </c>
      <c r="B64" t="s">
        <v>60</v>
      </c>
      <c r="C64">
        <v>2011</v>
      </c>
      <c r="D64">
        <v>17</v>
      </c>
      <c r="E64">
        <v>24.3</v>
      </c>
      <c r="F64">
        <v>50.7</v>
      </c>
      <c r="G64">
        <v>3</v>
      </c>
      <c r="H64">
        <v>33</v>
      </c>
      <c r="I64">
        <v>270</v>
      </c>
      <c r="J64">
        <v>3</v>
      </c>
      <c r="K64">
        <v>1</v>
      </c>
      <c r="L64">
        <v>0</v>
      </c>
      <c r="M64">
        <v>1</v>
      </c>
      <c r="N64">
        <v>0</v>
      </c>
      <c r="O64">
        <v>0</v>
      </c>
      <c r="P64">
        <v>0</v>
      </c>
      <c r="Q64">
        <v>0</v>
      </c>
      <c r="R64">
        <v>0.33</v>
      </c>
      <c r="S64">
        <v>0</v>
      </c>
      <c r="T64">
        <v>0.33</v>
      </c>
      <c r="U64">
        <v>0.33</v>
      </c>
      <c r="V64">
        <v>0.33</v>
      </c>
    </row>
    <row r="65" spans="1:22" x14ac:dyDescent="0.2">
      <c r="A65">
        <v>62</v>
      </c>
      <c r="B65" t="s">
        <v>61</v>
      </c>
      <c r="C65">
        <v>2011</v>
      </c>
      <c r="D65">
        <v>18</v>
      </c>
      <c r="E65">
        <v>24.7</v>
      </c>
      <c r="F65">
        <v>50.7</v>
      </c>
      <c r="G65">
        <v>3</v>
      </c>
      <c r="H65">
        <v>33</v>
      </c>
      <c r="I65">
        <v>270</v>
      </c>
      <c r="J65">
        <v>3</v>
      </c>
      <c r="K65">
        <v>2</v>
      </c>
      <c r="L65">
        <v>1</v>
      </c>
      <c r="M65">
        <v>2</v>
      </c>
      <c r="N65">
        <v>0</v>
      </c>
      <c r="O65">
        <v>0</v>
      </c>
      <c r="P65">
        <v>0</v>
      </c>
      <c r="Q65">
        <v>0</v>
      </c>
      <c r="R65">
        <v>0.67</v>
      </c>
      <c r="S65">
        <v>0.33</v>
      </c>
      <c r="T65">
        <v>1</v>
      </c>
      <c r="U65">
        <v>0.67</v>
      </c>
      <c r="V65">
        <v>1</v>
      </c>
    </row>
    <row r="66" spans="1:22" x14ac:dyDescent="0.2">
      <c r="A66">
        <v>63</v>
      </c>
      <c r="B66" t="s">
        <v>65</v>
      </c>
      <c r="C66">
        <v>2011</v>
      </c>
      <c r="D66">
        <v>19</v>
      </c>
      <c r="E66">
        <v>28.4</v>
      </c>
      <c r="F66">
        <v>45.3</v>
      </c>
      <c r="G66">
        <v>6</v>
      </c>
      <c r="H66">
        <v>66</v>
      </c>
      <c r="I66">
        <v>540</v>
      </c>
      <c r="J66">
        <v>6</v>
      </c>
      <c r="K66">
        <v>10</v>
      </c>
      <c r="L66">
        <v>4</v>
      </c>
      <c r="M66">
        <v>9</v>
      </c>
      <c r="N66">
        <v>1</v>
      </c>
      <c r="O66">
        <v>1</v>
      </c>
      <c r="P66">
        <v>0</v>
      </c>
      <c r="Q66">
        <v>0</v>
      </c>
      <c r="R66">
        <v>1.67</v>
      </c>
      <c r="S66">
        <v>0.67</v>
      </c>
      <c r="T66">
        <v>2.33</v>
      </c>
      <c r="U66">
        <v>1.5</v>
      </c>
      <c r="V66">
        <v>2.17</v>
      </c>
    </row>
    <row r="67" spans="1:22" x14ac:dyDescent="0.2">
      <c r="A67">
        <v>64</v>
      </c>
      <c r="B67" t="s">
        <v>67</v>
      </c>
      <c r="C67">
        <v>2011</v>
      </c>
      <c r="D67">
        <v>18</v>
      </c>
      <c r="E67">
        <v>28.3</v>
      </c>
      <c r="F67">
        <v>50.5</v>
      </c>
      <c r="G67">
        <v>6</v>
      </c>
      <c r="H67">
        <v>66</v>
      </c>
      <c r="I67">
        <v>600</v>
      </c>
      <c r="J67">
        <v>6.7</v>
      </c>
      <c r="K67">
        <v>12</v>
      </c>
      <c r="L67">
        <v>9</v>
      </c>
      <c r="M67">
        <v>12</v>
      </c>
      <c r="N67">
        <v>0</v>
      </c>
      <c r="O67">
        <v>0</v>
      </c>
      <c r="P67">
        <v>0</v>
      </c>
      <c r="Q67">
        <v>0</v>
      </c>
      <c r="R67">
        <v>1.8</v>
      </c>
      <c r="S67">
        <v>1.35</v>
      </c>
      <c r="T67">
        <v>3.15</v>
      </c>
      <c r="U67">
        <v>1.8</v>
      </c>
      <c r="V67">
        <v>3.15</v>
      </c>
    </row>
    <row r="68" spans="1:22" x14ac:dyDescent="0.2">
      <c r="A68">
        <v>65</v>
      </c>
      <c r="B68" t="s">
        <v>44</v>
      </c>
      <c r="C68">
        <v>2007</v>
      </c>
      <c r="D68">
        <v>19</v>
      </c>
      <c r="E68">
        <v>21</v>
      </c>
      <c r="F68">
        <v>38.299999999999997</v>
      </c>
      <c r="G68">
        <v>3</v>
      </c>
      <c r="H68">
        <v>33</v>
      </c>
      <c r="I68">
        <v>270</v>
      </c>
      <c r="J68">
        <v>3</v>
      </c>
      <c r="K68">
        <v>1</v>
      </c>
      <c r="L68">
        <v>0</v>
      </c>
      <c r="M68">
        <v>1</v>
      </c>
      <c r="N68">
        <v>0</v>
      </c>
      <c r="O68">
        <v>0</v>
      </c>
      <c r="R68">
        <v>0.33</v>
      </c>
      <c r="S68">
        <v>0</v>
      </c>
      <c r="T68">
        <v>0.33</v>
      </c>
      <c r="U68">
        <v>0.33</v>
      </c>
      <c r="V68">
        <v>0.33</v>
      </c>
    </row>
    <row r="69" spans="1:22" x14ac:dyDescent="0.2">
      <c r="A69">
        <v>66</v>
      </c>
      <c r="B69" t="s">
        <v>45</v>
      </c>
      <c r="C69">
        <v>2007</v>
      </c>
      <c r="D69">
        <v>18</v>
      </c>
      <c r="E69">
        <v>24.7</v>
      </c>
      <c r="F69">
        <v>48.3</v>
      </c>
      <c r="G69">
        <v>4</v>
      </c>
      <c r="H69">
        <v>44</v>
      </c>
      <c r="I69">
        <v>360</v>
      </c>
      <c r="J69">
        <v>4</v>
      </c>
      <c r="K69">
        <v>9</v>
      </c>
      <c r="L69">
        <v>6</v>
      </c>
      <c r="M69">
        <v>9</v>
      </c>
      <c r="N69">
        <v>0</v>
      </c>
      <c r="O69">
        <v>0</v>
      </c>
      <c r="R69">
        <v>2.25</v>
      </c>
      <c r="S69">
        <v>1.5</v>
      </c>
      <c r="T69">
        <v>3.75</v>
      </c>
      <c r="U69">
        <v>2.25</v>
      </c>
      <c r="V69">
        <v>3.75</v>
      </c>
    </row>
    <row r="70" spans="1:22" x14ac:dyDescent="0.2">
      <c r="A70">
        <v>67</v>
      </c>
      <c r="B70" t="s">
        <v>46</v>
      </c>
      <c r="C70">
        <v>2007</v>
      </c>
      <c r="D70">
        <v>16</v>
      </c>
      <c r="E70">
        <v>25.7</v>
      </c>
      <c r="F70">
        <v>61.3</v>
      </c>
      <c r="G70">
        <v>6</v>
      </c>
      <c r="H70">
        <v>66</v>
      </c>
      <c r="I70">
        <v>540</v>
      </c>
      <c r="J70">
        <v>6</v>
      </c>
      <c r="K70">
        <v>16</v>
      </c>
      <c r="L70">
        <v>7</v>
      </c>
      <c r="M70">
        <v>16</v>
      </c>
      <c r="N70">
        <v>0</v>
      </c>
      <c r="O70">
        <v>0</v>
      </c>
      <c r="R70">
        <v>2.67</v>
      </c>
      <c r="S70">
        <v>1.17</v>
      </c>
      <c r="T70">
        <v>3.83</v>
      </c>
      <c r="U70">
        <v>2.67</v>
      </c>
      <c r="V70">
        <v>3.83</v>
      </c>
    </row>
    <row r="71" spans="1:22" x14ac:dyDescent="0.2">
      <c r="A71">
        <v>68</v>
      </c>
      <c r="B71" t="s">
        <v>48</v>
      </c>
      <c r="C71">
        <v>2007</v>
      </c>
      <c r="D71">
        <v>18</v>
      </c>
      <c r="E71">
        <v>23.8</v>
      </c>
      <c r="F71">
        <v>39.299999999999997</v>
      </c>
      <c r="G71">
        <v>3</v>
      </c>
      <c r="H71">
        <v>33</v>
      </c>
      <c r="I71">
        <v>270</v>
      </c>
      <c r="J71">
        <v>3</v>
      </c>
      <c r="K71">
        <v>7</v>
      </c>
      <c r="L71">
        <v>3</v>
      </c>
      <c r="M71">
        <v>7</v>
      </c>
      <c r="N71">
        <v>0</v>
      </c>
      <c r="O71">
        <v>0</v>
      </c>
      <c r="R71">
        <v>2.33</v>
      </c>
      <c r="S71">
        <v>1</v>
      </c>
      <c r="T71">
        <v>3.33</v>
      </c>
      <c r="U71">
        <v>2.33</v>
      </c>
      <c r="V71">
        <v>3.33</v>
      </c>
    </row>
    <row r="72" spans="1:22" x14ac:dyDescent="0.2">
      <c r="A72">
        <v>69</v>
      </c>
      <c r="B72" t="s">
        <v>50</v>
      </c>
      <c r="C72">
        <v>2007</v>
      </c>
      <c r="D72">
        <v>18</v>
      </c>
      <c r="E72">
        <v>24.9</v>
      </c>
      <c r="F72">
        <v>47.3</v>
      </c>
      <c r="G72">
        <v>4</v>
      </c>
      <c r="H72">
        <v>44</v>
      </c>
      <c r="I72">
        <v>360</v>
      </c>
      <c r="J72">
        <v>4</v>
      </c>
      <c r="K72">
        <v>5</v>
      </c>
      <c r="L72">
        <v>0</v>
      </c>
      <c r="M72">
        <v>5</v>
      </c>
      <c r="N72">
        <v>0</v>
      </c>
      <c r="O72">
        <v>0</v>
      </c>
      <c r="R72">
        <v>1.25</v>
      </c>
      <c r="S72">
        <v>0</v>
      </c>
      <c r="T72">
        <v>1.25</v>
      </c>
      <c r="U72">
        <v>1.25</v>
      </c>
      <c r="V72">
        <v>1.25</v>
      </c>
    </row>
    <row r="73" spans="1:22" x14ac:dyDescent="0.2">
      <c r="A73">
        <v>70</v>
      </c>
      <c r="B73" t="s">
        <v>76</v>
      </c>
      <c r="C73">
        <v>2007</v>
      </c>
      <c r="D73">
        <v>16</v>
      </c>
      <c r="E73">
        <v>26.9</v>
      </c>
      <c r="F73">
        <v>50.7</v>
      </c>
      <c r="G73">
        <v>3</v>
      </c>
      <c r="H73">
        <v>33</v>
      </c>
      <c r="I73">
        <v>270</v>
      </c>
      <c r="J73">
        <v>3</v>
      </c>
      <c r="K73">
        <v>4</v>
      </c>
      <c r="L73">
        <v>2</v>
      </c>
      <c r="M73">
        <v>4</v>
      </c>
      <c r="N73">
        <v>0</v>
      </c>
      <c r="O73">
        <v>0</v>
      </c>
      <c r="R73">
        <v>1.33</v>
      </c>
      <c r="S73">
        <v>0.67</v>
      </c>
      <c r="T73">
        <v>2</v>
      </c>
      <c r="U73">
        <v>1.33</v>
      </c>
      <c r="V73">
        <v>2</v>
      </c>
    </row>
    <row r="74" spans="1:22" x14ac:dyDescent="0.2">
      <c r="A74">
        <v>71</v>
      </c>
      <c r="B74" t="s">
        <v>51</v>
      </c>
      <c r="C74">
        <v>2007</v>
      </c>
      <c r="D74">
        <v>18</v>
      </c>
      <c r="E74">
        <v>24.8</v>
      </c>
      <c r="F74">
        <v>52.5</v>
      </c>
      <c r="G74">
        <v>4</v>
      </c>
      <c r="H74">
        <v>44</v>
      </c>
      <c r="I74">
        <v>360</v>
      </c>
      <c r="J74">
        <v>4</v>
      </c>
      <c r="K74">
        <v>7</v>
      </c>
      <c r="L74">
        <v>5</v>
      </c>
      <c r="M74">
        <v>5</v>
      </c>
      <c r="N74">
        <v>2</v>
      </c>
      <c r="O74">
        <v>2</v>
      </c>
      <c r="R74">
        <v>1.75</v>
      </c>
      <c r="S74">
        <v>1.25</v>
      </c>
      <c r="T74">
        <v>3</v>
      </c>
      <c r="U74">
        <v>1.25</v>
      </c>
      <c r="V74">
        <v>2.5</v>
      </c>
    </row>
    <row r="75" spans="1:22" x14ac:dyDescent="0.2">
      <c r="A75">
        <v>72</v>
      </c>
      <c r="B75" t="s">
        <v>53</v>
      </c>
      <c r="C75">
        <v>2007</v>
      </c>
      <c r="D75">
        <v>17</v>
      </c>
      <c r="E75">
        <v>26.5</v>
      </c>
      <c r="F75">
        <v>49.5</v>
      </c>
      <c r="G75">
        <v>6</v>
      </c>
      <c r="H75">
        <v>66</v>
      </c>
      <c r="I75">
        <v>540</v>
      </c>
      <c r="J75">
        <v>6</v>
      </c>
      <c r="K75">
        <v>20</v>
      </c>
      <c r="L75">
        <v>11</v>
      </c>
      <c r="M75">
        <v>19</v>
      </c>
      <c r="N75">
        <v>1</v>
      </c>
      <c r="O75">
        <v>1</v>
      </c>
      <c r="R75">
        <v>3.33</v>
      </c>
      <c r="S75">
        <v>1.83</v>
      </c>
      <c r="T75">
        <v>5.17</v>
      </c>
      <c r="U75">
        <v>3.17</v>
      </c>
      <c r="V75">
        <v>5</v>
      </c>
    </row>
    <row r="76" spans="1:22" x14ac:dyDescent="0.2">
      <c r="A76">
        <v>73</v>
      </c>
      <c r="B76" t="s">
        <v>77</v>
      </c>
      <c r="C76">
        <v>2007</v>
      </c>
      <c r="D76">
        <v>19</v>
      </c>
      <c r="E76">
        <v>24.5</v>
      </c>
      <c r="F76">
        <v>52.3</v>
      </c>
      <c r="G76">
        <v>3</v>
      </c>
      <c r="H76">
        <v>33</v>
      </c>
      <c r="I76">
        <v>270</v>
      </c>
      <c r="J76">
        <v>3</v>
      </c>
      <c r="K76">
        <v>3</v>
      </c>
      <c r="L76">
        <v>0</v>
      </c>
      <c r="M76">
        <v>2</v>
      </c>
      <c r="N76">
        <v>1</v>
      </c>
      <c r="O76">
        <v>1</v>
      </c>
      <c r="R76">
        <v>1</v>
      </c>
      <c r="S76">
        <v>0</v>
      </c>
      <c r="T76">
        <v>1</v>
      </c>
      <c r="U76">
        <v>0.67</v>
      </c>
      <c r="V76">
        <v>0.67</v>
      </c>
    </row>
    <row r="77" spans="1:22" x14ac:dyDescent="0.2">
      <c r="A77">
        <v>74</v>
      </c>
      <c r="B77" t="s">
        <v>56</v>
      </c>
      <c r="C77">
        <v>2007</v>
      </c>
      <c r="D77">
        <v>16</v>
      </c>
      <c r="E77">
        <v>24.7</v>
      </c>
      <c r="F77">
        <v>56</v>
      </c>
      <c r="G77">
        <v>3</v>
      </c>
      <c r="H77">
        <v>33</v>
      </c>
      <c r="I77">
        <v>270</v>
      </c>
      <c r="J77">
        <v>3</v>
      </c>
      <c r="K77">
        <v>3</v>
      </c>
      <c r="L77">
        <v>0</v>
      </c>
      <c r="M77">
        <v>3</v>
      </c>
      <c r="N77">
        <v>0</v>
      </c>
      <c r="O77">
        <v>0</v>
      </c>
      <c r="R77">
        <v>1</v>
      </c>
      <c r="S77">
        <v>0</v>
      </c>
      <c r="T77">
        <v>1</v>
      </c>
      <c r="U77">
        <v>1</v>
      </c>
      <c r="V77">
        <v>1</v>
      </c>
    </row>
    <row r="78" spans="1:22" x14ac:dyDescent="0.2">
      <c r="A78">
        <v>75</v>
      </c>
      <c r="B78" t="s">
        <v>75</v>
      </c>
      <c r="C78">
        <v>2007</v>
      </c>
      <c r="D78">
        <v>15</v>
      </c>
      <c r="E78">
        <v>22.8</v>
      </c>
      <c r="F78">
        <v>52.8</v>
      </c>
      <c r="G78">
        <v>4</v>
      </c>
      <c r="H78">
        <v>44</v>
      </c>
      <c r="I78">
        <v>360</v>
      </c>
      <c r="J78">
        <v>4</v>
      </c>
      <c r="K78">
        <v>5</v>
      </c>
      <c r="L78">
        <v>1</v>
      </c>
      <c r="M78">
        <v>5</v>
      </c>
      <c r="N78">
        <v>0</v>
      </c>
      <c r="O78">
        <v>0</v>
      </c>
      <c r="R78">
        <v>1.25</v>
      </c>
      <c r="S78">
        <v>0.25</v>
      </c>
      <c r="T78">
        <v>1.5</v>
      </c>
      <c r="U78">
        <v>1.25</v>
      </c>
      <c r="V78">
        <v>1.5</v>
      </c>
    </row>
    <row r="79" spans="1:22" x14ac:dyDescent="0.2">
      <c r="A79">
        <v>76</v>
      </c>
      <c r="B79" t="s">
        <v>59</v>
      </c>
      <c r="C79">
        <v>2007</v>
      </c>
      <c r="D79">
        <v>18</v>
      </c>
      <c r="E79">
        <v>24.5</v>
      </c>
      <c r="F79">
        <v>39.700000000000003</v>
      </c>
      <c r="G79">
        <v>3</v>
      </c>
      <c r="H79">
        <v>33</v>
      </c>
      <c r="I79">
        <v>270</v>
      </c>
      <c r="J79">
        <v>3</v>
      </c>
      <c r="K79">
        <v>0</v>
      </c>
      <c r="L79">
        <v>0</v>
      </c>
      <c r="M79">
        <v>0</v>
      </c>
      <c r="N79">
        <v>0</v>
      </c>
      <c r="O79">
        <v>0</v>
      </c>
      <c r="R79">
        <v>0</v>
      </c>
      <c r="S79">
        <v>0</v>
      </c>
      <c r="T79">
        <v>0</v>
      </c>
      <c r="U79">
        <v>0</v>
      </c>
      <c r="V79">
        <v>0</v>
      </c>
    </row>
    <row r="80" spans="1:22" x14ac:dyDescent="0.2">
      <c r="A80">
        <v>77</v>
      </c>
      <c r="B80" t="s">
        <v>60</v>
      </c>
      <c r="C80">
        <v>2007</v>
      </c>
      <c r="D80">
        <v>15</v>
      </c>
      <c r="E80">
        <v>23.6</v>
      </c>
      <c r="F80">
        <v>51</v>
      </c>
      <c r="G80">
        <v>3</v>
      </c>
      <c r="H80">
        <v>33</v>
      </c>
      <c r="I80">
        <v>270</v>
      </c>
      <c r="J80">
        <v>3</v>
      </c>
      <c r="K80">
        <v>1</v>
      </c>
      <c r="L80">
        <v>0</v>
      </c>
      <c r="M80">
        <v>1</v>
      </c>
      <c r="N80">
        <v>0</v>
      </c>
      <c r="O80">
        <v>0</v>
      </c>
      <c r="R80">
        <v>0.33</v>
      </c>
      <c r="S80">
        <v>0</v>
      </c>
      <c r="T80">
        <v>0.33</v>
      </c>
      <c r="U80">
        <v>0.33</v>
      </c>
      <c r="V80">
        <v>0.33</v>
      </c>
    </row>
    <row r="81" spans="1:22" x14ac:dyDescent="0.2">
      <c r="A81">
        <v>78</v>
      </c>
      <c r="B81" t="s">
        <v>61</v>
      </c>
      <c r="C81">
        <v>2007</v>
      </c>
      <c r="D81">
        <v>19</v>
      </c>
      <c r="E81">
        <v>26.3</v>
      </c>
      <c r="F81">
        <v>53.7</v>
      </c>
      <c r="G81">
        <v>6</v>
      </c>
      <c r="H81">
        <v>66</v>
      </c>
      <c r="I81">
        <v>540</v>
      </c>
      <c r="J81">
        <v>6</v>
      </c>
      <c r="K81">
        <v>12</v>
      </c>
      <c r="L81">
        <v>10</v>
      </c>
      <c r="M81">
        <v>11</v>
      </c>
      <c r="N81">
        <v>1</v>
      </c>
      <c r="O81">
        <v>1</v>
      </c>
      <c r="R81">
        <v>2</v>
      </c>
      <c r="S81">
        <v>1.67</v>
      </c>
      <c r="T81">
        <v>3.67</v>
      </c>
      <c r="U81">
        <v>1.83</v>
      </c>
      <c r="V81">
        <v>3.5</v>
      </c>
    </row>
    <row r="82" spans="1:22" x14ac:dyDescent="0.2">
      <c r="A82">
        <v>79</v>
      </c>
      <c r="B82" t="s">
        <v>65</v>
      </c>
      <c r="C82">
        <v>2007</v>
      </c>
      <c r="D82">
        <v>16</v>
      </c>
      <c r="E82">
        <v>26.1</v>
      </c>
      <c r="F82">
        <v>49.7</v>
      </c>
      <c r="G82">
        <v>3</v>
      </c>
      <c r="H82">
        <v>33</v>
      </c>
      <c r="I82">
        <v>270</v>
      </c>
      <c r="J82">
        <v>3</v>
      </c>
      <c r="K82">
        <v>3</v>
      </c>
      <c r="L82">
        <v>3</v>
      </c>
      <c r="M82">
        <v>3</v>
      </c>
      <c r="N82">
        <v>0</v>
      </c>
      <c r="O82">
        <v>0</v>
      </c>
      <c r="R82">
        <v>1</v>
      </c>
      <c r="S82">
        <v>1</v>
      </c>
      <c r="T82">
        <v>2</v>
      </c>
      <c r="U82">
        <v>1</v>
      </c>
      <c r="V82">
        <v>2</v>
      </c>
    </row>
    <row r="83" spans="1:22" x14ac:dyDescent="0.2">
      <c r="A83">
        <v>80</v>
      </c>
      <c r="B83" t="s">
        <v>67</v>
      </c>
      <c r="C83">
        <v>2007</v>
      </c>
      <c r="D83">
        <v>18</v>
      </c>
      <c r="E83">
        <v>26.7</v>
      </c>
      <c r="F83">
        <v>46.5</v>
      </c>
      <c r="G83">
        <v>6</v>
      </c>
      <c r="H83">
        <v>66</v>
      </c>
      <c r="I83">
        <v>540</v>
      </c>
      <c r="J83">
        <v>6</v>
      </c>
      <c r="K83">
        <v>12</v>
      </c>
      <c r="L83">
        <v>3</v>
      </c>
      <c r="M83">
        <v>11</v>
      </c>
      <c r="N83">
        <v>1</v>
      </c>
      <c r="O83">
        <v>1</v>
      </c>
      <c r="R83">
        <v>2</v>
      </c>
      <c r="S83">
        <v>0.5</v>
      </c>
      <c r="T83">
        <v>2.5</v>
      </c>
      <c r="U83">
        <v>1.83</v>
      </c>
      <c r="V83">
        <v>2.33</v>
      </c>
    </row>
    <row r="84" spans="1:22" x14ac:dyDescent="0.2">
      <c r="A84">
        <v>81</v>
      </c>
      <c r="B84" t="s">
        <v>44</v>
      </c>
      <c r="C84">
        <v>2003</v>
      </c>
      <c r="D84">
        <v>16</v>
      </c>
      <c r="E84">
        <v>23</v>
      </c>
      <c r="F84">
        <v>49</v>
      </c>
      <c r="G84">
        <v>3</v>
      </c>
      <c r="H84">
        <v>33</v>
      </c>
      <c r="I84">
        <v>270</v>
      </c>
      <c r="J84">
        <v>3</v>
      </c>
      <c r="K84">
        <v>1</v>
      </c>
      <c r="L84">
        <v>0</v>
      </c>
      <c r="M84">
        <v>1</v>
      </c>
      <c r="N84">
        <v>0</v>
      </c>
      <c r="O84">
        <v>0</v>
      </c>
      <c r="R84">
        <v>0.33</v>
      </c>
      <c r="S84">
        <v>0</v>
      </c>
      <c r="T84">
        <v>0.33</v>
      </c>
      <c r="U84">
        <v>0.33</v>
      </c>
      <c r="V84">
        <v>0.33</v>
      </c>
    </row>
    <row r="85" spans="1:22" x14ac:dyDescent="0.2">
      <c r="A85">
        <v>82</v>
      </c>
      <c r="B85" t="s">
        <v>45</v>
      </c>
      <c r="C85">
        <v>2003</v>
      </c>
      <c r="D85">
        <v>16</v>
      </c>
      <c r="E85">
        <v>23.4</v>
      </c>
      <c r="F85">
        <v>49</v>
      </c>
      <c r="G85">
        <v>3</v>
      </c>
      <c r="H85">
        <v>33</v>
      </c>
      <c r="I85">
        <v>270</v>
      </c>
      <c r="J85">
        <v>3</v>
      </c>
      <c r="K85">
        <v>3</v>
      </c>
      <c r="L85">
        <v>0</v>
      </c>
      <c r="M85">
        <v>3</v>
      </c>
      <c r="N85">
        <v>0</v>
      </c>
      <c r="O85">
        <v>0</v>
      </c>
      <c r="R85">
        <v>1</v>
      </c>
      <c r="S85">
        <v>0</v>
      </c>
      <c r="T85">
        <v>1</v>
      </c>
      <c r="U85">
        <v>1</v>
      </c>
      <c r="V85">
        <v>1</v>
      </c>
    </row>
    <row r="86" spans="1:22" x14ac:dyDescent="0.2">
      <c r="A86">
        <v>83</v>
      </c>
      <c r="B86" t="s">
        <v>46</v>
      </c>
      <c r="C86">
        <v>2003</v>
      </c>
      <c r="D86">
        <v>16</v>
      </c>
      <c r="E86">
        <v>22.4</v>
      </c>
      <c r="F86">
        <v>55</v>
      </c>
      <c r="G86">
        <v>4</v>
      </c>
      <c r="H86">
        <v>44</v>
      </c>
      <c r="I86">
        <v>360</v>
      </c>
      <c r="J86">
        <v>4</v>
      </c>
      <c r="K86">
        <v>9</v>
      </c>
      <c r="L86">
        <v>0</v>
      </c>
      <c r="M86">
        <v>9</v>
      </c>
      <c r="N86">
        <v>0</v>
      </c>
      <c r="O86">
        <v>0</v>
      </c>
      <c r="R86">
        <v>2.25</v>
      </c>
      <c r="S86">
        <v>0</v>
      </c>
      <c r="T86">
        <v>2.25</v>
      </c>
      <c r="U86">
        <v>2.25</v>
      </c>
      <c r="V86">
        <v>2.25</v>
      </c>
    </row>
    <row r="87" spans="1:22" x14ac:dyDescent="0.2">
      <c r="A87">
        <v>84</v>
      </c>
      <c r="B87" t="s">
        <v>48</v>
      </c>
      <c r="C87">
        <v>2003</v>
      </c>
      <c r="D87">
        <v>17</v>
      </c>
      <c r="E87">
        <v>22.7</v>
      </c>
      <c r="F87">
        <v>41.7</v>
      </c>
      <c r="G87">
        <v>6</v>
      </c>
      <c r="H87">
        <v>66</v>
      </c>
      <c r="I87">
        <v>540</v>
      </c>
      <c r="J87">
        <v>6</v>
      </c>
      <c r="K87">
        <v>10</v>
      </c>
      <c r="L87">
        <v>0</v>
      </c>
      <c r="M87">
        <v>10</v>
      </c>
      <c r="N87">
        <v>0</v>
      </c>
      <c r="O87">
        <v>0</v>
      </c>
      <c r="R87">
        <v>1.67</v>
      </c>
      <c r="S87">
        <v>0</v>
      </c>
      <c r="T87">
        <v>1.67</v>
      </c>
      <c r="U87">
        <v>1.67</v>
      </c>
      <c r="V87">
        <v>1.67</v>
      </c>
    </row>
    <row r="88" spans="1:22" x14ac:dyDescent="0.2">
      <c r="A88">
        <v>85</v>
      </c>
      <c r="B88" t="s">
        <v>50</v>
      </c>
      <c r="C88">
        <v>2003</v>
      </c>
      <c r="D88">
        <v>18</v>
      </c>
      <c r="E88">
        <v>27</v>
      </c>
      <c r="F88">
        <v>61</v>
      </c>
      <c r="G88">
        <v>4</v>
      </c>
      <c r="H88">
        <v>44</v>
      </c>
      <c r="I88">
        <v>360</v>
      </c>
      <c r="J88">
        <v>4</v>
      </c>
      <c r="K88">
        <v>3</v>
      </c>
      <c r="L88">
        <v>0</v>
      </c>
      <c r="M88">
        <v>3</v>
      </c>
      <c r="N88">
        <v>0</v>
      </c>
      <c r="O88">
        <v>0</v>
      </c>
      <c r="R88">
        <v>0.75</v>
      </c>
      <c r="S88">
        <v>0</v>
      </c>
      <c r="T88">
        <v>0.75</v>
      </c>
      <c r="U88">
        <v>0.75</v>
      </c>
      <c r="V88">
        <v>0.75</v>
      </c>
    </row>
    <row r="89" spans="1:22" x14ac:dyDescent="0.2">
      <c r="A89">
        <v>86</v>
      </c>
      <c r="B89" t="s">
        <v>52</v>
      </c>
      <c r="C89">
        <v>2003</v>
      </c>
      <c r="D89">
        <v>17</v>
      </c>
      <c r="E89">
        <v>25.2</v>
      </c>
      <c r="F89">
        <v>46.3</v>
      </c>
      <c r="G89">
        <v>3</v>
      </c>
      <c r="H89">
        <v>33</v>
      </c>
      <c r="I89">
        <v>270</v>
      </c>
      <c r="J89">
        <v>3</v>
      </c>
      <c r="K89">
        <v>2</v>
      </c>
      <c r="L89">
        <v>0</v>
      </c>
      <c r="M89">
        <v>2</v>
      </c>
      <c r="N89">
        <v>0</v>
      </c>
      <c r="O89">
        <v>0</v>
      </c>
      <c r="R89">
        <v>0.67</v>
      </c>
      <c r="S89">
        <v>0</v>
      </c>
      <c r="T89">
        <v>0.67</v>
      </c>
      <c r="U89">
        <v>0.67</v>
      </c>
      <c r="V89">
        <v>0.67</v>
      </c>
    </row>
    <row r="90" spans="1:22" x14ac:dyDescent="0.2">
      <c r="A90">
        <v>87</v>
      </c>
      <c r="B90" t="s">
        <v>53</v>
      </c>
      <c r="C90">
        <v>2003</v>
      </c>
      <c r="D90">
        <v>19</v>
      </c>
      <c r="E90">
        <v>27</v>
      </c>
      <c r="F90">
        <v>51.8</v>
      </c>
      <c r="G90">
        <v>6</v>
      </c>
      <c r="H90">
        <v>66</v>
      </c>
      <c r="I90">
        <v>570</v>
      </c>
      <c r="J90">
        <v>6.3</v>
      </c>
      <c r="K90">
        <v>25</v>
      </c>
      <c r="L90">
        <v>0</v>
      </c>
      <c r="M90">
        <v>25</v>
      </c>
      <c r="N90">
        <v>0</v>
      </c>
      <c r="O90">
        <v>0</v>
      </c>
      <c r="R90">
        <v>3.95</v>
      </c>
      <c r="S90">
        <v>0</v>
      </c>
      <c r="T90">
        <v>3.95</v>
      </c>
      <c r="U90">
        <v>3.95</v>
      </c>
      <c r="V90">
        <v>3.95</v>
      </c>
    </row>
    <row r="91" spans="1:22" x14ac:dyDescent="0.2">
      <c r="A91">
        <v>88</v>
      </c>
      <c r="B91" t="s">
        <v>77</v>
      </c>
      <c r="C91">
        <v>2003</v>
      </c>
      <c r="D91">
        <v>15</v>
      </c>
      <c r="E91">
        <v>25.4</v>
      </c>
      <c r="F91">
        <v>47.7</v>
      </c>
      <c r="G91">
        <v>3</v>
      </c>
      <c r="H91">
        <v>33</v>
      </c>
      <c r="I91">
        <v>270</v>
      </c>
      <c r="J91">
        <v>3</v>
      </c>
      <c r="K91">
        <v>2</v>
      </c>
      <c r="L91">
        <v>0</v>
      </c>
      <c r="M91">
        <v>2</v>
      </c>
      <c r="N91">
        <v>0</v>
      </c>
      <c r="O91">
        <v>0</v>
      </c>
      <c r="R91">
        <v>0.67</v>
      </c>
      <c r="S91">
        <v>0</v>
      </c>
      <c r="T91">
        <v>0.67</v>
      </c>
      <c r="U91">
        <v>0.67</v>
      </c>
      <c r="V91">
        <v>0.67</v>
      </c>
    </row>
    <row r="92" spans="1:22" x14ac:dyDescent="0.2">
      <c r="A92">
        <v>89</v>
      </c>
      <c r="B92" t="s">
        <v>56</v>
      </c>
      <c r="C92">
        <v>2003</v>
      </c>
      <c r="D92">
        <v>16</v>
      </c>
      <c r="E92">
        <v>24.2</v>
      </c>
      <c r="F92">
        <v>54.7</v>
      </c>
      <c r="G92">
        <v>3</v>
      </c>
      <c r="H92">
        <v>33</v>
      </c>
      <c r="I92">
        <v>270</v>
      </c>
      <c r="J92">
        <v>3</v>
      </c>
      <c r="K92">
        <v>7</v>
      </c>
      <c r="L92">
        <v>0</v>
      </c>
      <c r="M92">
        <v>7</v>
      </c>
      <c r="N92">
        <v>0</v>
      </c>
      <c r="O92">
        <v>0</v>
      </c>
      <c r="R92">
        <v>2.33</v>
      </c>
      <c r="S92">
        <v>0</v>
      </c>
      <c r="T92">
        <v>2.33</v>
      </c>
      <c r="U92">
        <v>2.33</v>
      </c>
      <c r="V92">
        <v>2.33</v>
      </c>
    </row>
    <row r="93" spans="1:22" x14ac:dyDescent="0.2">
      <c r="A93">
        <v>90</v>
      </c>
      <c r="B93" t="s">
        <v>75</v>
      </c>
      <c r="C93">
        <v>2003</v>
      </c>
      <c r="D93">
        <v>15</v>
      </c>
      <c r="E93">
        <v>24.6</v>
      </c>
      <c r="F93">
        <v>52.3</v>
      </c>
      <c r="G93">
        <v>3</v>
      </c>
      <c r="H93">
        <v>33</v>
      </c>
      <c r="I93">
        <v>270</v>
      </c>
      <c r="J93">
        <v>3</v>
      </c>
      <c r="K93">
        <v>3</v>
      </c>
      <c r="L93">
        <v>0</v>
      </c>
      <c r="M93">
        <v>3</v>
      </c>
      <c r="N93">
        <v>0</v>
      </c>
      <c r="O93">
        <v>0</v>
      </c>
      <c r="R93">
        <v>1</v>
      </c>
      <c r="S93">
        <v>0</v>
      </c>
      <c r="T93">
        <v>1</v>
      </c>
      <c r="U93">
        <v>1</v>
      </c>
      <c r="V93">
        <v>1</v>
      </c>
    </row>
    <row r="94" spans="1:22" x14ac:dyDescent="0.2">
      <c r="A94">
        <v>91</v>
      </c>
      <c r="B94" t="s">
        <v>57</v>
      </c>
      <c r="C94">
        <v>2003</v>
      </c>
      <c r="D94">
        <v>18</v>
      </c>
      <c r="E94">
        <v>22.2</v>
      </c>
      <c r="F94">
        <v>48.7</v>
      </c>
      <c r="G94">
        <v>3</v>
      </c>
      <c r="H94">
        <v>33</v>
      </c>
      <c r="I94">
        <v>270</v>
      </c>
      <c r="J94">
        <v>3</v>
      </c>
      <c r="K94">
        <v>1</v>
      </c>
      <c r="L94">
        <v>0</v>
      </c>
      <c r="M94">
        <v>1</v>
      </c>
      <c r="N94">
        <v>0</v>
      </c>
      <c r="O94">
        <v>0</v>
      </c>
      <c r="R94">
        <v>0.33</v>
      </c>
      <c r="S94">
        <v>0</v>
      </c>
      <c r="T94">
        <v>0.33</v>
      </c>
      <c r="U94">
        <v>0.33</v>
      </c>
      <c r="V94">
        <v>0.33</v>
      </c>
    </row>
    <row r="95" spans="1:22" x14ac:dyDescent="0.2">
      <c r="A95">
        <v>92</v>
      </c>
      <c r="B95" t="s">
        <v>60</v>
      </c>
      <c r="C95">
        <v>2003</v>
      </c>
      <c r="D95">
        <v>16</v>
      </c>
      <c r="E95">
        <v>24.7</v>
      </c>
      <c r="F95">
        <v>51.3</v>
      </c>
      <c r="G95">
        <v>3</v>
      </c>
      <c r="H95">
        <v>33</v>
      </c>
      <c r="I95">
        <v>270</v>
      </c>
      <c r="J95">
        <v>3</v>
      </c>
      <c r="K95">
        <v>0</v>
      </c>
      <c r="L95">
        <v>0</v>
      </c>
      <c r="M95">
        <v>0</v>
      </c>
      <c r="N95">
        <v>0</v>
      </c>
      <c r="O95">
        <v>0</v>
      </c>
      <c r="R95">
        <v>0</v>
      </c>
      <c r="S95">
        <v>0</v>
      </c>
      <c r="T95">
        <v>0</v>
      </c>
      <c r="U95">
        <v>0</v>
      </c>
      <c r="V95">
        <v>0</v>
      </c>
    </row>
    <row r="96" spans="1:22" x14ac:dyDescent="0.2">
      <c r="A96">
        <v>93</v>
      </c>
      <c r="B96" t="s">
        <v>61</v>
      </c>
      <c r="C96">
        <v>2003</v>
      </c>
      <c r="D96">
        <v>16</v>
      </c>
      <c r="E96">
        <v>25.3</v>
      </c>
      <c r="F96">
        <v>48</v>
      </c>
      <c r="G96">
        <v>4</v>
      </c>
      <c r="H96">
        <v>44</v>
      </c>
      <c r="I96">
        <v>360</v>
      </c>
      <c r="J96">
        <v>4</v>
      </c>
      <c r="K96">
        <v>10</v>
      </c>
      <c r="L96">
        <v>1</v>
      </c>
      <c r="M96">
        <v>10</v>
      </c>
      <c r="N96">
        <v>0</v>
      </c>
      <c r="O96">
        <v>0</v>
      </c>
      <c r="R96">
        <v>2.5</v>
      </c>
      <c r="S96">
        <v>0.25</v>
      </c>
      <c r="T96">
        <v>2.75</v>
      </c>
      <c r="U96">
        <v>2.5</v>
      </c>
      <c r="V96">
        <v>2.75</v>
      </c>
    </row>
    <row r="97" spans="1:22" x14ac:dyDescent="0.2">
      <c r="A97">
        <v>94</v>
      </c>
      <c r="B97" t="s">
        <v>78</v>
      </c>
      <c r="C97">
        <v>2003</v>
      </c>
      <c r="D97">
        <v>17</v>
      </c>
      <c r="E97">
        <v>28.1</v>
      </c>
      <c r="F97">
        <v>45</v>
      </c>
      <c r="G97">
        <v>4</v>
      </c>
      <c r="H97">
        <v>44</v>
      </c>
      <c r="I97">
        <v>360</v>
      </c>
      <c r="J97">
        <v>4</v>
      </c>
      <c r="K97">
        <v>5</v>
      </c>
      <c r="L97">
        <v>1</v>
      </c>
      <c r="M97">
        <v>5</v>
      </c>
      <c r="N97">
        <v>0</v>
      </c>
      <c r="O97">
        <v>0</v>
      </c>
      <c r="R97">
        <v>1.25</v>
      </c>
      <c r="S97">
        <v>0.25</v>
      </c>
      <c r="T97">
        <v>1.5</v>
      </c>
      <c r="U97">
        <v>1.25</v>
      </c>
      <c r="V97">
        <v>1.5</v>
      </c>
    </row>
    <row r="98" spans="1:22" x14ac:dyDescent="0.2">
      <c r="A98">
        <v>95</v>
      </c>
      <c r="B98" t="s">
        <v>65</v>
      </c>
      <c r="C98">
        <v>2003</v>
      </c>
      <c r="D98">
        <v>18</v>
      </c>
      <c r="E98">
        <v>25.9</v>
      </c>
      <c r="F98">
        <v>48.2</v>
      </c>
      <c r="G98">
        <v>6</v>
      </c>
      <c r="H98">
        <v>66</v>
      </c>
      <c r="I98">
        <v>570</v>
      </c>
      <c r="J98">
        <v>6.3</v>
      </c>
      <c r="K98">
        <v>10</v>
      </c>
      <c r="L98">
        <v>0</v>
      </c>
      <c r="M98">
        <v>10</v>
      </c>
      <c r="N98">
        <v>0</v>
      </c>
      <c r="O98">
        <v>0</v>
      </c>
      <c r="R98">
        <v>1.58</v>
      </c>
      <c r="S98">
        <v>0</v>
      </c>
      <c r="T98">
        <v>1.58</v>
      </c>
      <c r="U98">
        <v>1.58</v>
      </c>
      <c r="V98">
        <v>1.58</v>
      </c>
    </row>
    <row r="99" spans="1:22" x14ac:dyDescent="0.2">
      <c r="A99">
        <v>96</v>
      </c>
      <c r="B99" t="s">
        <v>67</v>
      </c>
      <c r="C99">
        <v>2003</v>
      </c>
      <c r="D99">
        <v>18</v>
      </c>
      <c r="E99">
        <v>28.1</v>
      </c>
      <c r="F99">
        <v>52.8</v>
      </c>
      <c r="G99">
        <v>6</v>
      </c>
      <c r="H99">
        <v>66</v>
      </c>
      <c r="I99">
        <v>540</v>
      </c>
      <c r="J99">
        <v>6</v>
      </c>
      <c r="K99">
        <v>15</v>
      </c>
      <c r="L99">
        <v>4</v>
      </c>
      <c r="M99">
        <v>15</v>
      </c>
      <c r="N99">
        <v>0</v>
      </c>
      <c r="O99">
        <v>0</v>
      </c>
      <c r="R99">
        <v>2.5</v>
      </c>
      <c r="S99">
        <v>0.67</v>
      </c>
      <c r="T99">
        <v>3.17</v>
      </c>
      <c r="U99">
        <v>2.5</v>
      </c>
      <c r="V99">
        <v>3.17</v>
      </c>
    </row>
    <row r="100" spans="1:22" x14ac:dyDescent="0.2">
      <c r="A100">
        <v>97</v>
      </c>
      <c r="B100" t="s">
        <v>45</v>
      </c>
      <c r="C100">
        <v>1999</v>
      </c>
      <c r="D100">
        <v>17</v>
      </c>
      <c r="E100">
        <v>25</v>
      </c>
      <c r="G100">
        <v>3</v>
      </c>
      <c r="H100">
        <v>33</v>
      </c>
      <c r="I100">
        <v>270</v>
      </c>
      <c r="J100">
        <v>3</v>
      </c>
      <c r="K100">
        <v>3</v>
      </c>
      <c r="L100">
        <v>1</v>
      </c>
      <c r="M100">
        <v>3</v>
      </c>
      <c r="N100">
        <v>0</v>
      </c>
      <c r="O100">
        <v>0</v>
      </c>
      <c r="R100">
        <v>1</v>
      </c>
      <c r="S100">
        <v>0.33</v>
      </c>
      <c r="T100">
        <v>1.33</v>
      </c>
      <c r="U100">
        <v>1</v>
      </c>
      <c r="V100">
        <v>1.33</v>
      </c>
    </row>
    <row r="101" spans="1:22" x14ac:dyDescent="0.2">
      <c r="A101">
        <v>98</v>
      </c>
      <c r="B101" t="s">
        <v>46</v>
      </c>
      <c r="C101">
        <v>1999</v>
      </c>
      <c r="D101">
        <v>15</v>
      </c>
      <c r="E101">
        <v>25</v>
      </c>
      <c r="G101">
        <v>6</v>
      </c>
      <c r="H101">
        <v>66</v>
      </c>
      <c r="I101">
        <v>554</v>
      </c>
      <c r="J101">
        <v>6.2</v>
      </c>
      <c r="K101">
        <v>16</v>
      </c>
      <c r="L101">
        <v>10</v>
      </c>
      <c r="M101">
        <v>16</v>
      </c>
      <c r="N101">
        <v>0</v>
      </c>
      <c r="O101">
        <v>0</v>
      </c>
      <c r="R101">
        <v>2.6</v>
      </c>
      <c r="S101">
        <v>1.62</v>
      </c>
      <c r="T101">
        <v>4.22</v>
      </c>
      <c r="U101">
        <v>2.6</v>
      </c>
      <c r="V101">
        <v>4.22</v>
      </c>
    </row>
    <row r="102" spans="1:22" x14ac:dyDescent="0.2">
      <c r="A102">
        <v>99</v>
      </c>
      <c r="B102" t="s">
        <v>48</v>
      </c>
      <c r="C102">
        <v>1999</v>
      </c>
      <c r="D102">
        <v>15</v>
      </c>
      <c r="E102">
        <v>25.9</v>
      </c>
      <c r="G102">
        <v>3</v>
      </c>
      <c r="H102">
        <v>33</v>
      </c>
      <c r="I102">
        <v>270</v>
      </c>
      <c r="J102">
        <v>3</v>
      </c>
      <c r="K102">
        <v>3</v>
      </c>
      <c r="L102">
        <v>3</v>
      </c>
      <c r="M102">
        <v>3</v>
      </c>
      <c r="N102">
        <v>0</v>
      </c>
      <c r="O102">
        <v>0</v>
      </c>
      <c r="R102">
        <v>1</v>
      </c>
      <c r="S102">
        <v>1</v>
      </c>
      <c r="T102">
        <v>2</v>
      </c>
      <c r="U102">
        <v>1</v>
      </c>
      <c r="V102">
        <v>2</v>
      </c>
    </row>
    <row r="103" spans="1:22" x14ac:dyDescent="0.2">
      <c r="A103">
        <v>100</v>
      </c>
      <c r="B103" t="s">
        <v>50</v>
      </c>
      <c r="C103">
        <v>1999</v>
      </c>
      <c r="D103">
        <v>14</v>
      </c>
      <c r="E103">
        <v>26.6</v>
      </c>
      <c r="G103">
        <v>6</v>
      </c>
      <c r="H103">
        <v>66</v>
      </c>
      <c r="I103">
        <v>570</v>
      </c>
      <c r="J103">
        <v>6.3</v>
      </c>
      <c r="K103">
        <v>19</v>
      </c>
      <c r="L103">
        <v>9</v>
      </c>
      <c r="M103">
        <v>18</v>
      </c>
      <c r="N103">
        <v>1</v>
      </c>
      <c r="O103">
        <v>1</v>
      </c>
      <c r="R103">
        <v>3</v>
      </c>
      <c r="S103">
        <v>1.42</v>
      </c>
      <c r="T103">
        <v>4.42</v>
      </c>
      <c r="U103">
        <v>2.84</v>
      </c>
      <c r="V103">
        <v>4.26</v>
      </c>
    </row>
    <row r="104" spans="1:22" x14ac:dyDescent="0.2">
      <c r="A104">
        <v>101</v>
      </c>
      <c r="B104" t="s">
        <v>76</v>
      </c>
      <c r="C104">
        <v>1999</v>
      </c>
      <c r="D104">
        <v>17</v>
      </c>
      <c r="E104">
        <v>25.5</v>
      </c>
      <c r="G104">
        <v>3</v>
      </c>
      <c r="H104">
        <v>33</v>
      </c>
      <c r="I104">
        <v>270</v>
      </c>
      <c r="J104">
        <v>3</v>
      </c>
      <c r="K104">
        <v>1</v>
      </c>
      <c r="L104">
        <v>0</v>
      </c>
      <c r="M104">
        <v>1</v>
      </c>
      <c r="N104">
        <v>0</v>
      </c>
      <c r="O104">
        <v>0</v>
      </c>
      <c r="R104">
        <v>0.33</v>
      </c>
      <c r="S104">
        <v>0</v>
      </c>
      <c r="T104">
        <v>0.33</v>
      </c>
      <c r="U104">
        <v>0.33</v>
      </c>
      <c r="V104">
        <v>0.33</v>
      </c>
    </row>
    <row r="105" spans="1:22" x14ac:dyDescent="0.2">
      <c r="A105">
        <v>102</v>
      </c>
      <c r="B105" t="s">
        <v>53</v>
      </c>
      <c r="C105">
        <v>1999</v>
      </c>
      <c r="D105">
        <v>18</v>
      </c>
      <c r="E105">
        <v>24.4</v>
      </c>
      <c r="G105">
        <v>4</v>
      </c>
      <c r="H105">
        <v>44</v>
      </c>
      <c r="I105">
        <v>360</v>
      </c>
      <c r="J105">
        <v>4</v>
      </c>
      <c r="K105">
        <v>11</v>
      </c>
      <c r="L105">
        <v>4</v>
      </c>
      <c r="M105">
        <v>11</v>
      </c>
      <c r="N105">
        <v>0</v>
      </c>
      <c r="O105">
        <v>0</v>
      </c>
      <c r="R105">
        <v>2.75</v>
      </c>
      <c r="S105">
        <v>1</v>
      </c>
      <c r="T105">
        <v>3.75</v>
      </c>
      <c r="U105">
        <v>2.75</v>
      </c>
      <c r="V105">
        <v>3.75</v>
      </c>
    </row>
    <row r="106" spans="1:22" x14ac:dyDescent="0.2">
      <c r="A106">
        <v>103</v>
      </c>
      <c r="B106" t="s">
        <v>77</v>
      </c>
      <c r="C106">
        <v>1999</v>
      </c>
      <c r="D106">
        <v>16</v>
      </c>
      <c r="E106">
        <v>23.6</v>
      </c>
      <c r="G106">
        <v>3</v>
      </c>
      <c r="H106">
        <v>33</v>
      </c>
      <c r="I106">
        <v>270</v>
      </c>
      <c r="J106">
        <v>3</v>
      </c>
      <c r="K106">
        <v>1</v>
      </c>
      <c r="L106">
        <v>0</v>
      </c>
      <c r="M106">
        <v>1</v>
      </c>
      <c r="N106">
        <v>0</v>
      </c>
      <c r="O106">
        <v>0</v>
      </c>
      <c r="R106">
        <v>0.33</v>
      </c>
      <c r="S106">
        <v>0</v>
      </c>
      <c r="T106">
        <v>0.33</v>
      </c>
      <c r="U106">
        <v>0.33</v>
      </c>
      <c r="V106">
        <v>0.33</v>
      </c>
    </row>
    <row r="107" spans="1:22" x14ac:dyDescent="0.2">
      <c r="A107">
        <v>104</v>
      </c>
      <c r="B107" t="s">
        <v>54</v>
      </c>
      <c r="C107">
        <v>1999</v>
      </c>
      <c r="D107">
        <v>17</v>
      </c>
      <c r="E107">
        <v>26.7</v>
      </c>
      <c r="G107">
        <v>3</v>
      </c>
      <c r="H107">
        <v>33</v>
      </c>
      <c r="I107">
        <v>270</v>
      </c>
      <c r="J107">
        <v>3</v>
      </c>
      <c r="K107">
        <v>3</v>
      </c>
      <c r="L107">
        <v>1</v>
      </c>
      <c r="M107">
        <v>3</v>
      </c>
      <c r="N107">
        <v>0</v>
      </c>
      <c r="O107">
        <v>0</v>
      </c>
      <c r="R107">
        <v>1</v>
      </c>
      <c r="S107">
        <v>0.33</v>
      </c>
      <c r="T107">
        <v>1.33</v>
      </c>
      <c r="U107">
        <v>1</v>
      </c>
      <c r="V107">
        <v>1.33</v>
      </c>
    </row>
    <row r="108" spans="1:22" x14ac:dyDescent="0.2">
      <c r="A108">
        <v>105</v>
      </c>
      <c r="B108" t="s">
        <v>56</v>
      </c>
      <c r="C108">
        <v>1999</v>
      </c>
      <c r="D108">
        <v>15</v>
      </c>
      <c r="E108">
        <v>23</v>
      </c>
      <c r="G108">
        <v>3</v>
      </c>
      <c r="H108">
        <v>33</v>
      </c>
      <c r="I108">
        <v>270</v>
      </c>
      <c r="J108">
        <v>3</v>
      </c>
      <c r="K108">
        <v>1</v>
      </c>
      <c r="L108">
        <v>1</v>
      </c>
      <c r="M108">
        <v>1</v>
      </c>
      <c r="N108">
        <v>0</v>
      </c>
      <c r="O108">
        <v>0</v>
      </c>
      <c r="R108">
        <v>0.33</v>
      </c>
      <c r="S108">
        <v>0.33</v>
      </c>
      <c r="T108">
        <v>0.67</v>
      </c>
      <c r="U108">
        <v>0.33</v>
      </c>
      <c r="V108">
        <v>0.67</v>
      </c>
    </row>
    <row r="109" spans="1:22" x14ac:dyDescent="0.2">
      <c r="A109">
        <v>106</v>
      </c>
      <c r="B109" t="s">
        <v>75</v>
      </c>
      <c r="C109">
        <v>1999</v>
      </c>
      <c r="D109">
        <v>16</v>
      </c>
      <c r="E109">
        <v>24.5</v>
      </c>
      <c r="G109">
        <v>3</v>
      </c>
      <c r="H109">
        <v>33</v>
      </c>
      <c r="I109">
        <v>270</v>
      </c>
      <c r="J109">
        <v>3</v>
      </c>
      <c r="K109">
        <v>4</v>
      </c>
      <c r="L109">
        <v>2</v>
      </c>
      <c r="M109">
        <v>4</v>
      </c>
      <c r="N109">
        <v>0</v>
      </c>
      <c r="O109">
        <v>0</v>
      </c>
      <c r="R109">
        <v>1.33</v>
      </c>
      <c r="S109">
        <v>0.67</v>
      </c>
      <c r="T109">
        <v>2</v>
      </c>
      <c r="U109">
        <v>1.33</v>
      </c>
      <c r="V109">
        <v>2</v>
      </c>
    </row>
    <row r="110" spans="1:22" x14ac:dyDescent="0.2">
      <c r="A110">
        <v>107</v>
      </c>
      <c r="B110" t="s">
        <v>72</v>
      </c>
      <c r="C110">
        <v>1999</v>
      </c>
      <c r="D110">
        <v>15</v>
      </c>
      <c r="E110">
        <v>21.5</v>
      </c>
      <c r="G110">
        <v>3</v>
      </c>
      <c r="H110">
        <v>33</v>
      </c>
      <c r="I110">
        <v>270</v>
      </c>
      <c r="J110">
        <v>3</v>
      </c>
      <c r="K110">
        <v>1</v>
      </c>
      <c r="L110">
        <v>0</v>
      </c>
      <c r="M110">
        <v>1</v>
      </c>
      <c r="N110">
        <v>0</v>
      </c>
      <c r="O110">
        <v>0</v>
      </c>
      <c r="R110">
        <v>0.33</v>
      </c>
      <c r="S110">
        <v>0</v>
      </c>
      <c r="T110">
        <v>0.33</v>
      </c>
      <c r="U110">
        <v>0.33</v>
      </c>
      <c r="V110">
        <v>0.33</v>
      </c>
    </row>
    <row r="111" spans="1:22" x14ac:dyDescent="0.2">
      <c r="A111">
        <v>108</v>
      </c>
      <c r="B111" t="s">
        <v>60</v>
      </c>
      <c r="C111">
        <v>1999</v>
      </c>
      <c r="D111">
        <v>16</v>
      </c>
      <c r="E111">
        <v>23.5</v>
      </c>
      <c r="G111">
        <v>4</v>
      </c>
      <c r="H111">
        <v>44</v>
      </c>
      <c r="I111">
        <v>374</v>
      </c>
      <c r="J111">
        <v>4.2</v>
      </c>
      <c r="K111">
        <v>8</v>
      </c>
      <c r="L111">
        <v>3</v>
      </c>
      <c r="M111">
        <v>8</v>
      </c>
      <c r="N111">
        <v>0</v>
      </c>
      <c r="O111">
        <v>0</v>
      </c>
      <c r="R111">
        <v>1.93</v>
      </c>
      <c r="S111">
        <v>0.72</v>
      </c>
      <c r="T111">
        <v>2.65</v>
      </c>
      <c r="U111">
        <v>1.93</v>
      </c>
      <c r="V111">
        <v>2.65</v>
      </c>
    </row>
    <row r="112" spans="1:22" x14ac:dyDescent="0.2">
      <c r="A112">
        <v>109</v>
      </c>
      <c r="B112" t="s">
        <v>61</v>
      </c>
      <c r="C112">
        <v>1999</v>
      </c>
      <c r="D112">
        <v>19</v>
      </c>
      <c r="E112">
        <v>25.1</v>
      </c>
      <c r="G112">
        <v>6</v>
      </c>
      <c r="H112">
        <v>66</v>
      </c>
      <c r="I112">
        <v>540</v>
      </c>
      <c r="J112">
        <v>6</v>
      </c>
      <c r="K112">
        <v>15</v>
      </c>
      <c r="L112">
        <v>10</v>
      </c>
      <c r="M112">
        <v>15</v>
      </c>
      <c r="N112">
        <v>0</v>
      </c>
      <c r="O112">
        <v>0</v>
      </c>
      <c r="R112">
        <v>2.5</v>
      </c>
      <c r="S112">
        <v>1.67</v>
      </c>
      <c r="T112">
        <v>4.17</v>
      </c>
      <c r="U112">
        <v>2.5</v>
      </c>
      <c r="V112">
        <v>4.17</v>
      </c>
    </row>
    <row r="113" spans="1:22" x14ac:dyDescent="0.2">
      <c r="A113">
        <v>110</v>
      </c>
      <c r="B113" t="s">
        <v>78</v>
      </c>
      <c r="C113">
        <v>1999</v>
      </c>
      <c r="D113">
        <v>15</v>
      </c>
      <c r="E113">
        <v>25.6</v>
      </c>
      <c r="G113">
        <v>4</v>
      </c>
      <c r="H113">
        <v>44</v>
      </c>
      <c r="I113">
        <v>360</v>
      </c>
      <c r="J113">
        <v>4</v>
      </c>
      <c r="K113">
        <v>10</v>
      </c>
      <c r="L113">
        <v>9</v>
      </c>
      <c r="M113">
        <v>10</v>
      </c>
      <c r="N113">
        <v>0</v>
      </c>
      <c r="O113">
        <v>0</v>
      </c>
      <c r="R113">
        <v>2.5</v>
      </c>
      <c r="S113">
        <v>2.25</v>
      </c>
      <c r="T113">
        <v>4.75</v>
      </c>
      <c r="U113">
        <v>2.5</v>
      </c>
      <c r="V113">
        <v>4.75</v>
      </c>
    </row>
    <row r="114" spans="1:22" x14ac:dyDescent="0.2">
      <c r="A114">
        <v>111</v>
      </c>
      <c r="B114" t="s">
        <v>65</v>
      </c>
      <c r="C114">
        <v>1999</v>
      </c>
      <c r="D114">
        <v>17</v>
      </c>
      <c r="E114">
        <v>24.6</v>
      </c>
      <c r="G114">
        <v>4</v>
      </c>
      <c r="H114">
        <v>44</v>
      </c>
      <c r="I114">
        <v>360</v>
      </c>
      <c r="J114">
        <v>4</v>
      </c>
      <c r="K114">
        <v>7</v>
      </c>
      <c r="L114">
        <v>5</v>
      </c>
      <c r="M114">
        <v>7</v>
      </c>
      <c r="N114">
        <v>0</v>
      </c>
      <c r="O114">
        <v>0</v>
      </c>
      <c r="R114">
        <v>1.75</v>
      </c>
      <c r="S114">
        <v>1.25</v>
      </c>
      <c r="T114">
        <v>3</v>
      </c>
      <c r="U114">
        <v>1.75</v>
      </c>
      <c r="V114">
        <v>3</v>
      </c>
    </row>
    <row r="115" spans="1:22" x14ac:dyDescent="0.2">
      <c r="A115">
        <v>112</v>
      </c>
      <c r="B115" t="s">
        <v>67</v>
      </c>
      <c r="C115">
        <v>1999</v>
      </c>
      <c r="D115">
        <v>18</v>
      </c>
      <c r="E115">
        <v>27.4</v>
      </c>
      <c r="G115">
        <v>6</v>
      </c>
      <c r="H115">
        <v>66</v>
      </c>
      <c r="I115">
        <v>570</v>
      </c>
      <c r="J115">
        <v>6.3</v>
      </c>
      <c r="K115">
        <v>17</v>
      </c>
      <c r="L115">
        <v>15</v>
      </c>
      <c r="M115">
        <v>16</v>
      </c>
      <c r="N115">
        <v>1</v>
      </c>
      <c r="O115">
        <v>1</v>
      </c>
      <c r="R115">
        <v>2.68</v>
      </c>
      <c r="S115">
        <v>2.37</v>
      </c>
      <c r="T115">
        <v>5.05</v>
      </c>
      <c r="U115">
        <v>2.5299999999999998</v>
      </c>
      <c r="V115">
        <v>4.8899999999999997</v>
      </c>
    </row>
    <row r="116" spans="1:22" x14ac:dyDescent="0.2">
      <c r="A116">
        <v>113</v>
      </c>
      <c r="B116" t="s">
        <v>45</v>
      </c>
      <c r="C116">
        <v>1995</v>
      </c>
      <c r="D116">
        <v>17</v>
      </c>
      <c r="E116">
        <v>25</v>
      </c>
      <c r="G116">
        <v>3</v>
      </c>
      <c r="H116">
        <v>33</v>
      </c>
      <c r="I116">
        <v>270</v>
      </c>
      <c r="J116">
        <v>3</v>
      </c>
      <c r="K116">
        <v>3</v>
      </c>
      <c r="L116">
        <v>0</v>
      </c>
      <c r="M116">
        <v>3</v>
      </c>
      <c r="N116">
        <v>0</v>
      </c>
      <c r="O116">
        <v>0</v>
      </c>
      <c r="R116">
        <v>1</v>
      </c>
      <c r="S116">
        <v>0</v>
      </c>
      <c r="T116">
        <v>1</v>
      </c>
      <c r="U116">
        <v>1</v>
      </c>
      <c r="V116">
        <v>1</v>
      </c>
    </row>
    <row r="117" spans="1:22" x14ac:dyDescent="0.2">
      <c r="A117">
        <v>114</v>
      </c>
      <c r="B117" t="s">
        <v>46</v>
      </c>
      <c r="C117">
        <v>1995</v>
      </c>
      <c r="D117">
        <v>16</v>
      </c>
      <c r="E117">
        <v>27.9</v>
      </c>
      <c r="G117">
        <v>3</v>
      </c>
      <c r="H117">
        <v>33</v>
      </c>
      <c r="I117">
        <v>270</v>
      </c>
      <c r="J117">
        <v>3</v>
      </c>
      <c r="K117">
        <v>3</v>
      </c>
      <c r="L117">
        <v>1</v>
      </c>
      <c r="M117">
        <v>3</v>
      </c>
      <c r="N117">
        <v>0</v>
      </c>
      <c r="O117">
        <v>0</v>
      </c>
      <c r="R117">
        <v>1</v>
      </c>
      <c r="S117">
        <v>0.33</v>
      </c>
      <c r="T117">
        <v>1.33</v>
      </c>
      <c r="U117">
        <v>1</v>
      </c>
      <c r="V117">
        <v>1.33</v>
      </c>
    </row>
    <row r="118" spans="1:22" x14ac:dyDescent="0.2">
      <c r="A118">
        <v>115</v>
      </c>
      <c r="B118" t="s">
        <v>48</v>
      </c>
      <c r="C118">
        <v>1995</v>
      </c>
      <c r="D118">
        <v>15</v>
      </c>
      <c r="E118">
        <v>26.2</v>
      </c>
      <c r="G118">
        <v>3</v>
      </c>
      <c r="H118">
        <v>33</v>
      </c>
      <c r="I118">
        <v>270</v>
      </c>
      <c r="J118">
        <v>3</v>
      </c>
      <c r="K118">
        <v>5</v>
      </c>
      <c r="L118">
        <v>0</v>
      </c>
      <c r="M118">
        <v>5</v>
      </c>
      <c r="N118">
        <v>0</v>
      </c>
      <c r="O118">
        <v>0</v>
      </c>
      <c r="R118">
        <v>1.67</v>
      </c>
      <c r="S118">
        <v>0</v>
      </c>
      <c r="T118">
        <v>1.67</v>
      </c>
      <c r="U118">
        <v>1.67</v>
      </c>
      <c r="V118">
        <v>1.67</v>
      </c>
    </row>
    <row r="119" spans="1:22" x14ac:dyDescent="0.2">
      <c r="A119">
        <v>116</v>
      </c>
      <c r="B119" t="s">
        <v>50</v>
      </c>
      <c r="C119">
        <v>1995</v>
      </c>
      <c r="D119">
        <v>16</v>
      </c>
      <c r="E119">
        <v>24.3</v>
      </c>
      <c r="G119">
        <v>6</v>
      </c>
      <c r="H119">
        <v>66</v>
      </c>
      <c r="I119">
        <v>570</v>
      </c>
      <c r="J119">
        <v>6.3</v>
      </c>
      <c r="K119">
        <v>11</v>
      </c>
      <c r="L119">
        <v>0</v>
      </c>
      <c r="M119">
        <v>11</v>
      </c>
      <c r="N119">
        <v>0</v>
      </c>
      <c r="O119">
        <v>0</v>
      </c>
      <c r="R119">
        <v>1.74</v>
      </c>
      <c r="S119">
        <v>0</v>
      </c>
      <c r="T119">
        <v>1.74</v>
      </c>
      <c r="U119">
        <v>1.74</v>
      </c>
      <c r="V119">
        <v>1.74</v>
      </c>
    </row>
    <row r="120" spans="1:22" x14ac:dyDescent="0.2">
      <c r="A120">
        <v>117</v>
      </c>
      <c r="B120" t="s">
        <v>76</v>
      </c>
      <c r="C120">
        <v>1995</v>
      </c>
      <c r="D120">
        <v>17</v>
      </c>
      <c r="E120">
        <v>21.3</v>
      </c>
      <c r="G120">
        <v>4</v>
      </c>
      <c r="H120">
        <v>44</v>
      </c>
      <c r="I120">
        <v>360</v>
      </c>
      <c r="J120">
        <v>4</v>
      </c>
      <c r="K120">
        <v>7</v>
      </c>
      <c r="L120">
        <v>0</v>
      </c>
      <c r="M120">
        <v>7</v>
      </c>
      <c r="N120">
        <v>0</v>
      </c>
      <c r="O120">
        <v>0</v>
      </c>
      <c r="R120">
        <v>1.75</v>
      </c>
      <c r="S120">
        <v>0</v>
      </c>
      <c r="T120">
        <v>1.75</v>
      </c>
      <c r="U120">
        <v>1.75</v>
      </c>
      <c r="V120">
        <v>1.75</v>
      </c>
    </row>
    <row r="121" spans="1:22" x14ac:dyDescent="0.2">
      <c r="A121">
        <v>118</v>
      </c>
      <c r="B121" t="s">
        <v>51</v>
      </c>
      <c r="C121">
        <v>1995</v>
      </c>
      <c r="D121">
        <v>16</v>
      </c>
      <c r="E121">
        <v>27.8</v>
      </c>
      <c r="G121">
        <v>4</v>
      </c>
      <c r="H121">
        <v>44</v>
      </c>
      <c r="I121">
        <v>360</v>
      </c>
      <c r="J121">
        <v>4</v>
      </c>
      <c r="K121">
        <v>6</v>
      </c>
      <c r="L121">
        <v>0</v>
      </c>
      <c r="M121">
        <v>6</v>
      </c>
      <c r="N121">
        <v>0</v>
      </c>
      <c r="O121">
        <v>0</v>
      </c>
      <c r="R121">
        <v>1.5</v>
      </c>
      <c r="S121">
        <v>0</v>
      </c>
      <c r="T121">
        <v>1.5</v>
      </c>
      <c r="U121">
        <v>1.5</v>
      </c>
      <c r="V121">
        <v>1.5</v>
      </c>
    </row>
    <row r="122" spans="1:22" x14ac:dyDescent="0.2">
      <c r="A122">
        <v>119</v>
      </c>
      <c r="B122" t="s">
        <v>53</v>
      </c>
      <c r="C122">
        <v>1995</v>
      </c>
      <c r="D122">
        <v>17</v>
      </c>
      <c r="E122">
        <v>25.3</v>
      </c>
      <c r="G122">
        <v>6</v>
      </c>
      <c r="H122">
        <v>66</v>
      </c>
      <c r="I122">
        <v>540</v>
      </c>
      <c r="J122">
        <v>6</v>
      </c>
      <c r="K122">
        <v>13</v>
      </c>
      <c r="L122">
        <v>0</v>
      </c>
      <c r="M122">
        <v>13</v>
      </c>
      <c r="N122">
        <v>0</v>
      </c>
      <c r="O122">
        <v>0</v>
      </c>
      <c r="R122">
        <v>2.17</v>
      </c>
      <c r="S122">
        <v>0</v>
      </c>
      <c r="T122">
        <v>2.17</v>
      </c>
      <c r="U122">
        <v>2.17</v>
      </c>
      <c r="V122">
        <v>2.17</v>
      </c>
    </row>
    <row r="123" spans="1:22" x14ac:dyDescent="0.2">
      <c r="A123">
        <v>120</v>
      </c>
      <c r="B123" t="s">
        <v>56</v>
      </c>
      <c r="C123">
        <v>1995</v>
      </c>
      <c r="D123">
        <v>14</v>
      </c>
      <c r="E123">
        <v>22.6</v>
      </c>
      <c r="G123">
        <v>4</v>
      </c>
      <c r="H123">
        <v>44</v>
      </c>
      <c r="I123">
        <v>360</v>
      </c>
      <c r="J123">
        <v>4</v>
      </c>
      <c r="K123">
        <v>2</v>
      </c>
      <c r="L123">
        <v>0</v>
      </c>
      <c r="M123">
        <v>2</v>
      </c>
      <c r="N123">
        <v>0</v>
      </c>
      <c r="O123">
        <v>0</v>
      </c>
      <c r="R123">
        <v>0.5</v>
      </c>
      <c r="S123">
        <v>0</v>
      </c>
      <c r="T123">
        <v>0.5</v>
      </c>
      <c r="U123">
        <v>0.5</v>
      </c>
      <c r="V123">
        <v>0.5</v>
      </c>
    </row>
    <row r="124" spans="1:22" x14ac:dyDescent="0.2">
      <c r="A124">
        <v>121</v>
      </c>
      <c r="B124" t="s">
        <v>60</v>
      </c>
      <c r="C124">
        <v>1995</v>
      </c>
      <c r="D124">
        <v>16</v>
      </c>
      <c r="E124">
        <v>20.6</v>
      </c>
      <c r="G124">
        <v>3</v>
      </c>
      <c r="H124">
        <v>33</v>
      </c>
      <c r="I124">
        <v>270</v>
      </c>
      <c r="J124">
        <v>3</v>
      </c>
      <c r="K124">
        <v>5</v>
      </c>
      <c r="L124">
        <v>0</v>
      </c>
      <c r="M124">
        <v>5</v>
      </c>
      <c r="N124">
        <v>0</v>
      </c>
      <c r="O124">
        <v>0</v>
      </c>
      <c r="R124">
        <v>1.67</v>
      </c>
      <c r="S124">
        <v>0</v>
      </c>
      <c r="T124">
        <v>1.67</v>
      </c>
      <c r="U124">
        <v>1.67</v>
      </c>
      <c r="V124">
        <v>1.67</v>
      </c>
    </row>
    <row r="125" spans="1:22" x14ac:dyDescent="0.2">
      <c r="A125">
        <v>122</v>
      </c>
      <c r="B125" t="s">
        <v>61</v>
      </c>
      <c r="C125">
        <v>1995</v>
      </c>
      <c r="D125">
        <v>17</v>
      </c>
      <c r="E125">
        <v>24.6</v>
      </c>
      <c r="G125">
        <v>6</v>
      </c>
      <c r="H125">
        <v>66</v>
      </c>
      <c r="I125">
        <v>540</v>
      </c>
      <c r="J125">
        <v>6</v>
      </c>
      <c r="K125">
        <v>23</v>
      </c>
      <c r="L125">
        <v>0</v>
      </c>
      <c r="M125">
        <v>23</v>
      </c>
      <c r="N125">
        <v>0</v>
      </c>
      <c r="O125">
        <v>0</v>
      </c>
      <c r="R125">
        <v>3.83</v>
      </c>
      <c r="S125">
        <v>0</v>
      </c>
      <c r="T125">
        <v>3.83</v>
      </c>
      <c r="U125">
        <v>3.83</v>
      </c>
      <c r="V125">
        <v>3.83</v>
      </c>
    </row>
    <row r="126" spans="1:22" x14ac:dyDescent="0.2">
      <c r="A126">
        <v>123</v>
      </c>
      <c r="B126" t="s">
        <v>65</v>
      </c>
      <c r="C126">
        <v>1995</v>
      </c>
      <c r="D126">
        <v>18</v>
      </c>
      <c r="E126">
        <v>27.5</v>
      </c>
      <c r="G126">
        <v>4</v>
      </c>
      <c r="H126">
        <v>44</v>
      </c>
      <c r="I126">
        <v>390</v>
      </c>
      <c r="J126">
        <v>4.3</v>
      </c>
      <c r="K126">
        <v>6</v>
      </c>
      <c r="L126">
        <v>0</v>
      </c>
      <c r="M126">
        <v>6</v>
      </c>
      <c r="N126">
        <v>0</v>
      </c>
      <c r="O126">
        <v>0</v>
      </c>
      <c r="R126">
        <v>1.38</v>
      </c>
      <c r="S126">
        <v>0</v>
      </c>
      <c r="T126">
        <v>1.38</v>
      </c>
      <c r="U126">
        <v>1.38</v>
      </c>
      <c r="V126">
        <v>1.38</v>
      </c>
    </row>
    <row r="127" spans="1:22" x14ac:dyDescent="0.2">
      <c r="A127">
        <v>124</v>
      </c>
      <c r="B127" t="s">
        <v>67</v>
      </c>
      <c r="C127">
        <v>1995</v>
      </c>
      <c r="D127">
        <v>18</v>
      </c>
      <c r="E127">
        <v>24.1</v>
      </c>
      <c r="G127">
        <v>6</v>
      </c>
      <c r="H127">
        <v>66</v>
      </c>
      <c r="I127">
        <v>540</v>
      </c>
      <c r="J127">
        <v>6</v>
      </c>
      <c r="K127">
        <v>15</v>
      </c>
      <c r="L127">
        <v>4</v>
      </c>
      <c r="M127">
        <v>15</v>
      </c>
      <c r="N127">
        <v>0</v>
      </c>
      <c r="O127">
        <v>0</v>
      </c>
      <c r="R127">
        <v>2.5</v>
      </c>
      <c r="S127">
        <v>0.67</v>
      </c>
      <c r="T127">
        <v>3.17</v>
      </c>
      <c r="U127">
        <v>2.5</v>
      </c>
      <c r="V127">
        <v>3.17</v>
      </c>
    </row>
    <row r="128" spans="1:22" x14ac:dyDescent="0.2">
      <c r="A128">
        <v>125</v>
      </c>
      <c r="B128" t="s">
        <v>46</v>
      </c>
      <c r="C128">
        <v>1991</v>
      </c>
      <c r="D128">
        <v>17</v>
      </c>
      <c r="E128">
        <v>25.7</v>
      </c>
      <c r="G128">
        <v>3</v>
      </c>
      <c r="H128">
        <v>33</v>
      </c>
      <c r="I128">
        <v>240</v>
      </c>
      <c r="J128">
        <v>2.7</v>
      </c>
      <c r="K128">
        <v>1</v>
      </c>
      <c r="L128">
        <v>0</v>
      </c>
      <c r="M128">
        <v>1</v>
      </c>
      <c r="N128">
        <v>0</v>
      </c>
      <c r="O128">
        <v>0</v>
      </c>
      <c r="R128">
        <v>0.37</v>
      </c>
      <c r="S128">
        <v>0</v>
      </c>
      <c r="T128">
        <v>0.37</v>
      </c>
      <c r="U128">
        <v>0.37</v>
      </c>
      <c r="V128">
        <v>0.37</v>
      </c>
    </row>
    <row r="129" spans="1:22" x14ac:dyDescent="0.2">
      <c r="A129">
        <v>126</v>
      </c>
      <c r="B129" t="s">
        <v>50</v>
      </c>
      <c r="C129">
        <v>1991</v>
      </c>
      <c r="D129">
        <v>15</v>
      </c>
      <c r="E129">
        <v>22.1</v>
      </c>
      <c r="G129">
        <v>4</v>
      </c>
      <c r="H129">
        <v>44</v>
      </c>
      <c r="I129">
        <v>320</v>
      </c>
      <c r="J129">
        <v>3.6</v>
      </c>
      <c r="K129">
        <v>10</v>
      </c>
      <c r="L129">
        <v>3</v>
      </c>
      <c r="M129">
        <v>10</v>
      </c>
      <c r="N129">
        <v>0</v>
      </c>
      <c r="O129">
        <v>0</v>
      </c>
      <c r="R129">
        <v>2.81</v>
      </c>
      <c r="S129">
        <v>0.84</v>
      </c>
      <c r="T129">
        <v>3.66</v>
      </c>
      <c r="U129">
        <v>2.81</v>
      </c>
      <c r="V129">
        <v>3.66</v>
      </c>
    </row>
    <row r="130" spans="1:22" x14ac:dyDescent="0.2">
      <c r="A130">
        <v>127</v>
      </c>
      <c r="B130" t="s">
        <v>79</v>
      </c>
      <c r="C130">
        <v>1991</v>
      </c>
      <c r="D130">
        <v>16</v>
      </c>
      <c r="E130">
        <v>21.2</v>
      </c>
      <c r="G130">
        <v>4</v>
      </c>
      <c r="H130">
        <v>44</v>
      </c>
      <c r="I130">
        <v>320</v>
      </c>
      <c r="J130">
        <v>3.6</v>
      </c>
      <c r="K130">
        <v>2</v>
      </c>
      <c r="L130">
        <v>1</v>
      </c>
      <c r="M130">
        <v>2</v>
      </c>
      <c r="N130">
        <v>0</v>
      </c>
      <c r="O130">
        <v>0</v>
      </c>
      <c r="R130">
        <v>0.56000000000000005</v>
      </c>
      <c r="S130">
        <v>0.28000000000000003</v>
      </c>
      <c r="T130">
        <v>0.84</v>
      </c>
      <c r="U130">
        <v>0.56000000000000005</v>
      </c>
      <c r="V130">
        <v>0.84</v>
      </c>
    </row>
    <row r="131" spans="1:22" x14ac:dyDescent="0.2">
      <c r="A131">
        <v>128</v>
      </c>
      <c r="B131" t="s">
        <v>76</v>
      </c>
      <c r="C131">
        <v>1991</v>
      </c>
      <c r="D131">
        <v>15</v>
      </c>
      <c r="E131">
        <v>23.8</v>
      </c>
      <c r="G131">
        <v>4</v>
      </c>
      <c r="H131">
        <v>44</v>
      </c>
      <c r="I131">
        <v>340</v>
      </c>
      <c r="J131">
        <v>3.8</v>
      </c>
      <c r="K131">
        <v>7</v>
      </c>
      <c r="L131">
        <v>5</v>
      </c>
      <c r="M131">
        <v>5</v>
      </c>
      <c r="N131">
        <v>2</v>
      </c>
      <c r="O131">
        <v>2</v>
      </c>
      <c r="R131">
        <v>1.85</v>
      </c>
      <c r="S131">
        <v>1.32</v>
      </c>
      <c r="T131">
        <v>3.18</v>
      </c>
      <c r="U131">
        <v>1.32</v>
      </c>
      <c r="V131">
        <v>2.65</v>
      </c>
    </row>
    <row r="132" spans="1:22" x14ac:dyDescent="0.2">
      <c r="A132">
        <v>129</v>
      </c>
      <c r="B132" t="s">
        <v>53</v>
      </c>
      <c r="C132">
        <v>1991</v>
      </c>
      <c r="D132">
        <v>18</v>
      </c>
      <c r="E132">
        <v>23.8</v>
      </c>
      <c r="G132">
        <v>6</v>
      </c>
      <c r="H132">
        <v>66</v>
      </c>
      <c r="I132">
        <v>500</v>
      </c>
      <c r="J132">
        <v>5.6</v>
      </c>
      <c r="K132">
        <v>13</v>
      </c>
      <c r="L132">
        <v>9</v>
      </c>
      <c r="M132">
        <v>12</v>
      </c>
      <c r="N132">
        <v>1</v>
      </c>
      <c r="O132">
        <v>1</v>
      </c>
      <c r="R132">
        <v>2.34</v>
      </c>
      <c r="S132">
        <v>1.62</v>
      </c>
      <c r="T132">
        <v>3.96</v>
      </c>
      <c r="U132">
        <v>2.16</v>
      </c>
      <c r="V132">
        <v>3.78</v>
      </c>
    </row>
    <row r="133" spans="1:22" x14ac:dyDescent="0.2">
      <c r="A133">
        <v>130</v>
      </c>
      <c r="B133" t="s">
        <v>54</v>
      </c>
      <c r="C133">
        <v>1991</v>
      </c>
      <c r="D133">
        <v>17</v>
      </c>
      <c r="E133">
        <v>24.2</v>
      </c>
      <c r="G133">
        <v>4</v>
      </c>
      <c r="H133">
        <v>44</v>
      </c>
      <c r="I133">
        <v>340</v>
      </c>
      <c r="J133">
        <v>3.8</v>
      </c>
      <c r="K133">
        <v>8</v>
      </c>
      <c r="L133">
        <v>5</v>
      </c>
      <c r="M133">
        <v>8</v>
      </c>
      <c r="N133">
        <v>0</v>
      </c>
      <c r="O133">
        <v>0</v>
      </c>
      <c r="R133">
        <v>2.12</v>
      </c>
      <c r="S133">
        <v>1.32</v>
      </c>
      <c r="T133">
        <v>3.44</v>
      </c>
      <c r="U133">
        <v>2.12</v>
      </c>
      <c r="V133">
        <v>3.44</v>
      </c>
    </row>
    <row r="134" spans="1:22" x14ac:dyDescent="0.2">
      <c r="A134">
        <v>131</v>
      </c>
      <c r="B134" t="s">
        <v>56</v>
      </c>
      <c r="C134">
        <v>1991</v>
      </c>
      <c r="D134">
        <v>13</v>
      </c>
      <c r="E134">
        <v>24.3</v>
      </c>
      <c r="G134">
        <v>3</v>
      </c>
      <c r="H134">
        <v>33</v>
      </c>
      <c r="I134">
        <v>240</v>
      </c>
      <c r="J134">
        <v>2.7</v>
      </c>
      <c r="K134">
        <v>0</v>
      </c>
      <c r="L134">
        <v>0</v>
      </c>
      <c r="M134">
        <v>0</v>
      </c>
      <c r="N134">
        <v>0</v>
      </c>
      <c r="O134">
        <v>0</v>
      </c>
      <c r="R134">
        <v>0</v>
      </c>
      <c r="S134">
        <v>0</v>
      </c>
      <c r="T134">
        <v>0</v>
      </c>
      <c r="U134">
        <v>0</v>
      </c>
      <c r="V134">
        <v>0</v>
      </c>
    </row>
    <row r="135" spans="1:22" x14ac:dyDescent="0.2">
      <c r="A135">
        <v>132</v>
      </c>
      <c r="B135" t="s">
        <v>59</v>
      </c>
      <c r="C135">
        <v>1991</v>
      </c>
      <c r="D135">
        <v>15</v>
      </c>
      <c r="E135">
        <v>25.5</v>
      </c>
      <c r="G135">
        <v>3</v>
      </c>
      <c r="H135">
        <v>33</v>
      </c>
      <c r="I135">
        <v>240</v>
      </c>
      <c r="J135">
        <v>2.7</v>
      </c>
      <c r="K135">
        <v>1</v>
      </c>
      <c r="L135">
        <v>1</v>
      </c>
      <c r="M135">
        <v>1</v>
      </c>
      <c r="N135">
        <v>0</v>
      </c>
      <c r="O135">
        <v>0</v>
      </c>
      <c r="R135">
        <v>0.37</v>
      </c>
      <c r="S135">
        <v>0.37</v>
      </c>
      <c r="T135">
        <v>0.75</v>
      </c>
      <c r="U135">
        <v>0.37</v>
      </c>
      <c r="V135">
        <v>0.75</v>
      </c>
    </row>
    <row r="136" spans="1:22" x14ac:dyDescent="0.2">
      <c r="A136">
        <v>133</v>
      </c>
      <c r="B136" t="s">
        <v>60</v>
      </c>
      <c r="C136">
        <v>1991</v>
      </c>
      <c r="D136">
        <v>17</v>
      </c>
      <c r="E136">
        <v>18.2</v>
      </c>
      <c r="G136">
        <v>3</v>
      </c>
      <c r="H136">
        <v>33</v>
      </c>
      <c r="I136">
        <v>240</v>
      </c>
      <c r="J136">
        <v>2.7</v>
      </c>
      <c r="K136">
        <v>0</v>
      </c>
      <c r="L136">
        <v>0</v>
      </c>
      <c r="M136">
        <v>0</v>
      </c>
      <c r="N136">
        <v>0</v>
      </c>
      <c r="O136">
        <v>0</v>
      </c>
      <c r="R136">
        <v>0</v>
      </c>
      <c r="S136">
        <v>0</v>
      </c>
      <c r="T136">
        <v>0</v>
      </c>
      <c r="U136">
        <v>0</v>
      </c>
      <c r="V136">
        <v>0</v>
      </c>
    </row>
    <row r="137" spans="1:22" x14ac:dyDescent="0.2">
      <c r="A137">
        <v>134</v>
      </c>
      <c r="B137" t="s">
        <v>61</v>
      </c>
      <c r="C137">
        <v>1991</v>
      </c>
      <c r="D137">
        <v>15</v>
      </c>
      <c r="E137">
        <v>24.1</v>
      </c>
      <c r="G137">
        <v>6</v>
      </c>
      <c r="H137">
        <v>66</v>
      </c>
      <c r="I137">
        <v>500</v>
      </c>
      <c r="J137">
        <v>5.6</v>
      </c>
      <c r="K137">
        <v>13</v>
      </c>
      <c r="L137">
        <v>6</v>
      </c>
      <c r="M137">
        <v>12</v>
      </c>
      <c r="N137">
        <v>1</v>
      </c>
      <c r="O137">
        <v>1</v>
      </c>
      <c r="R137">
        <v>2.34</v>
      </c>
      <c r="S137">
        <v>1.08</v>
      </c>
      <c r="T137">
        <v>3.42</v>
      </c>
      <c r="U137">
        <v>2.16</v>
      </c>
      <c r="V137">
        <v>3.24</v>
      </c>
    </row>
    <row r="138" spans="1:22" x14ac:dyDescent="0.2">
      <c r="A138">
        <v>135</v>
      </c>
      <c r="B138" t="s">
        <v>65</v>
      </c>
      <c r="C138">
        <v>1991</v>
      </c>
      <c r="D138">
        <v>18</v>
      </c>
      <c r="E138">
        <v>25.4</v>
      </c>
      <c r="G138">
        <v>6</v>
      </c>
      <c r="H138">
        <v>66</v>
      </c>
      <c r="I138">
        <v>480</v>
      </c>
      <c r="J138">
        <v>5.3</v>
      </c>
      <c r="K138">
        <v>17</v>
      </c>
      <c r="L138">
        <v>11</v>
      </c>
      <c r="M138">
        <v>16</v>
      </c>
      <c r="N138">
        <v>1</v>
      </c>
      <c r="O138">
        <v>1</v>
      </c>
      <c r="R138">
        <v>3.19</v>
      </c>
      <c r="S138">
        <v>2.06</v>
      </c>
      <c r="T138">
        <v>5.25</v>
      </c>
      <c r="U138">
        <v>3</v>
      </c>
      <c r="V138">
        <v>5.0599999999999996</v>
      </c>
    </row>
    <row r="139" spans="1:22" x14ac:dyDescent="0.2">
      <c r="A139">
        <v>136</v>
      </c>
      <c r="B139" t="s">
        <v>67</v>
      </c>
      <c r="C139">
        <v>1991</v>
      </c>
      <c r="D139">
        <v>16</v>
      </c>
      <c r="E139">
        <v>23</v>
      </c>
      <c r="G139">
        <v>6</v>
      </c>
      <c r="H139">
        <v>66</v>
      </c>
      <c r="I139">
        <v>480</v>
      </c>
      <c r="J139">
        <v>5.3</v>
      </c>
      <c r="K139">
        <v>25</v>
      </c>
      <c r="L139">
        <v>11</v>
      </c>
      <c r="M139">
        <v>24</v>
      </c>
      <c r="N139">
        <v>1</v>
      </c>
      <c r="O139">
        <v>1</v>
      </c>
      <c r="R139">
        <v>4.6900000000000004</v>
      </c>
      <c r="S139">
        <v>2.06</v>
      </c>
      <c r="T139">
        <v>6.75</v>
      </c>
      <c r="U139">
        <v>4.5</v>
      </c>
      <c r="V139">
        <v>6.56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A0406-2CE0-974B-A965-9344DF73EFE8}">
  <sheetPr codeName="Sheet3"/>
  <dimension ref="A1:P162"/>
  <sheetViews>
    <sheetView tabSelected="1" zoomScale="140" zoomScaleNormal="140" workbookViewId="0">
      <selection activeCell="G23" sqref="G23"/>
    </sheetView>
  </sheetViews>
  <sheetFormatPr baseColWidth="10" defaultColWidth="11" defaultRowHeight="16" x14ac:dyDescent="0.2"/>
  <sheetData>
    <row r="1" spans="1:16" x14ac:dyDescent="0.2">
      <c r="A1" s="12" t="s">
        <v>80</v>
      </c>
    </row>
    <row r="2" spans="1:16" ht="17" thickBot="1" x14ac:dyDescent="0.25"/>
    <row r="3" spans="1:16" x14ac:dyDescent="0.2">
      <c r="B3" s="3">
        <v>1</v>
      </c>
      <c r="C3" s="4">
        <v>2</v>
      </c>
      <c r="D3" s="5">
        <v>3</v>
      </c>
    </row>
    <row r="4" spans="1:16" x14ac:dyDescent="0.2">
      <c r="B4" s="6">
        <v>4</v>
      </c>
      <c r="C4">
        <v>5</v>
      </c>
      <c r="D4" s="7">
        <v>6</v>
      </c>
    </row>
    <row r="5" spans="1:16" ht="17" thickBot="1" x14ac:dyDescent="0.25">
      <c r="B5" s="8">
        <v>7</v>
      </c>
      <c r="C5" s="9">
        <v>8</v>
      </c>
      <c r="D5" s="10">
        <v>9</v>
      </c>
    </row>
    <row r="7" spans="1:16" x14ac:dyDescent="0.2">
      <c r="A7" s="11" t="s">
        <v>81</v>
      </c>
    </row>
    <row r="9" spans="1:16" x14ac:dyDescent="0.2">
      <c r="B9" s="2">
        <f>B3</f>
        <v>1</v>
      </c>
      <c r="C9" s="2"/>
      <c r="D9" s="2"/>
      <c r="F9" s="2">
        <f>B$3</f>
        <v>1</v>
      </c>
      <c r="G9" s="2"/>
      <c r="H9" s="2"/>
      <c r="J9" s="2">
        <f>$B3</f>
        <v>1</v>
      </c>
      <c r="K9" s="2"/>
      <c r="L9" s="2"/>
      <c r="N9" s="2">
        <f>$B$3</f>
        <v>1</v>
      </c>
      <c r="O9" s="2"/>
      <c r="P9" s="2"/>
    </row>
    <row r="10" spans="1:16" x14ac:dyDescent="0.2">
      <c r="B10" s="2"/>
      <c r="C10" s="2"/>
      <c r="D10" s="2"/>
      <c r="F10" s="2"/>
      <c r="G10" s="2"/>
      <c r="H10" s="2"/>
      <c r="J10" s="2"/>
      <c r="K10" s="2"/>
      <c r="L10" s="2"/>
      <c r="N10" s="2"/>
      <c r="O10" s="2"/>
      <c r="P10" s="2"/>
    </row>
    <row r="11" spans="1:16" x14ac:dyDescent="0.2">
      <c r="B11" s="2"/>
      <c r="C11" s="2"/>
      <c r="D11" s="2"/>
      <c r="F11" s="2"/>
      <c r="G11" s="2"/>
      <c r="H11" s="2"/>
      <c r="J11" s="2"/>
      <c r="K11" s="2"/>
      <c r="L11" s="2"/>
      <c r="N11" s="2"/>
      <c r="O11" s="2"/>
      <c r="P11" s="2"/>
    </row>
    <row r="13" spans="1:16" s="1" customFormat="1" x14ac:dyDescent="0.2"/>
    <row r="14" spans="1:16" x14ac:dyDescent="0.2">
      <c r="A14" s="12" t="s">
        <v>82</v>
      </c>
    </row>
    <row r="16" spans="1:16" x14ac:dyDescent="0.2">
      <c r="A16" s="11" t="s">
        <v>83</v>
      </c>
      <c r="C16" s="11" t="s">
        <v>84</v>
      </c>
      <c r="E16" s="11" t="s">
        <v>84</v>
      </c>
      <c r="G16" s="11" t="s">
        <v>85</v>
      </c>
      <c r="I16" s="11" t="s">
        <v>86</v>
      </c>
    </row>
    <row r="18" spans="1:9" x14ac:dyDescent="0.2">
      <c r="A18" s="2" t="str" cm="1">
        <f t="array" ref="A18:A153">IF(matches_played&gt;6,squad,"")</f>
        <v/>
      </c>
      <c r="C18" s="2" t="str" cm="1">
        <f t="array" ref="C18:C153">_xlfn.IFS(matches_played&gt;6,squad,year=2019,"bla")</f>
        <v>bla</v>
      </c>
      <c r="E18" s="2" t="str" cm="1">
        <f t="array" ref="E18:E153">_xlfn.IFS(matches_played&gt;6,squad,year=2019,"bla",TRUE,"")</f>
        <v>bla</v>
      </c>
      <c r="G18" s="2">
        <f>_xlfn.MAXIFS(matches_played,squad,"Australia")</f>
        <v>5</v>
      </c>
      <c r="I18" s="117">
        <f>_xlfn.MINIFS(matches_played,squad,"Australia",year,"&gt;2010")</f>
        <v>4</v>
      </c>
    </row>
    <row r="19" spans="1:9" x14ac:dyDescent="0.2">
      <c r="A19" s="2" t="str">
        <v/>
      </c>
      <c r="C19" s="2" t="str">
        <v>bla</v>
      </c>
      <c r="E19" s="2" t="str">
        <v>bla</v>
      </c>
    </row>
    <row r="20" spans="1:9" x14ac:dyDescent="0.2">
      <c r="A20" s="2" t="str">
        <v/>
      </c>
      <c r="C20" s="2" t="str">
        <v>bla</v>
      </c>
      <c r="E20" s="2" t="str">
        <v>bla</v>
      </c>
    </row>
    <row r="21" spans="1:9" x14ac:dyDescent="0.2">
      <c r="A21" s="2" t="str">
        <v/>
      </c>
      <c r="C21" s="2" t="str">
        <v>bla</v>
      </c>
      <c r="E21" s="2" t="str">
        <v>bla</v>
      </c>
    </row>
    <row r="22" spans="1:9" x14ac:dyDescent="0.2">
      <c r="A22" s="2" t="str">
        <v/>
      </c>
      <c r="C22" s="2" t="str">
        <v>bla</v>
      </c>
      <c r="E22" s="2" t="str">
        <v>bla</v>
      </c>
    </row>
    <row r="23" spans="1:9" x14ac:dyDescent="0.2">
      <c r="A23" s="2" t="str">
        <v/>
      </c>
      <c r="C23" s="2" t="str">
        <v>bla</v>
      </c>
      <c r="E23" s="2" t="str">
        <v>bla</v>
      </c>
    </row>
    <row r="24" spans="1:9" x14ac:dyDescent="0.2">
      <c r="A24" s="2" t="str">
        <v/>
      </c>
      <c r="C24" s="2" t="str">
        <v>bla</v>
      </c>
      <c r="E24" s="2" t="str">
        <v>bla</v>
      </c>
    </row>
    <row r="25" spans="1:9" x14ac:dyDescent="0.2">
      <c r="A25" s="2" t="str">
        <v>England</v>
      </c>
      <c r="C25" s="2" t="str">
        <v>England</v>
      </c>
      <c r="E25" s="2" t="str">
        <v>England</v>
      </c>
    </row>
    <row r="26" spans="1:9" x14ac:dyDescent="0.2">
      <c r="A26" s="2" t="str">
        <v/>
      </c>
      <c r="C26" s="2" t="str">
        <v>bla</v>
      </c>
      <c r="E26" s="2" t="str">
        <v>bla</v>
      </c>
    </row>
    <row r="27" spans="1:9" x14ac:dyDescent="0.2">
      <c r="A27" s="2" t="str">
        <v/>
      </c>
      <c r="C27" s="2" t="str">
        <v>bla</v>
      </c>
      <c r="E27" s="2" t="str">
        <v>bla</v>
      </c>
    </row>
    <row r="28" spans="1:9" x14ac:dyDescent="0.2">
      <c r="A28" s="2" t="str">
        <v/>
      </c>
      <c r="C28" s="2" t="str">
        <v>bla</v>
      </c>
      <c r="E28" s="2" t="str">
        <v>bla</v>
      </c>
    </row>
    <row r="29" spans="1:9" x14ac:dyDescent="0.2">
      <c r="A29" s="2" t="str">
        <v/>
      </c>
      <c r="C29" s="2" t="str">
        <v>bla</v>
      </c>
      <c r="E29" s="2" t="str">
        <v>bla</v>
      </c>
    </row>
    <row r="30" spans="1:9" x14ac:dyDescent="0.2">
      <c r="A30" s="2" t="str">
        <v/>
      </c>
      <c r="C30" s="2" t="str">
        <v>bla</v>
      </c>
      <c r="E30" s="2" t="str">
        <v>bla</v>
      </c>
    </row>
    <row r="31" spans="1:9" x14ac:dyDescent="0.2">
      <c r="A31" s="2" t="str">
        <v/>
      </c>
      <c r="C31" s="2" t="str">
        <v>bla</v>
      </c>
      <c r="E31" s="2" t="str">
        <v>bla</v>
      </c>
    </row>
    <row r="32" spans="1:9" x14ac:dyDescent="0.2">
      <c r="A32" s="2" t="str">
        <v>Netherlands</v>
      </c>
      <c r="C32" s="2" t="str">
        <v>Netherlands</v>
      </c>
      <c r="E32" s="2" t="str">
        <v>Netherlands</v>
      </c>
    </row>
    <row r="33" spans="1:5" x14ac:dyDescent="0.2">
      <c r="A33" s="2" t="str">
        <v/>
      </c>
      <c r="C33" s="2" t="str">
        <v>bla</v>
      </c>
      <c r="E33" s="2" t="str">
        <v>bla</v>
      </c>
    </row>
    <row r="34" spans="1:5" x14ac:dyDescent="0.2">
      <c r="A34" s="2" t="str">
        <v/>
      </c>
      <c r="C34" s="2" t="str">
        <v>bla</v>
      </c>
      <c r="E34" s="2" t="str">
        <v>bla</v>
      </c>
    </row>
    <row r="35" spans="1:5" x14ac:dyDescent="0.2">
      <c r="A35" s="2" t="str">
        <v/>
      </c>
      <c r="C35" s="2" t="str">
        <v>bla</v>
      </c>
      <c r="E35" s="2" t="str">
        <v>bla</v>
      </c>
    </row>
    <row r="36" spans="1:5" x14ac:dyDescent="0.2">
      <c r="A36" s="2" t="str">
        <v/>
      </c>
      <c r="C36" s="2" t="str">
        <v>bla</v>
      </c>
      <c r="E36" s="2" t="str">
        <v>bla</v>
      </c>
    </row>
    <row r="37" spans="1:5" x14ac:dyDescent="0.2">
      <c r="A37" s="2" t="str">
        <v/>
      </c>
      <c r="C37" s="2" t="str">
        <v>bla</v>
      </c>
      <c r="E37" s="2" t="str">
        <v>bla</v>
      </c>
    </row>
    <row r="38" spans="1:5" x14ac:dyDescent="0.2">
      <c r="A38" s="2" t="str">
        <v/>
      </c>
      <c r="C38" s="2" t="str">
        <v>bla</v>
      </c>
      <c r="E38" s="2" t="str">
        <v>bla</v>
      </c>
    </row>
    <row r="39" spans="1:5" x14ac:dyDescent="0.2">
      <c r="A39" s="2" t="str">
        <v>Sweden</v>
      </c>
      <c r="C39" s="2" t="str">
        <v>Sweden</v>
      </c>
      <c r="E39" s="2" t="str">
        <v>Sweden</v>
      </c>
    </row>
    <row r="40" spans="1:5" x14ac:dyDescent="0.2">
      <c r="A40" s="2" t="str">
        <v/>
      </c>
      <c r="C40" s="2" t="str">
        <v>bla</v>
      </c>
      <c r="E40" s="2" t="str">
        <v>bla</v>
      </c>
    </row>
    <row r="41" spans="1:5" x14ac:dyDescent="0.2">
      <c r="A41" s="2" t="str">
        <v>USA</v>
      </c>
      <c r="C41" s="2" t="str">
        <v>USA</v>
      </c>
      <c r="E41" s="2" t="str">
        <v>USA</v>
      </c>
    </row>
    <row r="42" spans="1:5" x14ac:dyDescent="0.2">
      <c r="A42" s="2" t="str">
        <v/>
      </c>
      <c r="C42" s="2" t="e">
        <v>#N/A</v>
      </c>
      <c r="E42" s="2" t="str">
        <v/>
      </c>
    </row>
    <row r="43" spans="1:5" x14ac:dyDescent="0.2">
      <c r="A43" s="2" t="str">
        <v/>
      </c>
      <c r="C43" s="2" t="e">
        <v>#N/A</v>
      </c>
      <c r="E43" s="2" t="str">
        <v/>
      </c>
    </row>
    <row r="44" spans="1:5" x14ac:dyDescent="0.2">
      <c r="A44" s="2" t="str">
        <v/>
      </c>
      <c r="C44" s="2" t="e">
        <v>#N/A</v>
      </c>
      <c r="E44" s="2" t="str">
        <v/>
      </c>
    </row>
    <row r="45" spans="1:5" x14ac:dyDescent="0.2">
      <c r="A45" s="2" t="str">
        <v/>
      </c>
      <c r="C45" s="2" t="e">
        <v>#N/A</v>
      </c>
      <c r="E45" s="2" t="str">
        <v/>
      </c>
    </row>
    <row r="46" spans="1:5" x14ac:dyDescent="0.2">
      <c r="A46" s="2" t="str">
        <v/>
      </c>
      <c r="C46" s="2" t="e">
        <v>#N/A</v>
      </c>
      <c r="E46" s="2" t="str">
        <v/>
      </c>
    </row>
    <row r="47" spans="1:5" x14ac:dyDescent="0.2">
      <c r="A47" s="2" t="str">
        <v/>
      </c>
      <c r="C47" s="2" t="e">
        <v>#N/A</v>
      </c>
      <c r="E47" s="2" t="str">
        <v/>
      </c>
    </row>
    <row r="48" spans="1:5" x14ac:dyDescent="0.2">
      <c r="A48" s="2" t="str">
        <v/>
      </c>
      <c r="C48" s="2" t="e">
        <v>#N/A</v>
      </c>
      <c r="E48" s="2" t="str">
        <v/>
      </c>
    </row>
    <row r="49" spans="1:5" x14ac:dyDescent="0.2">
      <c r="A49" s="2" t="str">
        <v/>
      </c>
      <c r="C49" s="2" t="e">
        <v>#N/A</v>
      </c>
      <c r="E49" s="2" t="str">
        <v/>
      </c>
    </row>
    <row r="50" spans="1:5" x14ac:dyDescent="0.2">
      <c r="A50" s="2" t="str">
        <v/>
      </c>
      <c r="C50" s="2" t="e">
        <v>#N/A</v>
      </c>
      <c r="E50" s="2" t="str">
        <v/>
      </c>
    </row>
    <row r="51" spans="1:5" x14ac:dyDescent="0.2">
      <c r="A51" s="2" t="str">
        <v>England</v>
      </c>
      <c r="C51" s="2" t="str">
        <v>England</v>
      </c>
      <c r="E51" s="2" t="str">
        <v>England</v>
      </c>
    </row>
    <row r="52" spans="1:5" x14ac:dyDescent="0.2">
      <c r="A52" s="2" t="str">
        <v/>
      </c>
      <c r="C52" s="2" t="e">
        <v>#N/A</v>
      </c>
      <c r="E52" s="2" t="str">
        <v/>
      </c>
    </row>
    <row r="53" spans="1:5" x14ac:dyDescent="0.2">
      <c r="A53" s="2" t="str">
        <v>Germany</v>
      </c>
      <c r="C53" s="2" t="str">
        <v>Germany</v>
      </c>
      <c r="E53" s="2" t="str">
        <v>Germany</v>
      </c>
    </row>
    <row r="54" spans="1:5" x14ac:dyDescent="0.2">
      <c r="A54" s="2" t="str">
        <v>Japan</v>
      </c>
      <c r="C54" s="2" t="str">
        <v>Japan</v>
      </c>
      <c r="E54" s="2" t="str">
        <v>Japan</v>
      </c>
    </row>
    <row r="55" spans="1:5" x14ac:dyDescent="0.2">
      <c r="A55" s="2" t="str">
        <v/>
      </c>
      <c r="C55" s="2" t="e">
        <v>#N/A</v>
      </c>
      <c r="E55" s="2" t="str">
        <v/>
      </c>
    </row>
    <row r="56" spans="1:5" x14ac:dyDescent="0.2">
      <c r="A56" s="2" t="str">
        <v/>
      </c>
      <c r="C56" s="2" t="e">
        <v>#N/A</v>
      </c>
      <c r="E56" s="2" t="str">
        <v/>
      </c>
    </row>
    <row r="57" spans="1:5" hidden="1" x14ac:dyDescent="0.2">
      <c r="A57" s="2" t="str">
        <v/>
      </c>
      <c r="C57" s="2" t="e">
        <v>#N/A</v>
      </c>
      <c r="E57" s="2" t="str">
        <v/>
      </c>
    </row>
    <row r="58" spans="1:5" hidden="1" x14ac:dyDescent="0.2">
      <c r="A58" s="2" t="str">
        <v/>
      </c>
      <c r="C58" s="2" t="e">
        <v>#N/A</v>
      </c>
      <c r="E58" s="2" t="str">
        <v/>
      </c>
    </row>
    <row r="59" spans="1:5" hidden="1" x14ac:dyDescent="0.2">
      <c r="A59" s="2" t="str">
        <v/>
      </c>
      <c r="C59" s="2" t="e">
        <v>#N/A</v>
      </c>
      <c r="E59" s="2" t="str">
        <v/>
      </c>
    </row>
    <row r="60" spans="1:5" hidden="1" x14ac:dyDescent="0.2">
      <c r="A60" s="2" t="str">
        <v/>
      </c>
      <c r="C60" s="2" t="e">
        <v>#N/A</v>
      </c>
      <c r="E60" s="2" t="str">
        <v/>
      </c>
    </row>
    <row r="61" spans="1:5" hidden="1" x14ac:dyDescent="0.2">
      <c r="A61" s="2" t="str">
        <v/>
      </c>
      <c r="C61" s="2" t="e">
        <v>#N/A</v>
      </c>
      <c r="E61" s="2" t="str">
        <v/>
      </c>
    </row>
    <row r="62" spans="1:5" hidden="1" x14ac:dyDescent="0.2">
      <c r="A62" s="2" t="str">
        <v/>
      </c>
      <c r="C62" s="2" t="e">
        <v>#N/A</v>
      </c>
      <c r="E62" s="2" t="str">
        <v/>
      </c>
    </row>
    <row r="63" spans="1:5" hidden="1" x14ac:dyDescent="0.2">
      <c r="A63" s="2" t="str">
        <v/>
      </c>
      <c r="C63" s="2" t="e">
        <v>#N/A</v>
      </c>
      <c r="E63" s="2" t="str">
        <v/>
      </c>
    </row>
    <row r="64" spans="1:5" hidden="1" x14ac:dyDescent="0.2">
      <c r="A64" s="2" t="str">
        <v/>
      </c>
      <c r="C64" s="2" t="e">
        <v>#N/A</v>
      </c>
      <c r="E64" s="2" t="str">
        <v/>
      </c>
    </row>
    <row r="65" spans="1:5" hidden="1" x14ac:dyDescent="0.2">
      <c r="A65" s="2" t="str">
        <v>USA</v>
      </c>
      <c r="C65" s="2" t="str">
        <v>USA</v>
      </c>
      <c r="E65" s="2" t="str">
        <v>USA</v>
      </c>
    </row>
    <row r="66" spans="1:5" hidden="1" x14ac:dyDescent="0.2">
      <c r="A66" s="2" t="str">
        <v/>
      </c>
      <c r="C66" s="2" t="e">
        <v>#N/A</v>
      </c>
      <c r="E66" s="2" t="str">
        <v/>
      </c>
    </row>
    <row r="67" spans="1:5" hidden="1" x14ac:dyDescent="0.2">
      <c r="A67" s="2" t="str">
        <v/>
      </c>
      <c r="C67" s="2" t="e">
        <v>#N/A</v>
      </c>
      <c r="E67" s="2" t="str">
        <v/>
      </c>
    </row>
    <row r="68" spans="1:5" hidden="1" x14ac:dyDescent="0.2">
      <c r="A68" s="2" t="str">
        <v/>
      </c>
      <c r="C68" s="2" t="e">
        <v>#N/A</v>
      </c>
      <c r="E68" s="2" t="str">
        <v/>
      </c>
    </row>
    <row r="69" spans="1:5" hidden="1" x14ac:dyDescent="0.2">
      <c r="A69" s="2" t="str">
        <v/>
      </c>
      <c r="C69" s="2" t="e">
        <v>#N/A</v>
      </c>
      <c r="E69" s="2" t="str">
        <v/>
      </c>
    </row>
    <row r="70" spans="1:5" hidden="1" x14ac:dyDescent="0.2">
      <c r="A70" s="2" t="str">
        <v/>
      </c>
      <c r="C70" s="2" t="e">
        <v>#N/A</v>
      </c>
      <c r="E70" s="2" t="str">
        <v/>
      </c>
    </row>
    <row r="71" spans="1:5" hidden="1" x14ac:dyDescent="0.2">
      <c r="A71" s="2" t="str">
        <v/>
      </c>
      <c r="C71" s="2" t="e">
        <v>#N/A</v>
      </c>
      <c r="E71" s="2" t="str">
        <v/>
      </c>
    </row>
    <row r="72" spans="1:5" hidden="1" x14ac:dyDescent="0.2">
      <c r="A72" s="2" t="str">
        <v/>
      </c>
      <c r="C72" s="2" t="e">
        <v>#N/A</v>
      </c>
      <c r="E72" s="2" t="str">
        <v/>
      </c>
    </row>
    <row r="73" spans="1:5" hidden="1" x14ac:dyDescent="0.2">
      <c r="A73" s="2" t="str">
        <v/>
      </c>
      <c r="C73" s="2" t="e">
        <v>#N/A</v>
      </c>
      <c r="E73" s="2" t="str">
        <v/>
      </c>
    </row>
    <row r="74" spans="1:5" hidden="1" x14ac:dyDescent="0.2">
      <c r="A74" s="2" t="str">
        <v/>
      </c>
      <c r="C74" s="2" t="e">
        <v>#N/A</v>
      </c>
      <c r="E74" s="2" t="str">
        <v/>
      </c>
    </row>
    <row r="75" spans="1:5" hidden="1" x14ac:dyDescent="0.2">
      <c r="A75" s="2" t="str">
        <v/>
      </c>
      <c r="C75" s="2" t="e">
        <v>#N/A</v>
      </c>
      <c r="E75" s="2" t="str">
        <v/>
      </c>
    </row>
    <row r="76" spans="1:5" hidden="1" x14ac:dyDescent="0.2">
      <c r="A76" s="2" t="str">
        <v/>
      </c>
      <c r="C76" s="2" t="e">
        <v>#N/A</v>
      </c>
      <c r="E76" s="2" t="str">
        <v/>
      </c>
    </row>
    <row r="77" spans="1:5" hidden="1" x14ac:dyDescent="0.2">
      <c r="A77" s="2" t="str">
        <v/>
      </c>
      <c r="C77" s="2" t="e">
        <v>#N/A</v>
      </c>
      <c r="E77" s="2" t="str">
        <v/>
      </c>
    </row>
    <row r="78" spans="1:5" hidden="1" x14ac:dyDescent="0.2">
      <c r="A78" s="2" t="str">
        <v/>
      </c>
      <c r="C78" s="2" t="e">
        <v>#N/A</v>
      </c>
      <c r="E78" s="2" t="str">
        <v/>
      </c>
    </row>
    <row r="79" spans="1:5" hidden="1" x14ac:dyDescent="0.2">
      <c r="A79" s="2" t="str">
        <v/>
      </c>
      <c r="C79" s="2" t="e">
        <v>#N/A</v>
      </c>
      <c r="E79" s="2" t="str">
        <v/>
      </c>
    </row>
    <row r="80" spans="1:5" hidden="1" x14ac:dyDescent="0.2">
      <c r="A80" s="2" t="str">
        <v/>
      </c>
      <c r="C80" s="2" t="e">
        <v>#N/A</v>
      </c>
      <c r="E80" s="2" t="str">
        <v/>
      </c>
    </row>
    <row r="81" spans="1:5" hidden="1" x14ac:dyDescent="0.2">
      <c r="A81" s="2" t="str">
        <v/>
      </c>
      <c r="C81" s="2" t="e">
        <v>#N/A</v>
      </c>
      <c r="E81" s="2" t="str">
        <v/>
      </c>
    </row>
    <row r="82" spans="1:5" hidden="1" x14ac:dyDescent="0.2">
      <c r="A82" s="2" t="str">
        <v/>
      </c>
      <c r="C82" s="2" t="e">
        <v>#N/A</v>
      </c>
      <c r="E82" s="2" t="str">
        <v/>
      </c>
    </row>
    <row r="83" spans="1:5" hidden="1" x14ac:dyDescent="0.2">
      <c r="A83" s="2" t="str">
        <v/>
      </c>
      <c r="C83" s="2" t="e">
        <v>#N/A</v>
      </c>
      <c r="E83" s="2" t="str">
        <v/>
      </c>
    </row>
    <row r="84" spans="1:5" hidden="1" x14ac:dyDescent="0.2">
      <c r="A84" s="2" t="str">
        <v/>
      </c>
      <c r="C84" s="2" t="e">
        <v>#N/A</v>
      </c>
      <c r="E84" s="2" t="str">
        <v/>
      </c>
    </row>
    <row r="85" spans="1:5" hidden="1" x14ac:dyDescent="0.2">
      <c r="A85" s="2" t="str">
        <v/>
      </c>
      <c r="C85" s="2" t="e">
        <v>#N/A</v>
      </c>
      <c r="E85" s="2" t="str">
        <v/>
      </c>
    </row>
    <row r="86" spans="1:5" hidden="1" x14ac:dyDescent="0.2">
      <c r="A86" s="2" t="str">
        <v/>
      </c>
      <c r="C86" s="2" t="e">
        <v>#N/A</v>
      </c>
      <c r="E86" s="2" t="str">
        <v/>
      </c>
    </row>
    <row r="87" spans="1:5" hidden="1" x14ac:dyDescent="0.2">
      <c r="A87" s="2" t="str">
        <v/>
      </c>
      <c r="C87" s="2" t="e">
        <v>#N/A</v>
      </c>
      <c r="E87" s="2" t="str">
        <v/>
      </c>
    </row>
    <row r="88" spans="1:5" hidden="1" x14ac:dyDescent="0.2">
      <c r="A88" s="2" t="str">
        <v/>
      </c>
      <c r="C88" s="2" t="e">
        <v>#N/A</v>
      </c>
      <c r="E88" s="2" t="str">
        <v/>
      </c>
    </row>
    <row r="89" spans="1:5" hidden="1" x14ac:dyDescent="0.2">
      <c r="A89" s="2" t="str">
        <v/>
      </c>
      <c r="C89" s="2" t="e">
        <v>#N/A</v>
      </c>
      <c r="E89" s="2" t="str">
        <v/>
      </c>
    </row>
    <row r="90" spans="1:5" hidden="1" x14ac:dyDescent="0.2">
      <c r="A90" s="2" t="str">
        <v/>
      </c>
      <c r="C90" s="2" t="e">
        <v>#N/A</v>
      </c>
      <c r="E90" s="2" t="str">
        <v/>
      </c>
    </row>
    <row r="91" spans="1:5" hidden="1" x14ac:dyDescent="0.2">
      <c r="A91" s="2" t="str">
        <v/>
      </c>
      <c r="C91" s="2" t="e">
        <v>#N/A</v>
      </c>
      <c r="E91" s="2" t="str">
        <v/>
      </c>
    </row>
    <row r="92" spans="1:5" hidden="1" x14ac:dyDescent="0.2">
      <c r="A92" s="2" t="str">
        <v/>
      </c>
      <c r="C92" s="2" t="e">
        <v>#N/A</v>
      </c>
      <c r="E92" s="2" t="str">
        <v/>
      </c>
    </row>
    <row r="93" spans="1:5" hidden="1" x14ac:dyDescent="0.2">
      <c r="A93" s="2" t="str">
        <v/>
      </c>
      <c r="C93" s="2" t="e">
        <v>#N/A</v>
      </c>
      <c r="E93" s="2" t="str">
        <v/>
      </c>
    </row>
    <row r="94" spans="1:5" hidden="1" x14ac:dyDescent="0.2">
      <c r="A94" s="2" t="str">
        <v/>
      </c>
      <c r="C94" s="2" t="e">
        <v>#N/A</v>
      </c>
      <c r="E94" s="2" t="str">
        <v/>
      </c>
    </row>
    <row r="95" spans="1:5" hidden="1" x14ac:dyDescent="0.2">
      <c r="A95" s="2" t="str">
        <v/>
      </c>
      <c r="C95" s="2" t="e">
        <v>#N/A</v>
      </c>
      <c r="E95" s="2" t="str">
        <v/>
      </c>
    </row>
    <row r="96" spans="1:5" hidden="1" x14ac:dyDescent="0.2">
      <c r="A96" s="2" t="str">
        <v/>
      </c>
      <c r="C96" s="2" t="e">
        <v>#N/A</v>
      </c>
      <c r="E96" s="2" t="str">
        <v/>
      </c>
    </row>
    <row r="97" spans="1:5" hidden="1" x14ac:dyDescent="0.2">
      <c r="A97" s="2" t="str">
        <v/>
      </c>
      <c r="C97" s="2" t="e">
        <v>#N/A</v>
      </c>
      <c r="E97" s="2" t="str">
        <v/>
      </c>
    </row>
    <row r="98" spans="1:5" hidden="1" x14ac:dyDescent="0.2">
      <c r="A98" s="2" t="str">
        <v/>
      </c>
      <c r="C98" s="2" t="e">
        <v>#N/A</v>
      </c>
      <c r="E98" s="2" t="str">
        <v/>
      </c>
    </row>
    <row r="99" spans="1:5" hidden="1" x14ac:dyDescent="0.2">
      <c r="A99" s="2" t="str">
        <v/>
      </c>
      <c r="C99" s="2" t="e">
        <v>#N/A</v>
      </c>
      <c r="E99" s="2" t="str">
        <v/>
      </c>
    </row>
    <row r="100" spans="1:5" hidden="1" x14ac:dyDescent="0.2">
      <c r="A100" s="2" t="str">
        <v/>
      </c>
      <c r="C100" s="2" t="e">
        <v>#N/A</v>
      </c>
      <c r="E100" s="2" t="str">
        <v/>
      </c>
    </row>
    <row r="101" spans="1:5" hidden="1" x14ac:dyDescent="0.2">
      <c r="A101" s="2" t="str">
        <v/>
      </c>
      <c r="C101" s="2" t="e">
        <v>#N/A</v>
      </c>
      <c r="E101" s="2" t="str">
        <v/>
      </c>
    </row>
    <row r="102" spans="1:5" hidden="1" x14ac:dyDescent="0.2">
      <c r="A102" s="2" t="str">
        <v/>
      </c>
      <c r="C102" s="2" t="e">
        <v>#N/A</v>
      </c>
      <c r="E102" s="2" t="str">
        <v/>
      </c>
    </row>
    <row r="103" spans="1:5" hidden="1" x14ac:dyDescent="0.2">
      <c r="A103" s="2" t="str">
        <v/>
      </c>
      <c r="C103" s="2" t="e">
        <v>#N/A</v>
      </c>
      <c r="E103" s="2" t="str">
        <v/>
      </c>
    </row>
    <row r="104" spans="1:5" hidden="1" x14ac:dyDescent="0.2">
      <c r="A104" s="2" t="str">
        <v/>
      </c>
      <c r="C104" s="2" t="e">
        <v>#N/A</v>
      </c>
      <c r="E104" s="2" t="str">
        <v/>
      </c>
    </row>
    <row r="105" spans="1:5" hidden="1" x14ac:dyDescent="0.2">
      <c r="A105" s="2" t="str">
        <v/>
      </c>
      <c r="C105" s="2" t="e">
        <v>#N/A</v>
      </c>
      <c r="E105" s="2" t="str">
        <v/>
      </c>
    </row>
    <row r="106" spans="1:5" hidden="1" x14ac:dyDescent="0.2">
      <c r="A106" s="2" t="str">
        <v/>
      </c>
      <c r="C106" s="2" t="e">
        <v>#N/A</v>
      </c>
      <c r="E106" s="2" t="str">
        <v/>
      </c>
    </row>
    <row r="107" spans="1:5" hidden="1" x14ac:dyDescent="0.2">
      <c r="A107" s="2" t="str">
        <v/>
      </c>
      <c r="C107" s="2" t="e">
        <v>#N/A</v>
      </c>
      <c r="E107" s="2" t="str">
        <v/>
      </c>
    </row>
    <row r="108" spans="1:5" hidden="1" x14ac:dyDescent="0.2">
      <c r="A108" s="2" t="str">
        <v/>
      </c>
      <c r="C108" s="2" t="e">
        <v>#N/A</v>
      </c>
      <c r="E108" s="2" t="str">
        <v/>
      </c>
    </row>
    <row r="109" spans="1:5" hidden="1" x14ac:dyDescent="0.2">
      <c r="A109" s="2" t="str">
        <v/>
      </c>
      <c r="C109" s="2" t="e">
        <v>#N/A</v>
      </c>
      <c r="E109" s="2" t="str">
        <v/>
      </c>
    </row>
    <row r="110" spans="1:5" hidden="1" x14ac:dyDescent="0.2">
      <c r="A110" s="2" t="str">
        <v/>
      </c>
      <c r="C110" s="2" t="e">
        <v>#N/A</v>
      </c>
      <c r="E110" s="2" t="str">
        <v/>
      </c>
    </row>
    <row r="111" spans="1:5" hidden="1" x14ac:dyDescent="0.2">
      <c r="A111" s="2" t="str">
        <v/>
      </c>
      <c r="C111" s="2" t="e">
        <v>#N/A</v>
      </c>
      <c r="E111" s="2" t="str">
        <v/>
      </c>
    </row>
    <row r="112" spans="1:5" hidden="1" x14ac:dyDescent="0.2">
      <c r="A112" s="2" t="str">
        <v/>
      </c>
      <c r="C112" s="2" t="e">
        <v>#N/A</v>
      </c>
      <c r="E112" s="2" t="str">
        <v/>
      </c>
    </row>
    <row r="113" spans="1:5" hidden="1" x14ac:dyDescent="0.2">
      <c r="A113" s="2" t="str">
        <v/>
      </c>
      <c r="C113" s="2" t="e">
        <v>#N/A</v>
      </c>
      <c r="E113" s="2" t="str">
        <v/>
      </c>
    </row>
    <row r="114" spans="1:5" hidden="1" x14ac:dyDescent="0.2">
      <c r="A114" s="2" t="str">
        <v/>
      </c>
      <c r="C114" s="2" t="e">
        <v>#N/A</v>
      </c>
      <c r="E114" s="2" t="str">
        <v/>
      </c>
    </row>
    <row r="115" spans="1:5" hidden="1" x14ac:dyDescent="0.2">
      <c r="A115" s="2" t="str">
        <v/>
      </c>
      <c r="C115" s="2" t="e">
        <v>#N/A</v>
      </c>
      <c r="E115" s="2" t="str">
        <v/>
      </c>
    </row>
    <row r="116" spans="1:5" hidden="1" x14ac:dyDescent="0.2">
      <c r="A116" s="2" t="str">
        <v/>
      </c>
      <c r="C116" s="2" t="e">
        <v>#N/A</v>
      </c>
      <c r="E116" s="2" t="str">
        <v/>
      </c>
    </row>
    <row r="117" spans="1:5" hidden="1" x14ac:dyDescent="0.2">
      <c r="A117" s="2" t="str">
        <v/>
      </c>
      <c r="C117" s="2" t="e">
        <v>#N/A</v>
      </c>
      <c r="E117" s="2" t="str">
        <v/>
      </c>
    </row>
    <row r="118" spans="1:5" hidden="1" x14ac:dyDescent="0.2">
      <c r="A118" s="2" t="str">
        <v/>
      </c>
      <c r="C118" s="2" t="e">
        <v>#N/A</v>
      </c>
      <c r="E118" s="2" t="str">
        <v/>
      </c>
    </row>
    <row r="119" spans="1:5" hidden="1" x14ac:dyDescent="0.2">
      <c r="A119" s="2" t="str">
        <v/>
      </c>
      <c r="C119" s="2" t="e">
        <v>#N/A</v>
      </c>
      <c r="E119" s="2" t="str">
        <v/>
      </c>
    </row>
    <row r="120" spans="1:5" hidden="1" x14ac:dyDescent="0.2">
      <c r="A120" s="2" t="str">
        <v/>
      </c>
      <c r="C120" s="2" t="e">
        <v>#N/A</v>
      </c>
      <c r="E120" s="2" t="str">
        <v/>
      </c>
    </row>
    <row r="121" spans="1:5" hidden="1" x14ac:dyDescent="0.2">
      <c r="A121" s="2" t="str">
        <v/>
      </c>
      <c r="C121" s="2" t="e">
        <v>#N/A</v>
      </c>
      <c r="E121" s="2" t="str">
        <v/>
      </c>
    </row>
    <row r="122" spans="1:5" hidden="1" x14ac:dyDescent="0.2">
      <c r="A122" s="2" t="str">
        <v/>
      </c>
      <c r="C122" s="2" t="e">
        <v>#N/A</v>
      </c>
      <c r="E122" s="2" t="str">
        <v/>
      </c>
    </row>
    <row r="123" spans="1:5" hidden="1" x14ac:dyDescent="0.2">
      <c r="A123" s="2" t="str">
        <v/>
      </c>
      <c r="C123" s="2" t="e">
        <v>#N/A</v>
      </c>
      <c r="E123" s="2" t="str">
        <v/>
      </c>
    </row>
    <row r="124" spans="1:5" hidden="1" x14ac:dyDescent="0.2">
      <c r="A124" s="2" t="str">
        <v/>
      </c>
      <c r="C124" s="2" t="e">
        <v>#N/A</v>
      </c>
      <c r="E124" s="2" t="str">
        <v/>
      </c>
    </row>
    <row r="125" spans="1:5" hidden="1" x14ac:dyDescent="0.2">
      <c r="A125" s="2" t="str">
        <v/>
      </c>
      <c r="C125" s="2" t="e">
        <v>#N/A</v>
      </c>
      <c r="E125" s="2" t="str">
        <v/>
      </c>
    </row>
    <row r="126" spans="1:5" hidden="1" x14ac:dyDescent="0.2">
      <c r="A126" s="2" t="str">
        <v/>
      </c>
      <c r="C126" s="2" t="e">
        <v>#N/A</v>
      </c>
      <c r="E126" s="2" t="str">
        <v/>
      </c>
    </row>
    <row r="127" spans="1:5" hidden="1" x14ac:dyDescent="0.2">
      <c r="A127" s="2" t="str">
        <v/>
      </c>
      <c r="C127" s="2" t="e">
        <v>#N/A</v>
      </c>
      <c r="E127" s="2" t="str">
        <v/>
      </c>
    </row>
    <row r="128" spans="1:5" hidden="1" x14ac:dyDescent="0.2">
      <c r="A128" s="2" t="str">
        <v/>
      </c>
      <c r="C128" s="2" t="e">
        <v>#N/A</v>
      </c>
      <c r="E128" s="2" t="str">
        <v/>
      </c>
    </row>
    <row r="129" spans="1:5" hidden="1" x14ac:dyDescent="0.2">
      <c r="A129" s="2" t="str">
        <v/>
      </c>
      <c r="C129" s="2" t="e">
        <v>#N/A</v>
      </c>
      <c r="E129" s="2" t="str">
        <v/>
      </c>
    </row>
    <row r="130" spans="1:5" hidden="1" x14ac:dyDescent="0.2">
      <c r="A130" s="2" t="str">
        <v/>
      </c>
      <c r="C130" s="2" t="e">
        <v>#N/A</v>
      </c>
      <c r="E130" s="2" t="str">
        <v/>
      </c>
    </row>
    <row r="131" spans="1:5" hidden="1" x14ac:dyDescent="0.2">
      <c r="A131" s="2" t="str">
        <v/>
      </c>
      <c r="C131" s="2" t="e">
        <v>#N/A</v>
      </c>
      <c r="E131" s="2" t="str">
        <v/>
      </c>
    </row>
    <row r="132" spans="1:5" hidden="1" x14ac:dyDescent="0.2">
      <c r="A132" s="2" t="str">
        <v/>
      </c>
      <c r="C132" s="2" t="e">
        <v>#N/A</v>
      </c>
      <c r="E132" s="2" t="str">
        <v/>
      </c>
    </row>
    <row r="133" spans="1:5" hidden="1" x14ac:dyDescent="0.2">
      <c r="A133" s="2" t="str">
        <v/>
      </c>
      <c r="C133" s="2" t="e">
        <v>#N/A</v>
      </c>
      <c r="E133" s="2" t="str">
        <v/>
      </c>
    </row>
    <row r="134" spans="1:5" hidden="1" x14ac:dyDescent="0.2">
      <c r="A134" s="2" t="str">
        <v/>
      </c>
      <c r="C134" s="2" t="e">
        <v>#N/A</v>
      </c>
      <c r="E134" s="2" t="str">
        <v/>
      </c>
    </row>
    <row r="135" spans="1:5" hidden="1" x14ac:dyDescent="0.2">
      <c r="A135" s="2" t="str">
        <v/>
      </c>
      <c r="C135" s="2" t="e">
        <v>#N/A</v>
      </c>
      <c r="E135" s="2" t="str">
        <v/>
      </c>
    </row>
    <row r="136" spans="1:5" hidden="1" x14ac:dyDescent="0.2">
      <c r="A136" s="2" t="str">
        <v/>
      </c>
      <c r="C136" s="2" t="e">
        <v>#N/A</v>
      </c>
      <c r="E136" s="2" t="str">
        <v/>
      </c>
    </row>
    <row r="137" spans="1:5" hidden="1" x14ac:dyDescent="0.2">
      <c r="A137" s="2" t="str">
        <v/>
      </c>
      <c r="C137" s="2" t="e">
        <v>#N/A</v>
      </c>
      <c r="E137" s="2" t="str">
        <v/>
      </c>
    </row>
    <row r="138" spans="1:5" hidden="1" x14ac:dyDescent="0.2">
      <c r="A138" s="2" t="str">
        <v/>
      </c>
      <c r="C138" s="2" t="e">
        <v>#N/A</v>
      </c>
      <c r="E138" s="2" t="str">
        <v/>
      </c>
    </row>
    <row r="139" spans="1:5" hidden="1" x14ac:dyDescent="0.2">
      <c r="A139" s="2" t="str">
        <v/>
      </c>
      <c r="C139" s="2" t="e">
        <v>#N/A</v>
      </c>
      <c r="E139" s="2" t="str">
        <v/>
      </c>
    </row>
    <row r="140" spans="1:5" hidden="1" x14ac:dyDescent="0.2">
      <c r="A140" s="2" t="str">
        <v/>
      </c>
      <c r="C140" s="2" t="e">
        <v>#N/A</v>
      </c>
      <c r="E140" s="2" t="str">
        <v/>
      </c>
    </row>
    <row r="141" spans="1:5" hidden="1" x14ac:dyDescent="0.2">
      <c r="A141" s="2" t="str">
        <v/>
      </c>
      <c r="C141" s="2" t="e">
        <v>#N/A</v>
      </c>
      <c r="E141" s="2" t="str">
        <v/>
      </c>
    </row>
    <row r="142" spans="1:5" hidden="1" x14ac:dyDescent="0.2">
      <c r="A142" s="2" t="str">
        <v/>
      </c>
      <c r="C142" s="2" t="e">
        <v>#N/A</v>
      </c>
      <c r="E142" s="2" t="str">
        <v/>
      </c>
    </row>
    <row r="143" spans="1:5" hidden="1" x14ac:dyDescent="0.2">
      <c r="A143" s="2" t="str">
        <v/>
      </c>
      <c r="C143" s="2" t="e">
        <v>#N/A</v>
      </c>
      <c r="E143" s="2" t="str">
        <v/>
      </c>
    </row>
    <row r="144" spans="1:5" hidden="1" x14ac:dyDescent="0.2">
      <c r="A144" s="2" t="str">
        <v/>
      </c>
      <c r="C144" s="2" t="e">
        <v>#N/A</v>
      </c>
      <c r="E144" s="2" t="str">
        <v/>
      </c>
    </row>
    <row r="145" spans="1:9" hidden="1" x14ac:dyDescent="0.2">
      <c r="A145" s="2" t="str">
        <v/>
      </c>
      <c r="C145" s="2" t="e">
        <v>#N/A</v>
      </c>
      <c r="E145" s="2" t="str">
        <v/>
      </c>
    </row>
    <row r="146" spans="1:9" hidden="1" x14ac:dyDescent="0.2">
      <c r="A146" s="2" t="str">
        <v/>
      </c>
      <c r="C146" s="2" t="e">
        <v>#N/A</v>
      </c>
      <c r="E146" s="2" t="str">
        <v/>
      </c>
    </row>
    <row r="147" spans="1:9" hidden="1" x14ac:dyDescent="0.2">
      <c r="A147" s="2" t="str">
        <v/>
      </c>
      <c r="C147" s="2" t="e">
        <v>#N/A</v>
      </c>
      <c r="E147" s="2" t="str">
        <v/>
      </c>
    </row>
    <row r="148" spans="1:9" hidden="1" x14ac:dyDescent="0.2">
      <c r="A148" s="2" t="str">
        <v/>
      </c>
      <c r="C148" s="2" t="e">
        <v>#N/A</v>
      </c>
      <c r="E148" s="2" t="str">
        <v/>
      </c>
    </row>
    <row r="149" spans="1:9" hidden="1" x14ac:dyDescent="0.2">
      <c r="A149" s="2" t="str">
        <v/>
      </c>
      <c r="C149" s="2" t="e">
        <v>#N/A</v>
      </c>
      <c r="E149" s="2" t="str">
        <v/>
      </c>
    </row>
    <row r="150" spans="1:9" hidden="1" x14ac:dyDescent="0.2">
      <c r="A150" s="2" t="str">
        <v/>
      </c>
      <c r="C150" s="2" t="e">
        <v>#N/A</v>
      </c>
      <c r="E150" s="2" t="str">
        <v/>
      </c>
    </row>
    <row r="151" spans="1:9" hidden="1" x14ac:dyDescent="0.2">
      <c r="A151" s="2" t="str">
        <v/>
      </c>
      <c r="C151" s="2" t="e">
        <v>#N/A</v>
      </c>
      <c r="E151" s="2" t="str">
        <v/>
      </c>
    </row>
    <row r="152" spans="1:9" hidden="1" x14ac:dyDescent="0.2">
      <c r="A152" s="2" t="str">
        <v/>
      </c>
      <c r="C152" s="2" t="e">
        <v>#N/A</v>
      </c>
      <c r="E152" s="2" t="str">
        <v/>
      </c>
    </row>
    <row r="153" spans="1:9" hidden="1" x14ac:dyDescent="0.2">
      <c r="A153" s="2" t="str">
        <v/>
      </c>
      <c r="C153" s="2" t="e">
        <v>#N/A</v>
      </c>
      <c r="E153" s="2" t="str">
        <v/>
      </c>
    </row>
    <row r="155" spans="1:9" s="1" customFormat="1" x14ac:dyDescent="0.2"/>
    <row r="156" spans="1:9" x14ac:dyDescent="0.2">
      <c r="A156" s="12" t="s">
        <v>312</v>
      </c>
    </row>
    <row r="158" spans="1:9" x14ac:dyDescent="0.2">
      <c r="A158" t="s">
        <v>87</v>
      </c>
    </row>
    <row r="160" spans="1:9" x14ac:dyDescent="0.2">
      <c r="A160" s="2" cm="1">
        <f t="array" ref="A160:C162">TRANSPOSE(B3:D5)</f>
        <v>1</v>
      </c>
      <c r="B160" s="2">
        <v>4</v>
      </c>
      <c r="C160" s="2">
        <v>7</v>
      </c>
      <c r="E160" s="2" cm="1">
        <f t="array" ref="E160:E162">TRANSPOSE(B3:D3)</f>
        <v>1</v>
      </c>
      <c r="G160" s="2" cm="1">
        <f t="array" ref="G160:I160">TRANSPOSE(B3:B5)</f>
        <v>1</v>
      </c>
      <c r="H160" s="2">
        <v>4</v>
      </c>
      <c r="I160" s="2">
        <v>7</v>
      </c>
    </row>
    <row r="161" spans="1:5" x14ac:dyDescent="0.2">
      <c r="A161" s="2">
        <v>2</v>
      </c>
      <c r="B161" s="2">
        <v>5</v>
      </c>
      <c r="C161" s="2">
        <v>8</v>
      </c>
      <c r="E161" s="2">
        <v>2</v>
      </c>
    </row>
    <row r="162" spans="1:5" x14ac:dyDescent="0.2">
      <c r="A162" s="2">
        <v>3</v>
      </c>
      <c r="B162" s="2">
        <v>6</v>
      </c>
      <c r="C162" s="2">
        <v>9</v>
      </c>
      <c r="E162" s="2">
        <v>3</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EDE5D-C871-8D4D-9790-B15AEBF21742}">
  <sheetPr codeName="Sheet4"/>
  <dimension ref="A1:C40"/>
  <sheetViews>
    <sheetView topLeftCell="B4" workbookViewId="0">
      <selection activeCell="B4" sqref="B4"/>
    </sheetView>
  </sheetViews>
  <sheetFormatPr baseColWidth="10" defaultColWidth="11" defaultRowHeight="16" x14ac:dyDescent="0.2"/>
  <cols>
    <col min="1" max="1" width="13" bestFit="1" customWidth="1"/>
    <col min="2" max="2" width="21.1640625" bestFit="1" customWidth="1"/>
    <col min="3" max="3" width="11.83203125" bestFit="1" customWidth="1"/>
    <col min="4" max="4" width="11.1640625" bestFit="1" customWidth="1"/>
  </cols>
  <sheetData>
    <row r="1" spans="1:3" x14ac:dyDescent="0.2">
      <c r="A1" s="62" t="s">
        <v>24</v>
      </c>
      <c r="B1" t="s">
        <v>88</v>
      </c>
    </row>
    <row r="3" spans="1:3" x14ac:dyDescent="0.2">
      <c r="A3" s="62" t="s">
        <v>89</v>
      </c>
      <c r="B3" t="s">
        <v>90</v>
      </c>
      <c r="C3" t="s">
        <v>91</v>
      </c>
    </row>
    <row r="4" spans="1:3" x14ac:dyDescent="0.2">
      <c r="A4" s="63" t="s">
        <v>44</v>
      </c>
      <c r="B4">
        <v>9</v>
      </c>
      <c r="C4">
        <v>4</v>
      </c>
    </row>
    <row r="5" spans="1:3" x14ac:dyDescent="0.2">
      <c r="A5" s="63" t="s">
        <v>45</v>
      </c>
      <c r="B5">
        <v>26</v>
      </c>
      <c r="C5">
        <v>37</v>
      </c>
    </row>
    <row r="6" spans="1:3" x14ac:dyDescent="0.2">
      <c r="A6" s="63" t="s">
        <v>46</v>
      </c>
      <c r="B6">
        <v>34</v>
      </c>
      <c r="C6">
        <v>65</v>
      </c>
    </row>
    <row r="7" spans="1:3" x14ac:dyDescent="0.2">
      <c r="A7" s="63" t="s">
        <v>70</v>
      </c>
      <c r="B7">
        <v>3</v>
      </c>
      <c r="C7">
        <v>3</v>
      </c>
    </row>
    <row r="8" spans="1:3" x14ac:dyDescent="0.2">
      <c r="A8" s="63" t="s">
        <v>47</v>
      </c>
      <c r="B8">
        <v>8</v>
      </c>
      <c r="C8">
        <v>12</v>
      </c>
    </row>
    <row r="9" spans="1:3" x14ac:dyDescent="0.2">
      <c r="A9" s="63" t="s">
        <v>48</v>
      </c>
      <c r="B9">
        <v>27</v>
      </c>
      <c r="C9">
        <v>34</v>
      </c>
    </row>
    <row r="10" spans="1:3" x14ac:dyDescent="0.2">
      <c r="A10" s="63" t="s">
        <v>49</v>
      </c>
      <c r="B10">
        <v>3</v>
      </c>
      <c r="C10">
        <v>1</v>
      </c>
    </row>
    <row r="11" spans="1:3" x14ac:dyDescent="0.2">
      <c r="A11" s="63" t="s">
        <v>50</v>
      </c>
      <c r="B11">
        <v>33</v>
      </c>
      <c r="C11">
        <v>53</v>
      </c>
    </row>
    <row r="12" spans="1:3" x14ac:dyDescent="0.2">
      <c r="A12" s="63" t="s">
        <v>79</v>
      </c>
      <c r="B12">
        <v>4</v>
      </c>
      <c r="C12">
        <v>2</v>
      </c>
    </row>
    <row r="13" spans="1:3" x14ac:dyDescent="0.2">
      <c r="A13" s="63" t="s">
        <v>68</v>
      </c>
      <c r="B13">
        <v>7</v>
      </c>
      <c r="C13">
        <v>4</v>
      </c>
    </row>
    <row r="14" spans="1:3" x14ac:dyDescent="0.2">
      <c r="A14" s="63" t="s">
        <v>69</v>
      </c>
      <c r="B14">
        <v>3</v>
      </c>
      <c r="C14">
        <v>3</v>
      </c>
    </row>
    <row r="15" spans="1:3" x14ac:dyDescent="0.2">
      <c r="A15" s="63" t="s">
        <v>76</v>
      </c>
      <c r="B15">
        <v>14</v>
      </c>
      <c r="C15">
        <v>19</v>
      </c>
    </row>
    <row r="16" spans="1:3" x14ac:dyDescent="0.2">
      <c r="A16" s="63" t="s">
        <v>71</v>
      </c>
      <c r="B16">
        <v>3</v>
      </c>
      <c r="C16">
        <v>1</v>
      </c>
    </row>
    <row r="17" spans="1:3" x14ac:dyDescent="0.2">
      <c r="A17" s="63" t="s">
        <v>51</v>
      </c>
      <c r="B17">
        <v>26</v>
      </c>
      <c r="C17">
        <v>42</v>
      </c>
    </row>
    <row r="18" spans="1:3" x14ac:dyDescent="0.2">
      <c r="A18" s="63" t="s">
        <v>74</v>
      </c>
      <c r="B18">
        <v>3</v>
      </c>
      <c r="C18">
        <v>2</v>
      </c>
    </row>
    <row r="19" spans="1:3" x14ac:dyDescent="0.2">
      <c r="A19" s="63" t="s">
        <v>52</v>
      </c>
      <c r="B19">
        <v>19</v>
      </c>
      <c r="C19">
        <v>31</v>
      </c>
    </row>
    <row r="20" spans="1:3" x14ac:dyDescent="0.2">
      <c r="A20" s="63" t="s">
        <v>53</v>
      </c>
      <c r="B20">
        <v>44</v>
      </c>
      <c r="C20">
        <v>119</v>
      </c>
    </row>
    <row r="21" spans="1:3" x14ac:dyDescent="0.2">
      <c r="A21" s="63" t="s">
        <v>77</v>
      </c>
      <c r="B21">
        <v>9</v>
      </c>
      <c r="C21">
        <v>6</v>
      </c>
    </row>
    <row r="22" spans="1:3" x14ac:dyDescent="0.2">
      <c r="A22" s="63" t="s">
        <v>54</v>
      </c>
      <c r="B22">
        <v>12</v>
      </c>
      <c r="C22">
        <v>20</v>
      </c>
    </row>
    <row r="23" spans="1:3" x14ac:dyDescent="0.2">
      <c r="A23" s="63" t="s">
        <v>55</v>
      </c>
      <c r="B23">
        <v>3</v>
      </c>
      <c r="C23">
        <v>1</v>
      </c>
    </row>
    <row r="24" spans="1:3" x14ac:dyDescent="0.2">
      <c r="A24" s="63" t="s">
        <v>56</v>
      </c>
      <c r="B24">
        <v>33</v>
      </c>
      <c r="C24">
        <v>37</v>
      </c>
    </row>
    <row r="25" spans="1:3" x14ac:dyDescent="0.2">
      <c r="A25" s="63" t="s">
        <v>75</v>
      </c>
      <c r="B25">
        <v>13</v>
      </c>
      <c r="C25">
        <v>12</v>
      </c>
    </row>
    <row r="26" spans="1:3" x14ac:dyDescent="0.2">
      <c r="A26" s="63" t="s">
        <v>57</v>
      </c>
      <c r="B26">
        <v>10</v>
      </c>
      <c r="C26">
        <v>6</v>
      </c>
    </row>
    <row r="27" spans="1:3" x14ac:dyDescent="0.2">
      <c r="A27" s="63" t="s">
        <v>72</v>
      </c>
      <c r="B27">
        <v>9</v>
      </c>
      <c r="C27">
        <v>6</v>
      </c>
    </row>
    <row r="28" spans="1:3" x14ac:dyDescent="0.2">
      <c r="A28" s="63" t="s">
        <v>58</v>
      </c>
      <c r="B28">
        <v>11</v>
      </c>
      <c r="C28">
        <v>14</v>
      </c>
    </row>
    <row r="29" spans="1:3" x14ac:dyDescent="0.2">
      <c r="A29" s="63" t="s">
        <v>59</v>
      </c>
      <c r="B29">
        <v>15</v>
      </c>
      <c r="C29">
        <v>7</v>
      </c>
    </row>
    <row r="30" spans="1:3" x14ac:dyDescent="0.2">
      <c r="A30" s="63" t="s">
        <v>60</v>
      </c>
      <c r="B30">
        <v>26</v>
      </c>
      <c r="C30">
        <v>19</v>
      </c>
    </row>
    <row r="31" spans="1:3" x14ac:dyDescent="0.2">
      <c r="A31" s="63" t="s">
        <v>61</v>
      </c>
      <c r="B31">
        <v>40</v>
      </c>
      <c r="C31">
        <v>89</v>
      </c>
    </row>
    <row r="32" spans="1:3" x14ac:dyDescent="0.2">
      <c r="A32" s="63" t="s">
        <v>78</v>
      </c>
      <c r="B32">
        <v>8</v>
      </c>
      <c r="C32">
        <v>15</v>
      </c>
    </row>
    <row r="33" spans="1:3" x14ac:dyDescent="0.2">
      <c r="A33" s="63" t="s">
        <v>62</v>
      </c>
      <c r="B33">
        <v>3</v>
      </c>
      <c r="C33">
        <v>5</v>
      </c>
    </row>
    <row r="34" spans="1:3" x14ac:dyDescent="0.2">
      <c r="A34" s="63" t="s">
        <v>63</v>
      </c>
      <c r="B34">
        <v>3</v>
      </c>
      <c r="C34">
        <v>1</v>
      </c>
    </row>
    <row r="35" spans="1:3" x14ac:dyDescent="0.2">
      <c r="A35" s="63" t="s">
        <v>64</v>
      </c>
      <c r="B35">
        <v>7</v>
      </c>
      <c r="C35">
        <v>6</v>
      </c>
    </row>
    <row r="36" spans="1:3" x14ac:dyDescent="0.2">
      <c r="A36" s="63" t="s">
        <v>65</v>
      </c>
      <c r="B36">
        <v>40</v>
      </c>
      <c r="C36">
        <v>69</v>
      </c>
    </row>
    <row r="37" spans="1:3" x14ac:dyDescent="0.2">
      <c r="A37" s="63" t="s">
        <v>73</v>
      </c>
      <c r="B37">
        <v>4</v>
      </c>
      <c r="C37">
        <v>9</v>
      </c>
    </row>
    <row r="38" spans="1:3" x14ac:dyDescent="0.2">
      <c r="A38" s="63" t="s">
        <v>66</v>
      </c>
      <c r="B38">
        <v>6</v>
      </c>
      <c r="C38">
        <v>4</v>
      </c>
    </row>
    <row r="39" spans="1:3" x14ac:dyDescent="0.2">
      <c r="A39" s="63" t="s">
        <v>67</v>
      </c>
      <c r="B39">
        <v>50</v>
      </c>
      <c r="C39">
        <v>135</v>
      </c>
    </row>
    <row r="40" spans="1:3" x14ac:dyDescent="0.2">
      <c r="A40" s="63" t="s">
        <v>92</v>
      </c>
      <c r="B40">
        <v>568</v>
      </c>
      <c r="C40">
        <v>893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A2A8B6-DC99-EA49-B083-2DA33E72998A}">
  <sheetPr codeName="Sheet5"/>
  <dimension ref="A1:D11"/>
  <sheetViews>
    <sheetView workbookViewId="0">
      <selection activeCell="C9" sqref="C9"/>
    </sheetView>
  </sheetViews>
  <sheetFormatPr baseColWidth="10" defaultColWidth="11" defaultRowHeight="16" x14ac:dyDescent="0.2"/>
  <cols>
    <col min="1" max="1" width="13" bestFit="1" customWidth="1"/>
    <col min="2" max="2" width="21.1640625" bestFit="1" customWidth="1"/>
    <col min="3" max="3" width="11.83203125" bestFit="1" customWidth="1"/>
    <col min="4" max="4" width="18.83203125" bestFit="1" customWidth="1"/>
  </cols>
  <sheetData>
    <row r="1" spans="1:4" x14ac:dyDescent="0.2">
      <c r="A1" s="62" t="s">
        <v>23</v>
      </c>
      <c r="B1" t="s">
        <v>45</v>
      </c>
    </row>
    <row r="3" spans="1:4" x14ac:dyDescent="0.2">
      <c r="A3" s="62" t="s">
        <v>89</v>
      </c>
      <c r="B3" t="s">
        <v>90</v>
      </c>
      <c r="C3" t="s">
        <v>91</v>
      </c>
      <c r="D3" t="s">
        <v>93</v>
      </c>
    </row>
    <row r="4" spans="1:4" x14ac:dyDescent="0.2">
      <c r="A4" s="63">
        <v>1995</v>
      </c>
      <c r="B4">
        <v>3</v>
      </c>
      <c r="C4">
        <v>3</v>
      </c>
    </row>
    <row r="5" spans="1:4" x14ac:dyDescent="0.2">
      <c r="A5" s="63">
        <v>1999</v>
      </c>
      <c r="B5">
        <v>3</v>
      </c>
      <c r="C5">
        <v>3</v>
      </c>
    </row>
    <row r="6" spans="1:4" x14ac:dyDescent="0.2">
      <c r="A6" s="63">
        <v>2003</v>
      </c>
      <c r="B6">
        <v>3</v>
      </c>
      <c r="C6">
        <v>3</v>
      </c>
      <c r="D6">
        <v>49</v>
      </c>
    </row>
    <row r="7" spans="1:4" x14ac:dyDescent="0.2">
      <c r="A7" s="63">
        <v>2007</v>
      </c>
      <c r="B7">
        <v>4</v>
      </c>
      <c r="C7">
        <v>9</v>
      </c>
      <c r="D7">
        <v>48.3</v>
      </c>
    </row>
    <row r="8" spans="1:4" x14ac:dyDescent="0.2">
      <c r="A8" s="63">
        <v>2011</v>
      </c>
      <c r="B8">
        <v>4</v>
      </c>
      <c r="C8">
        <v>6</v>
      </c>
      <c r="D8">
        <v>53.5</v>
      </c>
    </row>
    <row r="9" spans="1:4" x14ac:dyDescent="0.2">
      <c r="A9" s="63">
        <v>2015</v>
      </c>
      <c r="B9">
        <v>5</v>
      </c>
      <c r="C9">
        <v>5</v>
      </c>
      <c r="D9">
        <v>46.2</v>
      </c>
    </row>
    <row r="10" spans="1:4" x14ac:dyDescent="0.2">
      <c r="A10" s="63">
        <v>2019</v>
      </c>
      <c r="B10">
        <v>4</v>
      </c>
      <c r="C10">
        <v>8</v>
      </c>
      <c r="D10">
        <v>61.3</v>
      </c>
    </row>
    <row r="11" spans="1:4" x14ac:dyDescent="0.2">
      <c r="A11" s="63" t="s">
        <v>92</v>
      </c>
      <c r="B11">
        <v>26</v>
      </c>
      <c r="C11">
        <v>37</v>
      </c>
      <c r="D11">
        <v>51.660000000000004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98F99-263A-E34D-8128-C80B9EDEAD11}">
  <sheetPr codeName="Sheet6"/>
  <dimension ref="A1:T210"/>
  <sheetViews>
    <sheetView topLeftCell="G184" workbookViewId="0">
      <selection activeCell="L194" sqref="L194"/>
    </sheetView>
  </sheetViews>
  <sheetFormatPr baseColWidth="10" defaultColWidth="11" defaultRowHeight="16" x14ac:dyDescent="0.2"/>
  <cols>
    <col min="9" max="9" width="11.5" customWidth="1"/>
    <col min="15" max="15" width="11.5" customWidth="1"/>
  </cols>
  <sheetData>
    <row r="1" spans="1:12" x14ac:dyDescent="0.2">
      <c r="A1" s="12" t="s">
        <v>94</v>
      </c>
    </row>
    <row r="3" spans="1:12" x14ac:dyDescent="0.2">
      <c r="A3" t="s">
        <v>95</v>
      </c>
      <c r="B3" s="2" cm="1">
        <f t="array" ref="B3:B6">LEN(A3:A6)</f>
        <v>5</v>
      </c>
      <c r="C3" s="64" t="s">
        <v>96</v>
      </c>
    </row>
    <row r="4" spans="1:12" x14ac:dyDescent="0.2">
      <c r="A4" t="s">
        <v>97</v>
      </c>
      <c r="B4" s="2">
        <v>6</v>
      </c>
    </row>
    <row r="5" spans="1:12" x14ac:dyDescent="0.2">
      <c r="A5" t="s">
        <v>98</v>
      </c>
      <c r="B5" s="2">
        <v>2</v>
      </c>
    </row>
    <row r="6" spans="1:12" x14ac:dyDescent="0.2">
      <c r="A6" t="s">
        <v>99</v>
      </c>
      <c r="B6" s="2">
        <v>9</v>
      </c>
    </row>
    <row r="7" spans="1:12" ht="17" thickBot="1" x14ac:dyDescent="0.25">
      <c r="B7" s="65" cm="1">
        <f t="array" ref="B7">SUM(LEN(_xlfn.ANCHORARRAY(B3)))</f>
        <v>4</v>
      </c>
    </row>
    <row r="8" spans="1:12" s="66" customFormat="1" ht="17" thickTop="1" x14ac:dyDescent="0.2"/>
    <row r="10" spans="1:12" x14ac:dyDescent="0.2">
      <c r="A10" s="12" t="s">
        <v>100</v>
      </c>
    </row>
    <row r="11" spans="1:12" x14ac:dyDescent="0.2">
      <c r="H11" s="67" t="s">
        <v>101</v>
      </c>
      <c r="K11" s="67" t="s">
        <v>102</v>
      </c>
    </row>
    <row r="12" spans="1:12" x14ac:dyDescent="0.2">
      <c r="A12" s="2" cm="1">
        <f t="array" ref="A12:A147">IF(matches_played=7,1,0)</f>
        <v>0</v>
      </c>
      <c r="B12" t="str">
        <f ca="1">_xlfn.FORMULATEXT(A12)</f>
        <v>=IF(matches_played=7,1,0)</v>
      </c>
      <c r="H12" s="2" cm="1">
        <f t="array" ref="H12:H29">IF(Fire&gt;Water,1,0)</f>
        <v>0</v>
      </c>
      <c r="I12" t="str">
        <f ca="1">_xlfn.FORMULATEXT(H12)</f>
        <v>=IF(Fire&gt;Water,1,0)</v>
      </c>
      <c r="K12" s="2" t="str" cm="1">
        <f t="array" ref="K12:K29">IF(Fire&gt;Water,Attacking,"")</f>
        <v/>
      </c>
      <c r="L12" t="str">
        <f ca="1">_xlfn.FORMULATEXT(K12)</f>
        <v>=IF(Fire&gt;Water,Attacking,"")</v>
      </c>
    </row>
    <row r="13" spans="1:12" x14ac:dyDescent="0.2">
      <c r="A13" s="2">
        <v>0</v>
      </c>
      <c r="H13" s="2">
        <v>0</v>
      </c>
      <c r="K13" s="2" t="str">
        <v/>
      </c>
    </row>
    <row r="14" spans="1:12" x14ac:dyDescent="0.2">
      <c r="A14" s="2">
        <v>0</v>
      </c>
      <c r="B14">
        <v>1</v>
      </c>
      <c r="C14" s="2" cm="1">
        <f t="array" ref="C14">SUM(IF(matches_played=B14,1,0))</f>
        <v>0</v>
      </c>
      <c r="D14" t="str" cm="1">
        <f t="array" aca="1" ref="D14:D20" ca="1">_xlfn.FORMULATEXT(C14:C20)</f>
        <v>=SUM(IF(matches_played=B14,1,0))</v>
      </c>
      <c r="H14" s="2">
        <v>1</v>
      </c>
      <c r="K14" s="2" t="str">
        <v>Water</v>
      </c>
    </row>
    <row r="15" spans="1:12" x14ac:dyDescent="0.2">
      <c r="A15" s="2">
        <v>0</v>
      </c>
      <c r="B15">
        <v>2</v>
      </c>
      <c r="C15" s="2" cm="1">
        <f t="array" ref="C15">SUM(IF(matches_played=B15,1,0))</f>
        <v>0</v>
      </c>
      <c r="D15" t="str">
        <f ca="1"/>
        <v>=SUM(IF(matches_played=B15,1,0))</v>
      </c>
      <c r="H15" s="2">
        <v>0</v>
      </c>
      <c r="K15" s="2" t="str">
        <v/>
      </c>
    </row>
    <row r="16" spans="1:12" x14ac:dyDescent="0.2">
      <c r="A16" s="2">
        <v>0</v>
      </c>
      <c r="B16">
        <v>3</v>
      </c>
      <c r="C16" s="2" cm="1">
        <f t="array" ref="C16">SUM(IF(matches_played=B16,1,0))</f>
        <v>56</v>
      </c>
      <c r="D16" t="str">
        <f ca="1"/>
        <v>=SUM(IF(matches_played=B16,1,0))</v>
      </c>
      <c r="H16" s="2">
        <v>0</v>
      </c>
      <c r="K16" s="2" t="str">
        <v/>
      </c>
    </row>
    <row r="17" spans="1:13" x14ac:dyDescent="0.2">
      <c r="A17" s="2">
        <v>0</v>
      </c>
      <c r="B17">
        <v>4</v>
      </c>
      <c r="C17" s="2" cm="1">
        <f t="array" ref="C17">SUM(IF(matches_played=B17,1,0))</f>
        <v>40</v>
      </c>
      <c r="D17" t="str">
        <f ca="1"/>
        <v>=SUM(IF(matches_played=B17,1,0))</v>
      </c>
      <c r="H17" s="2">
        <v>0</v>
      </c>
      <c r="K17" s="2" t="str">
        <v/>
      </c>
    </row>
    <row r="18" spans="1:13" x14ac:dyDescent="0.2">
      <c r="A18" s="2">
        <v>0</v>
      </c>
      <c r="B18">
        <v>5</v>
      </c>
      <c r="C18" s="2" cm="1">
        <f t="array" ref="C18">SUM(IF(matches_played=B18,1,0))</f>
        <v>8</v>
      </c>
      <c r="D18" t="str">
        <f ca="1"/>
        <v>=SUM(IF(matches_played=B18,1,0))</v>
      </c>
      <c r="H18" s="2">
        <v>0</v>
      </c>
      <c r="K18" s="2" t="str">
        <v/>
      </c>
    </row>
    <row r="19" spans="1:13" x14ac:dyDescent="0.2">
      <c r="A19" s="2">
        <v>1</v>
      </c>
      <c r="B19">
        <v>6</v>
      </c>
      <c r="C19" s="2" cm="1">
        <f t="array" ref="C19">SUM(IF(matches_played=B19,1,0))</f>
        <v>24</v>
      </c>
      <c r="D19" t="str">
        <f ca="1"/>
        <v>=SUM(IF(matches_played=B19,1,0))</v>
      </c>
      <c r="H19" s="2">
        <v>0</v>
      </c>
      <c r="K19" s="2" t="str">
        <v/>
      </c>
    </row>
    <row r="20" spans="1:13" x14ac:dyDescent="0.2">
      <c r="A20" s="2">
        <v>0</v>
      </c>
      <c r="B20">
        <v>7</v>
      </c>
      <c r="C20" s="2" cm="1">
        <f t="array" ref="C20">SUM(IF(matches_played=B20,1,0))</f>
        <v>8</v>
      </c>
      <c r="D20" t="str">
        <f ca="1"/>
        <v>=SUM(IF(matches_played=B20,1,0))</v>
      </c>
      <c r="H20" s="2">
        <v>1</v>
      </c>
      <c r="K20" s="2" t="str">
        <v>Ground</v>
      </c>
    </row>
    <row r="21" spans="1:13" x14ac:dyDescent="0.2">
      <c r="A21" s="2">
        <v>0</v>
      </c>
      <c r="H21" s="2">
        <v>0</v>
      </c>
      <c r="K21" s="2" t="str">
        <v/>
      </c>
    </row>
    <row r="22" spans="1:13" x14ac:dyDescent="0.2">
      <c r="A22" s="2">
        <v>0</v>
      </c>
      <c r="H22" s="2">
        <v>0</v>
      </c>
      <c r="K22" s="2" t="str">
        <v/>
      </c>
    </row>
    <row r="23" spans="1:13" x14ac:dyDescent="0.2">
      <c r="A23" s="2">
        <v>0</v>
      </c>
      <c r="H23" s="2">
        <v>0</v>
      </c>
      <c r="K23" s="2" t="str">
        <v/>
      </c>
    </row>
    <row r="24" spans="1:13" x14ac:dyDescent="0.2">
      <c r="A24" s="2">
        <v>0</v>
      </c>
      <c r="H24" s="2">
        <v>1</v>
      </c>
      <c r="K24" s="2" t="str">
        <v>Rock</v>
      </c>
    </row>
    <row r="25" spans="1:13" x14ac:dyDescent="0.2">
      <c r="A25" s="2">
        <v>0</v>
      </c>
      <c r="H25" s="2">
        <v>0</v>
      </c>
      <c r="K25" s="2" t="str">
        <v/>
      </c>
    </row>
    <row r="26" spans="1:13" x14ac:dyDescent="0.2">
      <c r="A26" s="2">
        <v>1</v>
      </c>
      <c r="H26" s="2">
        <v>0</v>
      </c>
      <c r="K26" s="2" t="str">
        <v/>
      </c>
    </row>
    <row r="27" spans="1:13" x14ac:dyDescent="0.2">
      <c r="A27" s="2">
        <v>0</v>
      </c>
      <c r="H27" s="2">
        <v>0</v>
      </c>
      <c r="K27" s="2" t="str">
        <v/>
      </c>
    </row>
    <row r="28" spans="1:13" x14ac:dyDescent="0.2">
      <c r="A28" s="2">
        <v>0</v>
      </c>
      <c r="H28" s="2">
        <v>0</v>
      </c>
      <c r="K28" s="2" t="str">
        <v/>
      </c>
    </row>
    <row r="29" spans="1:13" x14ac:dyDescent="0.2">
      <c r="A29" s="2">
        <v>0</v>
      </c>
      <c r="H29" s="2">
        <v>0</v>
      </c>
      <c r="K29" s="2" t="str">
        <v/>
      </c>
    </row>
    <row r="30" spans="1:13" ht="17" thickBot="1" x14ac:dyDescent="0.25">
      <c r="A30" s="2">
        <v>0</v>
      </c>
    </row>
    <row r="31" spans="1:13" x14ac:dyDescent="0.2">
      <c r="A31" s="2">
        <v>0</v>
      </c>
      <c r="C31" s="3" t="s">
        <v>103</v>
      </c>
      <c r="D31" s="4" t="s">
        <v>104</v>
      </c>
      <c r="E31" s="4" t="s">
        <v>105</v>
      </c>
      <c r="F31" s="5" t="s">
        <v>106</v>
      </c>
      <c r="I31" t="str">
        <f ca="1">_xlfn.FORMULATEXT(I32)</f>
        <v>=VLOOKUP(H32,lossratios,{2,4},FALSE)</v>
      </c>
      <c r="M31" t="str">
        <f ca="1">_xlfn.FORMULATEXT(M32)</f>
        <v>=AVERAGE(VLOOKUP(H32,lossratios,{2,4},FALSE))</v>
      </c>
    </row>
    <row r="32" spans="1:13" x14ac:dyDescent="0.2">
      <c r="A32" s="2">
        <v>0</v>
      </c>
      <c r="C32" s="6" t="s">
        <v>107</v>
      </c>
      <c r="D32" s="68">
        <v>0.92900000000000005</v>
      </c>
      <c r="E32" s="68">
        <v>0.76500000000000001</v>
      </c>
      <c r="F32" s="69">
        <v>0.94099999999999995</v>
      </c>
      <c r="H32" t="str" cm="1">
        <f t="array" ref="H32:H35">C32:C35</f>
        <v>Motor</v>
      </c>
      <c r="I32" s="2" cm="1">
        <f t="array" ref="I32:J32">VLOOKUP(H32,lossratios,{2,4},FALSE)</f>
        <v>0.92900000000000005</v>
      </c>
      <c r="J32" s="2">
        <v>0.94099999999999995</v>
      </c>
      <c r="M32" s="2" cm="1">
        <f t="array" ref="M32">AVERAGE(VLOOKUP(H32,lossratios,{2,4},FALSE))</f>
        <v>0.93500000000000005</v>
      </c>
    </row>
    <row r="33" spans="1:13" x14ac:dyDescent="0.2">
      <c r="A33" s="2">
        <v>1</v>
      </c>
      <c r="C33" s="6" t="s">
        <v>108</v>
      </c>
      <c r="D33" s="68">
        <v>0.61199999999999999</v>
      </c>
      <c r="E33" s="68">
        <v>0.76100000000000001</v>
      </c>
      <c r="F33" s="69">
        <v>1.093</v>
      </c>
      <c r="H33" t="str">
        <v>Liability</v>
      </c>
      <c r="I33" s="2" cm="1">
        <f t="array" ref="I33:J33">VLOOKUP(H33,lossratios,{2,4},FALSE)</f>
        <v>0.61199999999999999</v>
      </c>
      <c r="J33" s="2">
        <v>1.093</v>
      </c>
      <c r="M33" s="2" cm="1">
        <f t="array" ref="M33">AVERAGE(VLOOKUP(H33,lossratios,{2,4},FALSE))</f>
        <v>0.85250000000000004</v>
      </c>
    </row>
    <row r="34" spans="1:13" x14ac:dyDescent="0.2">
      <c r="A34" s="2">
        <v>0</v>
      </c>
      <c r="C34" s="6" t="s">
        <v>109</v>
      </c>
      <c r="D34" s="68">
        <v>0.871</v>
      </c>
      <c r="E34" s="68">
        <v>0.92800000000000005</v>
      </c>
      <c r="F34" s="69">
        <v>0.65900000000000003</v>
      </c>
      <c r="H34" t="str">
        <v>Life</v>
      </c>
      <c r="I34" s="2" cm="1">
        <f t="array" ref="I34:J34">VLOOKUP(H34,lossratios,{2,4},FALSE)</f>
        <v>0.871</v>
      </c>
      <c r="J34" s="2">
        <v>0.65900000000000003</v>
      </c>
      <c r="M34" s="2" cm="1">
        <f t="array" ref="M34">AVERAGE(VLOOKUP(H34,lossratios,{2,4},FALSE))</f>
        <v>0.76500000000000001</v>
      </c>
    </row>
    <row r="35" spans="1:13" ht="17" thickBot="1" x14ac:dyDescent="0.25">
      <c r="A35" s="2">
        <v>1</v>
      </c>
      <c r="C35" s="8" t="s">
        <v>110</v>
      </c>
      <c r="D35" s="70">
        <v>1.0489999999999999</v>
      </c>
      <c r="E35" s="70">
        <v>0.67500000000000004</v>
      </c>
      <c r="F35" s="71">
        <v>0.96699999999999997</v>
      </c>
      <c r="H35" t="str">
        <v>Property</v>
      </c>
      <c r="I35" s="2" cm="1">
        <f t="array" ref="I35:J35">VLOOKUP(H35,lossratios,{2,4},FALSE)</f>
        <v>1.0489999999999999</v>
      </c>
      <c r="J35" s="2">
        <v>0.96699999999999997</v>
      </c>
      <c r="M35" s="2" cm="1">
        <f t="array" ref="M35">AVERAGE(VLOOKUP(H35,lossratios,{2,4},FALSE))</f>
        <v>1.008</v>
      </c>
    </row>
    <row r="36" spans="1:13" x14ac:dyDescent="0.2">
      <c r="A36" s="2">
        <v>0</v>
      </c>
    </row>
    <row r="37" spans="1:13" x14ac:dyDescent="0.2">
      <c r="A37" s="2">
        <v>0</v>
      </c>
      <c r="H37" t="str">
        <f>C32</f>
        <v>Motor</v>
      </c>
      <c r="I37" s="2" cm="1">
        <f t="array" ref="I37:I38">VLOOKUP(H37,lossratios,{2;4},FALSE)</f>
        <v>0.92900000000000005</v>
      </c>
      <c r="J37" t="str">
        <f ca="1">_xlfn.FORMULATEXT(I37)</f>
        <v>=VLOOKUP(H37,lossratios,{2;4},FALSE)</v>
      </c>
    </row>
    <row r="38" spans="1:13" x14ac:dyDescent="0.2">
      <c r="A38" s="2">
        <v>0</v>
      </c>
      <c r="I38" s="2">
        <v>0.94099999999999995</v>
      </c>
    </row>
    <row r="39" spans="1:13" x14ac:dyDescent="0.2">
      <c r="A39" s="2">
        <v>0</v>
      </c>
    </row>
    <row r="40" spans="1:13" x14ac:dyDescent="0.2">
      <c r="A40" s="2">
        <v>0</v>
      </c>
    </row>
    <row r="41" spans="1:13" hidden="1" x14ac:dyDescent="0.2">
      <c r="A41" s="2">
        <v>0</v>
      </c>
    </row>
    <row r="42" spans="1:13" hidden="1" x14ac:dyDescent="0.2">
      <c r="A42" s="2">
        <v>0</v>
      </c>
    </row>
    <row r="43" spans="1:13" hidden="1" x14ac:dyDescent="0.2">
      <c r="A43" s="2">
        <v>0</v>
      </c>
    </row>
    <row r="44" spans="1:13" hidden="1" x14ac:dyDescent="0.2">
      <c r="A44" s="2">
        <v>0</v>
      </c>
    </row>
    <row r="45" spans="1:13" hidden="1" x14ac:dyDescent="0.2">
      <c r="A45" s="2">
        <v>1</v>
      </c>
    </row>
    <row r="46" spans="1:13" hidden="1" x14ac:dyDescent="0.2">
      <c r="A46" s="2">
        <v>0</v>
      </c>
    </row>
    <row r="47" spans="1:13" hidden="1" x14ac:dyDescent="0.2">
      <c r="A47" s="2">
        <v>1</v>
      </c>
    </row>
    <row r="48" spans="1:13" hidden="1" x14ac:dyDescent="0.2">
      <c r="A48" s="2">
        <v>1</v>
      </c>
    </row>
    <row r="49" spans="1:1" hidden="1" x14ac:dyDescent="0.2">
      <c r="A49" s="2">
        <v>0</v>
      </c>
    </row>
    <row r="50" spans="1:1" hidden="1" x14ac:dyDescent="0.2">
      <c r="A50" s="2">
        <v>0</v>
      </c>
    </row>
    <row r="51" spans="1:1" hidden="1" x14ac:dyDescent="0.2">
      <c r="A51" s="2">
        <v>0</v>
      </c>
    </row>
    <row r="52" spans="1:1" hidden="1" x14ac:dyDescent="0.2">
      <c r="A52" s="2">
        <v>0</v>
      </c>
    </row>
    <row r="53" spans="1:1" hidden="1" x14ac:dyDescent="0.2">
      <c r="A53" s="2">
        <v>0</v>
      </c>
    </row>
    <row r="54" spans="1:1" hidden="1" x14ac:dyDescent="0.2">
      <c r="A54" s="2">
        <v>0</v>
      </c>
    </row>
    <row r="55" spans="1:1" hidden="1" x14ac:dyDescent="0.2">
      <c r="A55" s="2">
        <v>0</v>
      </c>
    </row>
    <row r="56" spans="1:1" hidden="1" x14ac:dyDescent="0.2">
      <c r="A56" s="2">
        <v>0</v>
      </c>
    </row>
    <row r="57" spans="1:1" hidden="1" x14ac:dyDescent="0.2">
      <c r="A57" s="2">
        <v>0</v>
      </c>
    </row>
    <row r="58" spans="1:1" hidden="1" x14ac:dyDescent="0.2">
      <c r="A58" s="2">
        <v>0</v>
      </c>
    </row>
    <row r="59" spans="1:1" hidden="1" x14ac:dyDescent="0.2">
      <c r="A59" s="2">
        <v>1</v>
      </c>
    </row>
    <row r="60" spans="1:1" hidden="1" x14ac:dyDescent="0.2">
      <c r="A60" s="2">
        <v>0</v>
      </c>
    </row>
    <row r="61" spans="1:1" hidden="1" x14ac:dyDescent="0.2">
      <c r="A61" s="2">
        <v>0</v>
      </c>
    </row>
    <row r="62" spans="1:1" hidden="1" x14ac:dyDescent="0.2">
      <c r="A62" s="2">
        <v>0</v>
      </c>
    </row>
    <row r="63" spans="1:1" hidden="1" x14ac:dyDescent="0.2">
      <c r="A63" s="2">
        <v>0</v>
      </c>
    </row>
    <row r="64" spans="1:1" hidden="1" x14ac:dyDescent="0.2">
      <c r="A64" s="2">
        <v>0</v>
      </c>
    </row>
    <row r="65" spans="1:1" hidden="1" x14ac:dyDescent="0.2">
      <c r="A65" s="2">
        <v>0</v>
      </c>
    </row>
    <row r="66" spans="1:1" hidden="1" x14ac:dyDescent="0.2">
      <c r="A66" s="2">
        <v>0</v>
      </c>
    </row>
    <row r="67" spans="1:1" hidden="1" x14ac:dyDescent="0.2">
      <c r="A67" s="2">
        <v>0</v>
      </c>
    </row>
    <row r="68" spans="1:1" hidden="1" x14ac:dyDescent="0.2">
      <c r="A68" s="2">
        <v>0</v>
      </c>
    </row>
    <row r="69" spans="1:1" hidden="1" x14ac:dyDescent="0.2">
      <c r="A69" s="2">
        <v>0</v>
      </c>
    </row>
    <row r="70" spans="1:1" hidden="1" x14ac:dyDescent="0.2">
      <c r="A70" s="2">
        <v>0</v>
      </c>
    </row>
    <row r="71" spans="1:1" hidden="1" x14ac:dyDescent="0.2">
      <c r="A71" s="2">
        <v>0</v>
      </c>
    </row>
    <row r="72" spans="1:1" hidden="1" x14ac:dyDescent="0.2">
      <c r="A72" s="2">
        <v>0</v>
      </c>
    </row>
    <row r="73" spans="1:1" hidden="1" x14ac:dyDescent="0.2">
      <c r="A73" s="2">
        <v>0</v>
      </c>
    </row>
    <row r="74" spans="1:1" hidden="1" x14ac:dyDescent="0.2">
      <c r="A74" s="2">
        <v>0</v>
      </c>
    </row>
    <row r="75" spans="1:1" hidden="1" x14ac:dyDescent="0.2">
      <c r="A75" s="2">
        <v>0</v>
      </c>
    </row>
    <row r="76" spans="1:1" hidden="1" x14ac:dyDescent="0.2">
      <c r="A76" s="2">
        <v>0</v>
      </c>
    </row>
    <row r="77" spans="1:1" hidden="1" x14ac:dyDescent="0.2">
      <c r="A77" s="2">
        <v>0</v>
      </c>
    </row>
    <row r="78" spans="1:1" hidden="1" x14ac:dyDescent="0.2">
      <c r="A78" s="2">
        <v>0</v>
      </c>
    </row>
    <row r="79" spans="1:1" hidden="1" x14ac:dyDescent="0.2">
      <c r="A79" s="2">
        <v>0</v>
      </c>
    </row>
    <row r="80" spans="1:1" hidden="1" x14ac:dyDescent="0.2">
      <c r="A80" s="2">
        <v>0</v>
      </c>
    </row>
    <row r="81" spans="1:1" hidden="1" x14ac:dyDescent="0.2">
      <c r="A81" s="2">
        <v>0</v>
      </c>
    </row>
    <row r="82" spans="1:1" hidden="1" x14ac:dyDescent="0.2">
      <c r="A82" s="2">
        <v>0</v>
      </c>
    </row>
    <row r="83" spans="1:1" hidden="1" x14ac:dyDescent="0.2">
      <c r="A83" s="2">
        <v>0</v>
      </c>
    </row>
    <row r="84" spans="1:1" hidden="1" x14ac:dyDescent="0.2">
      <c r="A84" s="2">
        <v>0</v>
      </c>
    </row>
    <row r="85" spans="1:1" hidden="1" x14ac:dyDescent="0.2">
      <c r="A85" s="2">
        <v>0</v>
      </c>
    </row>
    <row r="86" spans="1:1" hidden="1" x14ac:dyDescent="0.2">
      <c r="A86" s="2">
        <v>0</v>
      </c>
    </row>
    <row r="87" spans="1:1" hidden="1" x14ac:dyDescent="0.2">
      <c r="A87" s="2">
        <v>0</v>
      </c>
    </row>
    <row r="88" spans="1:1" hidden="1" x14ac:dyDescent="0.2">
      <c r="A88" s="2">
        <v>0</v>
      </c>
    </row>
    <row r="89" spans="1:1" hidden="1" x14ac:dyDescent="0.2">
      <c r="A89" s="2">
        <v>0</v>
      </c>
    </row>
    <row r="90" spans="1:1" hidden="1" x14ac:dyDescent="0.2">
      <c r="A90" s="2">
        <v>0</v>
      </c>
    </row>
    <row r="91" spans="1:1" hidden="1" x14ac:dyDescent="0.2">
      <c r="A91" s="2">
        <v>0</v>
      </c>
    </row>
    <row r="92" spans="1:1" hidden="1" x14ac:dyDescent="0.2">
      <c r="A92" s="2">
        <v>0</v>
      </c>
    </row>
    <row r="93" spans="1:1" hidden="1" x14ac:dyDescent="0.2">
      <c r="A93" s="2">
        <v>0</v>
      </c>
    </row>
    <row r="94" spans="1:1" hidden="1" x14ac:dyDescent="0.2">
      <c r="A94" s="2">
        <v>0</v>
      </c>
    </row>
    <row r="95" spans="1:1" hidden="1" x14ac:dyDescent="0.2">
      <c r="A95" s="2">
        <v>0</v>
      </c>
    </row>
    <row r="96" spans="1:1" hidden="1" x14ac:dyDescent="0.2">
      <c r="A96" s="2">
        <v>0</v>
      </c>
    </row>
    <row r="97" spans="1:1" hidden="1" x14ac:dyDescent="0.2">
      <c r="A97" s="2">
        <v>0</v>
      </c>
    </row>
    <row r="98" spans="1:1" hidden="1" x14ac:dyDescent="0.2">
      <c r="A98" s="2">
        <v>0</v>
      </c>
    </row>
    <row r="99" spans="1:1" hidden="1" x14ac:dyDescent="0.2">
      <c r="A99" s="2">
        <v>0</v>
      </c>
    </row>
    <row r="100" spans="1:1" hidden="1" x14ac:dyDescent="0.2">
      <c r="A100" s="2">
        <v>0</v>
      </c>
    </row>
    <row r="101" spans="1:1" hidden="1" x14ac:dyDescent="0.2">
      <c r="A101" s="2">
        <v>0</v>
      </c>
    </row>
    <row r="102" spans="1:1" hidden="1" x14ac:dyDescent="0.2">
      <c r="A102" s="2">
        <v>0</v>
      </c>
    </row>
    <row r="103" spans="1:1" hidden="1" x14ac:dyDescent="0.2">
      <c r="A103" s="2">
        <v>0</v>
      </c>
    </row>
    <row r="104" spans="1:1" hidden="1" x14ac:dyDescent="0.2">
      <c r="A104" s="2">
        <v>0</v>
      </c>
    </row>
    <row r="105" spans="1:1" hidden="1" x14ac:dyDescent="0.2">
      <c r="A105" s="2">
        <v>0</v>
      </c>
    </row>
    <row r="106" spans="1:1" hidden="1" x14ac:dyDescent="0.2">
      <c r="A106" s="2">
        <v>0</v>
      </c>
    </row>
    <row r="107" spans="1:1" hidden="1" x14ac:dyDescent="0.2">
      <c r="A107" s="2">
        <v>0</v>
      </c>
    </row>
    <row r="108" spans="1:1" hidden="1" x14ac:dyDescent="0.2">
      <c r="A108" s="2">
        <v>0</v>
      </c>
    </row>
    <row r="109" spans="1:1" hidden="1" x14ac:dyDescent="0.2">
      <c r="A109" s="2">
        <v>0</v>
      </c>
    </row>
    <row r="110" spans="1:1" hidden="1" x14ac:dyDescent="0.2">
      <c r="A110" s="2">
        <v>0</v>
      </c>
    </row>
    <row r="111" spans="1:1" hidden="1" x14ac:dyDescent="0.2">
      <c r="A111" s="2">
        <v>0</v>
      </c>
    </row>
    <row r="112" spans="1:1" hidden="1" x14ac:dyDescent="0.2">
      <c r="A112" s="2">
        <v>0</v>
      </c>
    </row>
    <row r="113" spans="1:1" hidden="1" x14ac:dyDescent="0.2">
      <c r="A113" s="2">
        <v>0</v>
      </c>
    </row>
    <row r="114" spans="1:1" hidden="1" x14ac:dyDescent="0.2">
      <c r="A114" s="2">
        <v>0</v>
      </c>
    </row>
    <row r="115" spans="1:1" hidden="1" x14ac:dyDescent="0.2">
      <c r="A115" s="2">
        <v>0</v>
      </c>
    </row>
    <row r="116" spans="1:1" hidden="1" x14ac:dyDescent="0.2">
      <c r="A116" s="2">
        <v>0</v>
      </c>
    </row>
    <row r="117" spans="1:1" hidden="1" x14ac:dyDescent="0.2">
      <c r="A117" s="2">
        <v>0</v>
      </c>
    </row>
    <row r="118" spans="1:1" hidden="1" x14ac:dyDescent="0.2">
      <c r="A118" s="2">
        <v>0</v>
      </c>
    </row>
    <row r="119" spans="1:1" hidden="1" x14ac:dyDescent="0.2">
      <c r="A119" s="2">
        <v>0</v>
      </c>
    </row>
    <row r="120" spans="1:1" hidden="1" x14ac:dyDescent="0.2">
      <c r="A120" s="2">
        <v>0</v>
      </c>
    </row>
    <row r="121" spans="1:1" hidden="1" x14ac:dyDescent="0.2">
      <c r="A121" s="2">
        <v>0</v>
      </c>
    </row>
    <row r="122" spans="1:1" hidden="1" x14ac:dyDescent="0.2">
      <c r="A122" s="2">
        <v>0</v>
      </c>
    </row>
    <row r="123" spans="1:1" hidden="1" x14ac:dyDescent="0.2">
      <c r="A123" s="2">
        <v>0</v>
      </c>
    </row>
    <row r="124" spans="1:1" hidden="1" x14ac:dyDescent="0.2">
      <c r="A124" s="2">
        <v>0</v>
      </c>
    </row>
    <row r="125" spans="1:1" hidden="1" x14ac:dyDescent="0.2">
      <c r="A125" s="2">
        <v>0</v>
      </c>
    </row>
    <row r="126" spans="1:1" hidden="1" x14ac:dyDescent="0.2">
      <c r="A126" s="2">
        <v>0</v>
      </c>
    </row>
    <row r="127" spans="1:1" hidden="1" x14ac:dyDescent="0.2">
      <c r="A127" s="2">
        <v>0</v>
      </c>
    </row>
    <row r="128" spans="1:1" hidden="1" x14ac:dyDescent="0.2">
      <c r="A128" s="2">
        <v>0</v>
      </c>
    </row>
    <row r="129" spans="1:1" hidden="1" x14ac:dyDescent="0.2">
      <c r="A129" s="2">
        <v>0</v>
      </c>
    </row>
    <row r="130" spans="1:1" hidden="1" x14ac:dyDescent="0.2">
      <c r="A130" s="2">
        <v>0</v>
      </c>
    </row>
    <row r="131" spans="1:1" hidden="1" x14ac:dyDescent="0.2">
      <c r="A131" s="2">
        <v>0</v>
      </c>
    </row>
    <row r="132" spans="1:1" hidden="1" x14ac:dyDescent="0.2">
      <c r="A132" s="2">
        <v>0</v>
      </c>
    </row>
    <row r="133" spans="1:1" hidden="1" x14ac:dyDescent="0.2">
      <c r="A133" s="2">
        <v>0</v>
      </c>
    </row>
    <row r="134" spans="1:1" hidden="1" x14ac:dyDescent="0.2">
      <c r="A134" s="2">
        <v>0</v>
      </c>
    </row>
    <row r="135" spans="1:1" hidden="1" x14ac:dyDescent="0.2">
      <c r="A135" s="2">
        <v>0</v>
      </c>
    </row>
    <row r="136" spans="1:1" hidden="1" x14ac:dyDescent="0.2">
      <c r="A136" s="2">
        <v>0</v>
      </c>
    </row>
    <row r="137" spans="1:1" hidden="1" x14ac:dyDescent="0.2">
      <c r="A137" s="2">
        <v>0</v>
      </c>
    </row>
    <row r="138" spans="1:1" hidden="1" x14ac:dyDescent="0.2">
      <c r="A138" s="2">
        <v>0</v>
      </c>
    </row>
    <row r="139" spans="1:1" hidden="1" x14ac:dyDescent="0.2">
      <c r="A139" s="2">
        <v>0</v>
      </c>
    </row>
    <row r="140" spans="1:1" hidden="1" x14ac:dyDescent="0.2">
      <c r="A140" s="2">
        <v>0</v>
      </c>
    </row>
    <row r="141" spans="1:1" hidden="1" x14ac:dyDescent="0.2">
      <c r="A141" s="2">
        <v>0</v>
      </c>
    </row>
    <row r="142" spans="1:1" hidden="1" x14ac:dyDescent="0.2">
      <c r="A142" s="2">
        <v>0</v>
      </c>
    </row>
    <row r="143" spans="1:1" hidden="1" x14ac:dyDescent="0.2">
      <c r="A143" s="2">
        <v>0</v>
      </c>
    </row>
    <row r="144" spans="1:1" x14ac:dyDescent="0.2">
      <c r="A144" s="2">
        <v>0</v>
      </c>
    </row>
    <row r="145" spans="1:12" x14ac:dyDescent="0.2">
      <c r="A145" s="2">
        <v>0</v>
      </c>
    </row>
    <row r="146" spans="1:12" x14ac:dyDescent="0.2">
      <c r="A146" s="2">
        <v>0</v>
      </c>
    </row>
    <row r="147" spans="1:12" x14ac:dyDescent="0.2">
      <c r="A147" s="2">
        <v>0</v>
      </c>
    </row>
    <row r="149" spans="1:12" s="1" customFormat="1" x14ac:dyDescent="0.2"/>
    <row r="150" spans="1:12" x14ac:dyDescent="0.2">
      <c r="A150" s="12" t="s">
        <v>111</v>
      </c>
    </row>
    <row r="152" spans="1:12" x14ac:dyDescent="0.2">
      <c r="A152" s="2">
        <f>H12</f>
        <v>0</v>
      </c>
      <c r="B152" t="str">
        <f ca="1">_xlfn.FORMULATEXT(A152)</f>
        <v>=H12</v>
      </c>
      <c r="C152" s="2" cm="1">
        <f t="array" ref="C152:C169">_xlfn.ANCHORARRAY(H12)</f>
        <v>0</v>
      </c>
      <c r="D152" t="str">
        <f ca="1">_xlfn.FORMULATEXT(C152)</f>
        <v>=H12#</v>
      </c>
      <c r="E152" s="2">
        <f>SUM(H12)</f>
        <v>0</v>
      </c>
      <c r="F152" t="str">
        <f ca="1">_xlfn.FORMULATEXT(E152)</f>
        <v>=SUM(H12)</v>
      </c>
      <c r="H152" s="2" cm="1">
        <f t="array" ref="H152:H156">_xlfn.SEQUENCE(5)</f>
        <v>1</v>
      </c>
      <c r="I152" t="str">
        <f ca="1">_xlfn.FORMULATEXT(H152)</f>
        <v>=SEQUENCE(5)</v>
      </c>
      <c r="K152" s="2">
        <f>SUM(H152:H156)</f>
        <v>15</v>
      </c>
      <c r="L152" t="str">
        <f ca="1">_xlfn.FORMULATEXT(K152)</f>
        <v>=SUM(H152:H156)</v>
      </c>
    </row>
    <row r="153" spans="1:12" x14ac:dyDescent="0.2">
      <c r="C153" s="2">
        <v>0</v>
      </c>
      <c r="E153" s="2">
        <f>SUM(_xlfn.ANCHORARRAY(H12))</f>
        <v>3</v>
      </c>
      <c r="F153" t="str">
        <f ca="1">_xlfn.FORMULATEXT(E153)</f>
        <v>=SUM(H12#)</v>
      </c>
      <c r="H153" s="2">
        <v>2</v>
      </c>
      <c r="K153" s="2">
        <f>SUM(_xlfn.ANCHORARRAY(H152))</f>
        <v>15</v>
      </c>
      <c r="L153" t="str">
        <f ca="1">_xlfn.FORMULATEXT(K153)</f>
        <v>=SUM(H152#)</v>
      </c>
    </row>
    <row r="154" spans="1:12" x14ac:dyDescent="0.2">
      <c r="C154" s="2">
        <v>1</v>
      </c>
      <c r="H154" s="2">
        <v>3</v>
      </c>
    </row>
    <row r="155" spans="1:12" x14ac:dyDescent="0.2">
      <c r="C155" s="2">
        <v>0</v>
      </c>
      <c r="H155" s="2">
        <v>4</v>
      </c>
      <c r="J155" s="12" t="s">
        <v>112</v>
      </c>
    </row>
    <row r="156" spans="1:12" x14ac:dyDescent="0.2">
      <c r="C156" s="2">
        <v>0</v>
      </c>
      <c r="H156" s="2">
        <v>5</v>
      </c>
    </row>
    <row r="157" spans="1:12" x14ac:dyDescent="0.2">
      <c r="C157" s="2">
        <v>0</v>
      </c>
    </row>
    <row r="158" spans="1:12" x14ac:dyDescent="0.2">
      <c r="C158" s="2">
        <v>0</v>
      </c>
    </row>
    <row r="159" spans="1:12" x14ac:dyDescent="0.2">
      <c r="C159" s="2">
        <v>0</v>
      </c>
    </row>
    <row r="160" spans="1:12" x14ac:dyDescent="0.2">
      <c r="C160" s="2">
        <v>1</v>
      </c>
    </row>
    <row r="161" spans="1:7" x14ac:dyDescent="0.2">
      <c r="C161" s="2">
        <v>0</v>
      </c>
    </row>
    <row r="162" spans="1:7" x14ac:dyDescent="0.2">
      <c r="C162" s="2">
        <v>0</v>
      </c>
    </row>
    <row r="163" spans="1:7" x14ac:dyDescent="0.2">
      <c r="C163" s="2">
        <v>0</v>
      </c>
    </row>
    <row r="164" spans="1:7" x14ac:dyDescent="0.2">
      <c r="C164" s="2">
        <v>1</v>
      </c>
    </row>
    <row r="165" spans="1:7" x14ac:dyDescent="0.2">
      <c r="C165" s="2">
        <v>0</v>
      </c>
    </row>
    <row r="166" spans="1:7" x14ac:dyDescent="0.2">
      <c r="C166" s="2">
        <v>0</v>
      </c>
    </row>
    <row r="167" spans="1:7" x14ac:dyDescent="0.2">
      <c r="C167" s="2">
        <v>0</v>
      </c>
    </row>
    <row r="168" spans="1:7" x14ac:dyDescent="0.2">
      <c r="C168" s="2">
        <v>0</v>
      </c>
    </row>
    <row r="169" spans="1:7" x14ac:dyDescent="0.2">
      <c r="C169" s="2">
        <v>0</v>
      </c>
    </row>
    <row r="171" spans="1:7" s="1" customFormat="1" x14ac:dyDescent="0.2"/>
    <row r="172" spans="1:7" x14ac:dyDescent="0.2">
      <c r="A172" s="12" t="s">
        <v>113</v>
      </c>
    </row>
    <row r="174" spans="1:7" x14ac:dyDescent="0.2">
      <c r="A174" s="67" t="s">
        <v>114</v>
      </c>
    </row>
    <row r="176" spans="1:7" x14ac:dyDescent="0.2">
      <c r="A176" s="2" t="str" cm="1">
        <f t="array" ref="A176:A182">_xlfn.UNIQUE(IF(matches_played=7,squad,""))</f>
        <v/>
      </c>
      <c r="B176" t="str">
        <f ca="1">_xlfn.FORMULATEXT(A176)</f>
        <v>=UNIQUE(IF(matches_played=7,squad,""))</v>
      </c>
      <c r="F176" s="2" t="str" cm="1">
        <f t="array" ref="F176:F181">_xlfn.UNIQUE(_xlfn._xlws.FILTER(squad,matches_played=7))</f>
        <v>England</v>
      </c>
      <c r="G176" t="str">
        <f ca="1">_xlfn.FORMULATEXT(F176)</f>
        <v>=UNIQUE(FILTER(squad,matches_played=7))</v>
      </c>
    </row>
    <row r="177" spans="1:18" x14ac:dyDescent="0.2">
      <c r="A177" s="2" t="str">
        <v>England</v>
      </c>
      <c r="F177" s="2" t="str">
        <v>Netherlands</v>
      </c>
    </row>
    <row r="178" spans="1:18" x14ac:dyDescent="0.2">
      <c r="A178" s="2" t="str">
        <v>Netherlands</v>
      </c>
      <c r="F178" s="2" t="str">
        <v>Sweden</v>
      </c>
    </row>
    <row r="179" spans="1:18" x14ac:dyDescent="0.2">
      <c r="A179" s="2" t="str">
        <v>Sweden</v>
      </c>
      <c r="F179" s="2" t="str">
        <v>USA</v>
      </c>
    </row>
    <row r="180" spans="1:18" x14ac:dyDescent="0.2">
      <c r="A180" s="2" t="str">
        <v>USA</v>
      </c>
      <c r="F180" s="2" t="str">
        <v>Germany</v>
      </c>
    </row>
    <row r="181" spans="1:18" x14ac:dyDescent="0.2">
      <c r="A181" s="2" t="str">
        <v>Germany</v>
      </c>
      <c r="F181" s="2" t="str">
        <v>Japan</v>
      </c>
    </row>
    <row r="182" spans="1:18" x14ac:dyDescent="0.2">
      <c r="A182" s="2" t="str">
        <v>Japan</v>
      </c>
    </row>
    <row r="183" spans="1:18" s="72" customFormat="1" x14ac:dyDescent="0.2"/>
    <row r="185" spans="1:18" x14ac:dyDescent="0.2">
      <c r="A185" s="12" t="s">
        <v>115</v>
      </c>
      <c r="H185" s="12" t="s">
        <v>116</v>
      </c>
    </row>
    <row r="186" spans="1:18" x14ac:dyDescent="0.2">
      <c r="H186" s="67" t="s">
        <v>117</v>
      </c>
    </row>
    <row r="187" spans="1:18" x14ac:dyDescent="0.2">
      <c r="B187" s="73" t="str" cm="1">
        <f t="array" ref="B187:E191">lossratios</f>
        <v>Loss ratios</v>
      </c>
      <c r="C187" s="74" t="str">
        <v>NSW</v>
      </c>
      <c r="D187" s="74" t="str">
        <v>VIC</v>
      </c>
      <c r="E187" s="75" t="str">
        <v>ACT</v>
      </c>
      <c r="H187" t="str">
        <f ca="1">_xlfn.FORMULATEXT(H188)</f>
        <v>=VLOOKUP(products,B188:E191,4, FALSE)</v>
      </c>
      <c r="M187" s="67" t="s">
        <v>118</v>
      </c>
    </row>
    <row r="188" spans="1:18" x14ac:dyDescent="0.2">
      <c r="B188" s="76" t="str">
        <v>Motor</v>
      </c>
      <c r="C188">
        <v>0.92900000000000005</v>
      </c>
      <c r="D188">
        <v>0.76500000000000001</v>
      </c>
      <c r="E188" s="77">
        <v>0.94099999999999995</v>
      </c>
      <c r="H188" s="2" cm="1">
        <f t="array" ref="H188:H192">VLOOKUP(products,B188:E191,4, FALSE)</f>
        <v>0.94099999999999995</v>
      </c>
      <c r="M188" s="67" t="s">
        <v>119</v>
      </c>
    </row>
    <row r="189" spans="1:18" x14ac:dyDescent="0.2">
      <c r="B189" s="76" t="str">
        <v>Liability</v>
      </c>
      <c r="C189">
        <v>0.61199999999999999</v>
      </c>
      <c r="D189">
        <v>0.76100000000000001</v>
      </c>
      <c r="E189" s="77">
        <v>1.093</v>
      </c>
      <c r="H189" s="2">
        <v>0.65900000000000003</v>
      </c>
      <c r="I189" t="s">
        <v>120</v>
      </c>
      <c r="M189" t="str">
        <f ca="1">_xlfn.FORMULATEXT(M190)</f>
        <v>=VLOOKUP(E197,B188:E191,{2,4;1,3;4,2},FALSE)</v>
      </c>
    </row>
    <row r="190" spans="1:18" x14ac:dyDescent="0.2">
      <c r="B190" s="76" t="str">
        <v>Life</v>
      </c>
      <c r="C190">
        <v>0.871</v>
      </c>
      <c r="D190">
        <v>0.92800000000000005</v>
      </c>
      <c r="E190" s="77">
        <v>0.65900000000000003</v>
      </c>
      <c r="H190" s="2">
        <v>1.093</v>
      </c>
      <c r="I190" t="s">
        <v>121</v>
      </c>
      <c r="M190" s="2" cm="1">
        <f t="array" ref="M190:N192">VLOOKUP(E197,B188:E191,{2,4;1,3;4,2},FALSE)</f>
        <v>0.92900000000000005</v>
      </c>
      <c r="N190" s="2">
        <v>0.94099999999999995</v>
      </c>
      <c r="O190" t="s">
        <v>122</v>
      </c>
      <c r="P190" s="67"/>
      <c r="Q190" s="67"/>
      <c r="R190" s="67"/>
    </row>
    <row r="191" spans="1:18" x14ac:dyDescent="0.2">
      <c r="B191" s="78" t="str">
        <v>Property</v>
      </c>
      <c r="C191" s="72">
        <v>1.0489999999999999</v>
      </c>
      <c r="D191" s="72">
        <v>0.67500000000000004</v>
      </c>
      <c r="E191" s="79">
        <v>0.96699999999999997</v>
      </c>
      <c r="H191" s="2">
        <v>0.96699999999999997</v>
      </c>
      <c r="I191" t="s">
        <v>123</v>
      </c>
      <c r="M191" s="2" t="str">
        <v>Motor</v>
      </c>
      <c r="N191" s="2">
        <v>0.76500000000000001</v>
      </c>
      <c r="O191" t="s">
        <v>124</v>
      </c>
      <c r="P191" s="67"/>
      <c r="Q191" s="67"/>
      <c r="R191" s="67"/>
    </row>
    <row r="192" spans="1:18" x14ac:dyDescent="0.2">
      <c r="H192" t="e">
        <v>#N/A</v>
      </c>
      <c r="I192" t="s">
        <v>125</v>
      </c>
      <c r="M192" s="2">
        <v>0.94099999999999995</v>
      </c>
      <c r="N192" s="2">
        <v>0.92900000000000005</v>
      </c>
      <c r="O192" t="s">
        <v>126</v>
      </c>
      <c r="P192" s="67"/>
      <c r="Q192" s="67"/>
      <c r="R192" s="67"/>
    </row>
    <row r="195" spans="5:20" x14ac:dyDescent="0.2">
      <c r="H195" s="83" t="s">
        <v>127</v>
      </c>
    </row>
    <row r="196" spans="5:20" x14ac:dyDescent="0.2">
      <c r="E196" s="80" t="s">
        <v>128</v>
      </c>
      <c r="H196" s="67" t="s">
        <v>129</v>
      </c>
      <c r="N196" s="84" t="s">
        <v>130</v>
      </c>
      <c r="R196" s="67" t="s">
        <v>131</v>
      </c>
    </row>
    <row r="197" spans="5:20" x14ac:dyDescent="0.2">
      <c r="E197" s="81" t="s">
        <v>107</v>
      </c>
      <c r="H197" t="str">
        <f ca="1">_xlfn.FORMULATEXT(H198)</f>
        <v>=XLOOKUP(products,loss_ratios,E188:E191,"No such product")</v>
      </c>
      <c r="N197" s="86" t="str">
        <f ca="1">_xlfn.FORMULATEXT(N198)</f>
        <v>=MATCH(B188,loss_ratios,0)</v>
      </c>
      <c r="T197" s="86" t="str">
        <f ca="1">_xlfn.FORMULATEXT(T198)</f>
        <v>=INDEX(C$188:C$191,MATCH(B188,loss_ratios,0))</v>
      </c>
    </row>
    <row r="198" spans="5:20" x14ac:dyDescent="0.2">
      <c r="E198" s="81" t="s">
        <v>109</v>
      </c>
      <c r="H198" s="2" cm="1">
        <f t="array" ref="H198:H202">_xlfn.XLOOKUP(products,loss_ratios,E188:E191,"No such product")</f>
        <v>0.94099999999999995</v>
      </c>
      <c r="N198" s="2">
        <f>MATCH(B188,loss_ratios,0)</f>
        <v>1</v>
      </c>
      <c r="T198" s="2">
        <f>INDEX(C$188:C$191,MATCH(B188,loss_ratios,0))</f>
        <v>0.92900000000000005</v>
      </c>
    </row>
    <row r="199" spans="5:20" x14ac:dyDescent="0.2">
      <c r="E199" s="81" t="s">
        <v>108</v>
      </c>
      <c r="H199" s="2">
        <v>0.65900000000000003</v>
      </c>
      <c r="I199" t="s">
        <v>132</v>
      </c>
      <c r="N199" s="2">
        <f t="shared" ref="N199:N201" si="0">MATCH(B189,B$188:B$191,0)</f>
        <v>2</v>
      </c>
      <c r="T199" s="2">
        <f>INDEX(C$188:C$191,MATCH(B189,B$188:B$191,0))</f>
        <v>0.61199999999999999</v>
      </c>
    </row>
    <row r="200" spans="5:20" x14ac:dyDescent="0.2">
      <c r="E200" s="81" t="s">
        <v>110</v>
      </c>
      <c r="H200" s="2">
        <v>1.093</v>
      </c>
      <c r="I200" t="s">
        <v>133</v>
      </c>
      <c r="N200" s="2">
        <f t="shared" si="0"/>
        <v>3</v>
      </c>
      <c r="T200" s="2">
        <f>INDEX(C$188:C$191,MATCH(B190,B$188:B$191,0))</f>
        <v>0.871</v>
      </c>
    </row>
    <row r="201" spans="5:20" x14ac:dyDescent="0.2">
      <c r="E201" s="82" t="s">
        <v>134</v>
      </c>
      <c r="H201" s="2">
        <v>0.96699999999999997</v>
      </c>
      <c r="N201" s="2">
        <f t="shared" si="0"/>
        <v>4</v>
      </c>
      <c r="T201" s="2">
        <f>INDEX(C$188:C$191,MATCH(B191,B$188:B$191,0))</f>
        <v>1.0489999999999999</v>
      </c>
    </row>
    <row r="202" spans="5:20" x14ac:dyDescent="0.2">
      <c r="H202" s="2" t="str">
        <v>No such product</v>
      </c>
    </row>
    <row r="203" spans="5:20" x14ac:dyDescent="0.2">
      <c r="N203" s="12" t="s">
        <v>135</v>
      </c>
      <c r="O203" s="67" t="s">
        <v>136</v>
      </c>
    </row>
    <row r="204" spans="5:20" x14ac:dyDescent="0.2">
      <c r="H204" t="s">
        <v>137</v>
      </c>
      <c r="N204" t="str">
        <f ca="1">_xlfn.FORMULATEXT(N205)</f>
        <v>=INDEX(products,2)</v>
      </c>
    </row>
    <row r="205" spans="5:20" x14ac:dyDescent="0.2">
      <c r="H205" s="67" t="s">
        <v>138</v>
      </c>
      <c r="J205" s="67" t="s">
        <v>139</v>
      </c>
      <c r="N205" s="2" t="str">
        <f>INDEX(products,2)</f>
        <v>Life</v>
      </c>
    </row>
    <row r="206" spans="5:20" x14ac:dyDescent="0.2">
      <c r="H206" s="2">
        <f>_xlfn.XLOOKUP("Argentina",squad, goals,,0,1)</f>
        <v>2</v>
      </c>
      <c r="I206" t="str">
        <f ca="1">_xlfn.FORMULATEXT(H206)</f>
        <v>=XLOOKUP("Argentina",squad, goals,,0,1)</v>
      </c>
    </row>
    <row r="207" spans="5:20" x14ac:dyDescent="0.2">
      <c r="H207" s="2">
        <f>_xlfn.XLOOKUP("Argentina",squad, goals,,0,-1)</f>
        <v>1</v>
      </c>
      <c r="I207" t="str">
        <f ca="1">_xlfn.FORMULATEXT(H207)</f>
        <v>=XLOOKUP("Argentina",squad, goals,,0,-1)</v>
      </c>
    </row>
    <row r="208" spans="5:20" x14ac:dyDescent="0.2">
      <c r="N208" s="85" t="s">
        <v>140</v>
      </c>
      <c r="R208" s="67" t="s">
        <v>141</v>
      </c>
    </row>
    <row r="209" spans="8:18" x14ac:dyDescent="0.2">
      <c r="H209" t="s">
        <v>142</v>
      </c>
      <c r="N209" s="2">
        <f>_xlfn.XMATCH("Argentina",squad,0,1)</f>
        <v>1</v>
      </c>
      <c r="O209" s="86" t="str">
        <f ca="1">_xlfn.FORMULATEXT(N209)</f>
        <v>=XMATCH("Argentina",squad,0,1)</v>
      </c>
      <c r="R209" t="str">
        <f ca="1">_xlfn.FORMULATEXT(R210)</f>
        <v>=INDEX(goals, XMATCH("Argentina",squad,0,-1))</v>
      </c>
    </row>
    <row r="210" spans="8:18" x14ac:dyDescent="0.2">
      <c r="H210" t="s">
        <v>143</v>
      </c>
      <c r="N210" s="2">
        <f>_xlfn.XMATCH("Argentina",squad,0,-1)</f>
        <v>81</v>
      </c>
      <c r="O210" s="86" t="str">
        <f ca="1">_xlfn.FORMULATEXT(N210)</f>
        <v>=XMATCH("Argentina",squad,0,-1)</v>
      </c>
      <c r="R210" s="2" cm="1">
        <f t="array" ref="R210">INDEX(goals, _xlfn.XMATCH("Argentina",squad,0,-1))</f>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A466A-6204-486C-B2AF-D5C5F6CCDC89}">
  <sheetPr codeName="Sheet7"/>
  <dimension ref="A2:U70"/>
  <sheetViews>
    <sheetView workbookViewId="0">
      <selection activeCell="D14" sqref="D14"/>
    </sheetView>
  </sheetViews>
  <sheetFormatPr baseColWidth="10" defaultColWidth="8.83203125" defaultRowHeight="16" x14ac:dyDescent="0.2"/>
  <cols>
    <col min="10" max="10" width="11.1640625" customWidth="1"/>
    <col min="11" max="11" width="9.83203125" customWidth="1"/>
    <col min="13" max="13" width="9" customWidth="1"/>
    <col min="14" max="14" width="12.6640625" customWidth="1"/>
  </cols>
  <sheetData>
    <row r="2" spans="1:12" x14ac:dyDescent="0.2">
      <c r="A2" s="12" t="s">
        <v>144</v>
      </c>
    </row>
    <row r="3" spans="1:12" x14ac:dyDescent="0.2">
      <c r="F3" s="12" t="s">
        <v>145</v>
      </c>
    </row>
    <row r="4" spans="1:12" x14ac:dyDescent="0.2">
      <c r="B4" s="73" t="s">
        <v>146</v>
      </c>
      <c r="C4" s="75" t="s">
        <v>147</v>
      </c>
      <c r="F4" t="s">
        <v>148</v>
      </c>
    </row>
    <row r="5" spans="1:12" x14ac:dyDescent="0.2">
      <c r="B5" s="76" t="s">
        <v>149</v>
      </c>
      <c r="C5" s="77">
        <v>624</v>
      </c>
      <c r="F5" s="98">
        <v>5</v>
      </c>
    </row>
    <row r="6" spans="1:12" x14ac:dyDescent="0.2">
      <c r="B6" s="76" t="s">
        <v>150</v>
      </c>
      <c r="C6" s="77">
        <v>390</v>
      </c>
      <c r="F6" s="2" t="str" cm="1">
        <f t="array" aca="1" ref="F6:G6" ca="1">OFFSET(monthly_profit, F5,0,1,2)</f>
        <v>May</v>
      </c>
      <c r="G6" s="2">
        <f ca="1"/>
        <v>439</v>
      </c>
      <c r="H6" t="str">
        <f ca="1">_xlfn.FORMULATEXT(F6)</f>
        <v>=OFFSET(monthly_profit, F5,0,1,2)</v>
      </c>
    </row>
    <row r="7" spans="1:12" x14ac:dyDescent="0.2">
      <c r="B7" s="76" t="s">
        <v>151</v>
      </c>
      <c r="C7" s="77">
        <v>1000</v>
      </c>
    </row>
    <row r="8" spans="1:12" x14ac:dyDescent="0.2">
      <c r="B8" s="76" t="s">
        <v>152</v>
      </c>
      <c r="C8" s="77">
        <v>250</v>
      </c>
    </row>
    <row r="9" spans="1:12" x14ac:dyDescent="0.2">
      <c r="B9" s="76" t="s">
        <v>153</v>
      </c>
      <c r="C9" s="77">
        <v>439</v>
      </c>
      <c r="F9" t="s">
        <v>154</v>
      </c>
      <c r="G9" t="s">
        <v>155</v>
      </c>
    </row>
    <row r="10" spans="1:12" x14ac:dyDescent="0.2">
      <c r="B10" s="76" t="s">
        <v>156</v>
      </c>
      <c r="C10" s="77">
        <v>109</v>
      </c>
      <c r="F10" s="98">
        <v>3</v>
      </c>
      <c r="G10" s="98">
        <v>7</v>
      </c>
      <c r="H10" s="67" t="s">
        <v>157</v>
      </c>
    </row>
    <row r="11" spans="1:12" x14ac:dyDescent="0.2">
      <c r="B11" s="76" t="s">
        <v>158</v>
      </c>
      <c r="C11" s="77">
        <v>530</v>
      </c>
      <c r="F11" s="2" t="str" cm="1">
        <f t="array" aca="1" ref="F11:G15" ca="1">OFFSET(monthly_profit, F10, 0,G10-F10+1,2)</f>
        <v>Mar</v>
      </c>
      <c r="G11" s="2">
        <f ca="1"/>
        <v>1000</v>
      </c>
      <c r="H11" t="str">
        <f ca="1">_xlfn.FORMULATEXT(F11)</f>
        <v>=OFFSET(monthly_profit, F10, 0,G10-F10+1,2)</v>
      </c>
      <c r="L11" s="67" t="s">
        <v>159</v>
      </c>
    </row>
    <row r="12" spans="1:12" x14ac:dyDescent="0.2">
      <c r="B12" s="76" t="s">
        <v>160</v>
      </c>
      <c r="C12" s="77">
        <v>123</v>
      </c>
      <c r="F12" s="2" t="str">
        <f ca="1"/>
        <v>Apr</v>
      </c>
      <c r="G12" s="2">
        <f ca="1"/>
        <v>250</v>
      </c>
    </row>
    <row r="13" spans="1:12" x14ac:dyDescent="0.2">
      <c r="B13" s="76" t="s">
        <v>161</v>
      </c>
      <c r="C13" s="77">
        <v>5345</v>
      </c>
      <c r="F13" s="2" t="str">
        <f ca="1"/>
        <v>May</v>
      </c>
      <c r="G13" s="2">
        <f ca="1"/>
        <v>439</v>
      </c>
      <c r="I13" t="s">
        <v>162</v>
      </c>
    </row>
    <row r="14" spans="1:12" x14ac:dyDescent="0.2">
      <c r="B14" s="76" t="s">
        <v>163</v>
      </c>
      <c r="C14" s="77">
        <v>312</v>
      </c>
      <c r="F14" s="2" t="str">
        <f ca="1"/>
        <v>Jun</v>
      </c>
      <c r="G14" s="2">
        <f ca="1"/>
        <v>109</v>
      </c>
      <c r="I14" t="s">
        <v>164</v>
      </c>
    </row>
    <row r="15" spans="1:12" x14ac:dyDescent="0.2">
      <c r="B15" s="76" t="s">
        <v>165</v>
      </c>
      <c r="C15" s="77">
        <v>98</v>
      </c>
      <c r="F15" s="2" t="str">
        <f ca="1"/>
        <v>Jul</v>
      </c>
      <c r="G15" s="2">
        <f ca="1"/>
        <v>530</v>
      </c>
      <c r="I15" t="s">
        <v>166</v>
      </c>
    </row>
    <row r="16" spans="1:12" x14ac:dyDescent="0.2">
      <c r="B16" s="78" t="s">
        <v>167</v>
      </c>
      <c r="C16" s="79">
        <v>672</v>
      </c>
      <c r="F16" s="2"/>
      <c r="G16" s="2"/>
      <c r="I16" t="s">
        <v>168</v>
      </c>
    </row>
    <row r="17" spans="6:14" x14ac:dyDescent="0.2">
      <c r="F17" s="2"/>
      <c r="G17" s="2"/>
      <c r="I17" t="s">
        <v>169</v>
      </c>
    </row>
    <row r="18" spans="6:14" x14ac:dyDescent="0.2">
      <c r="F18" s="2"/>
      <c r="G18" s="2"/>
    </row>
    <row r="19" spans="6:14" x14ac:dyDescent="0.2">
      <c r="F19" s="2"/>
      <c r="G19" s="2"/>
    </row>
    <row r="20" spans="6:14" x14ac:dyDescent="0.2">
      <c r="F20" s="2"/>
      <c r="G20" s="2"/>
    </row>
    <row r="21" spans="6:14" x14ac:dyDescent="0.2">
      <c r="F21" s="2"/>
      <c r="G21" s="2"/>
    </row>
    <row r="22" spans="6:14" x14ac:dyDescent="0.2">
      <c r="F22" s="2"/>
      <c r="G22" s="2"/>
    </row>
    <row r="23" spans="6:14" s="72" customFormat="1" x14ac:dyDescent="0.2"/>
    <row r="27" spans="6:14" x14ac:dyDescent="0.2">
      <c r="I27" s="12" t="s">
        <v>170</v>
      </c>
      <c r="J27" s="67" t="s">
        <v>171</v>
      </c>
    </row>
    <row r="28" spans="6:14" x14ac:dyDescent="0.2">
      <c r="I28" s="86" t="s">
        <v>172</v>
      </c>
    </row>
    <row r="29" spans="6:14" x14ac:dyDescent="0.2">
      <c r="I29" s="2" t="str">
        <f>ADDRESS(26,2)</f>
        <v>$B$26</v>
      </c>
      <c r="J29" t="str">
        <f ca="1">_xlfn.FORMULATEXT(I29)</f>
        <v>=ADDRESS(26,2)</v>
      </c>
      <c r="L29" s="11" t="s">
        <v>173</v>
      </c>
    </row>
    <row r="30" spans="6:14" x14ac:dyDescent="0.2">
      <c r="N30" s="11"/>
    </row>
    <row r="31" spans="6:14" x14ac:dyDescent="0.2">
      <c r="I31" s="12" t="s">
        <v>174</v>
      </c>
      <c r="J31" s="67" t="s">
        <v>175</v>
      </c>
    </row>
    <row r="32" spans="6:14" x14ac:dyDescent="0.2">
      <c r="I32" t="s">
        <v>176</v>
      </c>
    </row>
    <row r="33" spans="1:21" x14ac:dyDescent="0.2">
      <c r="I33" s="2" cm="1">
        <f t="array" aca="1" ref="I33" ca="1">INDIRECT(I29)</f>
        <v>0</v>
      </c>
      <c r="J33" t="str">
        <f ca="1">_xlfn.FORMULATEXT(I33)</f>
        <v>=INDIRECT(I29)</v>
      </c>
    </row>
    <row r="35" spans="1:21" x14ac:dyDescent="0.2">
      <c r="I35" s="12" t="s">
        <v>177</v>
      </c>
      <c r="K35" s="67" t="s">
        <v>178</v>
      </c>
      <c r="P35" s="12" t="s">
        <v>179</v>
      </c>
    </row>
    <row r="36" spans="1:21" x14ac:dyDescent="0.2">
      <c r="I36" s="72" t="s">
        <v>154</v>
      </c>
      <c r="J36" s="72" t="s">
        <v>180</v>
      </c>
      <c r="K36" s="72" t="s">
        <v>181</v>
      </c>
      <c r="L36" s="72" t="s">
        <v>182</v>
      </c>
      <c r="M36" s="72"/>
      <c r="P36" s="72" t="s">
        <v>154</v>
      </c>
      <c r="Q36" s="72" t="s">
        <v>180</v>
      </c>
      <c r="R36" s="72" t="s">
        <v>181</v>
      </c>
      <c r="S36" s="72" t="s">
        <v>182</v>
      </c>
      <c r="T36" s="72"/>
    </row>
    <row r="37" spans="1:21" x14ac:dyDescent="0.2">
      <c r="I37" s="98" t="s">
        <v>150</v>
      </c>
      <c r="J37" s="98" t="s">
        <v>153</v>
      </c>
      <c r="K37" s="98">
        <v>1</v>
      </c>
      <c r="L37" s="98">
        <v>3</v>
      </c>
      <c r="M37" s="67" t="s">
        <v>183</v>
      </c>
      <c r="N37" s="96" t="s">
        <v>184</v>
      </c>
      <c r="O37" s="97" t="s">
        <v>185</v>
      </c>
      <c r="P37" s="98" t="s">
        <v>151</v>
      </c>
      <c r="Q37" s="98" t="s">
        <v>156</v>
      </c>
      <c r="R37" s="98">
        <v>2</v>
      </c>
      <c r="S37" s="98">
        <v>4</v>
      </c>
    </row>
    <row r="38" spans="1:21" x14ac:dyDescent="0.2">
      <c r="A38" s="73"/>
      <c r="B38" s="74" t="s">
        <v>149</v>
      </c>
      <c r="C38" s="74" t="s">
        <v>150</v>
      </c>
      <c r="D38" s="74" t="s">
        <v>151</v>
      </c>
      <c r="E38" s="74" t="s">
        <v>152</v>
      </c>
      <c r="F38" s="74" t="s">
        <v>153</v>
      </c>
      <c r="G38" s="75" t="s">
        <v>156</v>
      </c>
      <c r="I38" s="87" t="str" cm="1">
        <f t="array" aca="1" ref="I38:L38" ca="1">INDIRECT(ADDRESS(38,MATCH(I37,A38:G38,0))):INDIRECT(ADDRESS(38,MATCH(J37,A38:G38,0)))</f>
        <v>Feb</v>
      </c>
      <c r="J38" s="87" t="str">
        <f ca="1"/>
        <v>Mar</v>
      </c>
      <c r="K38" s="87" t="str">
        <f ca="1"/>
        <v>Apr</v>
      </c>
      <c r="L38" s="87" t="str">
        <f ca="1"/>
        <v>May</v>
      </c>
      <c r="M38" s="93"/>
      <c r="N38" s="88"/>
      <c r="P38" s="87" t="str" cm="1">
        <f t="array" aca="1" ref="P38:S38" ca="1">OFFSET(B38:G38,0,MATCH(P37,B38:G38,0)-1,1,MATCH(Q37,B38:G38,0)-MATCH(P37,B38:G38,0)+1)</f>
        <v>Mar</v>
      </c>
      <c r="Q38" s="87" t="str">
        <f ca="1"/>
        <v>Apr</v>
      </c>
      <c r="R38" s="87" t="str">
        <f ca="1"/>
        <v>May</v>
      </c>
      <c r="S38" s="87" t="str">
        <f ca="1"/>
        <v>Jun</v>
      </c>
      <c r="T38" s="93"/>
      <c r="U38" s="88"/>
    </row>
    <row r="39" spans="1:21" x14ac:dyDescent="0.2">
      <c r="A39" s="76" t="s">
        <v>186</v>
      </c>
      <c r="B39">
        <v>3</v>
      </c>
      <c r="C39">
        <v>2</v>
      </c>
      <c r="D39">
        <v>7</v>
      </c>
      <c r="E39">
        <v>8</v>
      </c>
      <c r="F39">
        <v>6</v>
      </c>
      <c r="G39" s="77">
        <v>8</v>
      </c>
      <c r="I39" s="87" cm="1">
        <f t="array" aca="1" ref="I39:L41" ca="1">INDIRECT(ADDRESS(38+K37,MATCH(I37,A38:G38,0))):INDIRECT(ADDRESS(38+L37,MATCH(J37,A38:G38,0)))</f>
        <v>2</v>
      </c>
      <c r="J39" s="87">
        <f ca="1"/>
        <v>7</v>
      </c>
      <c r="K39" s="87">
        <f ca="1"/>
        <v>8</v>
      </c>
      <c r="L39" s="87">
        <f ca="1"/>
        <v>6</v>
      </c>
      <c r="M39" s="93"/>
      <c r="N39" s="88"/>
      <c r="P39" s="87" cm="1">
        <f t="array" aca="1" ref="P39:S41" ca="1">OFFSET(B39:G42,R37-1,MATCH(P37,B38:G38,0)-1,S37-R37+1,MATCH(Q37,B38:G38,0)-MATCH(P37,B38:G38,0)+1)</f>
        <v>9</v>
      </c>
      <c r="Q39" s="87">
        <f ca="1"/>
        <v>4</v>
      </c>
      <c r="R39" s="87">
        <f ca="1"/>
        <v>5</v>
      </c>
      <c r="S39" s="87">
        <f ca="1"/>
        <v>9</v>
      </c>
      <c r="T39" s="93"/>
      <c r="U39" s="88"/>
    </row>
    <row r="40" spans="1:21" x14ac:dyDescent="0.2">
      <c r="A40" s="76" t="s">
        <v>187</v>
      </c>
      <c r="B40">
        <v>2</v>
      </c>
      <c r="C40">
        <v>3</v>
      </c>
      <c r="D40">
        <v>9</v>
      </c>
      <c r="E40">
        <v>4</v>
      </c>
      <c r="F40">
        <v>5</v>
      </c>
      <c r="G40" s="77">
        <v>9</v>
      </c>
      <c r="I40" s="89">
        <f ca="1"/>
        <v>3</v>
      </c>
      <c r="J40" s="89">
        <f ca="1"/>
        <v>9</v>
      </c>
      <c r="K40" s="89">
        <f ca="1"/>
        <v>4</v>
      </c>
      <c r="L40" s="89">
        <f ca="1"/>
        <v>5</v>
      </c>
      <c r="M40" s="94"/>
      <c r="N40" s="90"/>
      <c r="P40" s="89">
        <f ca="1"/>
        <v>0</v>
      </c>
      <c r="Q40" s="89">
        <f ca="1"/>
        <v>23</v>
      </c>
      <c r="R40" s="89">
        <f ca="1"/>
        <v>10</v>
      </c>
      <c r="S40" s="89">
        <f ca="1"/>
        <v>7</v>
      </c>
      <c r="T40" s="94"/>
      <c r="U40" s="90"/>
    </row>
    <row r="41" spans="1:21" x14ac:dyDescent="0.2">
      <c r="A41" s="76" t="s">
        <v>188</v>
      </c>
      <c r="B41">
        <v>1</v>
      </c>
      <c r="C41">
        <v>7</v>
      </c>
      <c r="D41">
        <v>0</v>
      </c>
      <c r="E41">
        <v>23</v>
      </c>
      <c r="F41">
        <v>10</v>
      </c>
      <c r="G41" s="77">
        <v>7</v>
      </c>
      <c r="I41" s="89">
        <f ca="1"/>
        <v>7</v>
      </c>
      <c r="J41" s="89">
        <f ca="1"/>
        <v>0</v>
      </c>
      <c r="K41" s="89">
        <f ca="1"/>
        <v>23</v>
      </c>
      <c r="L41" s="89">
        <f ca="1"/>
        <v>10</v>
      </c>
      <c r="M41" s="94"/>
      <c r="N41" s="90"/>
      <c r="P41" s="89">
        <f ca="1"/>
        <v>2</v>
      </c>
      <c r="Q41" s="89">
        <f ca="1"/>
        <v>1</v>
      </c>
      <c r="R41" s="89">
        <f ca="1"/>
        <v>2</v>
      </c>
      <c r="S41" s="89">
        <f ca="1"/>
        <v>4</v>
      </c>
      <c r="T41" s="94"/>
      <c r="U41" s="90"/>
    </row>
    <row r="42" spans="1:21" x14ac:dyDescent="0.2">
      <c r="A42" s="78" t="s">
        <v>189</v>
      </c>
      <c r="B42" s="72">
        <v>4</v>
      </c>
      <c r="C42" s="72">
        <v>6</v>
      </c>
      <c r="D42" s="72">
        <v>2</v>
      </c>
      <c r="E42" s="72">
        <v>1</v>
      </c>
      <c r="F42" s="72">
        <v>2</v>
      </c>
      <c r="G42" s="79">
        <v>4</v>
      </c>
      <c r="I42" s="91"/>
      <c r="J42" s="91"/>
      <c r="K42" s="91"/>
      <c r="L42" s="91"/>
      <c r="M42" s="95"/>
      <c r="N42" s="92"/>
      <c r="P42" s="91"/>
      <c r="Q42" s="91"/>
      <c r="R42" s="91"/>
      <c r="S42" s="91"/>
      <c r="T42" s="95"/>
      <c r="U42" s="92"/>
    </row>
    <row r="44" spans="1:21" x14ac:dyDescent="0.2">
      <c r="D44" t="s">
        <v>190</v>
      </c>
      <c r="F44" t="str">
        <f ca="1">_xlfn.FORMULATEXT(I38)</f>
        <v>=INDIRECT(ADDRESS(38,MATCH(I37,A38:G38,0))):INDIRECT(ADDRESS(38,MATCH(J37,A38:G38,0)))</v>
      </c>
      <c r="P44" t="str">
        <f ca="1">_xlfn.FORMULATEXT(P38)</f>
        <v>=OFFSET(B38:G38,0,MATCH(P37,B38:G38,0)-1,1,MATCH(Q37,B38:G38,0)-MATCH(P37,B38:G38,0)+1)</v>
      </c>
    </row>
    <row r="45" spans="1:21" x14ac:dyDescent="0.2">
      <c r="D45" t="s">
        <v>191</v>
      </c>
      <c r="F45" t="str">
        <f ca="1">_xlfn.FORMULATEXT(I39)</f>
        <v>=INDIRECT(ADDRESS(38+K37,MATCH(I37,A38:G38,0))):INDIRECT(ADDRESS(38+L37,MATCH(J37,A38:G38,0)))</v>
      </c>
      <c r="P45" t="str">
        <f ca="1">_xlfn.FORMULATEXT(P39)</f>
        <v>=OFFSET(B39:G42,R37-1,MATCH(P37,B38:G38,0)-1,S37-R37+1,MATCH(Q37,B38:G38,0)-MATCH(P37,B38:G38,0)+1)</v>
      </c>
    </row>
    <row r="46" spans="1:21" x14ac:dyDescent="0.2">
      <c r="F46" s="67"/>
    </row>
    <row r="47" spans="1:21" x14ac:dyDescent="0.2">
      <c r="F47" s="67"/>
      <c r="P47" s="67" t="s">
        <v>192</v>
      </c>
    </row>
    <row r="48" spans="1:21" x14ac:dyDescent="0.2">
      <c r="B48" s="100" t="s">
        <v>193</v>
      </c>
      <c r="C48" s="74"/>
      <c r="D48" s="74"/>
      <c r="E48" s="74"/>
      <c r="F48" s="99"/>
      <c r="G48" s="74"/>
      <c r="H48" s="74"/>
      <c r="I48" s="74"/>
      <c r="J48" s="74"/>
      <c r="K48" s="74"/>
      <c r="L48" s="74"/>
      <c r="M48" s="74"/>
      <c r="N48" s="74"/>
      <c r="O48" s="74"/>
      <c r="P48" s="75"/>
    </row>
    <row r="49" spans="2:16" x14ac:dyDescent="0.2">
      <c r="B49" s="76" t="s">
        <v>194</v>
      </c>
      <c r="D49" t="s">
        <v>195</v>
      </c>
      <c r="H49" t="s">
        <v>196</v>
      </c>
      <c r="P49" s="77"/>
    </row>
    <row r="50" spans="2:16" x14ac:dyDescent="0.2">
      <c r="B50" s="76"/>
      <c r="D50" t="s">
        <v>197</v>
      </c>
      <c r="H50" t="s">
        <v>198</v>
      </c>
      <c r="P50" s="77"/>
    </row>
    <row r="51" spans="2:16" x14ac:dyDescent="0.2">
      <c r="B51" s="76"/>
      <c r="D51" t="s">
        <v>199</v>
      </c>
      <c r="H51" t="s">
        <v>200</v>
      </c>
      <c r="P51" s="77"/>
    </row>
    <row r="52" spans="2:16" x14ac:dyDescent="0.2">
      <c r="B52" s="76"/>
      <c r="P52" s="77"/>
    </row>
    <row r="53" spans="2:16" x14ac:dyDescent="0.2">
      <c r="B53" s="76"/>
      <c r="H53" t="s">
        <v>201</v>
      </c>
      <c r="P53" s="77"/>
    </row>
    <row r="54" spans="2:16" x14ac:dyDescent="0.2">
      <c r="B54" s="76"/>
      <c r="H54" t="s">
        <v>202</v>
      </c>
      <c r="P54" s="77"/>
    </row>
    <row r="55" spans="2:16" x14ac:dyDescent="0.2">
      <c r="B55" s="76"/>
      <c r="P55" s="77"/>
    </row>
    <row r="56" spans="2:16" x14ac:dyDescent="0.2">
      <c r="B56" s="76" t="s">
        <v>203</v>
      </c>
      <c r="D56" t="s">
        <v>195</v>
      </c>
      <c r="H56" t="s">
        <v>204</v>
      </c>
      <c r="P56" s="77"/>
    </row>
    <row r="57" spans="2:16" x14ac:dyDescent="0.2">
      <c r="B57" s="76"/>
      <c r="D57" t="s">
        <v>205</v>
      </c>
      <c r="H57" t="s">
        <v>206</v>
      </c>
      <c r="P57" s="77"/>
    </row>
    <row r="58" spans="2:16" x14ac:dyDescent="0.2">
      <c r="B58" s="76"/>
      <c r="D58" t="s">
        <v>199</v>
      </c>
      <c r="H58" t="s">
        <v>207</v>
      </c>
      <c r="P58" s="77"/>
    </row>
    <row r="59" spans="2:16" x14ac:dyDescent="0.2">
      <c r="B59" s="76"/>
      <c r="P59" s="77"/>
    </row>
    <row r="60" spans="2:16" x14ac:dyDescent="0.2">
      <c r="B60" s="78"/>
      <c r="C60" s="72"/>
      <c r="D60" s="72"/>
      <c r="E60" s="72"/>
      <c r="F60" s="72"/>
      <c r="G60" s="72"/>
      <c r="H60" s="72" t="s">
        <v>208</v>
      </c>
      <c r="I60" s="72"/>
      <c r="J60" s="72"/>
      <c r="K60" s="72"/>
      <c r="L60" s="72"/>
      <c r="M60" s="72"/>
      <c r="N60" s="72"/>
      <c r="O60" s="72"/>
      <c r="P60" s="79"/>
    </row>
    <row r="62" spans="2:16" x14ac:dyDescent="0.2">
      <c r="B62" s="100" t="s">
        <v>209</v>
      </c>
      <c r="C62" s="74"/>
      <c r="D62" s="74"/>
      <c r="E62" s="74"/>
      <c r="F62" s="74"/>
      <c r="G62" s="74"/>
      <c r="H62" s="74"/>
      <c r="I62" s="74"/>
      <c r="J62" s="74"/>
      <c r="K62" s="74"/>
      <c r="L62" s="74"/>
      <c r="M62" s="74"/>
      <c r="N62" s="74"/>
      <c r="O62" s="74"/>
      <c r="P62" s="75"/>
    </row>
    <row r="63" spans="2:16" x14ac:dyDescent="0.2">
      <c r="B63" s="76"/>
      <c r="P63" s="77"/>
    </row>
    <row r="64" spans="2:16" x14ac:dyDescent="0.2">
      <c r="B64" s="73">
        <v>1</v>
      </c>
      <c r="C64" s="74">
        <v>4</v>
      </c>
      <c r="D64" s="75">
        <v>7</v>
      </c>
      <c r="F64" t="s">
        <v>210</v>
      </c>
      <c r="G64" t="s">
        <v>211</v>
      </c>
      <c r="I64" s="2" t="e" cm="1">
        <f t="array" aca="1" ref="I64:I65" ca="1">INDIRECT(G64:G65)</f>
        <v>#VALUE!</v>
      </c>
      <c r="J64" t="str">
        <f ca="1">_xlfn.FORMULATEXT(I64)</f>
        <v>=INDIRECT(G64:G65)</v>
      </c>
      <c r="P64" s="77"/>
    </row>
    <row r="65" spans="2:16" x14ac:dyDescent="0.2">
      <c r="B65" s="76">
        <v>2</v>
      </c>
      <c r="C65">
        <v>5</v>
      </c>
      <c r="D65" s="77">
        <v>8</v>
      </c>
      <c r="F65" t="s">
        <v>212</v>
      </c>
      <c r="G65" t="s">
        <v>213</v>
      </c>
      <c r="I65" s="2" t="e">
        <f ca="1"/>
        <v>#VALUE!</v>
      </c>
      <c r="P65" s="77"/>
    </row>
    <row r="66" spans="2:16" x14ac:dyDescent="0.2">
      <c r="B66" s="78">
        <v>3</v>
      </c>
      <c r="C66" s="72">
        <v>6</v>
      </c>
      <c r="D66" s="79">
        <v>9</v>
      </c>
      <c r="P66" s="77"/>
    </row>
    <row r="67" spans="2:16" x14ac:dyDescent="0.2">
      <c r="B67" s="76"/>
      <c r="I67" s="2" cm="1">
        <f t="array" aca="1" ref="I67:K69" ca="1">INDIRECT(G64):INDIRECT(G65)</f>
        <v>0</v>
      </c>
      <c r="J67" s="2">
        <f ca="1"/>
        <v>0</v>
      </c>
      <c r="K67" s="2">
        <f ca="1"/>
        <v>0</v>
      </c>
      <c r="L67" t="str">
        <f ca="1">_xlfn.FORMULATEXT(I67)</f>
        <v>=INDIRECT(G64):INDIRECT(G65)</v>
      </c>
      <c r="P67" s="77"/>
    </row>
    <row r="68" spans="2:16" x14ac:dyDescent="0.2">
      <c r="B68" s="76"/>
      <c r="I68" s="2">
        <f ca="1"/>
        <v>0</v>
      </c>
      <c r="J68" s="2">
        <f ca="1"/>
        <v>0</v>
      </c>
      <c r="K68" s="2" t="str">
        <f ca="1"/>
        <v>Same as above</v>
      </c>
      <c r="P68" s="77"/>
    </row>
    <row r="69" spans="2:16" x14ac:dyDescent="0.2">
      <c r="B69" s="76"/>
      <c r="I69" s="2">
        <f ca="1"/>
        <v>0</v>
      </c>
      <c r="J69" s="2">
        <f ca="1"/>
        <v>0</v>
      </c>
      <c r="K69" s="2" t="str">
        <f ca="1"/>
        <v>We move down few rows (+K39) based on the starting week</v>
      </c>
      <c r="P69" s="77"/>
    </row>
    <row r="70" spans="2:16" x14ac:dyDescent="0.2">
      <c r="B70" s="78"/>
      <c r="C70" s="72"/>
      <c r="D70" s="72"/>
      <c r="E70" s="72"/>
      <c r="F70" s="72"/>
      <c r="G70" s="72"/>
      <c r="H70" s="72"/>
      <c r="I70" s="72"/>
      <c r="J70" s="72"/>
      <c r="K70" s="72"/>
      <c r="L70" s="72"/>
      <c r="M70" s="72"/>
      <c r="N70" s="72"/>
      <c r="O70" s="72"/>
      <c r="P70" s="7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4AF6-7209-AE46-8F0B-1636B36F7A00}">
  <sheetPr codeName="Sheet8"/>
  <dimension ref="A1:W201"/>
  <sheetViews>
    <sheetView workbookViewId="0">
      <selection activeCell="G179" sqref="G179"/>
    </sheetView>
  </sheetViews>
  <sheetFormatPr baseColWidth="10" defaultColWidth="10.83203125" defaultRowHeight="16" x14ac:dyDescent="0.2"/>
  <cols>
    <col min="1" max="3" width="11" style="17" bestFit="1" customWidth="1"/>
    <col min="4" max="6" width="11.6640625" style="17" bestFit="1" customWidth="1"/>
    <col min="7" max="20" width="11" style="17" bestFit="1" customWidth="1"/>
    <col min="21" max="16384" width="10.83203125" style="17"/>
  </cols>
  <sheetData>
    <row r="1" spans="1:20" x14ac:dyDescent="0.2">
      <c r="A1" s="16" t="s">
        <v>214</v>
      </c>
      <c r="C1" s="18"/>
      <c r="D1" s="18"/>
      <c r="E1" s="18"/>
      <c r="F1" s="18"/>
      <c r="G1" s="18"/>
      <c r="H1" s="18"/>
      <c r="I1" s="18"/>
      <c r="J1" s="18"/>
      <c r="K1" s="18"/>
      <c r="L1" s="18"/>
      <c r="M1" s="18"/>
      <c r="N1" s="18"/>
      <c r="O1" s="18"/>
      <c r="P1" s="18"/>
      <c r="Q1" s="18"/>
      <c r="R1" s="18"/>
      <c r="S1" s="18"/>
    </row>
    <row r="2" spans="1:20" x14ac:dyDescent="0.2">
      <c r="A2" s="16" t="s">
        <v>215</v>
      </c>
      <c r="C2" s="18"/>
      <c r="D2" s="18"/>
      <c r="E2" s="18"/>
      <c r="F2" s="18"/>
      <c r="G2" s="18"/>
      <c r="H2" s="18"/>
      <c r="I2" s="18"/>
      <c r="J2" s="18"/>
      <c r="K2" s="18"/>
      <c r="L2" s="18"/>
      <c r="M2" s="18"/>
      <c r="N2" s="18"/>
      <c r="O2" s="18"/>
      <c r="P2" s="18"/>
      <c r="Q2" s="18"/>
      <c r="R2" s="18"/>
      <c r="S2" s="18"/>
    </row>
    <row r="3" spans="1:20" hidden="1" x14ac:dyDescent="0.2"/>
    <row r="4" spans="1:20" s="22" customFormat="1" hidden="1" x14ac:dyDescent="0.2">
      <c r="A4" s="19" t="s">
        <v>216</v>
      </c>
      <c r="B4" s="20"/>
      <c r="C4" s="16" t="s">
        <v>217</v>
      </c>
      <c r="D4" s="21"/>
      <c r="E4" s="21"/>
      <c r="F4" s="21"/>
      <c r="G4" s="21"/>
      <c r="H4" s="21"/>
      <c r="I4" s="21"/>
      <c r="J4" s="21"/>
      <c r="K4" s="21"/>
      <c r="L4" s="21"/>
      <c r="M4" s="21"/>
      <c r="N4" s="21"/>
      <c r="O4" s="21"/>
      <c r="P4" s="21"/>
      <c r="Q4" s="21"/>
      <c r="R4" s="21"/>
      <c r="S4" s="21"/>
      <c r="T4" s="21"/>
    </row>
    <row r="5" spans="1:20" s="22" customFormat="1" hidden="1" x14ac:dyDescent="0.2">
      <c r="A5" s="23" t="s">
        <v>218</v>
      </c>
      <c r="B5" s="24"/>
      <c r="C5" s="21">
        <v>0</v>
      </c>
      <c r="D5" s="21">
        <f t="shared" ref="D5:T5" si="0">C5+1</f>
        <v>1</v>
      </c>
      <c r="E5" s="21">
        <f t="shared" si="0"/>
        <v>2</v>
      </c>
      <c r="F5" s="21">
        <f t="shared" si="0"/>
        <v>3</v>
      </c>
      <c r="G5" s="21">
        <f t="shared" si="0"/>
        <v>4</v>
      </c>
      <c r="H5" s="21">
        <f t="shared" si="0"/>
        <v>5</v>
      </c>
      <c r="I5" s="21">
        <f t="shared" si="0"/>
        <v>6</v>
      </c>
      <c r="J5" s="21">
        <f t="shared" si="0"/>
        <v>7</v>
      </c>
      <c r="K5" s="21">
        <f t="shared" si="0"/>
        <v>8</v>
      </c>
      <c r="L5" s="21">
        <f t="shared" si="0"/>
        <v>9</v>
      </c>
      <c r="M5" s="21">
        <f t="shared" si="0"/>
        <v>10</v>
      </c>
      <c r="N5" s="21">
        <f t="shared" si="0"/>
        <v>11</v>
      </c>
      <c r="O5" s="21">
        <f t="shared" si="0"/>
        <v>12</v>
      </c>
      <c r="P5" s="21">
        <f t="shared" si="0"/>
        <v>13</v>
      </c>
      <c r="Q5" s="21">
        <f t="shared" si="0"/>
        <v>14</v>
      </c>
      <c r="R5" s="21">
        <f t="shared" si="0"/>
        <v>15</v>
      </c>
      <c r="S5" s="21">
        <f t="shared" si="0"/>
        <v>16</v>
      </c>
      <c r="T5" s="21">
        <f t="shared" si="0"/>
        <v>17</v>
      </c>
    </row>
    <row r="6" spans="1:20" hidden="1" x14ac:dyDescent="0.2">
      <c r="C6" s="25" t="s">
        <v>219</v>
      </c>
      <c r="D6" s="25" t="s">
        <v>219</v>
      </c>
      <c r="E6" s="25" t="s">
        <v>219</v>
      </c>
      <c r="F6" s="25" t="s">
        <v>219</v>
      </c>
      <c r="G6" s="25" t="s">
        <v>219</v>
      </c>
      <c r="H6" s="25" t="s">
        <v>219</v>
      </c>
      <c r="I6" s="25" t="s">
        <v>219</v>
      </c>
      <c r="J6" s="25" t="s">
        <v>219</v>
      </c>
      <c r="K6" s="25" t="s">
        <v>219</v>
      </c>
      <c r="L6" s="25" t="s">
        <v>219</v>
      </c>
      <c r="M6" s="25" t="s">
        <v>219</v>
      </c>
      <c r="N6" s="25" t="s">
        <v>219</v>
      </c>
      <c r="O6" s="25" t="s">
        <v>219</v>
      </c>
      <c r="P6" s="25" t="s">
        <v>219</v>
      </c>
      <c r="Q6" s="25" t="s">
        <v>219</v>
      </c>
      <c r="R6" s="25" t="s">
        <v>219</v>
      </c>
      <c r="S6" s="25" t="s">
        <v>219</v>
      </c>
      <c r="T6" s="25" t="s">
        <v>219</v>
      </c>
    </row>
    <row r="7" spans="1:20" hidden="1" x14ac:dyDescent="0.2"/>
    <row r="8" spans="1:20" hidden="1" x14ac:dyDescent="0.2">
      <c r="A8" s="18">
        <v>1978</v>
      </c>
      <c r="B8" s="26"/>
      <c r="C8" s="26">
        <v>9268</v>
      </c>
      <c r="D8" s="26">
        <v>18263</v>
      </c>
      <c r="E8" s="26">
        <v>20182</v>
      </c>
      <c r="F8" s="26">
        <v>22383</v>
      </c>
      <c r="G8" s="26">
        <v>22782</v>
      </c>
      <c r="H8" s="26">
        <v>26348</v>
      </c>
      <c r="I8" s="26">
        <v>26172</v>
      </c>
      <c r="J8" s="26">
        <v>26184</v>
      </c>
      <c r="K8" s="26">
        <v>25455</v>
      </c>
      <c r="L8" s="26">
        <v>25740</v>
      </c>
      <c r="M8" s="26">
        <v>25711</v>
      </c>
      <c r="N8" s="26">
        <v>25452</v>
      </c>
      <c r="O8" s="26">
        <v>25460</v>
      </c>
      <c r="P8" s="26">
        <v>25422</v>
      </c>
      <c r="Q8" s="26">
        <v>25386</v>
      </c>
      <c r="R8" s="26">
        <v>25520</v>
      </c>
      <c r="S8" s="26">
        <v>25646</v>
      </c>
      <c r="T8" s="26">
        <v>25469</v>
      </c>
    </row>
    <row r="9" spans="1:20" hidden="1" x14ac:dyDescent="0.2">
      <c r="A9" s="18">
        <f>A8+1</f>
        <v>1979</v>
      </c>
      <c r="B9" s="26"/>
      <c r="C9" s="26">
        <v>9848</v>
      </c>
      <c r="D9" s="26">
        <v>16123</v>
      </c>
      <c r="E9" s="26">
        <v>17099</v>
      </c>
      <c r="F9" s="26">
        <v>18544</v>
      </c>
      <c r="G9" s="26">
        <v>20534</v>
      </c>
      <c r="H9" s="26">
        <v>21554</v>
      </c>
      <c r="I9" s="26">
        <v>23219</v>
      </c>
      <c r="J9" s="26">
        <v>22381</v>
      </c>
      <c r="K9" s="26">
        <v>21584</v>
      </c>
      <c r="L9" s="26">
        <v>21408</v>
      </c>
      <c r="M9" s="26">
        <v>20857</v>
      </c>
      <c r="N9" s="26">
        <v>21163</v>
      </c>
      <c r="O9" s="26">
        <v>20482</v>
      </c>
      <c r="P9" s="26">
        <v>19971</v>
      </c>
      <c r="Q9" s="26">
        <v>19958</v>
      </c>
      <c r="R9" s="26">
        <v>19947</v>
      </c>
      <c r="S9" s="26">
        <v>19991</v>
      </c>
      <c r="T9" s="26"/>
    </row>
    <row r="10" spans="1:20" hidden="1" x14ac:dyDescent="0.2">
      <c r="A10" s="18">
        <f t="shared" ref="A10:A25" si="1">A9+1</f>
        <v>1980</v>
      </c>
      <c r="B10" s="26"/>
      <c r="C10" s="26">
        <v>13990</v>
      </c>
      <c r="D10" s="26">
        <v>22484</v>
      </c>
      <c r="E10" s="26">
        <v>24950</v>
      </c>
      <c r="F10" s="26">
        <v>33255</v>
      </c>
      <c r="G10" s="26">
        <v>33295</v>
      </c>
      <c r="H10" s="26">
        <v>34308</v>
      </c>
      <c r="I10" s="26">
        <v>34022</v>
      </c>
      <c r="J10" s="26">
        <v>34023</v>
      </c>
      <c r="K10" s="26">
        <v>33842</v>
      </c>
      <c r="L10" s="26">
        <v>33933</v>
      </c>
      <c r="M10" s="26">
        <v>33570</v>
      </c>
      <c r="N10" s="26">
        <v>31881</v>
      </c>
      <c r="O10" s="26">
        <v>32203</v>
      </c>
      <c r="P10" s="26">
        <v>32345</v>
      </c>
      <c r="Q10" s="26">
        <v>32250</v>
      </c>
      <c r="R10" s="26">
        <v>32168</v>
      </c>
      <c r="S10" s="26"/>
      <c r="T10" s="26"/>
    </row>
    <row r="11" spans="1:20" hidden="1" x14ac:dyDescent="0.2">
      <c r="A11" s="18">
        <f t="shared" si="1"/>
        <v>1981</v>
      </c>
      <c r="B11" s="26"/>
      <c r="C11" s="26">
        <v>16550</v>
      </c>
      <c r="D11" s="26">
        <v>28056</v>
      </c>
      <c r="E11" s="26">
        <v>39995</v>
      </c>
      <c r="F11" s="26">
        <v>42459</v>
      </c>
      <c r="G11" s="26">
        <v>42797</v>
      </c>
      <c r="H11" s="26">
        <v>42755</v>
      </c>
      <c r="I11" s="26">
        <v>42435</v>
      </c>
      <c r="J11" s="26">
        <v>42302</v>
      </c>
      <c r="K11" s="26">
        <v>42095</v>
      </c>
      <c r="L11" s="26">
        <v>41606</v>
      </c>
      <c r="M11" s="26">
        <v>40440</v>
      </c>
      <c r="N11" s="26">
        <v>40432</v>
      </c>
      <c r="O11" s="26">
        <v>40326</v>
      </c>
      <c r="P11" s="26">
        <v>40337</v>
      </c>
      <c r="Q11" s="26">
        <v>40096</v>
      </c>
      <c r="R11" s="26"/>
      <c r="S11" s="26"/>
      <c r="T11" s="26"/>
    </row>
    <row r="12" spans="1:20" hidden="1" x14ac:dyDescent="0.2">
      <c r="A12" s="18">
        <f t="shared" si="1"/>
        <v>1982</v>
      </c>
      <c r="B12" s="26"/>
      <c r="C12" s="26">
        <v>11100</v>
      </c>
      <c r="D12" s="26">
        <v>31620</v>
      </c>
      <c r="E12" s="26">
        <v>40852</v>
      </c>
      <c r="F12" s="26">
        <v>38831</v>
      </c>
      <c r="G12" s="26">
        <v>39516</v>
      </c>
      <c r="H12" s="26">
        <v>39870</v>
      </c>
      <c r="I12" s="26">
        <v>40358</v>
      </c>
      <c r="J12" s="26">
        <v>40355</v>
      </c>
      <c r="K12" s="26">
        <v>40116</v>
      </c>
      <c r="L12" s="26">
        <v>39888</v>
      </c>
      <c r="M12" s="26">
        <v>39898</v>
      </c>
      <c r="N12" s="26">
        <v>40147</v>
      </c>
      <c r="O12" s="26">
        <v>39827</v>
      </c>
      <c r="P12" s="26">
        <v>40200</v>
      </c>
      <c r="Q12" s="26"/>
      <c r="R12" s="26"/>
      <c r="S12" s="26"/>
      <c r="T12" s="26"/>
    </row>
    <row r="13" spans="1:20" hidden="1" x14ac:dyDescent="0.2">
      <c r="A13" s="18">
        <f t="shared" si="1"/>
        <v>1983</v>
      </c>
      <c r="B13" s="26"/>
      <c r="C13" s="26">
        <v>15677</v>
      </c>
      <c r="D13" s="26">
        <v>33074</v>
      </c>
      <c r="E13" s="26">
        <v>35592</v>
      </c>
      <c r="F13" s="26">
        <v>35721</v>
      </c>
      <c r="G13" s="26">
        <v>38652</v>
      </c>
      <c r="H13" s="26">
        <v>39418</v>
      </c>
      <c r="I13" s="26">
        <v>39223</v>
      </c>
      <c r="J13" s="26">
        <v>39696</v>
      </c>
      <c r="K13" s="26">
        <v>37769</v>
      </c>
      <c r="L13" s="26">
        <v>37894</v>
      </c>
      <c r="M13" s="26">
        <v>37369</v>
      </c>
      <c r="N13" s="26">
        <v>37345</v>
      </c>
      <c r="O13" s="26">
        <v>37075</v>
      </c>
      <c r="P13" s="26"/>
      <c r="Q13" s="26"/>
      <c r="R13" s="26"/>
      <c r="S13" s="26"/>
      <c r="T13" s="26"/>
    </row>
    <row r="14" spans="1:20" hidden="1" x14ac:dyDescent="0.2">
      <c r="A14" s="18">
        <f t="shared" si="1"/>
        <v>1984</v>
      </c>
      <c r="B14" s="26"/>
      <c r="C14" s="26">
        <v>20375</v>
      </c>
      <c r="D14" s="26">
        <v>33555</v>
      </c>
      <c r="E14" s="26">
        <v>41756</v>
      </c>
      <c r="F14" s="26">
        <v>45125</v>
      </c>
      <c r="G14" s="26">
        <v>47284</v>
      </c>
      <c r="H14" s="26">
        <v>51710</v>
      </c>
      <c r="I14" s="26">
        <v>52147</v>
      </c>
      <c r="J14" s="26">
        <v>51187</v>
      </c>
      <c r="K14" s="26">
        <v>51950</v>
      </c>
      <c r="L14" s="26">
        <v>50967</v>
      </c>
      <c r="M14" s="26">
        <v>51461</v>
      </c>
      <c r="N14" s="26">
        <v>51382</v>
      </c>
      <c r="O14" s="26"/>
      <c r="P14" s="26"/>
      <c r="Q14" s="26"/>
      <c r="R14" s="26"/>
      <c r="S14" s="26"/>
      <c r="T14" s="26"/>
    </row>
    <row r="15" spans="1:20" hidden="1" x14ac:dyDescent="0.2">
      <c r="A15" s="18">
        <f t="shared" si="1"/>
        <v>1985</v>
      </c>
      <c r="B15" s="26"/>
      <c r="C15" s="26">
        <v>9800</v>
      </c>
      <c r="D15" s="26">
        <v>24663</v>
      </c>
      <c r="E15" s="26">
        <v>36061</v>
      </c>
      <c r="F15" s="26">
        <v>37927</v>
      </c>
      <c r="G15" s="26">
        <v>40042</v>
      </c>
      <c r="H15" s="26">
        <v>40562</v>
      </c>
      <c r="I15" s="26">
        <v>40362</v>
      </c>
      <c r="J15" s="26">
        <v>40884</v>
      </c>
      <c r="K15" s="26">
        <v>40597</v>
      </c>
      <c r="L15" s="26">
        <v>41304</v>
      </c>
      <c r="M15" s="26">
        <v>42378</v>
      </c>
      <c r="N15" s="26"/>
      <c r="O15" s="26"/>
      <c r="P15" s="26"/>
      <c r="Q15" s="26"/>
      <c r="R15" s="26"/>
      <c r="S15" s="26"/>
      <c r="T15" s="26"/>
    </row>
    <row r="16" spans="1:20" hidden="1" x14ac:dyDescent="0.2">
      <c r="A16" s="18">
        <f t="shared" si="1"/>
        <v>1986</v>
      </c>
      <c r="B16" s="26"/>
      <c r="C16" s="26">
        <v>11380</v>
      </c>
      <c r="D16" s="26">
        <v>26843</v>
      </c>
      <c r="E16" s="26">
        <v>34931</v>
      </c>
      <c r="F16" s="26">
        <v>37805</v>
      </c>
      <c r="G16" s="26">
        <v>41277</v>
      </c>
      <c r="H16" s="26">
        <v>44901</v>
      </c>
      <c r="I16" s="26">
        <v>45867</v>
      </c>
      <c r="J16" s="26">
        <v>45404</v>
      </c>
      <c r="K16" s="26">
        <v>45347</v>
      </c>
      <c r="L16" s="26">
        <v>44383</v>
      </c>
      <c r="M16" s="26"/>
      <c r="N16" s="26"/>
      <c r="O16" s="26"/>
      <c r="P16" s="26"/>
      <c r="Q16" s="26"/>
      <c r="R16" s="26"/>
      <c r="S16" s="26"/>
      <c r="T16" s="26"/>
    </row>
    <row r="17" spans="1:20" hidden="1" x14ac:dyDescent="0.2">
      <c r="A17" s="18">
        <f t="shared" si="1"/>
        <v>1987</v>
      </c>
      <c r="B17" s="26"/>
      <c r="C17" s="26">
        <v>10226</v>
      </c>
      <c r="D17" s="26">
        <v>20511</v>
      </c>
      <c r="E17" s="26">
        <v>26882</v>
      </c>
      <c r="F17" s="26">
        <v>32326</v>
      </c>
      <c r="G17" s="26">
        <v>35257</v>
      </c>
      <c r="H17" s="26">
        <v>40557</v>
      </c>
      <c r="I17" s="26">
        <v>43753</v>
      </c>
      <c r="J17" s="26">
        <v>44609</v>
      </c>
      <c r="K17" s="26">
        <v>44196</v>
      </c>
      <c r="L17" s="26"/>
      <c r="M17" s="26"/>
      <c r="N17" s="26"/>
      <c r="O17" s="26"/>
      <c r="P17" s="26"/>
      <c r="Q17" s="26"/>
      <c r="R17" s="26"/>
      <c r="S17" s="26"/>
      <c r="T17" s="26"/>
    </row>
    <row r="18" spans="1:20" hidden="1" x14ac:dyDescent="0.2">
      <c r="A18" s="18">
        <f t="shared" si="1"/>
        <v>1988</v>
      </c>
      <c r="B18" s="26"/>
      <c r="C18" s="26">
        <v>8170</v>
      </c>
      <c r="D18" s="26">
        <v>18567</v>
      </c>
      <c r="E18" s="26">
        <v>26472</v>
      </c>
      <c r="F18" s="26">
        <v>33002</v>
      </c>
      <c r="G18" s="26">
        <v>36321</v>
      </c>
      <c r="H18" s="26">
        <v>37047</v>
      </c>
      <c r="I18" s="26">
        <v>39675</v>
      </c>
      <c r="J18" s="26">
        <v>40398</v>
      </c>
      <c r="K18" s="26"/>
      <c r="L18" s="26"/>
      <c r="M18" s="26"/>
      <c r="N18" s="26"/>
      <c r="O18" s="26"/>
      <c r="P18" s="26"/>
      <c r="Q18" s="26"/>
      <c r="R18" s="26"/>
      <c r="S18" s="26"/>
      <c r="T18" s="26"/>
    </row>
    <row r="19" spans="1:20" hidden="1" x14ac:dyDescent="0.2">
      <c r="A19" s="18">
        <f t="shared" si="1"/>
        <v>1989</v>
      </c>
      <c r="B19" s="26"/>
      <c r="C19" s="26">
        <v>10433</v>
      </c>
      <c r="D19" s="26">
        <v>19484</v>
      </c>
      <c r="E19" s="26">
        <v>32103</v>
      </c>
      <c r="F19" s="26">
        <v>38936</v>
      </c>
      <c r="G19" s="26">
        <v>45851</v>
      </c>
      <c r="H19" s="26">
        <v>45133</v>
      </c>
      <c r="I19" s="26">
        <v>45501</v>
      </c>
      <c r="J19" s="26"/>
      <c r="K19" s="26"/>
      <c r="L19" s="26"/>
      <c r="M19" s="26"/>
      <c r="N19" s="26"/>
      <c r="O19" s="26"/>
      <c r="P19" s="26"/>
      <c r="Q19" s="26"/>
      <c r="R19" s="26"/>
      <c r="S19" s="26"/>
      <c r="T19" s="26"/>
    </row>
    <row r="20" spans="1:20" hidden="1" x14ac:dyDescent="0.2">
      <c r="A20" s="18">
        <f t="shared" si="1"/>
        <v>1990</v>
      </c>
      <c r="B20" s="26"/>
      <c r="C20" s="26">
        <v>9661</v>
      </c>
      <c r="D20" s="26">
        <v>23808</v>
      </c>
      <c r="E20" s="26">
        <v>32966</v>
      </c>
      <c r="F20" s="26">
        <v>42907</v>
      </c>
      <c r="G20" s="26">
        <v>46930</v>
      </c>
      <c r="H20" s="26">
        <v>49300</v>
      </c>
      <c r="I20" s="26"/>
      <c r="J20" s="26"/>
      <c r="K20" s="26"/>
      <c r="L20" s="26"/>
      <c r="M20" s="26"/>
      <c r="N20" s="26"/>
      <c r="O20" s="26"/>
      <c r="P20" s="26"/>
      <c r="Q20" s="26"/>
      <c r="R20" s="26"/>
      <c r="S20" s="26"/>
      <c r="T20" s="26"/>
    </row>
    <row r="21" spans="1:20" hidden="1" x14ac:dyDescent="0.2">
      <c r="A21" s="18">
        <f t="shared" si="1"/>
        <v>1991</v>
      </c>
      <c r="B21" s="26"/>
      <c r="C21" s="26">
        <v>14275</v>
      </c>
      <c r="D21" s="26">
        <v>25551</v>
      </c>
      <c r="E21" s="26">
        <v>33754</v>
      </c>
      <c r="F21" s="26">
        <v>38674</v>
      </c>
      <c r="G21" s="26">
        <v>41132</v>
      </c>
      <c r="H21" s="26"/>
      <c r="I21" s="26"/>
      <c r="J21" s="26"/>
      <c r="K21" s="26"/>
      <c r="L21" s="26"/>
      <c r="M21" s="26"/>
      <c r="N21" s="26"/>
      <c r="O21" s="26"/>
      <c r="P21" s="26"/>
      <c r="Q21" s="26"/>
      <c r="R21" s="26"/>
      <c r="S21" s="26"/>
      <c r="T21" s="26"/>
    </row>
    <row r="22" spans="1:20" hidden="1" x14ac:dyDescent="0.2">
      <c r="A22" s="18">
        <f t="shared" si="1"/>
        <v>1992</v>
      </c>
      <c r="B22" s="26"/>
      <c r="C22" s="26">
        <v>13245</v>
      </c>
      <c r="D22" s="26">
        <v>29206</v>
      </c>
      <c r="E22" s="26">
        <v>36987</v>
      </c>
      <c r="F22" s="26">
        <v>44075</v>
      </c>
      <c r="G22" s="26"/>
      <c r="H22" s="26"/>
      <c r="I22" s="26"/>
      <c r="J22" s="26"/>
      <c r="K22" s="26"/>
      <c r="L22" s="26"/>
      <c r="M22" s="26"/>
      <c r="N22" s="26"/>
      <c r="O22" s="26"/>
      <c r="P22" s="26"/>
      <c r="Q22" s="26"/>
      <c r="R22" s="26"/>
      <c r="S22" s="26"/>
      <c r="T22" s="26"/>
    </row>
    <row r="23" spans="1:20" hidden="1" x14ac:dyDescent="0.2">
      <c r="A23" s="18">
        <f t="shared" si="1"/>
        <v>1993</v>
      </c>
      <c r="B23" s="26"/>
      <c r="C23" s="26">
        <v>14711</v>
      </c>
      <c r="D23" s="26">
        <v>27082</v>
      </c>
      <c r="E23" s="26">
        <v>34230</v>
      </c>
      <c r="F23" s="26"/>
      <c r="G23" s="26"/>
      <c r="H23" s="26"/>
      <c r="I23" s="26"/>
      <c r="J23" s="26"/>
      <c r="K23" s="26"/>
      <c r="L23" s="26"/>
      <c r="M23" s="26"/>
      <c r="N23" s="26"/>
      <c r="O23" s="26"/>
      <c r="P23" s="26"/>
      <c r="Q23" s="26"/>
      <c r="R23" s="26"/>
      <c r="S23" s="26"/>
      <c r="T23" s="26"/>
    </row>
    <row r="24" spans="1:20" hidden="1" x14ac:dyDescent="0.2">
      <c r="A24" s="18">
        <f t="shared" si="1"/>
        <v>1994</v>
      </c>
      <c r="B24" s="26"/>
      <c r="C24" s="26">
        <v>12476</v>
      </c>
      <c r="D24" s="26">
        <v>23126</v>
      </c>
      <c r="E24" s="26"/>
      <c r="F24" s="26"/>
      <c r="G24" s="26"/>
      <c r="H24" s="26"/>
      <c r="I24" s="26"/>
      <c r="J24" s="26"/>
      <c r="K24" s="26"/>
      <c r="L24" s="26"/>
      <c r="M24" s="26"/>
      <c r="N24" s="26"/>
      <c r="O24" s="26"/>
      <c r="P24" s="26"/>
      <c r="Q24" s="26"/>
      <c r="R24" s="26"/>
      <c r="S24" s="26"/>
      <c r="T24" s="26"/>
    </row>
    <row r="25" spans="1:20" hidden="1" x14ac:dyDescent="0.2">
      <c r="A25" s="18">
        <f t="shared" si="1"/>
        <v>1995</v>
      </c>
      <c r="B25" s="26"/>
      <c r="C25" s="26">
        <v>9715</v>
      </c>
      <c r="D25" s="26"/>
      <c r="E25" s="26"/>
      <c r="F25" s="26"/>
      <c r="G25" s="26"/>
      <c r="H25" s="26"/>
      <c r="I25" s="26"/>
      <c r="J25" s="26"/>
      <c r="K25" s="26"/>
      <c r="L25" s="26"/>
      <c r="M25" s="26"/>
      <c r="N25" s="26"/>
      <c r="O25" s="26"/>
      <c r="P25" s="26"/>
      <c r="Q25" s="26"/>
      <c r="R25" s="26"/>
      <c r="S25" s="26"/>
      <c r="T25" s="26"/>
    </row>
    <row r="27" spans="1:20" x14ac:dyDescent="0.2">
      <c r="A27" s="19" t="s">
        <v>216</v>
      </c>
      <c r="B27" s="20" t="s">
        <v>220</v>
      </c>
      <c r="C27" s="16" t="s">
        <v>221</v>
      </c>
      <c r="D27" s="21"/>
      <c r="E27" s="21"/>
      <c r="F27" s="21"/>
      <c r="G27" s="21"/>
      <c r="H27" s="21"/>
      <c r="I27" s="21"/>
      <c r="J27" s="21"/>
      <c r="K27" s="21"/>
      <c r="L27" s="21"/>
      <c r="M27" s="21"/>
      <c r="N27" s="21"/>
      <c r="O27" s="21"/>
      <c r="P27" s="21"/>
      <c r="Q27" s="21"/>
      <c r="R27" s="21"/>
      <c r="S27" s="21"/>
      <c r="T27" s="21"/>
    </row>
    <row r="28" spans="1:20" x14ac:dyDescent="0.2">
      <c r="A28" s="23" t="s">
        <v>218</v>
      </c>
      <c r="B28" s="24" t="s">
        <v>222</v>
      </c>
      <c r="C28" s="21">
        <v>0</v>
      </c>
      <c r="D28" s="21">
        <f t="shared" ref="D28:T28" si="2">C28+1</f>
        <v>1</v>
      </c>
      <c r="E28" s="21">
        <f t="shared" si="2"/>
        <v>2</v>
      </c>
      <c r="F28" s="21">
        <f t="shared" si="2"/>
        <v>3</v>
      </c>
      <c r="G28" s="21">
        <f t="shared" si="2"/>
        <v>4</v>
      </c>
      <c r="H28" s="21">
        <f t="shared" si="2"/>
        <v>5</v>
      </c>
      <c r="I28" s="21">
        <f t="shared" si="2"/>
        <v>6</v>
      </c>
      <c r="J28" s="21">
        <f t="shared" si="2"/>
        <v>7</v>
      </c>
      <c r="K28" s="21">
        <f t="shared" si="2"/>
        <v>8</v>
      </c>
      <c r="L28" s="21">
        <f t="shared" si="2"/>
        <v>9</v>
      </c>
      <c r="M28" s="21">
        <f t="shared" si="2"/>
        <v>10</v>
      </c>
      <c r="N28" s="21">
        <f t="shared" si="2"/>
        <v>11</v>
      </c>
      <c r="O28" s="21">
        <f t="shared" si="2"/>
        <v>12</v>
      </c>
      <c r="P28" s="21">
        <f t="shared" si="2"/>
        <v>13</v>
      </c>
      <c r="Q28" s="21">
        <f t="shared" si="2"/>
        <v>14</v>
      </c>
      <c r="R28" s="21">
        <f t="shared" si="2"/>
        <v>15</v>
      </c>
      <c r="S28" s="21">
        <f t="shared" si="2"/>
        <v>16</v>
      </c>
      <c r="T28" s="21">
        <f t="shared" si="2"/>
        <v>17</v>
      </c>
    </row>
    <row r="29" spans="1:20" x14ac:dyDescent="0.2">
      <c r="C29" s="25" t="s">
        <v>219</v>
      </c>
      <c r="D29" s="25" t="s">
        <v>219</v>
      </c>
      <c r="E29" s="25" t="s">
        <v>219</v>
      </c>
      <c r="F29" s="25" t="s">
        <v>219</v>
      </c>
      <c r="G29" s="25" t="s">
        <v>219</v>
      </c>
      <c r="H29" s="25" t="s">
        <v>219</v>
      </c>
      <c r="I29" s="25" t="s">
        <v>219</v>
      </c>
      <c r="J29" s="25" t="s">
        <v>219</v>
      </c>
      <c r="K29" s="25" t="s">
        <v>219</v>
      </c>
      <c r="L29" s="25" t="s">
        <v>219</v>
      </c>
      <c r="M29" s="25" t="s">
        <v>219</v>
      </c>
      <c r="N29" s="25" t="s">
        <v>219</v>
      </c>
      <c r="O29" s="25" t="s">
        <v>219</v>
      </c>
      <c r="P29" s="25" t="s">
        <v>219</v>
      </c>
      <c r="Q29" s="25" t="s">
        <v>219</v>
      </c>
      <c r="R29" s="25" t="s">
        <v>219</v>
      </c>
      <c r="S29" s="25" t="s">
        <v>219</v>
      </c>
      <c r="T29" s="25" t="s">
        <v>219</v>
      </c>
    </row>
    <row r="31" spans="1:20" x14ac:dyDescent="0.2">
      <c r="A31" s="18">
        <f t="shared" ref="A31:A48" si="3">A8</f>
        <v>1978</v>
      </c>
      <c r="B31" s="27">
        <v>1</v>
      </c>
      <c r="C31" s="26">
        <f t="shared" ref="C31:C48" si="4">C8*B31</f>
        <v>9268</v>
      </c>
      <c r="D31" s="26">
        <f t="shared" ref="D31:D47" si="5">D8*B32</f>
        <v>18263</v>
      </c>
      <c r="E31" s="26">
        <f t="shared" ref="E31:E45" si="6">E8*B33</f>
        <v>20182</v>
      </c>
      <c r="F31" s="26">
        <f t="shared" ref="F31:F45" si="7">F8*B34</f>
        <v>22383</v>
      </c>
      <c r="G31" s="26">
        <f t="shared" ref="G31:G44" si="8">G8*B35</f>
        <v>22782</v>
      </c>
      <c r="H31" s="26">
        <f t="shared" ref="H31:H43" si="9">H8*B36</f>
        <v>26348</v>
      </c>
      <c r="I31" s="26">
        <f t="shared" ref="I31:I42" si="10">I8*B37</f>
        <v>26172</v>
      </c>
      <c r="J31" s="26">
        <f t="shared" ref="J31:J41" si="11">J8*B38</f>
        <v>26184</v>
      </c>
      <c r="K31" s="26">
        <f t="shared" ref="K31:K40" si="12">K8*B39</f>
        <v>25455</v>
      </c>
      <c r="L31" s="26">
        <f t="shared" ref="L31:L39" si="13">L8*B40</f>
        <v>25740</v>
      </c>
      <c r="M31" s="26">
        <f t="shared" ref="M31:M38" si="14">M8*B41</f>
        <v>25711</v>
      </c>
      <c r="N31" s="26">
        <f t="shared" ref="N31:N37" si="15">N8*B42</f>
        <v>25452</v>
      </c>
      <c r="O31" s="26">
        <f t="shared" ref="O31:O36" si="16">O8*B43</f>
        <v>25460</v>
      </c>
      <c r="P31" s="26">
        <f>P8*B44</f>
        <v>25422</v>
      </c>
      <c r="Q31" s="26">
        <f>Q8*B45</f>
        <v>25386</v>
      </c>
      <c r="R31" s="26">
        <f>R8*B46</f>
        <v>25520</v>
      </c>
      <c r="S31" s="26">
        <f>S8*B47</f>
        <v>25646</v>
      </c>
      <c r="T31" s="26">
        <f>T8*B48</f>
        <v>25469</v>
      </c>
    </row>
    <row r="32" spans="1:20" x14ac:dyDescent="0.2">
      <c r="A32" s="18">
        <f t="shared" si="3"/>
        <v>1979</v>
      </c>
      <c r="B32" s="27">
        <f>B31</f>
        <v>1</v>
      </c>
      <c r="C32" s="26">
        <f t="shared" si="4"/>
        <v>9848</v>
      </c>
      <c r="D32" s="26">
        <f t="shared" si="5"/>
        <v>16123</v>
      </c>
      <c r="E32" s="26">
        <f t="shared" si="6"/>
        <v>17099</v>
      </c>
      <c r="F32" s="26">
        <f t="shared" si="7"/>
        <v>18544</v>
      </c>
      <c r="G32" s="26">
        <f t="shared" si="8"/>
        <v>20534</v>
      </c>
      <c r="H32" s="26">
        <f t="shared" si="9"/>
        <v>21554</v>
      </c>
      <c r="I32" s="26">
        <f t="shared" si="10"/>
        <v>23219</v>
      </c>
      <c r="J32" s="26">
        <f t="shared" si="11"/>
        <v>22381</v>
      </c>
      <c r="K32" s="26">
        <f t="shared" si="12"/>
        <v>21584</v>
      </c>
      <c r="L32" s="26">
        <f t="shared" si="13"/>
        <v>21408</v>
      </c>
      <c r="M32" s="26">
        <f t="shared" si="14"/>
        <v>20857</v>
      </c>
      <c r="N32" s="26">
        <f t="shared" si="15"/>
        <v>21163</v>
      </c>
      <c r="O32" s="26">
        <f t="shared" si="16"/>
        <v>20482</v>
      </c>
      <c r="P32" s="26">
        <f>P9*B45</f>
        <v>19971</v>
      </c>
      <c r="Q32" s="26">
        <f>Q9*B46</f>
        <v>19958</v>
      </c>
      <c r="R32" s="26">
        <f>R9*B47</f>
        <v>19947</v>
      </c>
      <c r="S32" s="26">
        <f>S9*B48</f>
        <v>19991</v>
      </c>
      <c r="T32" s="26"/>
    </row>
    <row r="33" spans="1:20" x14ac:dyDescent="0.2">
      <c r="A33" s="18">
        <f t="shared" si="3"/>
        <v>1980</v>
      </c>
      <c r="B33" s="27">
        <f t="shared" ref="B33:B48" si="17">B32</f>
        <v>1</v>
      </c>
      <c r="C33" s="26">
        <f t="shared" si="4"/>
        <v>13990</v>
      </c>
      <c r="D33" s="26">
        <f t="shared" si="5"/>
        <v>22484</v>
      </c>
      <c r="E33" s="26">
        <f t="shared" si="6"/>
        <v>24950</v>
      </c>
      <c r="F33" s="26">
        <f t="shared" si="7"/>
        <v>33255</v>
      </c>
      <c r="G33" s="26">
        <f t="shared" si="8"/>
        <v>33295</v>
      </c>
      <c r="H33" s="26">
        <f t="shared" si="9"/>
        <v>34308</v>
      </c>
      <c r="I33" s="26">
        <f t="shared" si="10"/>
        <v>34022</v>
      </c>
      <c r="J33" s="26">
        <f t="shared" si="11"/>
        <v>34023</v>
      </c>
      <c r="K33" s="26">
        <f t="shared" si="12"/>
        <v>33842</v>
      </c>
      <c r="L33" s="26">
        <f t="shared" si="13"/>
        <v>33933</v>
      </c>
      <c r="M33" s="26">
        <f t="shared" si="14"/>
        <v>33570</v>
      </c>
      <c r="N33" s="26">
        <f t="shared" si="15"/>
        <v>31881</v>
      </c>
      <c r="O33" s="26">
        <f t="shared" si="16"/>
        <v>32203</v>
      </c>
      <c r="P33" s="26">
        <f>P10*B46</f>
        <v>32345</v>
      </c>
      <c r="Q33" s="26">
        <f>Q10*B47</f>
        <v>32250</v>
      </c>
      <c r="R33" s="26">
        <f>R10*B48</f>
        <v>32168</v>
      </c>
      <c r="S33" s="26"/>
      <c r="T33" s="26"/>
    </row>
    <row r="34" spans="1:20" x14ac:dyDescent="0.2">
      <c r="A34" s="18">
        <f t="shared" si="3"/>
        <v>1981</v>
      </c>
      <c r="B34" s="27">
        <f t="shared" si="17"/>
        <v>1</v>
      </c>
      <c r="C34" s="26">
        <f t="shared" si="4"/>
        <v>16550</v>
      </c>
      <c r="D34" s="26">
        <f t="shared" si="5"/>
        <v>28056</v>
      </c>
      <c r="E34" s="26">
        <f t="shared" si="6"/>
        <v>39995</v>
      </c>
      <c r="F34" s="26">
        <f t="shared" si="7"/>
        <v>42459</v>
      </c>
      <c r="G34" s="26">
        <f t="shared" si="8"/>
        <v>42797</v>
      </c>
      <c r="H34" s="26">
        <f t="shared" si="9"/>
        <v>42755</v>
      </c>
      <c r="I34" s="26">
        <f t="shared" si="10"/>
        <v>42435</v>
      </c>
      <c r="J34" s="26">
        <f t="shared" si="11"/>
        <v>42302</v>
      </c>
      <c r="K34" s="26">
        <f t="shared" si="12"/>
        <v>42095</v>
      </c>
      <c r="L34" s="26">
        <f t="shared" si="13"/>
        <v>41606</v>
      </c>
      <c r="M34" s="26">
        <f t="shared" si="14"/>
        <v>40440</v>
      </c>
      <c r="N34" s="26">
        <f t="shared" si="15"/>
        <v>40432</v>
      </c>
      <c r="O34" s="26">
        <f t="shared" si="16"/>
        <v>40326</v>
      </c>
      <c r="P34" s="26">
        <f>P11*B47</f>
        <v>40337</v>
      </c>
      <c r="Q34" s="26">
        <f>Q11*B48</f>
        <v>40096</v>
      </c>
      <c r="R34" s="26"/>
      <c r="S34" s="26"/>
      <c r="T34" s="26"/>
    </row>
    <row r="35" spans="1:20" x14ac:dyDescent="0.2">
      <c r="A35" s="18">
        <f t="shared" si="3"/>
        <v>1982</v>
      </c>
      <c r="B35" s="27">
        <f t="shared" si="17"/>
        <v>1</v>
      </c>
      <c r="C35" s="26">
        <f t="shared" si="4"/>
        <v>11100</v>
      </c>
      <c r="D35" s="26">
        <f t="shared" si="5"/>
        <v>31620</v>
      </c>
      <c r="E35" s="26">
        <f t="shared" si="6"/>
        <v>40852</v>
      </c>
      <c r="F35" s="26">
        <f t="shared" si="7"/>
        <v>38831</v>
      </c>
      <c r="G35" s="26">
        <f t="shared" si="8"/>
        <v>39516</v>
      </c>
      <c r="H35" s="26">
        <f t="shared" si="9"/>
        <v>39870</v>
      </c>
      <c r="I35" s="26">
        <f t="shared" si="10"/>
        <v>40358</v>
      </c>
      <c r="J35" s="26">
        <f t="shared" si="11"/>
        <v>40355</v>
      </c>
      <c r="K35" s="26">
        <f t="shared" si="12"/>
        <v>40116</v>
      </c>
      <c r="L35" s="26">
        <f t="shared" si="13"/>
        <v>39888</v>
      </c>
      <c r="M35" s="26">
        <f t="shared" si="14"/>
        <v>39898</v>
      </c>
      <c r="N35" s="26">
        <f t="shared" si="15"/>
        <v>40147</v>
      </c>
      <c r="O35" s="26">
        <f t="shared" si="16"/>
        <v>39827</v>
      </c>
      <c r="P35" s="26">
        <f>P12*B48</f>
        <v>40200</v>
      </c>
      <c r="Q35" s="26"/>
      <c r="R35" s="26"/>
      <c r="S35" s="26"/>
      <c r="T35" s="26"/>
    </row>
    <row r="36" spans="1:20" x14ac:dyDescent="0.2">
      <c r="A36" s="18">
        <f t="shared" si="3"/>
        <v>1983</v>
      </c>
      <c r="B36" s="27">
        <f t="shared" si="17"/>
        <v>1</v>
      </c>
      <c r="C36" s="26">
        <f t="shared" si="4"/>
        <v>15677</v>
      </c>
      <c r="D36" s="26">
        <f t="shared" si="5"/>
        <v>33074</v>
      </c>
      <c r="E36" s="26">
        <f t="shared" si="6"/>
        <v>35592</v>
      </c>
      <c r="F36" s="26">
        <f t="shared" si="7"/>
        <v>35721</v>
      </c>
      <c r="G36" s="26">
        <f t="shared" si="8"/>
        <v>38652</v>
      </c>
      <c r="H36" s="26">
        <f t="shared" si="9"/>
        <v>39418</v>
      </c>
      <c r="I36" s="26">
        <f t="shared" si="10"/>
        <v>39223</v>
      </c>
      <c r="J36" s="26">
        <f t="shared" si="11"/>
        <v>39696</v>
      </c>
      <c r="K36" s="26">
        <f t="shared" si="12"/>
        <v>37769</v>
      </c>
      <c r="L36" s="26">
        <f t="shared" si="13"/>
        <v>37894</v>
      </c>
      <c r="M36" s="26">
        <f t="shared" si="14"/>
        <v>37369</v>
      </c>
      <c r="N36" s="26">
        <f t="shared" si="15"/>
        <v>37345</v>
      </c>
      <c r="O36" s="26">
        <f t="shared" si="16"/>
        <v>37075</v>
      </c>
      <c r="P36" s="26"/>
      <c r="Q36" s="26"/>
      <c r="R36" s="26"/>
      <c r="S36" s="26"/>
      <c r="T36" s="26"/>
    </row>
    <row r="37" spans="1:20" x14ac:dyDescent="0.2">
      <c r="A37" s="18">
        <f t="shared" si="3"/>
        <v>1984</v>
      </c>
      <c r="B37" s="27">
        <f t="shared" si="17"/>
        <v>1</v>
      </c>
      <c r="C37" s="26">
        <f t="shared" si="4"/>
        <v>20375</v>
      </c>
      <c r="D37" s="26">
        <f t="shared" si="5"/>
        <v>33555</v>
      </c>
      <c r="E37" s="26">
        <f t="shared" si="6"/>
        <v>41756</v>
      </c>
      <c r="F37" s="26">
        <f t="shared" si="7"/>
        <v>45125</v>
      </c>
      <c r="G37" s="26">
        <f t="shared" si="8"/>
        <v>47284</v>
      </c>
      <c r="H37" s="26">
        <f t="shared" si="9"/>
        <v>51710</v>
      </c>
      <c r="I37" s="26">
        <f t="shared" si="10"/>
        <v>52147</v>
      </c>
      <c r="J37" s="26">
        <f t="shared" si="11"/>
        <v>51187</v>
      </c>
      <c r="K37" s="26">
        <f t="shared" si="12"/>
        <v>51950</v>
      </c>
      <c r="L37" s="26">
        <f t="shared" si="13"/>
        <v>50967</v>
      </c>
      <c r="M37" s="26">
        <f t="shared" si="14"/>
        <v>51461</v>
      </c>
      <c r="N37" s="26">
        <f t="shared" si="15"/>
        <v>51382</v>
      </c>
      <c r="O37" s="26"/>
      <c r="P37" s="26"/>
      <c r="Q37" s="26"/>
      <c r="R37" s="26"/>
      <c r="S37" s="26"/>
      <c r="T37" s="26"/>
    </row>
    <row r="38" spans="1:20" x14ac:dyDescent="0.2">
      <c r="A38" s="18">
        <f t="shared" si="3"/>
        <v>1985</v>
      </c>
      <c r="B38" s="27">
        <f t="shared" si="17"/>
        <v>1</v>
      </c>
      <c r="C38" s="26">
        <f t="shared" si="4"/>
        <v>9800</v>
      </c>
      <c r="D38" s="26">
        <f t="shared" si="5"/>
        <v>24663</v>
      </c>
      <c r="E38" s="26">
        <f t="shared" si="6"/>
        <v>36061</v>
      </c>
      <c r="F38" s="26">
        <f t="shared" si="7"/>
        <v>37927</v>
      </c>
      <c r="G38" s="26">
        <f t="shared" si="8"/>
        <v>40042</v>
      </c>
      <c r="H38" s="26">
        <f t="shared" si="9"/>
        <v>40562</v>
      </c>
      <c r="I38" s="26">
        <f t="shared" si="10"/>
        <v>40362</v>
      </c>
      <c r="J38" s="26">
        <f t="shared" si="11"/>
        <v>40884</v>
      </c>
      <c r="K38" s="26">
        <f t="shared" si="12"/>
        <v>40597</v>
      </c>
      <c r="L38" s="26">
        <f t="shared" si="13"/>
        <v>41304</v>
      </c>
      <c r="M38" s="26">
        <f t="shared" si="14"/>
        <v>42378</v>
      </c>
      <c r="N38" s="26"/>
      <c r="O38" s="26"/>
      <c r="P38" s="26"/>
      <c r="Q38" s="26"/>
      <c r="R38" s="26"/>
      <c r="S38" s="26"/>
      <c r="T38" s="26"/>
    </row>
    <row r="39" spans="1:20" x14ac:dyDescent="0.2">
      <c r="A39" s="18">
        <f t="shared" si="3"/>
        <v>1986</v>
      </c>
      <c r="B39" s="27">
        <f t="shared" si="17"/>
        <v>1</v>
      </c>
      <c r="C39" s="26">
        <f t="shared" si="4"/>
        <v>11380</v>
      </c>
      <c r="D39" s="26">
        <f t="shared" si="5"/>
        <v>26843</v>
      </c>
      <c r="E39" s="26">
        <f t="shared" si="6"/>
        <v>34931</v>
      </c>
      <c r="F39" s="26">
        <f t="shared" si="7"/>
        <v>37805</v>
      </c>
      <c r="G39" s="26">
        <f t="shared" si="8"/>
        <v>41277</v>
      </c>
      <c r="H39" s="26">
        <f t="shared" si="9"/>
        <v>44901</v>
      </c>
      <c r="I39" s="26">
        <f t="shared" si="10"/>
        <v>45867</v>
      </c>
      <c r="J39" s="26">
        <f t="shared" si="11"/>
        <v>45404</v>
      </c>
      <c r="K39" s="26">
        <f t="shared" si="12"/>
        <v>45347</v>
      </c>
      <c r="L39" s="26">
        <f t="shared" si="13"/>
        <v>44383</v>
      </c>
      <c r="M39" s="26"/>
      <c r="N39" s="26"/>
      <c r="O39" s="26"/>
      <c r="P39" s="26"/>
      <c r="Q39" s="26"/>
      <c r="R39" s="26"/>
      <c r="S39" s="26"/>
      <c r="T39" s="26"/>
    </row>
    <row r="40" spans="1:20" x14ac:dyDescent="0.2">
      <c r="A40" s="18">
        <f t="shared" si="3"/>
        <v>1987</v>
      </c>
      <c r="B40" s="27">
        <f t="shared" si="17"/>
        <v>1</v>
      </c>
      <c r="C40" s="26">
        <f t="shared" si="4"/>
        <v>10226</v>
      </c>
      <c r="D40" s="26">
        <f t="shared" si="5"/>
        <v>20511</v>
      </c>
      <c r="E40" s="26">
        <f>E17*B42</f>
        <v>26882</v>
      </c>
      <c r="F40" s="26">
        <f t="shared" si="7"/>
        <v>32326</v>
      </c>
      <c r="G40" s="26">
        <f t="shared" si="8"/>
        <v>35257</v>
      </c>
      <c r="H40" s="26">
        <f t="shared" si="9"/>
        <v>40557</v>
      </c>
      <c r="I40" s="26">
        <f t="shared" si="10"/>
        <v>43753</v>
      </c>
      <c r="J40" s="26">
        <f t="shared" si="11"/>
        <v>44609</v>
      </c>
      <c r="K40" s="26">
        <f t="shared" si="12"/>
        <v>44196</v>
      </c>
      <c r="L40" s="26"/>
      <c r="M40" s="26"/>
      <c r="N40" s="26"/>
      <c r="O40" s="26"/>
      <c r="P40" s="26"/>
      <c r="Q40" s="26"/>
      <c r="R40" s="26"/>
      <c r="S40" s="26"/>
      <c r="T40" s="26"/>
    </row>
    <row r="41" spans="1:20" x14ac:dyDescent="0.2">
      <c r="A41" s="18">
        <f t="shared" si="3"/>
        <v>1988</v>
      </c>
      <c r="B41" s="27">
        <f t="shared" si="17"/>
        <v>1</v>
      </c>
      <c r="C41" s="26">
        <f t="shared" si="4"/>
        <v>8170</v>
      </c>
      <c r="D41" s="26">
        <f t="shared" si="5"/>
        <v>18567</v>
      </c>
      <c r="E41" s="26">
        <f t="shared" si="6"/>
        <v>26472</v>
      </c>
      <c r="F41" s="26">
        <f t="shared" si="7"/>
        <v>33002</v>
      </c>
      <c r="G41" s="26">
        <f t="shared" si="8"/>
        <v>36321</v>
      </c>
      <c r="H41" s="26">
        <f t="shared" si="9"/>
        <v>37047</v>
      </c>
      <c r="I41" s="26">
        <f t="shared" si="10"/>
        <v>39675</v>
      </c>
      <c r="J41" s="26">
        <f t="shared" si="11"/>
        <v>40398</v>
      </c>
      <c r="K41" s="26"/>
      <c r="L41" s="26"/>
      <c r="M41" s="26"/>
      <c r="N41" s="26"/>
      <c r="O41" s="26"/>
      <c r="P41" s="26"/>
      <c r="Q41" s="26"/>
      <c r="R41" s="26"/>
      <c r="S41" s="26"/>
      <c r="T41" s="26"/>
    </row>
    <row r="42" spans="1:20" x14ac:dyDescent="0.2">
      <c r="A42" s="18">
        <f t="shared" si="3"/>
        <v>1989</v>
      </c>
      <c r="B42" s="27">
        <f t="shared" si="17"/>
        <v>1</v>
      </c>
      <c r="C42" s="26">
        <f t="shared" si="4"/>
        <v>10433</v>
      </c>
      <c r="D42" s="26">
        <f t="shared" si="5"/>
        <v>19484</v>
      </c>
      <c r="E42" s="26">
        <f t="shared" si="6"/>
        <v>32103</v>
      </c>
      <c r="F42" s="26">
        <f t="shared" si="7"/>
        <v>38936</v>
      </c>
      <c r="G42" s="26">
        <f t="shared" si="8"/>
        <v>45851</v>
      </c>
      <c r="H42" s="26">
        <f t="shared" si="9"/>
        <v>45133</v>
      </c>
      <c r="I42" s="26">
        <f t="shared" si="10"/>
        <v>45501</v>
      </c>
      <c r="J42" s="26"/>
      <c r="K42" s="26"/>
      <c r="L42" s="26"/>
      <c r="M42" s="26"/>
      <c r="N42" s="26"/>
      <c r="O42" s="26"/>
      <c r="P42" s="26"/>
      <c r="Q42" s="26"/>
      <c r="R42" s="26"/>
      <c r="S42" s="26"/>
      <c r="T42" s="26"/>
    </row>
    <row r="43" spans="1:20" x14ac:dyDescent="0.2">
      <c r="A43" s="18">
        <f t="shared" si="3"/>
        <v>1990</v>
      </c>
      <c r="B43" s="27">
        <f t="shared" si="17"/>
        <v>1</v>
      </c>
      <c r="C43" s="26">
        <f t="shared" si="4"/>
        <v>9661</v>
      </c>
      <c r="D43" s="26">
        <f t="shared" si="5"/>
        <v>23808</v>
      </c>
      <c r="E43" s="26">
        <f t="shared" si="6"/>
        <v>32966</v>
      </c>
      <c r="F43" s="26">
        <f t="shared" si="7"/>
        <v>42907</v>
      </c>
      <c r="G43" s="26">
        <f t="shared" si="8"/>
        <v>46930</v>
      </c>
      <c r="H43" s="26">
        <f t="shared" si="9"/>
        <v>49300</v>
      </c>
      <c r="I43" s="26"/>
      <c r="J43" s="26"/>
      <c r="K43" s="26"/>
      <c r="L43" s="26"/>
      <c r="M43" s="26"/>
      <c r="N43" s="26"/>
      <c r="O43" s="26"/>
      <c r="P43" s="26"/>
      <c r="Q43" s="26"/>
      <c r="R43" s="26"/>
      <c r="S43" s="26"/>
      <c r="T43" s="26"/>
    </row>
    <row r="44" spans="1:20" x14ac:dyDescent="0.2">
      <c r="A44" s="18">
        <f t="shared" si="3"/>
        <v>1991</v>
      </c>
      <c r="B44" s="27">
        <f t="shared" si="17"/>
        <v>1</v>
      </c>
      <c r="C44" s="26">
        <f t="shared" si="4"/>
        <v>14275</v>
      </c>
      <c r="D44" s="26">
        <f t="shared" si="5"/>
        <v>25551</v>
      </c>
      <c r="E44" s="26">
        <f t="shared" si="6"/>
        <v>33754</v>
      </c>
      <c r="F44" s="26">
        <f t="shared" si="7"/>
        <v>38674</v>
      </c>
      <c r="G44" s="26">
        <f t="shared" si="8"/>
        <v>41132</v>
      </c>
      <c r="H44" s="26"/>
      <c r="I44" s="26"/>
      <c r="J44" s="26"/>
      <c r="K44" s="26"/>
      <c r="L44" s="26"/>
      <c r="M44" s="26"/>
      <c r="N44" s="26"/>
      <c r="O44" s="26"/>
      <c r="P44" s="26"/>
      <c r="Q44" s="26"/>
      <c r="R44" s="26"/>
      <c r="S44" s="26"/>
      <c r="T44" s="26"/>
    </row>
    <row r="45" spans="1:20" x14ac:dyDescent="0.2">
      <c r="A45" s="18">
        <f t="shared" si="3"/>
        <v>1992</v>
      </c>
      <c r="B45" s="27">
        <f t="shared" si="17"/>
        <v>1</v>
      </c>
      <c r="C45" s="26">
        <f t="shared" si="4"/>
        <v>13245</v>
      </c>
      <c r="D45" s="26">
        <f t="shared" si="5"/>
        <v>29206</v>
      </c>
      <c r="E45" s="26">
        <f t="shared" si="6"/>
        <v>36987</v>
      </c>
      <c r="F45" s="26">
        <f t="shared" si="7"/>
        <v>44075</v>
      </c>
      <c r="G45" s="26"/>
      <c r="H45" s="26"/>
      <c r="I45" s="26"/>
      <c r="J45" s="26"/>
      <c r="K45" s="26"/>
      <c r="L45" s="26"/>
      <c r="M45" s="26"/>
      <c r="N45" s="26"/>
      <c r="O45" s="26"/>
      <c r="P45" s="26"/>
      <c r="Q45" s="26"/>
      <c r="R45" s="26"/>
      <c r="S45" s="26"/>
      <c r="T45" s="26"/>
    </row>
    <row r="46" spans="1:20" x14ac:dyDescent="0.2">
      <c r="A46" s="18">
        <f t="shared" si="3"/>
        <v>1993</v>
      </c>
      <c r="B46" s="27">
        <f t="shared" si="17"/>
        <v>1</v>
      </c>
      <c r="C46" s="26">
        <f t="shared" si="4"/>
        <v>14711</v>
      </c>
      <c r="D46" s="26">
        <f t="shared" si="5"/>
        <v>27082</v>
      </c>
      <c r="E46" s="26">
        <f>E23*B48</f>
        <v>34230</v>
      </c>
      <c r="F46" s="26"/>
      <c r="G46" s="26"/>
      <c r="H46" s="26"/>
      <c r="I46" s="26"/>
      <c r="J46" s="26"/>
      <c r="K46" s="26"/>
      <c r="L46" s="26"/>
      <c r="M46" s="26"/>
      <c r="N46" s="26"/>
      <c r="O46" s="26"/>
      <c r="P46" s="26"/>
      <c r="Q46" s="26"/>
      <c r="R46" s="26"/>
      <c r="S46" s="26"/>
      <c r="T46" s="26"/>
    </row>
    <row r="47" spans="1:20" x14ac:dyDescent="0.2">
      <c r="A47" s="18">
        <f t="shared" si="3"/>
        <v>1994</v>
      </c>
      <c r="B47" s="27">
        <f t="shared" si="17"/>
        <v>1</v>
      </c>
      <c r="C47" s="26">
        <f t="shared" si="4"/>
        <v>12476</v>
      </c>
      <c r="D47" s="26">
        <f t="shared" si="5"/>
        <v>23126</v>
      </c>
      <c r="E47" s="26"/>
      <c r="F47" s="26"/>
      <c r="G47" s="26"/>
      <c r="H47" s="26"/>
      <c r="I47" s="26"/>
      <c r="J47" s="26"/>
      <c r="K47" s="26"/>
      <c r="L47" s="26"/>
      <c r="M47" s="26"/>
      <c r="N47" s="26"/>
      <c r="O47" s="26"/>
      <c r="P47" s="26"/>
      <c r="Q47" s="26"/>
      <c r="R47" s="26"/>
      <c r="S47" s="26"/>
      <c r="T47" s="26"/>
    </row>
    <row r="48" spans="1:20" x14ac:dyDescent="0.2">
      <c r="A48" s="18">
        <f t="shared" si="3"/>
        <v>1995</v>
      </c>
      <c r="B48" s="27">
        <f t="shared" si="17"/>
        <v>1</v>
      </c>
      <c r="C48" s="26">
        <f t="shared" si="4"/>
        <v>9715</v>
      </c>
      <c r="D48" s="26"/>
      <c r="E48" s="26"/>
      <c r="F48" s="26"/>
      <c r="G48" s="26"/>
      <c r="H48" s="26"/>
      <c r="I48" s="26"/>
      <c r="J48" s="26"/>
      <c r="K48" s="26"/>
      <c r="L48" s="26"/>
      <c r="M48" s="26"/>
      <c r="N48" s="26"/>
      <c r="O48" s="26"/>
      <c r="P48" s="26"/>
      <c r="Q48" s="26"/>
      <c r="R48" s="26"/>
      <c r="S48" s="26"/>
      <c r="T48" s="26"/>
    </row>
    <row r="51" spans="1:16" x14ac:dyDescent="0.2">
      <c r="A51" s="22" t="s">
        <v>223</v>
      </c>
    </row>
    <row r="52" spans="1:16" x14ac:dyDescent="0.2">
      <c r="A52" s="22" t="s">
        <v>224</v>
      </c>
    </row>
    <row r="54" spans="1:16" x14ac:dyDescent="0.2">
      <c r="A54" s="19" t="s">
        <v>216</v>
      </c>
      <c r="B54" s="22" t="s">
        <v>225</v>
      </c>
      <c r="C54" s="22"/>
      <c r="D54" s="22"/>
      <c r="E54" s="22"/>
      <c r="F54" s="22"/>
      <c r="G54" s="22"/>
      <c r="H54" s="22"/>
      <c r="I54" s="22"/>
      <c r="J54" s="22"/>
      <c r="K54" s="22"/>
      <c r="L54" s="22"/>
      <c r="N54" s="28"/>
      <c r="O54" s="22" t="s">
        <v>226</v>
      </c>
      <c r="P54" s="22"/>
    </row>
    <row r="55" spans="1:16" x14ac:dyDescent="0.2">
      <c r="A55" s="19" t="s">
        <v>218</v>
      </c>
      <c r="B55" s="22">
        <v>0</v>
      </c>
      <c r="C55" s="22">
        <v>1</v>
      </c>
      <c r="D55" s="22">
        <v>2</v>
      </c>
      <c r="E55" s="22">
        <v>3</v>
      </c>
      <c r="F55" s="22">
        <v>4</v>
      </c>
      <c r="G55" s="22">
        <v>5</v>
      </c>
      <c r="H55" s="22">
        <v>6</v>
      </c>
      <c r="I55" s="22">
        <v>7</v>
      </c>
      <c r="J55" s="22">
        <v>8</v>
      </c>
      <c r="K55" s="22">
        <v>9</v>
      </c>
      <c r="L55" s="22">
        <v>10</v>
      </c>
      <c r="M55" s="29" t="s">
        <v>227</v>
      </c>
      <c r="N55" s="28" t="s">
        <v>228</v>
      </c>
      <c r="O55" s="22" t="s">
        <v>229</v>
      </c>
      <c r="P55" s="22" t="s">
        <v>230</v>
      </c>
    </row>
    <row r="56" spans="1:16" x14ac:dyDescent="0.2">
      <c r="A56" s="30"/>
      <c r="N56" s="31"/>
    </row>
    <row r="57" spans="1:16" x14ac:dyDescent="0.2">
      <c r="A57" s="18">
        <v>1978</v>
      </c>
      <c r="B57" s="32">
        <v>368</v>
      </c>
      <c r="C57" s="32">
        <v>191</v>
      </c>
      <c r="D57" s="32">
        <v>28</v>
      </c>
      <c r="E57" s="32">
        <v>8</v>
      </c>
      <c r="F57" s="32">
        <v>6</v>
      </c>
      <c r="G57" s="32">
        <v>5</v>
      </c>
      <c r="H57" s="32">
        <v>3</v>
      </c>
      <c r="I57" s="32">
        <v>1</v>
      </c>
      <c r="J57" s="32">
        <v>0</v>
      </c>
      <c r="K57" s="32">
        <v>0</v>
      </c>
      <c r="L57" s="32">
        <v>1</v>
      </c>
      <c r="M57" s="33">
        <v>0.14487865899107327</v>
      </c>
      <c r="N57" s="34">
        <f>SUM(B57:L57)</f>
        <v>611</v>
      </c>
      <c r="O57" s="33">
        <f>P57-N57</f>
        <v>0.1448786589910469</v>
      </c>
      <c r="P57" s="33">
        <f>SUM(B57:M57)</f>
        <v>611.14487865899105</v>
      </c>
    </row>
    <row r="58" spans="1:16" x14ac:dyDescent="0.2">
      <c r="A58" s="18">
        <v>1979</v>
      </c>
      <c r="B58" s="32">
        <v>393</v>
      </c>
      <c r="C58" s="32">
        <v>151</v>
      </c>
      <c r="D58" s="32">
        <v>25</v>
      </c>
      <c r="E58" s="32">
        <v>6</v>
      </c>
      <c r="F58" s="32">
        <v>4</v>
      </c>
      <c r="G58" s="32">
        <v>5</v>
      </c>
      <c r="H58" s="32">
        <v>4</v>
      </c>
      <c r="I58" s="32">
        <v>1</v>
      </c>
      <c r="J58" s="32">
        <v>2</v>
      </c>
      <c r="K58" s="32">
        <v>1</v>
      </c>
      <c r="L58" s="32">
        <v>0</v>
      </c>
      <c r="M58" s="33">
        <v>0.15325834520642714</v>
      </c>
      <c r="N58" s="34">
        <f t="shared" ref="N58:N64" si="18">SUM(B58:L58)</f>
        <v>592</v>
      </c>
      <c r="O58" s="33">
        <f t="shared" ref="O58:O74" si="19">P58-N58</f>
        <v>0.15325834520638182</v>
      </c>
      <c r="P58" s="33">
        <f t="shared" ref="P58:P73" si="20">SUM(B58:M58)</f>
        <v>592.15325834520638</v>
      </c>
    </row>
    <row r="59" spans="1:16" x14ac:dyDescent="0.2">
      <c r="A59" s="18">
        <v>1980</v>
      </c>
      <c r="B59" s="32">
        <v>517</v>
      </c>
      <c r="C59" s="32">
        <v>185</v>
      </c>
      <c r="D59" s="32">
        <v>29</v>
      </c>
      <c r="E59" s="32">
        <v>17</v>
      </c>
      <c r="F59" s="32">
        <v>11</v>
      </c>
      <c r="G59" s="32">
        <v>10</v>
      </c>
      <c r="H59" s="32">
        <v>8</v>
      </c>
      <c r="I59" s="32">
        <v>1</v>
      </c>
      <c r="J59" s="32">
        <v>0</v>
      </c>
      <c r="K59" s="32">
        <v>0</v>
      </c>
      <c r="L59" s="32">
        <v>1</v>
      </c>
      <c r="M59" s="33">
        <v>0.20039964907477475</v>
      </c>
      <c r="N59" s="34">
        <f t="shared" si="18"/>
        <v>779</v>
      </c>
      <c r="O59" s="33">
        <f t="shared" si="19"/>
        <v>0.20039964907482499</v>
      </c>
      <c r="P59" s="33">
        <f t="shared" si="20"/>
        <v>779.20039964907482</v>
      </c>
    </row>
    <row r="60" spans="1:16" x14ac:dyDescent="0.2">
      <c r="A60" s="18">
        <v>1981</v>
      </c>
      <c r="B60" s="32">
        <v>578</v>
      </c>
      <c r="C60" s="32">
        <v>254</v>
      </c>
      <c r="D60" s="32">
        <v>49</v>
      </c>
      <c r="E60" s="32">
        <v>22</v>
      </c>
      <c r="F60" s="32">
        <v>17</v>
      </c>
      <c r="G60" s="32">
        <v>6</v>
      </c>
      <c r="H60" s="32">
        <v>3</v>
      </c>
      <c r="I60" s="32">
        <v>0</v>
      </c>
      <c r="J60" s="32">
        <v>1</v>
      </c>
      <c r="K60" s="32">
        <v>0</v>
      </c>
      <c r="L60" s="32">
        <v>0</v>
      </c>
      <c r="M60" s="33">
        <v>0.20852822821165981</v>
      </c>
      <c r="N60" s="34">
        <f t="shared" si="18"/>
        <v>930</v>
      </c>
      <c r="O60" s="33">
        <f t="shared" si="19"/>
        <v>0.20852822821166228</v>
      </c>
      <c r="P60" s="33">
        <f t="shared" si="20"/>
        <v>930.20852822821166</v>
      </c>
    </row>
    <row r="61" spans="1:16" x14ac:dyDescent="0.2">
      <c r="A61" s="18">
        <v>1982</v>
      </c>
      <c r="B61" s="32">
        <v>622</v>
      </c>
      <c r="C61" s="32">
        <v>206</v>
      </c>
      <c r="D61" s="32">
        <v>39</v>
      </c>
      <c r="E61" s="32">
        <v>16</v>
      </c>
      <c r="F61" s="32">
        <v>3</v>
      </c>
      <c r="G61" s="32">
        <v>7</v>
      </c>
      <c r="H61" s="32">
        <v>0</v>
      </c>
      <c r="I61" s="32">
        <v>1</v>
      </c>
      <c r="J61" s="32">
        <v>0</v>
      </c>
      <c r="K61" s="32">
        <v>0</v>
      </c>
      <c r="L61" s="32">
        <v>0</v>
      </c>
      <c r="M61" s="33">
        <v>0.21629634718751709</v>
      </c>
      <c r="N61" s="34">
        <f t="shared" si="18"/>
        <v>894</v>
      </c>
      <c r="O61" s="33">
        <f t="shared" si="19"/>
        <v>0.21629634718749458</v>
      </c>
      <c r="P61" s="33">
        <f t="shared" si="20"/>
        <v>894.21629634718749</v>
      </c>
    </row>
    <row r="62" spans="1:16" x14ac:dyDescent="0.2">
      <c r="A62" s="18">
        <v>1983</v>
      </c>
      <c r="B62" s="32">
        <v>660</v>
      </c>
      <c r="C62" s="32">
        <v>243</v>
      </c>
      <c r="D62" s="32">
        <v>28</v>
      </c>
      <c r="E62" s="32">
        <v>12</v>
      </c>
      <c r="F62" s="32">
        <v>12</v>
      </c>
      <c r="G62" s="32">
        <v>4</v>
      </c>
      <c r="H62" s="32">
        <v>4</v>
      </c>
      <c r="I62" s="32">
        <v>1</v>
      </c>
      <c r="J62" s="32">
        <v>0</v>
      </c>
      <c r="K62" s="32">
        <v>0</v>
      </c>
      <c r="L62" s="32">
        <v>0</v>
      </c>
      <c r="M62" s="33">
        <v>0.22433379875560297</v>
      </c>
      <c r="N62" s="34">
        <f t="shared" si="18"/>
        <v>964</v>
      </c>
      <c r="O62" s="33">
        <f t="shared" si="19"/>
        <v>0.22433379875565151</v>
      </c>
      <c r="P62" s="33">
        <f t="shared" si="20"/>
        <v>964.22433379875565</v>
      </c>
    </row>
    <row r="63" spans="1:16" x14ac:dyDescent="0.2">
      <c r="A63" s="18">
        <v>1984</v>
      </c>
      <c r="B63" s="32">
        <v>666</v>
      </c>
      <c r="C63" s="32">
        <v>234</v>
      </c>
      <c r="D63" s="32">
        <v>53</v>
      </c>
      <c r="E63" s="32">
        <v>10</v>
      </c>
      <c r="F63" s="32">
        <v>8</v>
      </c>
      <c r="G63" s="32">
        <v>4</v>
      </c>
      <c r="H63" s="32">
        <v>6</v>
      </c>
      <c r="I63" s="32">
        <v>1</v>
      </c>
      <c r="J63" s="32">
        <v>0</v>
      </c>
      <c r="K63" s="32">
        <v>0</v>
      </c>
      <c r="L63" s="32">
        <v>0</v>
      </c>
      <c r="M63" s="33">
        <v>0.23147820014945716</v>
      </c>
      <c r="N63" s="34">
        <f t="shared" si="18"/>
        <v>982</v>
      </c>
      <c r="O63" s="33">
        <f t="shared" si="19"/>
        <v>0.23147820014946774</v>
      </c>
      <c r="P63" s="33">
        <f t="shared" si="20"/>
        <v>982.23147820014947</v>
      </c>
    </row>
    <row r="64" spans="1:16" x14ac:dyDescent="0.2">
      <c r="A64" s="18">
        <v>1985</v>
      </c>
      <c r="B64" s="32">
        <v>573</v>
      </c>
      <c r="C64" s="32">
        <v>266</v>
      </c>
      <c r="D64" s="32">
        <v>62</v>
      </c>
      <c r="E64" s="32">
        <v>12</v>
      </c>
      <c r="F64" s="32">
        <v>5</v>
      </c>
      <c r="G64" s="32">
        <v>7</v>
      </c>
      <c r="H64" s="32">
        <v>6</v>
      </c>
      <c r="I64" s="32">
        <v>5</v>
      </c>
      <c r="J64" s="32">
        <v>1</v>
      </c>
      <c r="K64" s="32">
        <v>0</v>
      </c>
      <c r="L64" s="32">
        <v>1</v>
      </c>
      <c r="M64" s="33">
        <v>0.23755134634565006</v>
      </c>
      <c r="N64" s="34">
        <f t="shared" si="18"/>
        <v>938</v>
      </c>
      <c r="O64" s="33">
        <f t="shared" si="19"/>
        <v>0.23755134634564001</v>
      </c>
      <c r="P64" s="33">
        <f t="shared" si="20"/>
        <v>938.23755134634564</v>
      </c>
    </row>
    <row r="65" spans="1:16" x14ac:dyDescent="0.2">
      <c r="A65" s="18">
        <v>1986</v>
      </c>
      <c r="B65" s="32">
        <v>582</v>
      </c>
      <c r="C65" s="32">
        <v>281</v>
      </c>
      <c r="D65" s="32">
        <v>32</v>
      </c>
      <c r="E65" s="32">
        <v>27</v>
      </c>
      <c r="F65" s="32">
        <v>12</v>
      </c>
      <c r="G65" s="32">
        <v>13</v>
      </c>
      <c r="H65" s="32">
        <v>6</v>
      </c>
      <c r="I65" s="32">
        <v>2</v>
      </c>
      <c r="J65" s="32">
        <v>1</v>
      </c>
      <c r="K65" s="32">
        <v>0</v>
      </c>
      <c r="L65" s="33">
        <v>0.21468404966480767</v>
      </c>
      <c r="M65" s="33">
        <v>0.24969763873803585</v>
      </c>
      <c r="N65" s="34">
        <f>SUM(B65:K65)</f>
        <v>956</v>
      </c>
      <c r="O65" s="33">
        <f t="shared" si="19"/>
        <v>0.46438168840279559</v>
      </c>
      <c r="P65" s="33">
        <f t="shared" si="20"/>
        <v>956.4643816884028</v>
      </c>
    </row>
    <row r="66" spans="1:16" x14ac:dyDescent="0.2">
      <c r="A66" s="18">
        <v>1987</v>
      </c>
      <c r="B66" s="32">
        <v>545</v>
      </c>
      <c r="C66" s="32">
        <v>220</v>
      </c>
      <c r="D66" s="32">
        <v>43</v>
      </c>
      <c r="E66" s="32">
        <v>18</v>
      </c>
      <c r="F66" s="32">
        <v>12</v>
      </c>
      <c r="G66" s="32">
        <v>9</v>
      </c>
      <c r="H66" s="32">
        <v>5</v>
      </c>
      <c r="I66" s="32">
        <v>2</v>
      </c>
      <c r="J66" s="32">
        <v>0</v>
      </c>
      <c r="K66" s="33">
        <v>0.40648186269287712</v>
      </c>
      <c r="L66" s="33">
        <v>0.21856495171748125</v>
      </c>
      <c r="M66" s="33">
        <v>0.25421149097922091</v>
      </c>
      <c r="N66" s="34">
        <f>SUM(B66:J66)</f>
        <v>854</v>
      </c>
      <c r="O66" s="33">
        <f t="shared" si="19"/>
        <v>0.87925830538949867</v>
      </c>
      <c r="P66" s="33">
        <f t="shared" si="20"/>
        <v>854.8792583053895</v>
      </c>
    </row>
    <row r="67" spans="1:16" x14ac:dyDescent="0.2">
      <c r="A67" s="18">
        <v>1988</v>
      </c>
      <c r="B67" s="32">
        <v>509</v>
      </c>
      <c r="C67" s="32">
        <v>266</v>
      </c>
      <c r="D67" s="32">
        <v>49</v>
      </c>
      <c r="E67" s="32">
        <v>22</v>
      </c>
      <c r="F67" s="32">
        <v>15</v>
      </c>
      <c r="G67" s="32">
        <v>4</v>
      </c>
      <c r="H67" s="32">
        <v>8</v>
      </c>
      <c r="I67" s="32">
        <v>0</v>
      </c>
      <c r="J67" s="33">
        <v>0.79048358868418134</v>
      </c>
      <c r="K67" s="33">
        <v>0.42504235305760646</v>
      </c>
      <c r="L67" s="33">
        <v>0.22854491159452234</v>
      </c>
      <c r="M67" s="33">
        <v>0.26581911818714943</v>
      </c>
      <c r="N67" s="34">
        <f>SUM(B67:I67)</f>
        <v>873</v>
      </c>
      <c r="O67" s="33">
        <f t="shared" si="19"/>
        <v>1.7098899715234666</v>
      </c>
      <c r="P67" s="33">
        <f t="shared" si="20"/>
        <v>874.70988997152347</v>
      </c>
    </row>
    <row r="68" spans="1:16" x14ac:dyDescent="0.2">
      <c r="A68" s="18">
        <v>1989</v>
      </c>
      <c r="B68" s="32">
        <v>589</v>
      </c>
      <c r="C68" s="32">
        <v>210</v>
      </c>
      <c r="D68" s="32">
        <v>29</v>
      </c>
      <c r="E68" s="32">
        <v>17</v>
      </c>
      <c r="F68" s="32">
        <v>12</v>
      </c>
      <c r="G68" s="32">
        <v>4</v>
      </c>
      <c r="H68" s="32">
        <v>9</v>
      </c>
      <c r="I68" s="33">
        <v>1.5641547328870478</v>
      </c>
      <c r="J68" s="33">
        <v>0.84104466902237041</v>
      </c>
      <c r="K68" s="33">
        <v>0.45222900293588064</v>
      </c>
      <c r="L68" s="33">
        <v>0.24316315010248418</v>
      </c>
      <c r="M68" s="33">
        <v>0.28282149746798829</v>
      </c>
      <c r="N68" s="34">
        <f>SUM(B68:H68)</f>
        <v>870</v>
      </c>
      <c r="O68" s="33">
        <f t="shared" si="19"/>
        <v>3.3834130524157899</v>
      </c>
      <c r="P68" s="33">
        <f t="shared" si="20"/>
        <v>873.38341305241579</v>
      </c>
    </row>
    <row r="69" spans="1:16" x14ac:dyDescent="0.2">
      <c r="A69" s="18">
        <v>1990</v>
      </c>
      <c r="B69" s="32">
        <v>564</v>
      </c>
      <c r="C69" s="32">
        <v>196</v>
      </c>
      <c r="D69" s="32">
        <v>23</v>
      </c>
      <c r="E69" s="32">
        <v>12</v>
      </c>
      <c r="F69" s="32">
        <v>9</v>
      </c>
      <c r="G69" s="32">
        <v>5</v>
      </c>
      <c r="H69" s="33">
        <v>3.1846264643077506</v>
      </c>
      <c r="I69" s="33">
        <v>1.7123709402393308</v>
      </c>
      <c r="J69" s="33">
        <v>0.92074039760688609</v>
      </c>
      <c r="K69" s="33">
        <v>0.49508132838717661</v>
      </c>
      <c r="L69" s="33">
        <v>0.26620480903702048</v>
      </c>
      <c r="M69" s="33">
        <v>0.30962110292327893</v>
      </c>
      <c r="N69" s="34">
        <f>SUM(B69:G69)</f>
        <v>809</v>
      </c>
      <c r="O69" s="33">
        <f t="shared" si="19"/>
        <v>6.88864504250148</v>
      </c>
      <c r="P69" s="33">
        <f t="shared" si="20"/>
        <v>815.88864504250148</v>
      </c>
    </row>
    <row r="70" spans="1:16" x14ac:dyDescent="0.2">
      <c r="A70" s="18">
        <v>1991</v>
      </c>
      <c r="B70" s="32">
        <v>607</v>
      </c>
      <c r="C70" s="32">
        <v>203</v>
      </c>
      <c r="D70" s="32">
        <v>29</v>
      </c>
      <c r="E70" s="32">
        <v>9</v>
      </c>
      <c r="F70" s="32">
        <v>7</v>
      </c>
      <c r="G70" s="33">
        <v>6.2107402830831058</v>
      </c>
      <c r="H70" s="33">
        <v>3.3395097658453574</v>
      </c>
      <c r="I70" s="33">
        <v>1.795651559694641</v>
      </c>
      <c r="J70" s="33">
        <v>0.96552031582922693</v>
      </c>
      <c r="K70" s="33">
        <v>0.5191594523146239</v>
      </c>
      <c r="L70" s="33">
        <v>0.27915159578609194</v>
      </c>
      <c r="M70" s="33">
        <v>0.32467942740306904</v>
      </c>
      <c r="N70" s="34">
        <f>SUM(B70:F70)</f>
        <v>855</v>
      </c>
      <c r="O70" s="33">
        <f t="shared" si="19"/>
        <v>13.434412399956159</v>
      </c>
      <c r="P70" s="33">
        <f t="shared" si="20"/>
        <v>868.43441239995616</v>
      </c>
    </row>
    <row r="71" spans="1:16" x14ac:dyDescent="0.2">
      <c r="A71" s="18">
        <v>1992</v>
      </c>
      <c r="B71" s="32">
        <v>674</v>
      </c>
      <c r="C71" s="32">
        <v>169</v>
      </c>
      <c r="D71" s="32">
        <v>20</v>
      </c>
      <c r="E71" s="32">
        <v>12</v>
      </c>
      <c r="F71" s="33">
        <v>10.071386460640293</v>
      </c>
      <c r="G71" s="33">
        <v>6.3102556094219953</v>
      </c>
      <c r="H71" s="33">
        <v>3.3930190721458029</v>
      </c>
      <c r="I71" s="33">
        <v>1.8244234681643414</v>
      </c>
      <c r="J71" s="33">
        <v>0.98099094653299146</v>
      </c>
      <c r="K71" s="33">
        <v>0.52747799728095146</v>
      </c>
      <c r="L71" s="33">
        <v>0.28362447033670579</v>
      </c>
      <c r="M71" s="33">
        <v>0.32988179905295889</v>
      </c>
      <c r="N71" s="34">
        <f>SUM(B71:E71)</f>
        <v>875</v>
      </c>
      <c r="O71" s="33">
        <f t="shared" si="19"/>
        <v>23.721059823575956</v>
      </c>
      <c r="P71" s="33">
        <f t="shared" si="20"/>
        <v>898.72105982357596</v>
      </c>
    </row>
    <row r="72" spans="1:16" x14ac:dyDescent="0.2">
      <c r="A72" s="18">
        <v>1993</v>
      </c>
      <c r="B72" s="32">
        <v>619</v>
      </c>
      <c r="C72" s="32">
        <v>190</v>
      </c>
      <c r="D72" s="32">
        <v>41</v>
      </c>
      <c r="E72" s="33">
        <v>11.785714285714286</v>
      </c>
      <c r="F72" s="33">
        <v>10.513130206872798</v>
      </c>
      <c r="G72" s="33">
        <v>6.5870314002711057</v>
      </c>
      <c r="H72" s="33">
        <v>3.5418411793924682</v>
      </c>
      <c r="I72" s="33">
        <v>1.9044449886065404</v>
      </c>
      <c r="J72" s="33">
        <v>1.024018449988966</v>
      </c>
      <c r="K72" s="33">
        <v>0.55061384927955426</v>
      </c>
      <c r="L72" s="33">
        <v>0.29606459827136367</v>
      </c>
      <c r="M72" s="33">
        <v>0.34435083192118099</v>
      </c>
      <c r="N72" s="34">
        <f>SUM(B72:D72)</f>
        <v>850</v>
      </c>
      <c r="O72" s="33">
        <f t="shared" si="19"/>
        <v>36.547209790318334</v>
      </c>
      <c r="P72" s="33">
        <f t="shared" si="20"/>
        <v>886.54720979031833</v>
      </c>
    </row>
    <row r="73" spans="1:16" x14ac:dyDescent="0.2">
      <c r="A73" s="18">
        <v>1994</v>
      </c>
      <c r="B73" s="32">
        <v>660</v>
      </c>
      <c r="C73" s="32">
        <v>161</v>
      </c>
      <c r="D73" s="33">
        <v>31.609727616993325</v>
      </c>
      <c r="E73" s="33">
        <v>12.007712244237869</v>
      </c>
      <c r="F73" s="33">
        <v>10.71115752936163</v>
      </c>
      <c r="G73" s="33">
        <v>6.7111059780303366</v>
      </c>
      <c r="H73" s="33">
        <v>3.60855597428555</v>
      </c>
      <c r="I73" s="33">
        <v>1.9403174770566964</v>
      </c>
      <c r="J73" s="33">
        <v>1.0433070565067386</v>
      </c>
      <c r="K73" s="33">
        <v>0.56098531659257378</v>
      </c>
      <c r="L73" s="33">
        <v>0.30164132742107802</v>
      </c>
      <c r="M73" s="33">
        <v>0.35083708976259681</v>
      </c>
      <c r="N73" s="34">
        <f>SUM(B73:C73)</f>
        <v>821</v>
      </c>
      <c r="O73" s="33">
        <f t="shared" si="19"/>
        <v>68.845347610248382</v>
      </c>
      <c r="P73" s="33">
        <f t="shared" si="20"/>
        <v>889.84534761024838</v>
      </c>
    </row>
    <row r="74" spans="1:16" x14ac:dyDescent="0.2">
      <c r="A74" s="18">
        <v>1995</v>
      </c>
      <c r="B74" s="32">
        <v>660</v>
      </c>
      <c r="C74" s="33">
        <v>180.73999442900237</v>
      </c>
      <c r="D74" s="33">
        <v>32.101075260097794</v>
      </c>
      <c r="E74" s="33">
        <v>12.194362416671217</v>
      </c>
      <c r="F74" s="33">
        <v>10.877653807682712</v>
      </c>
      <c r="G74" s="33">
        <v>6.8154246910823533</v>
      </c>
      <c r="H74" s="33">
        <v>3.6646480575347127</v>
      </c>
      <c r="I74" s="33">
        <v>1.9704781424941831</v>
      </c>
      <c r="J74" s="33">
        <v>1.059524420650467</v>
      </c>
      <c r="K74" s="33">
        <v>0.56970537949421651</v>
      </c>
      <c r="L74" s="33">
        <v>0.30633009782388188</v>
      </c>
      <c r="M74" s="33">
        <v>0.35629056849095542</v>
      </c>
      <c r="N74" s="34">
        <f>SUM(B74)</f>
        <v>660</v>
      </c>
      <c r="O74" s="33">
        <f t="shared" si="19"/>
        <v>250.65548727102475</v>
      </c>
      <c r="P74" s="33">
        <f>SUM(B74:M74)</f>
        <v>910.65548727102475</v>
      </c>
    </row>
    <row r="75" spans="1:16" x14ac:dyDescent="0.2">
      <c r="O75" s="22"/>
      <c r="P75" s="22"/>
    </row>
    <row r="76" spans="1:16" ht="17" thickBot="1" x14ac:dyDescent="0.25">
      <c r="O76" s="35">
        <f>SUM(O57:O74)</f>
        <v>408.14582952927879</v>
      </c>
      <c r="P76" s="22"/>
    </row>
    <row r="77" spans="1:16" ht="17" thickTop="1" x14ac:dyDescent="0.2"/>
    <row r="78" spans="1:16" x14ac:dyDescent="0.2">
      <c r="A78" s="22"/>
    </row>
    <row r="79" spans="1:16" x14ac:dyDescent="0.2">
      <c r="A79" s="22" t="s">
        <v>231</v>
      </c>
    </row>
    <row r="81" spans="1:19" x14ac:dyDescent="0.2">
      <c r="A81" s="19" t="s">
        <v>216</v>
      </c>
      <c r="B81" s="22" t="s">
        <v>225</v>
      </c>
      <c r="C81" s="22"/>
      <c r="D81" s="22"/>
      <c r="E81" s="22"/>
      <c r="F81" s="22"/>
      <c r="G81" s="22"/>
      <c r="H81" s="22"/>
      <c r="I81" s="22"/>
      <c r="J81" s="22"/>
      <c r="K81" s="22"/>
      <c r="L81" s="22"/>
    </row>
    <row r="82" spans="1:19" x14ac:dyDescent="0.2">
      <c r="A82" s="19" t="s">
        <v>218</v>
      </c>
      <c r="B82" s="22">
        <v>0</v>
      </c>
      <c r="C82" s="22">
        <v>1</v>
      </c>
      <c r="D82" s="22">
        <v>2</v>
      </c>
      <c r="E82" s="22">
        <v>3</v>
      </c>
      <c r="F82" s="22">
        <v>4</v>
      </c>
      <c r="G82" s="22">
        <v>5</v>
      </c>
      <c r="H82" s="22">
        <v>6</v>
      </c>
      <c r="I82" s="22">
        <v>7</v>
      </c>
      <c r="J82" s="22">
        <v>8</v>
      </c>
      <c r="K82" s="22">
        <v>9</v>
      </c>
      <c r="L82" s="22">
        <v>10</v>
      </c>
      <c r="M82" s="22">
        <v>11</v>
      </c>
      <c r="N82" s="22">
        <v>12</v>
      </c>
      <c r="O82" s="22">
        <v>13</v>
      </c>
      <c r="P82" s="22">
        <v>14</v>
      </c>
      <c r="Q82" s="22">
        <v>15</v>
      </c>
      <c r="R82" s="22">
        <v>16</v>
      </c>
      <c r="S82" s="22">
        <v>17</v>
      </c>
    </row>
    <row r="83" spans="1:19" x14ac:dyDescent="0.2">
      <c r="A83" s="30"/>
    </row>
    <row r="84" spans="1:19" x14ac:dyDescent="0.2">
      <c r="A84" s="18">
        <v>1978</v>
      </c>
      <c r="B84" s="32">
        <f>SUM($B57:B57)</f>
        <v>368</v>
      </c>
      <c r="C84" s="32">
        <f>SUM($B57:C57)</f>
        <v>559</v>
      </c>
      <c r="D84" s="32">
        <f>SUM($B57:D57)</f>
        <v>587</v>
      </c>
      <c r="E84" s="32">
        <f>SUM($B57:E57)</f>
        <v>595</v>
      </c>
      <c r="F84" s="32">
        <f>SUM($B57:F57)</f>
        <v>601</v>
      </c>
      <c r="G84" s="32">
        <f>SUM($B57:G57)</f>
        <v>606</v>
      </c>
      <c r="H84" s="32">
        <f>SUM($B57:H57)</f>
        <v>609</v>
      </c>
      <c r="I84" s="32">
        <f>SUM($B57:I57)</f>
        <v>610</v>
      </c>
      <c r="J84" s="32">
        <f>SUM($B57:J57)</f>
        <v>610</v>
      </c>
      <c r="K84" s="32">
        <f>SUM($B57:K57)</f>
        <v>610</v>
      </c>
      <c r="L84" s="32">
        <f>SUM($B57:L57)</f>
        <v>611</v>
      </c>
      <c r="M84" s="32">
        <f>SUM($B57:M57)</f>
        <v>611.14487865899105</v>
      </c>
      <c r="N84" s="32">
        <f>M84</f>
        <v>611.14487865899105</v>
      </c>
      <c r="O84" s="32">
        <f t="shared" ref="O84:S88" si="21">N84</f>
        <v>611.14487865899105</v>
      </c>
      <c r="P84" s="32">
        <f t="shared" si="21"/>
        <v>611.14487865899105</v>
      </c>
      <c r="Q84" s="32">
        <f t="shared" si="21"/>
        <v>611.14487865899105</v>
      </c>
      <c r="R84" s="32">
        <f t="shared" si="21"/>
        <v>611.14487865899105</v>
      </c>
      <c r="S84" s="32">
        <f t="shared" si="21"/>
        <v>611.14487865899105</v>
      </c>
    </row>
    <row r="85" spans="1:19" x14ac:dyDescent="0.2">
      <c r="A85" s="18">
        <v>1979</v>
      </c>
      <c r="B85" s="32">
        <v>393</v>
      </c>
      <c r="C85" s="32">
        <f>SUM($B58:C58)</f>
        <v>544</v>
      </c>
      <c r="D85" s="32">
        <f>SUM($B58:D58)</f>
        <v>569</v>
      </c>
      <c r="E85" s="32">
        <f>SUM($B58:E58)</f>
        <v>575</v>
      </c>
      <c r="F85" s="32">
        <f>SUM($B58:F58)</f>
        <v>579</v>
      </c>
      <c r="G85" s="32">
        <f>SUM($B58:G58)</f>
        <v>584</v>
      </c>
      <c r="H85" s="32">
        <f>SUM($B58:H58)</f>
        <v>588</v>
      </c>
      <c r="I85" s="32">
        <f>SUM($B58:I58)</f>
        <v>589</v>
      </c>
      <c r="J85" s="32">
        <f>SUM($B58:J58)</f>
        <v>591</v>
      </c>
      <c r="K85" s="32">
        <f>SUM($B58:K58)</f>
        <v>592</v>
      </c>
      <c r="L85" s="32">
        <f>SUM($B58:L58)</f>
        <v>592</v>
      </c>
      <c r="M85" s="32">
        <f>SUM($B58:M58)</f>
        <v>592.15325834520638</v>
      </c>
      <c r="N85" s="32">
        <f t="shared" ref="N85:N89" si="22">M85</f>
        <v>592.15325834520638</v>
      </c>
      <c r="O85" s="32">
        <f t="shared" si="21"/>
        <v>592.15325834520638</v>
      </c>
      <c r="P85" s="32">
        <f t="shared" si="21"/>
        <v>592.15325834520638</v>
      </c>
      <c r="Q85" s="32">
        <f t="shared" si="21"/>
        <v>592.15325834520638</v>
      </c>
      <c r="R85" s="32">
        <f t="shared" si="21"/>
        <v>592.15325834520638</v>
      </c>
    </row>
    <row r="86" spans="1:19" x14ac:dyDescent="0.2">
      <c r="A86" s="18">
        <v>1980</v>
      </c>
      <c r="B86" s="32">
        <v>517</v>
      </c>
      <c r="C86" s="32">
        <f>SUM($B59:C59)</f>
        <v>702</v>
      </c>
      <c r="D86" s="32">
        <f>SUM($B59:D59)</f>
        <v>731</v>
      </c>
      <c r="E86" s="32">
        <f>SUM($B59:E59)</f>
        <v>748</v>
      </c>
      <c r="F86" s="32">
        <f>SUM($B59:F59)</f>
        <v>759</v>
      </c>
      <c r="G86" s="32">
        <f>SUM($B59:G59)</f>
        <v>769</v>
      </c>
      <c r="H86" s="32">
        <f>SUM($B59:H59)</f>
        <v>777</v>
      </c>
      <c r="I86" s="32">
        <f>SUM($B59:I59)</f>
        <v>778</v>
      </c>
      <c r="J86" s="32">
        <f>SUM($B59:J59)</f>
        <v>778</v>
      </c>
      <c r="K86" s="32">
        <f>SUM($B59:K59)</f>
        <v>778</v>
      </c>
      <c r="L86" s="32">
        <f>SUM($B59:L59)</f>
        <v>779</v>
      </c>
      <c r="M86" s="32">
        <f>SUM($B59:M59)</f>
        <v>779.20039964907482</v>
      </c>
      <c r="N86" s="32">
        <f t="shared" si="22"/>
        <v>779.20039964907482</v>
      </c>
      <c r="O86" s="32">
        <f t="shared" si="21"/>
        <v>779.20039964907482</v>
      </c>
      <c r="P86" s="32">
        <f t="shared" si="21"/>
        <v>779.20039964907482</v>
      </c>
      <c r="Q86" s="32">
        <f t="shared" si="21"/>
        <v>779.20039964907482</v>
      </c>
    </row>
    <row r="87" spans="1:19" x14ac:dyDescent="0.2">
      <c r="A87" s="18">
        <v>1981</v>
      </c>
      <c r="B87" s="32">
        <v>578</v>
      </c>
      <c r="C87" s="32">
        <f>SUM($B60:C60)</f>
        <v>832</v>
      </c>
      <c r="D87" s="32">
        <f>SUM($B60:D60)</f>
        <v>881</v>
      </c>
      <c r="E87" s="32">
        <f>SUM($B60:E60)</f>
        <v>903</v>
      </c>
      <c r="F87" s="32">
        <f>SUM($B60:F60)</f>
        <v>920</v>
      </c>
      <c r="G87" s="32">
        <f>SUM($B60:G60)</f>
        <v>926</v>
      </c>
      <c r="H87" s="32">
        <f>SUM($B60:H60)</f>
        <v>929</v>
      </c>
      <c r="I87" s="32">
        <f>SUM($B60:I60)</f>
        <v>929</v>
      </c>
      <c r="J87" s="32">
        <f>SUM($B60:J60)</f>
        <v>930</v>
      </c>
      <c r="K87" s="32">
        <f>SUM($B60:K60)</f>
        <v>930</v>
      </c>
      <c r="L87" s="32">
        <f>SUM($B60:L60)</f>
        <v>930</v>
      </c>
      <c r="M87" s="32">
        <f>SUM($B60:M60)</f>
        <v>930.20852822821166</v>
      </c>
      <c r="N87" s="32">
        <f t="shared" si="22"/>
        <v>930.20852822821166</v>
      </c>
      <c r="O87" s="32">
        <f t="shared" si="21"/>
        <v>930.20852822821166</v>
      </c>
      <c r="P87" s="32">
        <f t="shared" si="21"/>
        <v>930.20852822821166</v>
      </c>
    </row>
    <row r="88" spans="1:19" x14ac:dyDescent="0.2">
      <c r="A88" s="18">
        <v>1982</v>
      </c>
      <c r="B88" s="32">
        <v>622</v>
      </c>
      <c r="C88" s="32">
        <f>SUM($B61:C61)</f>
        <v>828</v>
      </c>
      <c r="D88" s="32">
        <f>SUM($B61:D61)</f>
        <v>867</v>
      </c>
      <c r="E88" s="32">
        <f>SUM($B61:E61)</f>
        <v>883</v>
      </c>
      <c r="F88" s="32">
        <f>SUM($B61:F61)</f>
        <v>886</v>
      </c>
      <c r="G88" s="32">
        <f>SUM($B61:G61)</f>
        <v>893</v>
      </c>
      <c r="H88" s="32">
        <f>SUM($B61:H61)</f>
        <v>893</v>
      </c>
      <c r="I88" s="32">
        <f>SUM($B61:I61)</f>
        <v>894</v>
      </c>
      <c r="J88" s="32">
        <f>SUM($B61:J61)</f>
        <v>894</v>
      </c>
      <c r="K88" s="32">
        <f>SUM($B61:K61)</f>
        <v>894</v>
      </c>
      <c r="L88" s="32">
        <f>SUM($B61:L61)</f>
        <v>894</v>
      </c>
      <c r="M88" s="32">
        <f>SUM($B61:M61)</f>
        <v>894.21629634718749</v>
      </c>
      <c r="N88" s="32">
        <f t="shared" si="22"/>
        <v>894.21629634718749</v>
      </c>
      <c r="O88" s="32">
        <f t="shared" si="21"/>
        <v>894.21629634718749</v>
      </c>
    </row>
    <row r="89" spans="1:19" x14ac:dyDescent="0.2">
      <c r="A89" s="18">
        <v>1983</v>
      </c>
      <c r="B89" s="32">
        <v>660</v>
      </c>
      <c r="C89" s="32">
        <f>SUM($B62:C62)</f>
        <v>903</v>
      </c>
      <c r="D89" s="32">
        <f>SUM($B62:D62)</f>
        <v>931</v>
      </c>
      <c r="E89" s="32">
        <f>SUM($B62:E62)</f>
        <v>943</v>
      </c>
      <c r="F89" s="32">
        <f>SUM($B62:F62)</f>
        <v>955</v>
      </c>
      <c r="G89" s="32">
        <f>SUM($B62:G62)</f>
        <v>959</v>
      </c>
      <c r="H89" s="32">
        <f>SUM($B62:H62)</f>
        <v>963</v>
      </c>
      <c r="I89" s="32">
        <f>SUM($B62:I62)</f>
        <v>964</v>
      </c>
      <c r="J89" s="32">
        <f>SUM($B62:J62)</f>
        <v>964</v>
      </c>
      <c r="K89" s="32">
        <f>SUM($B62:K62)</f>
        <v>964</v>
      </c>
      <c r="L89" s="32">
        <f>SUM($B62:L62)</f>
        <v>964</v>
      </c>
      <c r="M89" s="32">
        <f>SUM($B62:M62)</f>
        <v>964.22433379875565</v>
      </c>
      <c r="N89" s="32">
        <f t="shared" si="22"/>
        <v>964.22433379875565</v>
      </c>
    </row>
    <row r="90" spans="1:19" x14ac:dyDescent="0.2">
      <c r="A90" s="18">
        <v>1984</v>
      </c>
      <c r="B90" s="32">
        <v>666</v>
      </c>
      <c r="C90" s="32">
        <f>SUM($B63:C63)</f>
        <v>900</v>
      </c>
      <c r="D90" s="32">
        <f>SUM($B63:D63)</f>
        <v>953</v>
      </c>
      <c r="E90" s="32">
        <f>SUM($B63:E63)</f>
        <v>963</v>
      </c>
      <c r="F90" s="32">
        <f>SUM($B63:F63)</f>
        <v>971</v>
      </c>
      <c r="G90" s="32">
        <f>SUM($B63:G63)</f>
        <v>975</v>
      </c>
      <c r="H90" s="32">
        <f>SUM($B63:H63)</f>
        <v>981</v>
      </c>
      <c r="I90" s="32">
        <f>SUM($B63:I63)</f>
        <v>982</v>
      </c>
      <c r="J90" s="32">
        <f>SUM($B63:J63)</f>
        <v>982</v>
      </c>
      <c r="K90" s="32">
        <f>SUM($B63:K63)</f>
        <v>982</v>
      </c>
      <c r="L90" s="32">
        <f>SUM($B63:L63)</f>
        <v>982</v>
      </c>
      <c r="M90" s="32">
        <f>SUM($B63:M63)</f>
        <v>982.23147820014947</v>
      </c>
    </row>
    <row r="91" spans="1:19" x14ac:dyDescent="0.2">
      <c r="A91" s="18">
        <v>1985</v>
      </c>
      <c r="B91" s="32">
        <v>573</v>
      </c>
      <c r="C91" s="32">
        <f>SUM($B64:C64)</f>
        <v>839</v>
      </c>
      <c r="D91" s="32">
        <f>SUM($B64:D64)</f>
        <v>901</v>
      </c>
      <c r="E91" s="32">
        <f>SUM($B64:E64)</f>
        <v>913</v>
      </c>
      <c r="F91" s="32">
        <f>SUM($B64:F64)</f>
        <v>918</v>
      </c>
      <c r="G91" s="32">
        <f>SUM($B64:G64)</f>
        <v>925</v>
      </c>
      <c r="H91" s="32">
        <f>SUM($B64:H64)</f>
        <v>931</v>
      </c>
      <c r="I91" s="32">
        <f>SUM($B64:I64)</f>
        <v>936</v>
      </c>
      <c r="J91" s="32">
        <f>SUM($B64:J64)</f>
        <v>937</v>
      </c>
      <c r="K91" s="32">
        <f>SUM($B64:K64)</f>
        <v>937</v>
      </c>
      <c r="L91" s="32">
        <f>SUM($B64:L64)</f>
        <v>938</v>
      </c>
    </row>
    <row r="92" spans="1:19" x14ac:dyDescent="0.2">
      <c r="A92" s="18">
        <v>1986</v>
      </c>
      <c r="B92" s="32">
        <v>582</v>
      </c>
      <c r="C92" s="32">
        <f>SUM($B65:C65)</f>
        <v>863</v>
      </c>
      <c r="D92" s="32">
        <f>SUM($B65:D65)</f>
        <v>895</v>
      </c>
      <c r="E92" s="32">
        <f>SUM($B65:E65)</f>
        <v>922</v>
      </c>
      <c r="F92" s="32">
        <f>SUM($B65:F65)</f>
        <v>934</v>
      </c>
      <c r="G92" s="32">
        <f>SUM($B65:G65)</f>
        <v>947</v>
      </c>
      <c r="H92" s="32">
        <f>SUM($B65:H65)</f>
        <v>953</v>
      </c>
      <c r="I92" s="32">
        <f>SUM($B65:I65)</f>
        <v>955</v>
      </c>
      <c r="J92" s="32">
        <f>SUM($B65:J65)</f>
        <v>956</v>
      </c>
      <c r="K92" s="32">
        <f>SUM($B65:K65)</f>
        <v>956</v>
      </c>
      <c r="L92" s="33"/>
    </row>
    <row r="93" spans="1:19" x14ac:dyDescent="0.2">
      <c r="A93" s="18">
        <v>1987</v>
      </c>
      <c r="B93" s="32">
        <v>545</v>
      </c>
      <c r="C93" s="32">
        <f>SUM($B66:C66)</f>
        <v>765</v>
      </c>
      <c r="D93" s="32">
        <f>SUM($B66:D66)</f>
        <v>808</v>
      </c>
      <c r="E93" s="32">
        <f>SUM($B66:E66)</f>
        <v>826</v>
      </c>
      <c r="F93" s="32">
        <f>SUM($B66:F66)</f>
        <v>838</v>
      </c>
      <c r="G93" s="32">
        <f>SUM($B66:G66)</f>
        <v>847</v>
      </c>
      <c r="H93" s="32">
        <f>SUM($B66:H66)</f>
        <v>852</v>
      </c>
      <c r="I93" s="32">
        <f>SUM($B66:I66)</f>
        <v>854</v>
      </c>
      <c r="J93" s="32">
        <f>SUM($B66:J66)</f>
        <v>854</v>
      </c>
      <c r="K93" s="33"/>
      <c r="L93" s="33"/>
    </row>
    <row r="94" spans="1:19" x14ac:dyDescent="0.2">
      <c r="A94" s="18">
        <v>1988</v>
      </c>
      <c r="B94" s="32">
        <v>509</v>
      </c>
      <c r="C94" s="32">
        <f>SUM($B67:C67)</f>
        <v>775</v>
      </c>
      <c r="D94" s="32">
        <f>SUM($B67:D67)</f>
        <v>824</v>
      </c>
      <c r="E94" s="32">
        <f>SUM($B67:E67)</f>
        <v>846</v>
      </c>
      <c r="F94" s="32">
        <f>SUM($B67:F67)</f>
        <v>861</v>
      </c>
      <c r="G94" s="32">
        <f>SUM($B67:G67)</f>
        <v>865</v>
      </c>
      <c r="H94" s="32">
        <f>SUM($B67:H67)</f>
        <v>873</v>
      </c>
      <c r="I94" s="32">
        <f>SUM($B67:I67)</f>
        <v>873</v>
      </c>
      <c r="J94" s="33"/>
      <c r="K94" s="33"/>
      <c r="L94" s="33"/>
    </row>
    <row r="95" spans="1:19" x14ac:dyDescent="0.2">
      <c r="A95" s="18">
        <v>1989</v>
      </c>
      <c r="B95" s="32">
        <v>589</v>
      </c>
      <c r="C95" s="32">
        <f>SUM($B68:C68)</f>
        <v>799</v>
      </c>
      <c r="D95" s="32">
        <f>SUM($B68:D68)</f>
        <v>828</v>
      </c>
      <c r="E95" s="32">
        <f>SUM($B68:E68)</f>
        <v>845</v>
      </c>
      <c r="F95" s="32">
        <f>SUM($B68:F68)</f>
        <v>857</v>
      </c>
      <c r="G95" s="32">
        <f>SUM($B68:G68)</f>
        <v>861</v>
      </c>
      <c r="H95" s="32">
        <f>SUM($B68:H68)</f>
        <v>870</v>
      </c>
      <c r="I95" s="33"/>
      <c r="J95" s="33"/>
      <c r="K95" s="33"/>
      <c r="L95" s="33"/>
    </row>
    <row r="96" spans="1:19" x14ac:dyDescent="0.2">
      <c r="A96" s="18">
        <v>1990</v>
      </c>
      <c r="B96" s="32">
        <v>564</v>
      </c>
      <c r="C96" s="32">
        <f>SUM($B69:C69)</f>
        <v>760</v>
      </c>
      <c r="D96" s="32">
        <f>SUM($B69:D69)</f>
        <v>783</v>
      </c>
      <c r="E96" s="32">
        <f>SUM($B69:E69)</f>
        <v>795</v>
      </c>
      <c r="F96" s="32">
        <f>SUM($B69:F69)</f>
        <v>804</v>
      </c>
      <c r="G96" s="32">
        <f>SUM($B69:G69)</f>
        <v>809</v>
      </c>
      <c r="H96" s="33"/>
      <c r="I96" s="33"/>
      <c r="J96" s="33"/>
      <c r="K96" s="33"/>
      <c r="L96" s="33"/>
    </row>
    <row r="97" spans="1:19" x14ac:dyDescent="0.2">
      <c r="A97" s="18">
        <v>1991</v>
      </c>
      <c r="B97" s="32">
        <v>607</v>
      </c>
      <c r="C97" s="32">
        <f>SUM($B70:C70)</f>
        <v>810</v>
      </c>
      <c r="D97" s="32">
        <f>SUM($B70:D70)</f>
        <v>839</v>
      </c>
      <c r="E97" s="32">
        <f>SUM($B70:E70)</f>
        <v>848</v>
      </c>
      <c r="F97" s="32">
        <f>SUM($B70:F70)</f>
        <v>855</v>
      </c>
      <c r="G97" s="33"/>
      <c r="H97" s="33"/>
      <c r="I97" s="33"/>
      <c r="J97" s="33"/>
      <c r="K97" s="33"/>
      <c r="L97" s="33"/>
    </row>
    <row r="98" spans="1:19" x14ac:dyDescent="0.2">
      <c r="A98" s="18">
        <v>1992</v>
      </c>
      <c r="B98" s="32">
        <v>674</v>
      </c>
      <c r="C98" s="32">
        <f>SUM($B71:C71)</f>
        <v>843</v>
      </c>
      <c r="D98" s="32">
        <f>SUM($B71:D71)</f>
        <v>863</v>
      </c>
      <c r="E98" s="32">
        <f>SUM($B71:E71)</f>
        <v>875</v>
      </c>
      <c r="F98" s="33"/>
      <c r="G98" s="33"/>
      <c r="H98" s="33"/>
      <c r="I98" s="33"/>
      <c r="J98" s="33"/>
      <c r="K98" s="33"/>
      <c r="L98" s="33"/>
    </row>
    <row r="99" spans="1:19" x14ac:dyDescent="0.2">
      <c r="A99" s="18">
        <v>1993</v>
      </c>
      <c r="B99" s="32">
        <v>619</v>
      </c>
      <c r="C99" s="32">
        <f>SUM($B72:C72)</f>
        <v>809</v>
      </c>
      <c r="D99" s="32">
        <f>SUM($B72:D72)</f>
        <v>850</v>
      </c>
      <c r="E99" s="33"/>
      <c r="F99" s="33"/>
      <c r="G99" s="33"/>
      <c r="H99" s="33"/>
      <c r="I99" s="33"/>
      <c r="J99" s="33"/>
      <c r="K99" s="33"/>
      <c r="L99" s="33"/>
    </row>
    <row r="100" spans="1:19" x14ac:dyDescent="0.2">
      <c r="A100" s="18">
        <v>1994</v>
      </c>
      <c r="B100" s="32">
        <v>660</v>
      </c>
      <c r="C100" s="32">
        <f>SUM($B73:C73)</f>
        <v>821</v>
      </c>
      <c r="D100" s="33"/>
      <c r="E100" s="33"/>
      <c r="F100" s="33"/>
      <c r="G100" s="33"/>
      <c r="H100" s="33"/>
      <c r="I100" s="33"/>
      <c r="J100" s="33"/>
      <c r="K100" s="33"/>
      <c r="L100" s="33"/>
    </row>
    <row r="101" spans="1:19" x14ac:dyDescent="0.2">
      <c r="A101" s="18">
        <v>1995</v>
      </c>
      <c r="B101" s="32">
        <v>660</v>
      </c>
      <c r="C101" s="33"/>
      <c r="D101" s="33"/>
      <c r="E101" s="33"/>
      <c r="F101" s="33"/>
      <c r="G101" s="33"/>
      <c r="H101" s="33"/>
      <c r="I101" s="33"/>
      <c r="J101" s="33"/>
      <c r="K101" s="33"/>
      <c r="L101" s="33"/>
    </row>
    <row r="103" spans="1:19" x14ac:dyDescent="0.2">
      <c r="A103" s="19" t="s">
        <v>216</v>
      </c>
      <c r="B103" s="16" t="s">
        <v>232</v>
      </c>
      <c r="C103" s="21"/>
      <c r="D103" s="21"/>
      <c r="E103" s="21"/>
      <c r="F103" s="21"/>
      <c r="G103" s="21"/>
      <c r="H103" s="21"/>
      <c r="I103" s="21"/>
      <c r="J103" s="21"/>
      <c r="K103" s="21"/>
      <c r="L103" s="21"/>
      <c r="M103" s="21"/>
      <c r="N103" s="21"/>
      <c r="O103" s="21"/>
      <c r="P103" s="21"/>
      <c r="Q103" s="21"/>
      <c r="R103" s="21"/>
      <c r="S103" s="21"/>
    </row>
    <row r="104" spans="1:19" x14ac:dyDescent="0.2">
      <c r="A104" s="23" t="s">
        <v>218</v>
      </c>
      <c r="B104" s="21">
        <v>0</v>
      </c>
      <c r="C104" s="21">
        <f t="shared" ref="C104:S104" si="23">B104+1</f>
        <v>1</v>
      </c>
      <c r="D104" s="21">
        <f t="shared" si="23"/>
        <v>2</v>
      </c>
      <c r="E104" s="21">
        <f t="shared" si="23"/>
        <v>3</v>
      </c>
      <c r="F104" s="21">
        <f t="shared" si="23"/>
        <v>4</v>
      </c>
      <c r="G104" s="21">
        <f t="shared" si="23"/>
        <v>5</v>
      </c>
      <c r="H104" s="21">
        <f t="shared" si="23"/>
        <v>6</v>
      </c>
      <c r="I104" s="21">
        <f t="shared" si="23"/>
        <v>7</v>
      </c>
      <c r="J104" s="21">
        <f t="shared" si="23"/>
        <v>8</v>
      </c>
      <c r="K104" s="21">
        <f t="shared" si="23"/>
        <v>9</v>
      </c>
      <c r="L104" s="21">
        <f t="shared" si="23"/>
        <v>10</v>
      </c>
      <c r="M104" s="21">
        <f t="shared" si="23"/>
        <v>11</v>
      </c>
      <c r="N104" s="21">
        <f t="shared" si="23"/>
        <v>12</v>
      </c>
      <c r="O104" s="21">
        <f t="shared" si="23"/>
        <v>13</v>
      </c>
      <c r="P104" s="21">
        <f t="shared" si="23"/>
        <v>14</v>
      </c>
      <c r="Q104" s="21">
        <f t="shared" si="23"/>
        <v>15</v>
      </c>
      <c r="R104" s="21">
        <f t="shared" si="23"/>
        <v>16</v>
      </c>
      <c r="S104" s="21">
        <f t="shared" si="23"/>
        <v>17</v>
      </c>
    </row>
    <row r="105" spans="1:19" x14ac:dyDescent="0.2">
      <c r="B105" s="25" t="s">
        <v>219</v>
      </c>
      <c r="C105" s="25" t="s">
        <v>219</v>
      </c>
      <c r="D105" s="25" t="s">
        <v>219</v>
      </c>
      <c r="E105" s="25" t="s">
        <v>219</v>
      </c>
      <c r="F105" s="25" t="s">
        <v>219</v>
      </c>
      <c r="G105" s="25" t="s">
        <v>219</v>
      </c>
      <c r="H105" s="25" t="s">
        <v>219</v>
      </c>
      <c r="I105" s="25" t="s">
        <v>219</v>
      </c>
      <c r="J105" s="25" t="s">
        <v>219</v>
      </c>
      <c r="K105" s="25" t="s">
        <v>219</v>
      </c>
      <c r="L105" s="25" t="s">
        <v>219</v>
      </c>
      <c r="M105" s="25" t="s">
        <v>219</v>
      </c>
      <c r="N105" s="25" t="s">
        <v>219</v>
      </c>
      <c r="O105" s="25" t="s">
        <v>219</v>
      </c>
      <c r="P105" s="25" t="s">
        <v>219</v>
      </c>
      <c r="Q105" s="25" t="s">
        <v>219</v>
      </c>
      <c r="R105" s="25" t="s">
        <v>219</v>
      </c>
      <c r="S105" s="25" t="s">
        <v>219</v>
      </c>
    </row>
    <row r="107" spans="1:19" x14ac:dyDescent="0.2">
      <c r="A107" s="18">
        <f>A84</f>
        <v>1978</v>
      </c>
      <c r="B107" s="26">
        <f t="shared" ref="B107:S119" si="24">C31/B84</f>
        <v>25.184782608695652</v>
      </c>
      <c r="C107" s="26">
        <f t="shared" si="24"/>
        <v>32.670840787119857</v>
      </c>
      <c r="D107" s="26">
        <f t="shared" si="24"/>
        <v>34.381601362862007</v>
      </c>
      <c r="E107" s="26">
        <f t="shared" si="24"/>
        <v>37.618487394957981</v>
      </c>
      <c r="F107" s="26">
        <f t="shared" si="24"/>
        <v>37.906821963394343</v>
      </c>
      <c r="G107" s="26">
        <f t="shared" si="24"/>
        <v>43.478547854785475</v>
      </c>
      <c r="H107" s="26">
        <f t="shared" si="24"/>
        <v>42.975369458128078</v>
      </c>
      <c r="I107" s="26">
        <f t="shared" si="24"/>
        <v>42.924590163934425</v>
      </c>
      <c r="J107" s="26">
        <f t="shared" si="24"/>
        <v>41.729508196721312</v>
      </c>
      <c r="K107" s="26">
        <f t="shared" si="24"/>
        <v>42.196721311475407</v>
      </c>
      <c r="L107" s="26">
        <f t="shared" si="24"/>
        <v>42.080196399345333</v>
      </c>
      <c r="M107" s="26">
        <f t="shared" si="24"/>
        <v>41.646426058332075</v>
      </c>
      <c r="N107" s="26">
        <f t="shared" si="24"/>
        <v>41.659516244111842</v>
      </c>
      <c r="O107" s="26">
        <f t="shared" si="24"/>
        <v>41.597337861657948</v>
      </c>
      <c r="P107" s="26">
        <f t="shared" si="24"/>
        <v>41.538432025648987</v>
      </c>
      <c r="Q107" s="26">
        <f t="shared" si="24"/>
        <v>41.757692637460103</v>
      </c>
      <c r="R107" s="26">
        <f t="shared" si="24"/>
        <v>41.963863063491452</v>
      </c>
      <c r="S107" s="26">
        <f t="shared" si="24"/>
        <v>41.674242703114082</v>
      </c>
    </row>
    <row r="108" spans="1:19" x14ac:dyDescent="0.2">
      <c r="A108" s="18">
        <f t="shared" ref="A108:A124" si="25">A85</f>
        <v>1979</v>
      </c>
      <c r="B108" s="26">
        <f t="shared" si="24"/>
        <v>25.05852417302799</v>
      </c>
      <c r="C108" s="26">
        <f t="shared" si="24"/>
        <v>29.637867647058822</v>
      </c>
      <c r="D108" s="26">
        <f t="shared" si="24"/>
        <v>30.050966608084359</v>
      </c>
      <c r="E108" s="26">
        <f t="shared" si="24"/>
        <v>32.250434782608693</v>
      </c>
      <c r="F108" s="26">
        <f t="shared" si="24"/>
        <v>35.464594127806564</v>
      </c>
      <c r="G108" s="26">
        <f t="shared" si="24"/>
        <v>36.907534246575345</v>
      </c>
      <c r="H108" s="26">
        <f t="shared" si="24"/>
        <v>39.488095238095241</v>
      </c>
      <c r="I108" s="26">
        <f t="shared" si="24"/>
        <v>37.998302207130727</v>
      </c>
      <c r="J108" s="26">
        <f t="shared" si="24"/>
        <v>36.521150592216586</v>
      </c>
      <c r="K108" s="26">
        <f t="shared" si="24"/>
        <v>36.162162162162161</v>
      </c>
      <c r="L108" s="26">
        <f t="shared" si="24"/>
        <v>35.231418918918919</v>
      </c>
      <c r="M108" s="26">
        <f t="shared" si="24"/>
        <v>35.739058599695568</v>
      </c>
      <c r="N108" s="26">
        <f t="shared" si="24"/>
        <v>34.589018486933071</v>
      </c>
      <c r="O108" s="26">
        <f t="shared" si="24"/>
        <v>33.72606621436092</v>
      </c>
      <c r="P108" s="26">
        <f t="shared" si="24"/>
        <v>33.704112438346364</v>
      </c>
      <c r="Q108" s="26">
        <f t="shared" si="24"/>
        <v>33.685536166334053</v>
      </c>
      <c r="R108" s="26">
        <f t="shared" si="24"/>
        <v>33.759841254383318</v>
      </c>
      <c r="S108" s="26"/>
    </row>
    <row r="109" spans="1:19" x14ac:dyDescent="0.2">
      <c r="A109" s="18">
        <f t="shared" si="25"/>
        <v>1980</v>
      </c>
      <c r="B109" s="26">
        <f t="shared" si="24"/>
        <v>27.059961315280464</v>
      </c>
      <c r="C109" s="26">
        <f t="shared" si="24"/>
        <v>32.028490028490026</v>
      </c>
      <c r="D109" s="26">
        <f t="shared" si="24"/>
        <v>34.131326949384402</v>
      </c>
      <c r="E109" s="26">
        <f t="shared" si="24"/>
        <v>44.458556149732622</v>
      </c>
      <c r="F109" s="26">
        <f t="shared" si="24"/>
        <v>43.866930171278</v>
      </c>
      <c r="G109" s="26">
        <f t="shared" si="24"/>
        <v>44.613784135240572</v>
      </c>
      <c r="H109" s="26">
        <f t="shared" si="24"/>
        <v>43.786357786357783</v>
      </c>
      <c r="I109" s="26">
        <f t="shared" si="24"/>
        <v>43.731362467866326</v>
      </c>
      <c r="J109" s="26">
        <f t="shared" si="24"/>
        <v>43.498714652956295</v>
      </c>
      <c r="K109" s="26">
        <f t="shared" si="24"/>
        <v>43.615681233933159</v>
      </c>
      <c r="L109" s="26">
        <f t="shared" si="24"/>
        <v>43.093709884467266</v>
      </c>
      <c r="M109" s="26">
        <f t="shared" si="24"/>
        <v>40.915020082584803</v>
      </c>
      <c r="N109" s="26">
        <f t="shared" si="24"/>
        <v>41.328264223816014</v>
      </c>
      <c r="O109" s="26">
        <f t="shared" si="24"/>
        <v>41.510502323365181</v>
      </c>
      <c r="P109" s="26">
        <f t="shared" si="24"/>
        <v>41.388582468032993</v>
      </c>
      <c r="Q109" s="26">
        <f t="shared" si="24"/>
        <v>41.283346382377843</v>
      </c>
      <c r="R109" s="26"/>
      <c r="S109" s="26"/>
    </row>
    <row r="110" spans="1:19" x14ac:dyDescent="0.2">
      <c r="A110" s="18">
        <f t="shared" si="25"/>
        <v>1981</v>
      </c>
      <c r="B110" s="26">
        <f t="shared" si="24"/>
        <v>28.633217993079583</v>
      </c>
      <c r="C110" s="26">
        <f t="shared" si="24"/>
        <v>33.721153846153847</v>
      </c>
      <c r="D110" s="26">
        <f t="shared" si="24"/>
        <v>45.397275822928492</v>
      </c>
      <c r="E110" s="26">
        <f t="shared" si="24"/>
        <v>47.019933554817278</v>
      </c>
      <c r="F110" s="26">
        <f t="shared" si="24"/>
        <v>46.518478260869564</v>
      </c>
      <c r="G110" s="26">
        <f t="shared" si="24"/>
        <v>46.171706263498919</v>
      </c>
      <c r="H110" s="26">
        <f t="shared" si="24"/>
        <v>45.678148546824545</v>
      </c>
      <c r="I110" s="26">
        <f t="shared" si="24"/>
        <v>45.534983853606029</v>
      </c>
      <c r="J110" s="26">
        <f t="shared" si="24"/>
        <v>45.263440860215056</v>
      </c>
      <c r="K110" s="26">
        <f t="shared" si="24"/>
        <v>44.737634408602148</v>
      </c>
      <c r="L110" s="26">
        <f t="shared" si="24"/>
        <v>43.483870967741936</v>
      </c>
      <c r="M110" s="26">
        <f t="shared" si="24"/>
        <v>43.465522808108098</v>
      </c>
      <c r="N110" s="26">
        <f t="shared" si="24"/>
        <v>43.351569864458035</v>
      </c>
      <c r="O110" s="26">
        <f t="shared" si="24"/>
        <v>43.363395169931152</v>
      </c>
      <c r="P110" s="26">
        <f t="shared" si="24"/>
        <v>43.104313477292798</v>
      </c>
      <c r="Q110" s="26"/>
      <c r="R110" s="26"/>
      <c r="S110" s="26"/>
    </row>
    <row r="111" spans="1:19" x14ac:dyDescent="0.2">
      <c r="A111" s="18">
        <f t="shared" si="25"/>
        <v>1982</v>
      </c>
      <c r="B111" s="26">
        <f t="shared" si="24"/>
        <v>17.84565916398714</v>
      </c>
      <c r="C111" s="26">
        <f t="shared" si="24"/>
        <v>38.188405797101453</v>
      </c>
      <c r="D111" s="26">
        <f t="shared" si="24"/>
        <v>47.118800461361012</v>
      </c>
      <c r="E111" s="26">
        <f t="shared" si="24"/>
        <v>43.9762174405436</v>
      </c>
      <c r="F111" s="26">
        <f t="shared" si="24"/>
        <v>44.60045146726862</v>
      </c>
      <c r="G111" s="26">
        <f t="shared" si="24"/>
        <v>44.647256438969762</v>
      </c>
      <c r="H111" s="26">
        <f t="shared" si="24"/>
        <v>45.193729003359465</v>
      </c>
      <c r="I111" s="26">
        <f t="shared" si="24"/>
        <v>45.139821029082775</v>
      </c>
      <c r="J111" s="26">
        <f t="shared" si="24"/>
        <v>44.872483221476507</v>
      </c>
      <c r="K111" s="26">
        <f t="shared" si="24"/>
        <v>44.617449664429529</v>
      </c>
      <c r="L111" s="26">
        <f t="shared" si="24"/>
        <v>44.628635346756155</v>
      </c>
      <c r="M111" s="26">
        <f t="shared" si="24"/>
        <v>44.896296526911613</v>
      </c>
      <c r="N111" s="26">
        <f t="shared" si="24"/>
        <v>44.538441272755342</v>
      </c>
      <c r="O111" s="26">
        <f t="shared" si="24"/>
        <v>44.955566303381246</v>
      </c>
      <c r="P111" s="26"/>
      <c r="Q111" s="26"/>
      <c r="R111" s="26"/>
      <c r="S111" s="26"/>
    </row>
    <row r="112" spans="1:19" x14ac:dyDescent="0.2">
      <c r="A112" s="18">
        <f t="shared" si="25"/>
        <v>1983</v>
      </c>
      <c r="B112" s="26">
        <f t="shared" si="24"/>
        <v>23.753030303030304</v>
      </c>
      <c r="C112" s="26">
        <f t="shared" si="24"/>
        <v>36.626799557032115</v>
      </c>
      <c r="D112" s="26">
        <f t="shared" si="24"/>
        <v>38.229860365198711</v>
      </c>
      <c r="E112" s="26">
        <f t="shared" si="24"/>
        <v>37.880169671261932</v>
      </c>
      <c r="F112" s="26">
        <f t="shared" si="24"/>
        <v>40.473298429319371</v>
      </c>
      <c r="G112" s="26">
        <f t="shared" si="24"/>
        <v>41.103232533889468</v>
      </c>
      <c r="H112" s="26">
        <f t="shared" si="24"/>
        <v>40.730010384215994</v>
      </c>
      <c r="I112" s="26">
        <f t="shared" si="24"/>
        <v>41.178423236514526</v>
      </c>
      <c r="J112" s="26">
        <f t="shared" si="24"/>
        <v>39.17946058091286</v>
      </c>
      <c r="K112" s="26">
        <f t="shared" si="24"/>
        <v>39.309128630705395</v>
      </c>
      <c r="L112" s="26">
        <f t="shared" si="24"/>
        <v>38.764522821576762</v>
      </c>
      <c r="M112" s="26">
        <f t="shared" si="24"/>
        <v>38.730613500358224</v>
      </c>
      <c r="N112" s="26">
        <f t="shared" si="24"/>
        <v>38.450595676148914</v>
      </c>
      <c r="O112" s="26"/>
      <c r="P112" s="26"/>
      <c r="Q112" s="26"/>
      <c r="R112" s="26"/>
      <c r="S112" s="26"/>
    </row>
    <row r="113" spans="1:19" x14ac:dyDescent="0.2">
      <c r="A113" s="18">
        <f t="shared" si="25"/>
        <v>1984</v>
      </c>
      <c r="B113" s="26">
        <f t="shared" si="24"/>
        <v>30.593093093093092</v>
      </c>
      <c r="C113" s="26">
        <f t="shared" si="24"/>
        <v>37.283333333333331</v>
      </c>
      <c r="D113" s="26">
        <f t="shared" si="24"/>
        <v>43.815320041972718</v>
      </c>
      <c r="E113" s="26">
        <f t="shared" si="24"/>
        <v>46.858774662512978</v>
      </c>
      <c r="F113" s="26">
        <f t="shared" si="24"/>
        <v>48.696189495365601</v>
      </c>
      <c r="G113" s="26">
        <f t="shared" si="24"/>
        <v>53.035897435897439</v>
      </c>
      <c r="H113" s="26">
        <f t="shared" si="24"/>
        <v>53.156982670744142</v>
      </c>
      <c r="I113" s="26">
        <f t="shared" si="24"/>
        <v>52.125254582484722</v>
      </c>
      <c r="J113" s="26">
        <f t="shared" si="24"/>
        <v>52.902240325865577</v>
      </c>
      <c r="K113" s="26">
        <f t="shared" si="24"/>
        <v>51.901221995926683</v>
      </c>
      <c r="L113" s="26">
        <f t="shared" si="24"/>
        <v>52.40427698574338</v>
      </c>
      <c r="M113" s="26">
        <f t="shared" si="24"/>
        <v>52.311497992461895</v>
      </c>
      <c r="N113" s="26"/>
      <c r="O113" s="26"/>
      <c r="P113" s="26"/>
      <c r="Q113" s="26"/>
      <c r="R113" s="26"/>
      <c r="S113" s="26"/>
    </row>
    <row r="114" spans="1:19" x14ac:dyDescent="0.2">
      <c r="A114" s="18">
        <f t="shared" si="25"/>
        <v>1985</v>
      </c>
      <c r="B114" s="26">
        <f t="shared" si="24"/>
        <v>17.102966841186735</v>
      </c>
      <c r="C114" s="26">
        <f t="shared" si="24"/>
        <v>29.395709177592373</v>
      </c>
      <c r="D114" s="26">
        <f t="shared" si="24"/>
        <v>40.023307436182023</v>
      </c>
      <c r="E114" s="26">
        <f t="shared" si="24"/>
        <v>41.541073384446875</v>
      </c>
      <c r="F114" s="26">
        <f t="shared" si="24"/>
        <v>43.618736383442268</v>
      </c>
      <c r="G114" s="26">
        <f t="shared" si="24"/>
        <v>43.850810810810813</v>
      </c>
      <c r="H114" s="26">
        <f t="shared" si="24"/>
        <v>43.353383458646618</v>
      </c>
      <c r="I114" s="26">
        <f t="shared" si="24"/>
        <v>43.679487179487182</v>
      </c>
      <c r="J114" s="26">
        <f t="shared" si="24"/>
        <v>43.326574172892208</v>
      </c>
      <c r="K114" s="26">
        <f t="shared" si="24"/>
        <v>44.081109925293489</v>
      </c>
      <c r="L114" s="26">
        <f t="shared" si="24"/>
        <v>45.179104477611943</v>
      </c>
      <c r="M114" s="26"/>
      <c r="N114" s="26"/>
      <c r="O114" s="26"/>
      <c r="P114" s="26"/>
      <c r="Q114" s="26"/>
      <c r="R114" s="26"/>
      <c r="S114" s="26"/>
    </row>
    <row r="115" spans="1:19" x14ac:dyDescent="0.2">
      <c r="A115" s="18">
        <f t="shared" si="25"/>
        <v>1986</v>
      </c>
      <c r="B115" s="26">
        <f t="shared" si="24"/>
        <v>19.553264604810998</v>
      </c>
      <c r="C115" s="26">
        <f t="shared" si="24"/>
        <v>31.104287369640787</v>
      </c>
      <c r="D115" s="26">
        <f t="shared" si="24"/>
        <v>39.02905027932961</v>
      </c>
      <c r="E115" s="26">
        <f t="shared" si="24"/>
        <v>41.003253796095443</v>
      </c>
      <c r="F115" s="26">
        <f t="shared" si="24"/>
        <v>44.193790149892934</v>
      </c>
      <c r="G115" s="26">
        <f t="shared" si="24"/>
        <v>47.413938753959876</v>
      </c>
      <c r="H115" s="26">
        <f t="shared" si="24"/>
        <v>48.129066107030432</v>
      </c>
      <c r="I115" s="26">
        <f t="shared" si="24"/>
        <v>47.543455497382197</v>
      </c>
      <c r="J115" s="26">
        <f t="shared" si="24"/>
        <v>47.43410041841004</v>
      </c>
      <c r="K115" s="26">
        <f t="shared" si="24"/>
        <v>46.42573221757322</v>
      </c>
      <c r="L115" s="26"/>
      <c r="M115" s="26"/>
      <c r="N115" s="26"/>
      <c r="O115" s="26"/>
      <c r="P115" s="26"/>
      <c r="Q115" s="26"/>
      <c r="R115" s="26"/>
      <c r="S115" s="26"/>
    </row>
    <row r="116" spans="1:19" x14ac:dyDescent="0.2">
      <c r="A116" s="18">
        <f t="shared" si="25"/>
        <v>1987</v>
      </c>
      <c r="B116" s="26">
        <f t="shared" si="24"/>
        <v>18.763302752293576</v>
      </c>
      <c r="C116" s="26">
        <f t="shared" si="24"/>
        <v>26.811764705882354</v>
      </c>
      <c r="D116" s="26">
        <f t="shared" si="24"/>
        <v>33.269801980198018</v>
      </c>
      <c r="E116" s="26">
        <f t="shared" si="24"/>
        <v>39.135593220338983</v>
      </c>
      <c r="F116" s="26">
        <f t="shared" si="24"/>
        <v>42.072792362768496</v>
      </c>
      <c r="G116" s="26">
        <f t="shared" si="24"/>
        <v>47.883116883116884</v>
      </c>
      <c r="H116" s="26">
        <f t="shared" si="24"/>
        <v>51.353286384976528</v>
      </c>
      <c r="I116" s="26">
        <f t="shared" si="24"/>
        <v>52.235362997658079</v>
      </c>
      <c r="J116" s="26">
        <f t="shared" si="24"/>
        <v>51.751756440281028</v>
      </c>
      <c r="K116" s="26"/>
      <c r="L116" s="26"/>
      <c r="M116" s="26"/>
      <c r="N116" s="26"/>
      <c r="O116" s="26"/>
      <c r="P116" s="26"/>
      <c r="Q116" s="26"/>
      <c r="R116" s="26"/>
      <c r="S116" s="26"/>
    </row>
    <row r="117" spans="1:19" x14ac:dyDescent="0.2">
      <c r="A117" s="18">
        <f t="shared" si="25"/>
        <v>1988</v>
      </c>
      <c r="B117" s="26">
        <f t="shared" si="24"/>
        <v>16.051080550098231</v>
      </c>
      <c r="C117" s="26">
        <f t="shared" si="24"/>
        <v>23.957419354838709</v>
      </c>
      <c r="D117" s="26">
        <f t="shared" si="24"/>
        <v>32.126213592233007</v>
      </c>
      <c r="E117" s="26">
        <f t="shared" si="24"/>
        <v>39.009456264775416</v>
      </c>
      <c r="F117" s="26">
        <f t="shared" si="24"/>
        <v>42.184668989547035</v>
      </c>
      <c r="G117" s="26">
        <f t="shared" si="24"/>
        <v>42.828901734104043</v>
      </c>
      <c r="H117" s="26">
        <f t="shared" si="24"/>
        <v>45.446735395189002</v>
      </c>
      <c r="I117" s="26">
        <f t="shared" si="24"/>
        <v>46.274914089347078</v>
      </c>
      <c r="J117" s="26"/>
      <c r="K117" s="26"/>
      <c r="L117" s="26"/>
      <c r="M117" s="26"/>
      <c r="N117" s="26"/>
      <c r="O117" s="26"/>
      <c r="P117" s="26"/>
      <c r="Q117" s="26"/>
      <c r="R117" s="26"/>
      <c r="S117" s="26"/>
    </row>
    <row r="118" spans="1:19" x14ac:dyDescent="0.2">
      <c r="A118" s="18">
        <f t="shared" si="25"/>
        <v>1989</v>
      </c>
      <c r="B118" s="26">
        <f t="shared" si="24"/>
        <v>17.713073005093378</v>
      </c>
      <c r="C118" s="26">
        <f t="shared" si="24"/>
        <v>24.385481852315394</v>
      </c>
      <c r="D118" s="26">
        <f t="shared" si="24"/>
        <v>38.771739130434781</v>
      </c>
      <c r="E118" s="26">
        <f t="shared" si="24"/>
        <v>46.078106508875742</v>
      </c>
      <c r="F118" s="26">
        <f t="shared" si="24"/>
        <v>53.501750291715283</v>
      </c>
      <c r="G118" s="26">
        <f t="shared" si="24"/>
        <v>52.419279907084785</v>
      </c>
      <c r="H118" s="26">
        <f t="shared" si="24"/>
        <v>52.3</v>
      </c>
      <c r="I118" s="26"/>
      <c r="J118" s="26"/>
      <c r="K118" s="26"/>
      <c r="L118" s="26"/>
      <c r="M118" s="26"/>
      <c r="N118" s="26"/>
      <c r="O118" s="26"/>
      <c r="P118" s="26"/>
      <c r="Q118" s="26"/>
      <c r="R118" s="26"/>
      <c r="S118" s="26"/>
    </row>
    <row r="119" spans="1:19" x14ac:dyDescent="0.2">
      <c r="A119" s="18">
        <f t="shared" si="25"/>
        <v>1990</v>
      </c>
      <c r="B119" s="26">
        <f t="shared" si="24"/>
        <v>17.129432624113477</v>
      </c>
      <c r="C119" s="26">
        <f t="shared" si="24"/>
        <v>31.326315789473686</v>
      </c>
      <c r="D119" s="26">
        <f t="shared" si="24"/>
        <v>42.102171136653894</v>
      </c>
      <c r="E119" s="26">
        <f t="shared" si="24"/>
        <v>53.97106918238994</v>
      </c>
      <c r="F119" s="26">
        <f t="shared" si="24"/>
        <v>58.370646766169152</v>
      </c>
      <c r="G119" s="26">
        <f t="shared" si="24"/>
        <v>60.939431396786155</v>
      </c>
      <c r="H119" s="26"/>
      <c r="I119" s="26"/>
      <c r="J119" s="26"/>
      <c r="K119" s="26"/>
      <c r="L119" s="26"/>
      <c r="M119" s="26"/>
      <c r="N119" s="26"/>
      <c r="O119" s="26"/>
      <c r="P119" s="26"/>
      <c r="Q119" s="26"/>
      <c r="R119" s="26"/>
      <c r="S119" s="26"/>
    </row>
    <row r="120" spans="1:19" x14ac:dyDescent="0.2">
      <c r="A120" s="18">
        <f t="shared" si="25"/>
        <v>1991</v>
      </c>
      <c r="B120" s="26">
        <f>C44/B97</f>
        <v>23.517298187808898</v>
      </c>
      <c r="C120" s="26">
        <f>D44/C97</f>
        <v>31.544444444444444</v>
      </c>
      <c r="D120" s="26">
        <f>E44/D97</f>
        <v>40.231227651966627</v>
      </c>
      <c r="E120" s="26">
        <f>F44/E97</f>
        <v>45.606132075471699</v>
      </c>
      <c r="F120" s="26">
        <f>G44/F97</f>
        <v>48.107602339181284</v>
      </c>
      <c r="G120" s="26"/>
      <c r="H120" s="26"/>
      <c r="I120" s="26"/>
      <c r="J120" s="26"/>
      <c r="K120" s="26"/>
      <c r="L120" s="26"/>
      <c r="M120" s="26"/>
      <c r="N120" s="26"/>
      <c r="O120" s="26"/>
      <c r="P120" s="26"/>
      <c r="Q120" s="26"/>
      <c r="R120" s="26"/>
      <c r="S120" s="26"/>
    </row>
    <row r="121" spans="1:19" x14ac:dyDescent="0.2">
      <c r="A121" s="18">
        <f t="shared" si="25"/>
        <v>1992</v>
      </c>
      <c r="B121" s="26">
        <f>C45/B98</f>
        <v>19.651335311572701</v>
      </c>
      <c r="C121" s="26">
        <f>D45/C98</f>
        <v>34.645314353499408</v>
      </c>
      <c r="D121" s="26">
        <f>E45/D98</f>
        <v>42.858632676709156</v>
      </c>
      <c r="E121" s="26">
        <f>F45/E98</f>
        <v>50.371428571428574</v>
      </c>
      <c r="F121" s="26"/>
      <c r="G121" s="26"/>
      <c r="H121" s="26"/>
      <c r="I121" s="26"/>
      <c r="J121" s="26"/>
      <c r="K121" s="26"/>
      <c r="L121" s="26"/>
      <c r="M121" s="26"/>
      <c r="N121" s="26"/>
      <c r="O121" s="26"/>
      <c r="P121" s="26"/>
      <c r="Q121" s="26"/>
      <c r="R121" s="26"/>
      <c r="S121" s="26"/>
    </row>
    <row r="122" spans="1:19" x14ac:dyDescent="0.2">
      <c r="A122" s="18">
        <f t="shared" si="25"/>
        <v>1993</v>
      </c>
      <c r="B122" s="26">
        <f>C46/B99</f>
        <v>23.765751211631663</v>
      </c>
      <c r="C122" s="26">
        <f>D46/C99</f>
        <v>33.475896168108775</v>
      </c>
      <c r="D122" s="26">
        <f>E46/D99</f>
        <v>40.27058823529412</v>
      </c>
      <c r="E122" s="26"/>
      <c r="F122" s="26"/>
      <c r="G122" s="26"/>
      <c r="H122" s="26"/>
      <c r="I122" s="26"/>
      <c r="J122" s="26"/>
      <c r="K122" s="26"/>
      <c r="L122" s="26"/>
      <c r="M122" s="26"/>
      <c r="N122" s="26"/>
      <c r="O122" s="26"/>
      <c r="P122" s="26"/>
      <c r="Q122" s="26"/>
      <c r="R122" s="26"/>
      <c r="S122" s="26"/>
    </row>
    <row r="123" spans="1:19" x14ac:dyDescent="0.2">
      <c r="A123" s="18">
        <f t="shared" si="25"/>
        <v>1994</v>
      </c>
      <c r="B123" s="26">
        <f>C47/B100</f>
        <v>18.903030303030302</v>
      </c>
      <c r="C123" s="26">
        <f>D47/C100</f>
        <v>28.168087697929355</v>
      </c>
      <c r="D123" s="26"/>
      <c r="E123" s="26"/>
      <c r="F123" s="26"/>
      <c r="G123" s="26"/>
      <c r="H123" s="26"/>
      <c r="I123" s="26"/>
      <c r="J123" s="26"/>
      <c r="K123" s="26"/>
      <c r="L123" s="26"/>
      <c r="M123" s="26"/>
      <c r="N123" s="26"/>
      <c r="O123" s="26"/>
      <c r="P123" s="26"/>
      <c r="Q123" s="26"/>
      <c r="R123" s="26"/>
      <c r="S123" s="26"/>
    </row>
    <row r="124" spans="1:19" x14ac:dyDescent="0.2">
      <c r="A124" s="18">
        <f t="shared" si="25"/>
        <v>1995</v>
      </c>
      <c r="B124" s="26">
        <f>C48/B101</f>
        <v>14.719696969696969</v>
      </c>
      <c r="C124" s="26"/>
      <c r="D124" s="26"/>
      <c r="E124" s="26"/>
      <c r="F124" s="26"/>
      <c r="G124" s="26"/>
      <c r="H124" s="26"/>
      <c r="I124" s="26"/>
      <c r="J124" s="26"/>
      <c r="K124" s="26"/>
      <c r="L124" s="26"/>
      <c r="M124" s="26"/>
      <c r="N124" s="26"/>
      <c r="O124" s="26"/>
      <c r="P124" s="26"/>
      <c r="Q124" s="26"/>
      <c r="R124" s="26"/>
      <c r="S124" s="26"/>
    </row>
    <row r="129" spans="1:18" x14ac:dyDescent="0.2">
      <c r="A129" s="16" t="s">
        <v>233</v>
      </c>
      <c r="C129" s="18"/>
      <c r="D129" s="18"/>
      <c r="E129" s="18"/>
      <c r="F129" s="18"/>
      <c r="G129" s="18"/>
      <c r="H129" s="18"/>
      <c r="I129" s="18"/>
      <c r="J129" s="18"/>
      <c r="K129" s="18"/>
      <c r="L129" s="18"/>
      <c r="M129" s="18"/>
      <c r="N129" s="18"/>
      <c r="O129" s="18"/>
      <c r="P129" s="18"/>
      <c r="Q129" s="18"/>
      <c r="R129" s="18"/>
    </row>
    <row r="131" spans="1:18" x14ac:dyDescent="0.2">
      <c r="A131" s="25" t="s">
        <v>216</v>
      </c>
      <c r="B131" s="36" t="s">
        <v>234</v>
      </c>
      <c r="C131" s="18"/>
      <c r="D131" s="18"/>
      <c r="E131" s="18"/>
      <c r="F131" s="18"/>
      <c r="G131" s="18"/>
      <c r="H131" s="18"/>
      <c r="I131" s="18"/>
      <c r="J131" s="18"/>
      <c r="K131" s="18"/>
      <c r="L131" s="18"/>
      <c r="M131" s="18"/>
      <c r="N131" s="18"/>
      <c r="O131" s="18"/>
      <c r="P131" s="18"/>
      <c r="Q131" s="18"/>
      <c r="R131" s="18"/>
    </row>
    <row r="132" spans="1:18" x14ac:dyDescent="0.2">
      <c r="A132" s="37" t="s">
        <v>218</v>
      </c>
      <c r="B132" s="38" t="s">
        <v>235</v>
      </c>
      <c r="C132" s="39"/>
      <c r="D132" s="39"/>
      <c r="E132" s="39"/>
      <c r="F132" s="39"/>
      <c r="G132" s="39"/>
      <c r="H132" s="39"/>
      <c r="I132" s="39"/>
      <c r="J132" s="39"/>
      <c r="K132" s="39"/>
      <c r="L132" s="39"/>
      <c r="M132" s="39"/>
      <c r="N132" s="39"/>
      <c r="O132" s="39"/>
      <c r="P132" s="39"/>
      <c r="Q132" s="39"/>
      <c r="R132" s="39"/>
    </row>
    <row r="133" spans="1:18" x14ac:dyDescent="0.2">
      <c r="B133" s="39">
        <v>0</v>
      </c>
      <c r="C133" s="39">
        <f t="shared" ref="C133:R133" si="26">B133+1</f>
        <v>1</v>
      </c>
      <c r="D133" s="39">
        <f t="shared" si="26"/>
        <v>2</v>
      </c>
      <c r="E133" s="39">
        <f t="shared" si="26"/>
        <v>3</v>
      </c>
      <c r="F133" s="39">
        <f t="shared" si="26"/>
        <v>4</v>
      </c>
      <c r="G133" s="39">
        <f t="shared" si="26"/>
        <v>5</v>
      </c>
      <c r="H133" s="39">
        <f t="shared" si="26"/>
        <v>6</v>
      </c>
      <c r="I133" s="39">
        <f t="shared" si="26"/>
        <v>7</v>
      </c>
      <c r="J133" s="39">
        <f t="shared" si="26"/>
        <v>8</v>
      </c>
      <c r="K133" s="39">
        <f t="shared" si="26"/>
        <v>9</v>
      </c>
      <c r="L133" s="39">
        <f t="shared" si="26"/>
        <v>10</v>
      </c>
      <c r="M133" s="39">
        <f t="shared" si="26"/>
        <v>11</v>
      </c>
      <c r="N133" s="39">
        <f t="shared" si="26"/>
        <v>12</v>
      </c>
      <c r="O133" s="39">
        <f t="shared" si="26"/>
        <v>13</v>
      </c>
      <c r="P133" s="39">
        <f t="shared" si="26"/>
        <v>14</v>
      </c>
      <c r="Q133" s="39">
        <f t="shared" si="26"/>
        <v>15</v>
      </c>
      <c r="R133" s="39">
        <f t="shared" si="26"/>
        <v>16</v>
      </c>
    </row>
    <row r="135" spans="1:18" x14ac:dyDescent="0.2">
      <c r="A135" s="18">
        <f>A107</f>
        <v>1978</v>
      </c>
      <c r="B135" s="40">
        <f t="shared" ref="B135:R146" si="27">C107/B107</f>
        <v>1.2972452966832226</v>
      </c>
      <c r="C135" s="40">
        <f t="shared" si="27"/>
        <v>1.0523635307364541</v>
      </c>
      <c r="D135" s="40">
        <f t="shared" si="27"/>
        <v>1.0941458775562549</v>
      </c>
      <c r="E135" s="40">
        <f t="shared" si="27"/>
        <v>1.0076647039369002</v>
      </c>
      <c r="F135" s="40">
        <f t="shared" si="27"/>
        <v>1.1469847801214148</v>
      </c>
      <c r="G135" s="40">
        <f t="shared" si="27"/>
        <v>0.98842697326649531</v>
      </c>
      <c r="H135" s="40">
        <f t="shared" si="27"/>
        <v>0.9988184093625273</v>
      </c>
      <c r="I135" s="40">
        <f t="shared" si="27"/>
        <v>0.97215857011915674</v>
      </c>
      <c r="J135" s="40">
        <f t="shared" si="27"/>
        <v>1.0111962286387743</v>
      </c>
      <c r="K135" s="40">
        <f t="shared" si="27"/>
        <v>0.99723853160841702</v>
      </c>
      <c r="L135" s="40">
        <f t="shared" si="27"/>
        <v>0.98969181757383606</v>
      </c>
      <c r="M135" s="40">
        <f t="shared" si="27"/>
        <v>1.0003143171460003</v>
      </c>
      <c r="N135" s="40">
        <f t="shared" si="27"/>
        <v>0.99850746268656732</v>
      </c>
      <c r="O135" s="40">
        <f t="shared" si="27"/>
        <v>0.9985839037054518</v>
      </c>
      <c r="P135" s="40">
        <f t="shared" si="27"/>
        <v>1.0052784999606081</v>
      </c>
      <c r="Q135" s="40">
        <f t="shared" si="27"/>
        <v>1.0049373040752352</v>
      </c>
      <c r="R135" s="40">
        <f t="shared" si="27"/>
        <v>0.99309833892224908</v>
      </c>
    </row>
    <row r="136" spans="1:18" x14ac:dyDescent="0.2">
      <c r="A136" s="18">
        <f t="shared" ref="A136:A151" si="28">A108</f>
        <v>1979</v>
      </c>
      <c r="B136" s="40">
        <f t="shared" si="27"/>
        <v>1.1827459367682898</v>
      </c>
      <c r="C136" s="40">
        <f t="shared" si="27"/>
        <v>1.0139382146497482</v>
      </c>
      <c r="D136" s="40">
        <f t="shared" si="27"/>
        <v>1.073191262138391</v>
      </c>
      <c r="E136" s="40">
        <f t="shared" si="27"/>
        <v>1.0996625120518106</v>
      </c>
      <c r="F136" s="40">
        <f t="shared" si="27"/>
        <v>1.0406867794276382</v>
      </c>
      <c r="G136" s="40">
        <f t="shared" si="27"/>
        <v>1.0699196260113026</v>
      </c>
      <c r="H136" s="40">
        <f t="shared" si="27"/>
        <v>0.9622723501353575</v>
      </c>
      <c r="I136" s="40">
        <f t="shared" si="27"/>
        <v>0.96112585223249947</v>
      </c>
      <c r="J136" s="40">
        <f t="shared" si="27"/>
        <v>0.99017039648989225</v>
      </c>
      <c r="K136" s="40">
        <f t="shared" si="27"/>
        <v>0.97426195814648731</v>
      </c>
      <c r="L136" s="40">
        <f t="shared" si="27"/>
        <v>1.01440872086205</v>
      </c>
      <c r="M136" s="40">
        <f t="shared" si="27"/>
        <v>0.96782119737277317</v>
      </c>
      <c r="N136" s="40">
        <f t="shared" si="27"/>
        <v>0.97505126452494872</v>
      </c>
      <c r="O136" s="40">
        <f t="shared" si="27"/>
        <v>0.99934905613139047</v>
      </c>
      <c r="P136" s="40">
        <f t="shared" si="27"/>
        <v>0.99944884256939592</v>
      </c>
      <c r="Q136" s="40">
        <f t="shared" si="27"/>
        <v>1.00220584549055</v>
      </c>
      <c r="R136" s="40"/>
    </row>
    <row r="137" spans="1:18" x14ac:dyDescent="0.2">
      <c r="A137" s="18">
        <f t="shared" si="28"/>
        <v>1980</v>
      </c>
      <c r="B137" s="40">
        <f t="shared" si="27"/>
        <v>1.1836118187797957</v>
      </c>
      <c r="C137" s="40">
        <f t="shared" si="27"/>
        <v>1.0656552000741795</v>
      </c>
      <c r="D137" s="40">
        <f t="shared" si="27"/>
        <v>1.3025733284751322</v>
      </c>
      <c r="E137" s="40">
        <f t="shared" si="27"/>
        <v>0.98669264074923901</v>
      </c>
      <c r="F137" s="40">
        <f t="shared" si="27"/>
        <v>1.0170254440200508</v>
      </c>
      <c r="G137" s="40">
        <f t="shared" si="27"/>
        <v>0.98145357169491476</v>
      </c>
      <c r="H137" s="40">
        <f t="shared" si="27"/>
        <v>0.99874400792228968</v>
      </c>
      <c r="I137" s="40">
        <f t="shared" si="27"/>
        <v>0.99468006936484132</v>
      </c>
      <c r="J137" s="40">
        <f t="shared" si="27"/>
        <v>1.0026889663731458</v>
      </c>
      <c r="K137" s="40">
        <f t="shared" si="27"/>
        <v>0.98803248431071622</v>
      </c>
      <c r="L137" s="40">
        <f t="shared" si="27"/>
        <v>0.94944297421309387</v>
      </c>
      <c r="M137" s="40">
        <f t="shared" si="27"/>
        <v>1.010100059596625</v>
      </c>
      <c r="N137" s="40">
        <f t="shared" si="27"/>
        <v>1.004409527062696</v>
      </c>
      <c r="O137" s="40">
        <f t="shared" si="27"/>
        <v>0.9970629154428815</v>
      </c>
      <c r="P137" s="40">
        <f t="shared" si="27"/>
        <v>0.99745736434108534</v>
      </c>
      <c r="Q137" s="40"/>
      <c r="R137" s="40"/>
    </row>
    <row r="138" spans="1:18" x14ac:dyDescent="0.2">
      <c r="A138" s="18">
        <f t="shared" si="28"/>
        <v>1981</v>
      </c>
      <c r="B138" s="40">
        <f t="shared" si="27"/>
        <v>1.1776934696723218</v>
      </c>
      <c r="C138" s="40">
        <f t="shared" si="27"/>
        <v>1.3462551142242838</v>
      </c>
      <c r="D138" s="40">
        <f t="shared" si="27"/>
        <v>1.0357435044829109</v>
      </c>
      <c r="E138" s="40">
        <f t="shared" si="27"/>
        <v>0.98933526153619289</v>
      </c>
      <c r="F138" s="40">
        <f t="shared" si="27"/>
        <v>0.9925454999747414</v>
      </c>
      <c r="G138" s="40">
        <f t="shared" si="27"/>
        <v>0.98931038602174082</v>
      </c>
      <c r="H138" s="40">
        <f t="shared" si="27"/>
        <v>0.99686579474490389</v>
      </c>
      <c r="I138" s="40">
        <f t="shared" si="27"/>
        <v>0.99403660723227705</v>
      </c>
      <c r="J138" s="40">
        <f t="shared" si="27"/>
        <v>0.98838341845824906</v>
      </c>
      <c r="K138" s="40">
        <f t="shared" si="27"/>
        <v>0.97197519588520898</v>
      </c>
      <c r="L138" s="40">
        <f t="shared" si="27"/>
        <v>0.99957804677399931</v>
      </c>
      <c r="M138" s="40">
        <f t="shared" si="27"/>
        <v>0.99737831420656908</v>
      </c>
      <c r="N138" s="40">
        <f t="shared" si="27"/>
        <v>1.0002727768685216</v>
      </c>
      <c r="O138" s="40">
        <f t="shared" si="27"/>
        <v>0.99402533653965353</v>
      </c>
    </row>
    <row r="139" spans="1:18" x14ac:dyDescent="0.2">
      <c r="A139" s="18">
        <f t="shared" si="28"/>
        <v>1982</v>
      </c>
      <c r="B139" s="40">
        <f t="shared" si="27"/>
        <v>2.1399268834051441</v>
      </c>
      <c r="C139" s="40">
        <f t="shared" si="27"/>
        <v>1.2338509418724515</v>
      </c>
      <c r="D139" s="40">
        <f t="shared" si="27"/>
        <v>0.93330511409358918</v>
      </c>
      <c r="E139" s="40">
        <f t="shared" si="27"/>
        <v>1.0141948094460147</v>
      </c>
      <c r="F139" s="40">
        <f t="shared" si="27"/>
        <v>1.0010494282044542</v>
      </c>
      <c r="G139" s="40">
        <f t="shared" si="27"/>
        <v>1.0122397792826687</v>
      </c>
      <c r="H139" s="40">
        <f t="shared" si="27"/>
        <v>0.99880718021138104</v>
      </c>
      <c r="I139" s="40">
        <f t="shared" si="27"/>
        <v>0.99407756164044103</v>
      </c>
      <c r="J139" s="40">
        <f t="shared" si="27"/>
        <v>0.99431648220161539</v>
      </c>
      <c r="K139" s="40">
        <f t="shared" si="27"/>
        <v>1.0002507019655036</v>
      </c>
      <c r="L139" s="40">
        <f t="shared" si="27"/>
        <v>1.005997521055165</v>
      </c>
      <c r="M139" s="40">
        <f t="shared" si="27"/>
        <v>0.99202929235061144</v>
      </c>
      <c r="N139" s="40">
        <f t="shared" si="27"/>
        <v>1.0093655058126398</v>
      </c>
      <c r="O139" s="40"/>
    </row>
    <row r="140" spans="1:18" x14ac:dyDescent="0.2">
      <c r="A140" s="18">
        <f t="shared" si="28"/>
        <v>1983</v>
      </c>
      <c r="B140" s="40">
        <f t="shared" si="27"/>
        <v>1.5419842895733364</v>
      </c>
      <c r="C140" s="40">
        <f t="shared" si="27"/>
        <v>1.0437674278821563</v>
      </c>
      <c r="D140" s="40">
        <f t="shared" si="27"/>
        <v>0.99085294346889352</v>
      </c>
      <c r="E140" s="40">
        <f t="shared" si="27"/>
        <v>1.0684561019805763</v>
      </c>
      <c r="F140" s="40">
        <f t="shared" si="27"/>
        <v>1.0155641899478538</v>
      </c>
      <c r="G140" s="40">
        <f t="shared" si="27"/>
        <v>0.99091988326305591</v>
      </c>
      <c r="H140" s="40">
        <f t="shared" si="27"/>
        <v>1.0110093969549367</v>
      </c>
      <c r="I140" s="40">
        <f t="shared" si="27"/>
        <v>0.95145606610237787</v>
      </c>
      <c r="J140" s="40">
        <f t="shared" si="27"/>
        <v>1.0033095925229687</v>
      </c>
      <c r="K140" s="40">
        <f t="shared" si="27"/>
        <v>0.98614556394152098</v>
      </c>
      <c r="L140" s="40">
        <f t="shared" si="27"/>
        <v>0.9991252485842631</v>
      </c>
      <c r="M140" s="40">
        <f t="shared" si="27"/>
        <v>0.99277011648145674</v>
      </c>
    </row>
    <row r="141" spans="1:18" x14ac:dyDescent="0.2">
      <c r="A141" s="18">
        <f t="shared" si="28"/>
        <v>1984</v>
      </c>
      <c r="B141" s="40">
        <f t="shared" si="27"/>
        <v>1.2186846625766872</v>
      </c>
      <c r="C141" s="40">
        <f t="shared" si="27"/>
        <v>1.1751985706385173</v>
      </c>
      <c r="D141" s="40">
        <f t="shared" si="27"/>
        <v>1.0694609697618274</v>
      </c>
      <c r="E141" s="40">
        <f t="shared" si="27"/>
        <v>1.039211755878938</v>
      </c>
      <c r="F141" s="40">
        <f t="shared" si="27"/>
        <v>1.089118018997048</v>
      </c>
      <c r="G141" s="40">
        <f t="shared" si="27"/>
        <v>1.0022830807189236</v>
      </c>
      <c r="H141" s="40">
        <f t="shared" si="27"/>
        <v>0.98059092077046639</v>
      </c>
      <c r="I141" s="40">
        <f t="shared" si="27"/>
        <v>1.0149061285091918</v>
      </c>
      <c r="J141" s="40">
        <f t="shared" si="27"/>
        <v>0.981077959576516</v>
      </c>
      <c r="K141" s="40">
        <f t="shared" si="27"/>
        <v>1.0096925461573174</v>
      </c>
      <c r="L141" s="40">
        <f t="shared" si="27"/>
        <v>0.99822955303234651</v>
      </c>
    </row>
    <row r="142" spans="1:18" x14ac:dyDescent="0.2">
      <c r="A142" s="18">
        <f t="shared" si="28"/>
        <v>1985</v>
      </c>
      <c r="B142" s="40">
        <f t="shared" si="27"/>
        <v>1.7187491182408603</v>
      </c>
      <c r="C142" s="40">
        <f t="shared" si="27"/>
        <v>1.3615356987777933</v>
      </c>
      <c r="D142" s="40">
        <f t="shared" si="27"/>
        <v>1.0379220520614134</v>
      </c>
      <c r="E142" s="40">
        <f t="shared" si="27"/>
        <v>1.0500146681277926</v>
      </c>
      <c r="F142" s="40">
        <f t="shared" si="27"/>
        <v>1.0053205215604697</v>
      </c>
      <c r="G142" s="40">
        <f t="shared" si="27"/>
        <v>0.98865637047601496</v>
      </c>
      <c r="H142" s="40">
        <f t="shared" si="27"/>
        <v>1.0075219900922294</v>
      </c>
      <c r="I142" s="40">
        <f t="shared" si="27"/>
        <v>0.99192039491799</v>
      </c>
      <c r="J142" s="40">
        <f t="shared" si="27"/>
        <v>1.0174150799320147</v>
      </c>
      <c r="K142" s="40">
        <f t="shared" si="27"/>
        <v>1.0249085051211115</v>
      </c>
      <c r="L142" s="41"/>
    </row>
    <row r="143" spans="1:18" x14ac:dyDescent="0.2">
      <c r="A143" s="18">
        <f t="shared" si="28"/>
        <v>1986</v>
      </c>
      <c r="B143" s="40">
        <f t="shared" si="27"/>
        <v>1.5907465069535094</v>
      </c>
      <c r="C143" s="40">
        <f t="shared" si="27"/>
        <v>1.2547804042417559</v>
      </c>
      <c r="D143" s="40">
        <f t="shared" si="27"/>
        <v>1.0505829248376921</v>
      </c>
      <c r="E143" s="40">
        <f t="shared" si="27"/>
        <v>1.0778117846369868</v>
      </c>
      <c r="F143" s="40">
        <f t="shared" si="27"/>
        <v>1.0728642778350783</v>
      </c>
      <c r="G143" s="40">
        <f t="shared" si="27"/>
        <v>1.0150826396596471</v>
      </c>
      <c r="H143" s="40">
        <f t="shared" si="27"/>
        <v>0.98783249589040556</v>
      </c>
      <c r="I143" s="40">
        <f t="shared" si="27"/>
        <v>0.99769989207077769</v>
      </c>
      <c r="J143" s="40">
        <f t="shared" si="27"/>
        <v>0.97874170286898798</v>
      </c>
      <c r="K143" s="41"/>
      <c r="L143" s="41"/>
    </row>
    <row r="144" spans="1:18" x14ac:dyDescent="0.2">
      <c r="A144" s="18">
        <f t="shared" si="28"/>
        <v>1987</v>
      </c>
      <c r="B144" s="40">
        <f t="shared" si="27"/>
        <v>1.4289469748392221</v>
      </c>
      <c r="C144" s="40">
        <f t="shared" si="27"/>
        <v>1.2408658044391538</v>
      </c>
      <c r="D144" s="40">
        <f t="shared" si="27"/>
        <v>1.1763097731580203</v>
      </c>
      <c r="E144" s="40">
        <f t="shared" si="27"/>
        <v>1.0750518620196368</v>
      </c>
      <c r="F144" s="40">
        <f t="shared" si="27"/>
        <v>1.1381017088252532</v>
      </c>
      <c r="G144" s="40">
        <f t="shared" si="27"/>
        <v>1.072471671180687</v>
      </c>
      <c r="H144" s="40">
        <f t="shared" si="27"/>
        <v>1.0171766341509081</v>
      </c>
      <c r="I144" s="40">
        <f t="shared" si="27"/>
        <v>0.99074177856486356</v>
      </c>
      <c r="J144" s="41"/>
      <c r="K144" s="41"/>
      <c r="L144" s="41"/>
    </row>
    <row r="145" spans="1:18" x14ac:dyDescent="0.2">
      <c r="A145" s="18">
        <f t="shared" si="28"/>
        <v>1988</v>
      </c>
      <c r="B145" s="40">
        <f t="shared" si="27"/>
        <v>1.4925736170884827</v>
      </c>
      <c r="C145" s="40">
        <f t="shared" si="27"/>
        <v>1.3409713757731772</v>
      </c>
      <c r="D145" s="40">
        <f t="shared" si="27"/>
        <v>1.2142562693477994</v>
      </c>
      <c r="E145" s="40">
        <f t="shared" si="27"/>
        <v>1.0813959749456636</v>
      </c>
      <c r="F145" s="40">
        <f t="shared" si="27"/>
        <v>1.0152717269090494</v>
      </c>
      <c r="G145" s="40">
        <f t="shared" si="27"/>
        <v>1.0611230630506785</v>
      </c>
      <c r="H145" s="40">
        <f t="shared" si="27"/>
        <v>1.0182230623818527</v>
      </c>
      <c r="I145" s="41"/>
      <c r="J145" s="41"/>
      <c r="K145" s="41"/>
      <c r="L145" s="41"/>
    </row>
    <row r="146" spans="1:18" x14ac:dyDescent="0.2">
      <c r="A146" s="18">
        <f t="shared" si="28"/>
        <v>1989</v>
      </c>
      <c r="B146" s="40">
        <f t="shared" si="27"/>
        <v>1.3766940296188792</v>
      </c>
      <c r="C146" s="40">
        <f t="shared" si="27"/>
        <v>1.5899517329715351</v>
      </c>
      <c r="D146" s="40">
        <f t="shared" si="27"/>
        <v>1.1884456963320909</v>
      </c>
      <c r="E146" s="40">
        <f t="shared" si="27"/>
        <v>1.1611100009374207</v>
      </c>
      <c r="F146" s="40">
        <f t="shared" si="27"/>
        <v>0.97976757061725295</v>
      </c>
      <c r="G146" s="40">
        <f t="shared" si="27"/>
        <v>0.99772450313517824</v>
      </c>
      <c r="H146" s="41"/>
      <c r="I146" s="41"/>
      <c r="J146" s="41"/>
      <c r="K146" s="41"/>
      <c r="L146" s="41"/>
    </row>
    <row r="147" spans="1:18" x14ac:dyDescent="0.2">
      <c r="A147" s="18">
        <f t="shared" si="28"/>
        <v>1990</v>
      </c>
      <c r="B147" s="40">
        <f>C119/B119</f>
        <v>1.8288005491422374</v>
      </c>
      <c r="C147" s="40">
        <f>D119/C119</f>
        <v>1.3439873178703359</v>
      </c>
      <c r="D147" s="40">
        <f>E119/D119</f>
        <v>1.2819070305712348</v>
      </c>
      <c r="E147" s="40">
        <f>F119/E119</f>
        <v>1.0815173323491383</v>
      </c>
      <c r="F147" s="40">
        <f>G119/F119</f>
        <v>1.044008157745921</v>
      </c>
      <c r="G147" s="41"/>
      <c r="H147" s="41"/>
      <c r="I147" s="41"/>
      <c r="J147" s="41"/>
      <c r="K147" s="41"/>
      <c r="L147" s="41"/>
    </row>
    <row r="148" spans="1:18" x14ac:dyDescent="0.2">
      <c r="A148" s="18">
        <f t="shared" si="28"/>
        <v>1991</v>
      </c>
      <c r="B148" s="40">
        <f>C120/B120</f>
        <v>1.3413294415255885</v>
      </c>
      <c r="C148" s="40">
        <f>D120/C120</f>
        <v>1.2753823489527991</v>
      </c>
      <c r="D148" s="40">
        <f>E120/D120</f>
        <v>1.1336003084470212</v>
      </c>
      <c r="E148" s="40">
        <f>F120/E120</f>
        <v>1.0548494281332608</v>
      </c>
      <c r="F148" s="41"/>
      <c r="G148" s="41"/>
      <c r="H148" s="41"/>
      <c r="I148" s="41"/>
      <c r="J148" s="41"/>
      <c r="K148" s="41"/>
      <c r="L148" s="41"/>
    </row>
    <row r="149" spans="1:18" x14ac:dyDescent="0.2">
      <c r="A149" s="18">
        <f t="shared" si="28"/>
        <v>1992</v>
      </c>
      <c r="B149" s="40">
        <f>C121/B121</f>
        <v>1.7630005190078217</v>
      </c>
      <c r="C149" s="40">
        <f>D121/C121</f>
        <v>1.2370686621401705</v>
      </c>
      <c r="D149" s="40">
        <f>E121/D121</f>
        <v>1.175292477279662</v>
      </c>
      <c r="E149" s="41"/>
      <c r="F149" s="41"/>
      <c r="G149" s="41"/>
      <c r="H149" s="41"/>
      <c r="I149" s="41"/>
      <c r="J149" s="41"/>
      <c r="K149" s="41"/>
      <c r="L149" s="41"/>
    </row>
    <row r="150" spans="1:18" x14ac:dyDescent="0.2">
      <c r="A150" s="18">
        <f t="shared" si="28"/>
        <v>1993</v>
      </c>
      <c r="B150" s="40">
        <f>C122/B122</f>
        <v>1.4085772366296876</v>
      </c>
      <c r="C150" s="40">
        <f>D122/C122</f>
        <v>1.2029726712337694</v>
      </c>
      <c r="D150" s="41"/>
      <c r="E150" s="41"/>
      <c r="F150" s="41"/>
      <c r="G150" s="41"/>
      <c r="H150" s="41"/>
      <c r="I150" s="41"/>
      <c r="J150" s="41"/>
      <c r="K150" s="41"/>
      <c r="L150" s="41"/>
    </row>
    <row r="151" spans="1:18" x14ac:dyDescent="0.2">
      <c r="A151" s="18">
        <f t="shared" si="28"/>
        <v>1994</v>
      </c>
      <c r="B151" s="40">
        <f>C123/B123</f>
        <v>1.4901360917468238</v>
      </c>
      <c r="C151" s="40"/>
      <c r="D151" s="41"/>
      <c r="E151" s="41"/>
      <c r="F151" s="41"/>
      <c r="G151" s="41"/>
      <c r="H151" s="41"/>
      <c r="I151" s="41"/>
      <c r="J151" s="41"/>
      <c r="K151" s="41"/>
      <c r="L151" s="41"/>
    </row>
    <row r="152" spans="1:18" x14ac:dyDescent="0.2">
      <c r="A152" s="18"/>
      <c r="B152" s="40"/>
      <c r="C152" s="40"/>
      <c r="D152" s="41"/>
      <c r="E152" s="41"/>
      <c r="F152" s="41"/>
      <c r="G152" s="41"/>
      <c r="H152" s="41"/>
      <c r="I152" s="41"/>
      <c r="J152" s="41"/>
      <c r="K152" s="41"/>
      <c r="L152" s="41"/>
    </row>
    <row r="153" spans="1:18" x14ac:dyDescent="0.2">
      <c r="A153" s="18"/>
    </row>
    <row r="154" spans="1:18" x14ac:dyDescent="0.2">
      <c r="A154" s="25" t="s">
        <v>236</v>
      </c>
    </row>
    <row r="155" spans="1:18" x14ac:dyDescent="0.2">
      <c r="A155" s="25" t="s">
        <v>237</v>
      </c>
    </row>
    <row r="157" spans="1:18" x14ac:dyDescent="0.2">
      <c r="A157" s="25" t="s">
        <v>238</v>
      </c>
      <c r="B157" s="42">
        <f>SUM(C107:C123)/SUM(B107:B123)</f>
        <v>1.4447805439319004</v>
      </c>
      <c r="C157" s="42">
        <f>SUM(D107:D122)/SUM(C107:C122)</f>
        <v>1.2269209940824739</v>
      </c>
      <c r="D157" s="42">
        <f>SUM(E107:E121)/SUM(D107:D121)</f>
        <v>1.1121878023475176</v>
      </c>
      <c r="E157" s="42">
        <f>SUM(F107:F120)/SUM(E107:E120)</f>
        <v>1.055615508797596</v>
      </c>
      <c r="F157" s="42">
        <f>SUM(G107:G119)/SUM(F107:F119)</f>
        <v>1.0409725771051459</v>
      </c>
      <c r="G157" s="42">
        <f>SUM(H107:H118)/SUM(G107:G118)</f>
        <v>1.0132949465652819</v>
      </c>
      <c r="H157" s="42">
        <f>SUM(I107:I117)/SUM(H107:H117)</f>
        <v>0.99814695873874826</v>
      </c>
      <c r="I157" s="42">
        <f>SUM(J107:J116)/SUM(I107:I116)</f>
        <v>0.98758742550329859</v>
      </c>
      <c r="J157" s="42">
        <f>SUM(K107:K115)/SUM(J107:J115)</f>
        <v>0.99574179469430579</v>
      </c>
      <c r="K157" s="42">
        <f>SUM(L107:L114)/SUM(K107:K114)</f>
        <v>0.99493575698910364</v>
      </c>
      <c r="L157" s="42">
        <f>SUM(M107:M113)/SUM(L107:L113)</f>
        <v>0.99338577183994992</v>
      </c>
      <c r="M157" s="42">
        <f>SUM(N107:N112)/SUM(M107:M112)</f>
        <v>0.99398706489949296</v>
      </c>
      <c r="N157" s="42">
        <f>SUM(O107:O111)/SUM(N107:N111)</f>
        <v>0.99847205386000215</v>
      </c>
      <c r="O157" s="42">
        <f>SUM(P107:P110)/SUM(O107:O110)</f>
        <v>0.99711692297267418</v>
      </c>
      <c r="P157" s="42">
        <f>SUM(Q107:Q109)/SUM(P107:P109)</f>
        <v>1.0008183771918733</v>
      </c>
      <c r="Q157" s="42">
        <f>SUM(R107:R108)/SUM(Q107:Q108)</f>
        <v>1.0037177029473385</v>
      </c>
      <c r="R157" s="42">
        <f>SUM(S107)/SUM(R107)</f>
        <v>0.99309833892224908</v>
      </c>
    </row>
    <row r="158" spans="1:18" x14ac:dyDescent="0.2">
      <c r="A158" s="18"/>
      <c r="B158" s="40"/>
    </row>
    <row r="159" spans="1:18" x14ac:dyDescent="0.2">
      <c r="A159" s="25" t="s">
        <v>239</v>
      </c>
    </row>
    <row r="160" spans="1:18" x14ac:dyDescent="0.2">
      <c r="A160" s="25" t="s">
        <v>240</v>
      </c>
      <c r="B160" s="43">
        <f>SUM(C118:C123)/SUM(B118:B123)</f>
        <v>1.5209285797291969</v>
      </c>
      <c r="C160" s="43">
        <f>SUM(D117:D122)/SUM(C117:C122)</f>
        <v>1.3179844490728956</v>
      </c>
      <c r="D160" s="43">
        <f>SUM(E116:E121)/SUM(D116:D121)</f>
        <v>1.1953786250141645</v>
      </c>
      <c r="E160" s="43">
        <f>SUM(F115:F120)/SUM(E115:E120)</f>
        <v>1.0892270303936633</v>
      </c>
      <c r="F160" s="43">
        <f>SUM(G114:G119)/SUM(F114:F119)</f>
        <v>1.0401246701671292</v>
      </c>
      <c r="G160" s="43">
        <f>SUM(H113:H118)/SUM(G113:G118)</f>
        <v>1.021944354445685</v>
      </c>
      <c r="H160" s="43">
        <f>SUM(I112:I117)/SUM(H112:H117)</f>
        <v>1.0030741568153487</v>
      </c>
      <c r="I160" s="43">
        <f>SUM(J111:J116)/SUM(I111:I116)</f>
        <v>0.99136156873172521</v>
      </c>
      <c r="J160" s="43">
        <f>SUM(K110:K115)/SUM(J110:J115)</f>
        <v>0.99301767671578323</v>
      </c>
      <c r="K160" s="43">
        <f>SUM(L109:L114)/SUM(K109:K114)</f>
        <v>0.99736039849544278</v>
      </c>
      <c r="L160" s="43">
        <f>SUM(M108:M113)/SUM(L108:L113)</f>
        <v>0.99398918192577845</v>
      </c>
      <c r="M160" s="43">
        <f>SUM(N107:N112)/SUM(M107:M112)</f>
        <v>0.99398706489949296</v>
      </c>
      <c r="N160" s="40"/>
      <c r="O160" s="40"/>
      <c r="P160" s="40"/>
      <c r="Q160" s="40"/>
      <c r="R160" s="40"/>
    </row>
    <row r="161" spans="1:23" x14ac:dyDescent="0.2">
      <c r="A161" s="25" t="s">
        <v>241</v>
      </c>
    </row>
    <row r="162" spans="1:23" x14ac:dyDescent="0.2">
      <c r="A162" s="18"/>
      <c r="B162" s="18"/>
      <c r="C162" s="18"/>
      <c r="D162" s="18"/>
      <c r="E162" s="18"/>
      <c r="F162" s="18"/>
      <c r="G162" s="18"/>
      <c r="H162" s="18"/>
      <c r="I162" s="18"/>
      <c r="J162" s="18"/>
      <c r="K162" s="18"/>
      <c r="L162" s="18"/>
      <c r="M162" s="18"/>
      <c r="N162" s="18"/>
      <c r="O162" s="18"/>
      <c r="P162" s="18"/>
      <c r="Q162" s="18"/>
      <c r="R162" s="18"/>
    </row>
    <row r="163" spans="1:23" x14ac:dyDescent="0.2">
      <c r="A163" s="25" t="s">
        <v>242</v>
      </c>
      <c r="B163" s="44">
        <f>SUM(C121:C123)/SUM(B121:B123)</f>
        <v>1.5450757014467438</v>
      </c>
      <c r="C163" s="44">
        <f>SUM(D120:D122)/SUM(C120:C122)</f>
        <v>1.2377428172823226</v>
      </c>
      <c r="D163" s="44">
        <f>SUM(E119:E121)/SUM(D119:D121)</f>
        <v>1.1977489946779605</v>
      </c>
      <c r="E163" s="44">
        <f>SUM(F118:F120)/SUM(E118:E120)</f>
        <v>1.0983465130791452</v>
      </c>
      <c r="F163" s="44">
        <f>SUM(G117:G119)/SUM(F117:F119)</f>
        <v>1.0138295960399994</v>
      </c>
      <c r="G163" s="44">
        <f>SUM(H116:H118)/SUM(G116:G118)</f>
        <v>1.0417010347659652</v>
      </c>
      <c r="H163" s="44">
        <f>SUM(I115:I117)/SUM(H115:H117)</f>
        <v>1.0077599653291598</v>
      </c>
      <c r="I163" s="44">
        <f>SUM(J114:J116)/SUM(I114:I116)</f>
        <v>0.99340662334957353</v>
      </c>
      <c r="J163" s="44">
        <f>SUM(K113:K115)/SUM(J113:J115)</f>
        <v>0.99126531172573007</v>
      </c>
      <c r="K163" s="44">
        <f>SUM(L112:L114)/SUM(K112:K114)</f>
        <v>1.0078086505142063</v>
      </c>
      <c r="L163" s="44">
        <f>SUM(M111:M113)/SUM(L111:L113)</f>
        <v>1.0010381114009663</v>
      </c>
      <c r="M163" s="44">
        <f>SUM(N110:N112)/SUM(M110:M112)</f>
        <v>0.99408441552936921</v>
      </c>
      <c r="N163" s="44">
        <f>SUM(O109:O111)/SUM(N109:N111)</f>
        <v>1.0047298916034948</v>
      </c>
      <c r="O163" s="44">
        <f>SUM(P108:P110)/SUM(O108:O110)</f>
        <v>0.99660239926397998</v>
      </c>
      <c r="P163" s="44">
        <f>SUM(Q107:Q109)/SUM(P107:P109)</f>
        <v>1.0008183771918733</v>
      </c>
      <c r="Q163" s="40"/>
      <c r="R163" s="40"/>
    </row>
    <row r="164" spans="1:23" x14ac:dyDescent="0.2">
      <c r="A164" s="18"/>
      <c r="B164" s="18"/>
      <c r="C164" s="18"/>
      <c r="D164" s="18"/>
      <c r="E164" s="18"/>
      <c r="F164" s="18"/>
      <c r="G164" s="18"/>
      <c r="H164" s="18"/>
      <c r="I164" s="18"/>
      <c r="J164" s="18"/>
      <c r="K164" s="18"/>
      <c r="L164" s="18"/>
      <c r="M164" s="18"/>
      <c r="N164" s="18"/>
      <c r="O164" s="18"/>
      <c r="P164" s="18"/>
      <c r="Q164" s="18"/>
      <c r="R164" s="18"/>
    </row>
    <row r="165" spans="1:23" x14ac:dyDescent="0.2">
      <c r="A165" s="25" t="s">
        <v>243</v>
      </c>
      <c r="B165" s="18"/>
      <c r="C165" s="18"/>
      <c r="D165" s="18"/>
      <c r="E165" s="18"/>
      <c r="F165" s="18"/>
      <c r="G165" s="18"/>
      <c r="H165" s="18"/>
      <c r="I165" s="18"/>
      <c r="J165" s="18"/>
      <c r="K165" s="18"/>
      <c r="L165" s="18"/>
      <c r="M165" s="18"/>
      <c r="N165" s="18"/>
      <c r="O165" s="18"/>
      <c r="P165" s="18"/>
      <c r="Q165" s="18"/>
      <c r="R165" s="18"/>
    </row>
    <row r="166" spans="1:23" x14ac:dyDescent="0.2">
      <c r="A166" s="25" t="s">
        <v>244</v>
      </c>
      <c r="B166" s="43">
        <f>B160</f>
        <v>1.5209285797291969</v>
      </c>
      <c r="C166" s="43">
        <f t="shared" ref="C166:H166" si="29">C160</f>
        <v>1.3179844490728956</v>
      </c>
      <c r="D166" s="43">
        <f t="shared" si="29"/>
        <v>1.1953786250141645</v>
      </c>
      <c r="E166" s="43">
        <f t="shared" si="29"/>
        <v>1.0892270303936633</v>
      </c>
      <c r="F166" s="43">
        <f t="shared" si="29"/>
        <v>1.0401246701671292</v>
      </c>
      <c r="G166" s="43">
        <f t="shared" si="29"/>
        <v>1.021944354445685</v>
      </c>
      <c r="H166" s="43">
        <f t="shared" si="29"/>
        <v>1.0030741568153487</v>
      </c>
      <c r="I166" s="44">
        <f>I163</f>
        <v>0.99340662334957353</v>
      </c>
      <c r="J166" s="44">
        <f t="shared" ref="J166:P166" si="30">J163</f>
        <v>0.99126531172573007</v>
      </c>
      <c r="K166" s="44">
        <f t="shared" si="30"/>
        <v>1.0078086505142063</v>
      </c>
      <c r="L166" s="44">
        <f t="shared" si="30"/>
        <v>1.0010381114009663</v>
      </c>
      <c r="M166" s="44">
        <f t="shared" si="30"/>
        <v>0.99408441552936921</v>
      </c>
      <c r="N166" s="44">
        <f t="shared" si="30"/>
        <v>1.0047298916034948</v>
      </c>
      <c r="O166" s="44">
        <f t="shared" si="30"/>
        <v>0.99660239926397998</v>
      </c>
      <c r="P166" s="44">
        <f t="shared" si="30"/>
        <v>1.0008183771918733</v>
      </c>
      <c r="Q166" s="42">
        <f t="shared" ref="Q166:R166" si="31">Q157</f>
        <v>1.0037177029473385</v>
      </c>
      <c r="R166" s="42">
        <f t="shared" si="31"/>
        <v>0.99309833892224908</v>
      </c>
      <c r="S166" s="45" t="s">
        <v>245</v>
      </c>
      <c r="T166" s="45"/>
      <c r="U166" s="45"/>
      <c r="V166" s="45"/>
      <c r="W166" s="45"/>
    </row>
    <row r="167" spans="1:23" x14ac:dyDescent="0.2">
      <c r="A167" s="18"/>
      <c r="B167" s="18"/>
      <c r="C167" s="18"/>
      <c r="D167" s="18"/>
      <c r="E167" s="18"/>
      <c r="F167" s="18"/>
      <c r="G167" s="18"/>
      <c r="H167" s="18"/>
      <c r="I167" s="18"/>
      <c r="J167" s="18"/>
      <c r="K167" s="18"/>
      <c r="L167" s="18"/>
      <c r="M167" s="18"/>
      <c r="N167" s="18"/>
      <c r="O167" s="18"/>
      <c r="P167" s="18"/>
      <c r="Q167" s="18"/>
      <c r="R167" s="18"/>
    </row>
    <row r="168" spans="1:23" x14ac:dyDescent="0.2">
      <c r="A168" s="25"/>
      <c r="B168" s="18"/>
      <c r="C168" s="18"/>
      <c r="D168" s="18"/>
      <c r="E168" s="18"/>
      <c r="F168" s="18"/>
      <c r="G168" s="18"/>
      <c r="H168" s="18"/>
      <c r="I168" s="18"/>
      <c r="J168" s="18"/>
      <c r="K168" s="18"/>
      <c r="L168" s="18"/>
      <c r="M168" s="18"/>
      <c r="N168" s="18"/>
      <c r="O168" s="18"/>
      <c r="P168" s="18"/>
      <c r="Q168" s="18"/>
      <c r="R168" s="18"/>
    </row>
    <row r="169" spans="1:23" x14ac:dyDescent="0.2">
      <c r="A169" s="25" t="s">
        <v>246</v>
      </c>
      <c r="B169" s="40">
        <f>PRODUCT(B166:$R166)</f>
        <v>2.7452883817814859</v>
      </c>
      <c r="C169" s="40">
        <f>PRODUCT(C166:$R166)</f>
        <v>1.8050080841207468</v>
      </c>
      <c r="D169" s="40">
        <f>PRODUCT(D166:$R166)</f>
        <v>1.3695215337255582</v>
      </c>
      <c r="E169" s="40">
        <f>PRODUCT(E166:$R166)</f>
        <v>1.1456801260013583</v>
      </c>
      <c r="F169" s="40">
        <f>PRODUCT(F166:$R166)</f>
        <v>1.0518285848885811</v>
      </c>
      <c r="G169" s="40">
        <f>PRODUCT(G166:$R166)</f>
        <v>1.011252415270153</v>
      </c>
      <c r="H169" s="40">
        <f>PRODUCT(H166:$R166)</f>
        <v>0.98953765033387642</v>
      </c>
      <c r="I169" s="40">
        <f>PRODUCT(I166:$R166)</f>
        <v>0.98650497932829873</v>
      </c>
      <c r="J169" s="40">
        <f>PRODUCT(J166:$R166)</f>
        <v>0.99305254881631067</v>
      </c>
      <c r="K169" s="40">
        <f>PRODUCT(K166:$R166)</f>
        <v>1.0018029856078281</v>
      </c>
      <c r="L169" s="40">
        <f>PRODUCT(L166:$R166)</f>
        <v>0.99404086787376367</v>
      </c>
      <c r="M169" s="40">
        <f>PRODUCT(M166:$R166)</f>
        <v>0.99301001285814183</v>
      </c>
      <c r="N169" s="40">
        <f>PRODUCT(N166:$R166)</f>
        <v>0.998919203787482</v>
      </c>
      <c r="O169" s="40">
        <f>PRODUCT(O166:$R166)</f>
        <v>0.99421666672349196</v>
      </c>
      <c r="P169" s="40">
        <f>PRODUCT(P166:$R166)</f>
        <v>0.99760613405882814</v>
      </c>
      <c r="Q169" s="40">
        <f>PRODUCT(Q166:$R166)</f>
        <v>0.99679038354385729</v>
      </c>
      <c r="R169" s="40">
        <f>PRODUCT(R166:$R166)</f>
        <v>0.99309833892224908</v>
      </c>
    </row>
    <row r="170" spans="1:23" x14ac:dyDescent="0.2">
      <c r="A170" s="46" t="s">
        <v>247</v>
      </c>
    </row>
    <row r="171" spans="1:23" x14ac:dyDescent="0.2">
      <c r="A171" s="17" t="s">
        <v>248</v>
      </c>
      <c r="B171" s="47">
        <f>1/B169</f>
        <v>0.36426045680165486</v>
      </c>
      <c r="C171" s="47">
        <f t="shared" ref="C171:R171" si="32">1/C169</f>
        <v>0.55401413921484943</v>
      </c>
      <c r="D171" s="47">
        <f t="shared" si="32"/>
        <v>0.73018202005167776</v>
      </c>
      <c r="E171" s="47">
        <f t="shared" si="32"/>
        <v>0.87284397913943956</v>
      </c>
      <c r="F171" s="47">
        <f t="shared" si="32"/>
        <v>0.95072525539504016</v>
      </c>
      <c r="G171" s="47">
        <f t="shared" si="32"/>
        <v>0.98887279268732631</v>
      </c>
      <c r="H171" s="47">
        <f t="shared" si="32"/>
        <v>1.010572967751751</v>
      </c>
      <c r="I171" s="47">
        <f t="shared" si="32"/>
        <v>1.0136796275279725</v>
      </c>
      <c r="J171" s="47">
        <f t="shared" si="32"/>
        <v>1.0069960559408164</v>
      </c>
      <c r="K171" s="47">
        <f t="shared" si="32"/>
        <v>0.99820025929875411</v>
      </c>
      <c r="L171" s="47">
        <f t="shared" si="32"/>
        <v>1.005994856266808</v>
      </c>
      <c r="M171" s="47">
        <f t="shared" si="32"/>
        <v>1.0070391909964123</v>
      </c>
      <c r="N171" s="47">
        <f t="shared" si="32"/>
        <v>1.001081965596837</v>
      </c>
      <c r="O171" s="47">
        <f t="shared" si="32"/>
        <v>1.0058169747803236</v>
      </c>
      <c r="P171" s="47">
        <f t="shared" si="32"/>
        <v>1.0023996102865089</v>
      </c>
      <c r="Q171" s="47">
        <f t="shared" si="32"/>
        <v>1.00321995126471</v>
      </c>
      <c r="R171" s="47">
        <f t="shared" si="32"/>
        <v>1.0069496250343555</v>
      </c>
    </row>
    <row r="174" spans="1:23" x14ac:dyDescent="0.2">
      <c r="E174" s="23" t="s">
        <v>249</v>
      </c>
      <c r="F174" s="21"/>
    </row>
    <row r="175" spans="1:23" x14ac:dyDescent="0.2">
      <c r="E175" s="19" t="s">
        <v>250</v>
      </c>
      <c r="F175" s="19" t="s">
        <v>251</v>
      </c>
      <c r="H175" s="22" t="s">
        <v>252</v>
      </c>
      <c r="I175" s="19" t="s">
        <v>253</v>
      </c>
      <c r="K175" s="19" t="s">
        <v>254</v>
      </c>
      <c r="L175" s="19" t="s">
        <v>254</v>
      </c>
      <c r="M175" s="19" t="s">
        <v>255</v>
      </c>
      <c r="N175" s="19"/>
      <c r="O175" s="19"/>
    </row>
    <row r="176" spans="1:23" x14ac:dyDescent="0.2">
      <c r="A176" s="19" t="s">
        <v>216</v>
      </c>
      <c r="B176" s="48" t="s">
        <v>256</v>
      </c>
      <c r="C176" s="48" t="s">
        <v>257</v>
      </c>
      <c r="D176" s="48" t="s">
        <v>258</v>
      </c>
      <c r="E176" s="23" t="s">
        <v>259</v>
      </c>
      <c r="F176" s="23" t="s">
        <v>260</v>
      </c>
      <c r="H176" s="19" t="s">
        <v>261</v>
      </c>
      <c r="I176" s="19" t="s">
        <v>262</v>
      </c>
      <c r="K176" s="23" t="s">
        <v>263</v>
      </c>
      <c r="L176" s="23" t="s">
        <v>264</v>
      </c>
      <c r="M176" s="23" t="s">
        <v>265</v>
      </c>
      <c r="N176" s="19"/>
      <c r="O176" s="19"/>
    </row>
    <row r="177" spans="1:15" x14ac:dyDescent="0.2">
      <c r="A177" s="23" t="s">
        <v>218</v>
      </c>
      <c r="B177" s="19" t="s">
        <v>266</v>
      </c>
      <c r="C177" s="19" t="s">
        <v>267</v>
      </c>
      <c r="D177" s="19" t="s">
        <v>219</v>
      </c>
      <c r="E177" s="19" t="s">
        <v>219</v>
      </c>
      <c r="F177" s="19" t="s">
        <v>219</v>
      </c>
      <c r="H177" s="49" t="s">
        <v>219</v>
      </c>
      <c r="I177" s="49"/>
      <c r="K177" s="19" t="s">
        <v>219</v>
      </c>
      <c r="L177" s="19" t="s">
        <v>219</v>
      </c>
      <c r="M177" s="19" t="s">
        <v>219</v>
      </c>
      <c r="N177" s="19"/>
    </row>
    <row r="178" spans="1:15" x14ac:dyDescent="0.2">
      <c r="L178" s="50"/>
    </row>
    <row r="179" spans="1:15" x14ac:dyDescent="0.2">
      <c r="A179" s="18">
        <f>A107</f>
        <v>1978</v>
      </c>
      <c r="B179" s="51">
        <f>S107</f>
        <v>41.674242703114082</v>
      </c>
      <c r="C179" s="32">
        <f>P57</f>
        <v>611.14487865899105</v>
      </c>
      <c r="D179" s="52">
        <f>B179*C179</f>
        <v>25469</v>
      </c>
      <c r="E179" s="53">
        <v>25469.405999999995</v>
      </c>
      <c r="F179" s="52">
        <f>D179-E179</f>
        <v>-0.40599999999540159</v>
      </c>
      <c r="H179" s="54">
        <v>-0.40599999999540159</v>
      </c>
      <c r="I179" s="55">
        <f>H179/F179</f>
        <v>1</v>
      </c>
      <c r="K179" s="54">
        <v>28.434239916292427</v>
      </c>
      <c r="L179" s="54">
        <v>18.26974680575222</v>
      </c>
      <c r="M179" s="54">
        <v>0</v>
      </c>
      <c r="N179" s="54"/>
      <c r="O179" s="55"/>
    </row>
    <row r="180" spans="1:15" x14ac:dyDescent="0.2">
      <c r="A180" s="18">
        <f t="shared" ref="A180:A196" si="33">A108</f>
        <v>1979</v>
      </c>
      <c r="B180" s="56">
        <f>R108/R171</f>
        <v>33.526842272006888</v>
      </c>
      <c r="C180" s="32">
        <f t="shared" ref="C180:C196" si="34">P58</f>
        <v>592.15325834520638</v>
      </c>
      <c r="D180" s="52">
        <f t="shared" ref="D180:D196" si="35">B180*C180</f>
        <v>19853.028893394679</v>
      </c>
      <c r="E180" s="53">
        <v>19836.829000000005</v>
      </c>
      <c r="F180" s="52">
        <f t="shared" ref="F180:F196" si="36">D180-E180</f>
        <v>16.199893394674291</v>
      </c>
      <c r="H180" s="54">
        <v>154.17099999999482</v>
      </c>
      <c r="I180" s="55">
        <f t="shared" ref="I180:I198" si="37">H180/F180</f>
        <v>9.5167910210247726</v>
      </c>
      <c r="K180" s="54">
        <v>37.405836345264106</v>
      </c>
      <c r="L180" s="54">
        <v>37.090036274461454</v>
      </c>
      <c r="M180" s="54">
        <v>13.892495537419666</v>
      </c>
      <c r="N180" s="54"/>
      <c r="O180" s="55"/>
    </row>
    <row r="181" spans="1:15" x14ac:dyDescent="0.2">
      <c r="A181" s="18">
        <f t="shared" si="33"/>
        <v>1980</v>
      </c>
      <c r="B181" s="56">
        <f>Q109/Q171</f>
        <v>41.150842674464322</v>
      </c>
      <c r="C181" s="32">
        <f t="shared" si="34"/>
        <v>779.20039964907482</v>
      </c>
      <c r="D181" s="52">
        <f t="shared" si="35"/>
        <v>32064.753057838803</v>
      </c>
      <c r="E181" s="53">
        <v>31992.917999999998</v>
      </c>
      <c r="F181" s="52">
        <f t="shared" si="36"/>
        <v>71.835057838805369</v>
      </c>
      <c r="H181" s="54">
        <v>182.4368118111488</v>
      </c>
      <c r="I181" s="55">
        <f t="shared" si="37"/>
        <v>2.5396626285250412</v>
      </c>
      <c r="K181" s="54">
        <v>101.91092869063505</v>
      </c>
      <c r="L181" s="54">
        <v>92.717548743104999</v>
      </c>
      <c r="M181" s="54">
        <v>70.107155537692407</v>
      </c>
      <c r="N181" s="54"/>
      <c r="O181" s="55"/>
    </row>
    <row r="182" spans="1:15" x14ac:dyDescent="0.2">
      <c r="A182" s="18">
        <f t="shared" si="33"/>
        <v>1981</v>
      </c>
      <c r="B182" s="56">
        <f>P110/P171</f>
        <v>43.001127529341908</v>
      </c>
      <c r="C182" s="32">
        <f t="shared" si="34"/>
        <v>930.20852822821166</v>
      </c>
      <c r="D182" s="52">
        <f t="shared" si="35"/>
        <v>40000.015551222772</v>
      </c>
      <c r="E182" s="53">
        <v>39118.252</v>
      </c>
      <c r="F182" s="52">
        <f t="shared" si="36"/>
        <v>881.76355122277164</v>
      </c>
      <c r="H182" s="54">
        <v>957.97618288319791</v>
      </c>
      <c r="I182" s="55">
        <f t="shared" si="37"/>
        <v>1.0864320503549274</v>
      </c>
      <c r="K182" s="54">
        <v>210.55842747081624</v>
      </c>
      <c r="L182" s="54">
        <v>186.63753983119386</v>
      </c>
      <c r="M182" s="54">
        <v>155.18736196278877</v>
      </c>
      <c r="N182" s="54"/>
      <c r="O182" s="55"/>
    </row>
    <row r="183" spans="1:15" x14ac:dyDescent="0.2">
      <c r="A183" s="18">
        <f t="shared" si="33"/>
        <v>1982</v>
      </c>
      <c r="B183" s="56">
        <f>O111/O171</f>
        <v>44.695573280814642</v>
      </c>
      <c r="C183" s="32">
        <f t="shared" si="34"/>
        <v>894.21629634718749</v>
      </c>
      <c r="D183" s="52">
        <f>B183*C183</f>
        <v>39967.510002284384</v>
      </c>
      <c r="E183" s="53">
        <v>39428.586000000003</v>
      </c>
      <c r="F183" s="52">
        <f t="shared" si="36"/>
        <v>538.92400228438055</v>
      </c>
      <c r="H183" s="54">
        <v>709.93129559835506</v>
      </c>
      <c r="I183" s="55">
        <f t="shared" si="37"/>
        <v>1.3173124458905376</v>
      </c>
      <c r="K183" s="54">
        <v>358.80928303716064</v>
      </c>
      <c r="L183" s="54">
        <v>314.85578943147993</v>
      </c>
      <c r="M183" s="54">
        <v>576.17338590803263</v>
      </c>
      <c r="N183" s="54"/>
      <c r="O183" s="55"/>
    </row>
    <row r="184" spans="1:15" x14ac:dyDescent="0.2">
      <c r="A184" s="18">
        <f t="shared" si="33"/>
        <v>1983</v>
      </c>
      <c r="B184" s="56">
        <f>N112/N171</f>
        <v>38.409038417973072</v>
      </c>
      <c r="C184" s="32">
        <f t="shared" si="34"/>
        <v>964.22433379875565</v>
      </c>
      <c r="D184" s="52">
        <f t="shared" si="35"/>
        <v>37034.929480420898</v>
      </c>
      <c r="E184" s="53">
        <v>36354.199000000001</v>
      </c>
      <c r="F184" s="52">
        <f t="shared" si="36"/>
        <v>680.73048042089795</v>
      </c>
      <c r="H184" s="54">
        <v>550.17552824519953</v>
      </c>
      <c r="I184" s="55">
        <f t="shared" si="37"/>
        <v>0.80821344727361721</v>
      </c>
      <c r="K184" s="54">
        <v>559.8493479511817</v>
      </c>
      <c r="L184" s="54">
        <v>490.34687011372444</v>
      </c>
      <c r="M184" s="54">
        <v>1080.7113492642491</v>
      </c>
      <c r="N184" s="54"/>
      <c r="O184" s="55"/>
    </row>
    <row r="185" spans="1:15" x14ac:dyDescent="0.2">
      <c r="A185" s="18">
        <f t="shared" si="33"/>
        <v>1984</v>
      </c>
      <c r="B185" s="56">
        <f>M113/M171</f>
        <v>51.945841294123241</v>
      </c>
      <c r="C185" s="32">
        <f t="shared" si="34"/>
        <v>982.23147820014947</v>
      </c>
      <c r="D185" s="52">
        <f t="shared" si="35"/>
        <v>51022.840480677034</v>
      </c>
      <c r="E185" s="53">
        <v>48560.689000000013</v>
      </c>
      <c r="F185" s="52">
        <f t="shared" si="36"/>
        <v>2462.151480677021</v>
      </c>
      <c r="H185" s="54">
        <v>2366.8896809483776</v>
      </c>
      <c r="I185" s="55">
        <f t="shared" si="37"/>
        <v>0.9613095292973407</v>
      </c>
      <c r="K185" s="54">
        <v>1267.5228116118815</v>
      </c>
      <c r="L185" s="54">
        <v>1084.8296604167263</v>
      </c>
      <c r="M185" s="54">
        <v>1664.2109927822423</v>
      </c>
      <c r="N185" s="54"/>
      <c r="O185" s="55"/>
    </row>
    <row r="186" spans="1:15" x14ac:dyDescent="0.2">
      <c r="A186" s="18">
        <f t="shared" si="33"/>
        <v>1985</v>
      </c>
      <c r="B186" s="56">
        <f>L114/L171</f>
        <v>44.909876224684822</v>
      </c>
      <c r="C186" s="32">
        <f t="shared" si="34"/>
        <v>938.23755134634564</v>
      </c>
      <c r="D186" s="52">
        <f t="shared" si="35"/>
        <v>42136.132300315752</v>
      </c>
      <c r="E186" s="53">
        <v>39959.231</v>
      </c>
      <c r="F186" s="52">
        <f t="shared" si="36"/>
        <v>2176.9013003157525</v>
      </c>
      <c r="H186" s="54">
        <v>1838.81630212452</v>
      </c>
      <c r="I186" s="55">
        <f t="shared" si="37"/>
        <v>0.844694383644222</v>
      </c>
      <c r="K186" s="54">
        <v>1772.602817073348</v>
      </c>
      <c r="L186" s="54">
        <v>1527.1619639316486</v>
      </c>
      <c r="M186" s="54">
        <v>2495.2562650240716</v>
      </c>
      <c r="N186" s="54"/>
      <c r="O186" s="55"/>
    </row>
    <row r="187" spans="1:15" x14ac:dyDescent="0.2">
      <c r="A187" s="18">
        <f t="shared" si="33"/>
        <v>1986</v>
      </c>
      <c r="B187" s="56">
        <f>K115/K171</f>
        <v>46.509437144594386</v>
      </c>
      <c r="C187" s="32">
        <f t="shared" si="34"/>
        <v>956.4643816884028</v>
      </c>
      <c r="D187" s="52">
        <f t="shared" si="35"/>
        <v>44484.620041180104</v>
      </c>
      <c r="E187" s="53">
        <v>41254.536</v>
      </c>
      <c r="F187" s="52">
        <f t="shared" si="36"/>
        <v>3230.0840411801037</v>
      </c>
      <c r="H187" s="54">
        <v>2312.7309729606786</v>
      </c>
      <c r="I187" s="55">
        <f t="shared" si="37"/>
        <v>0.71599715161458388</v>
      </c>
      <c r="K187" s="54">
        <v>3124.3847967215115</v>
      </c>
      <c r="L187" s="54">
        <v>2738.5206642419653</v>
      </c>
      <c r="M187" s="54">
        <v>4267.9234607698609</v>
      </c>
      <c r="N187" s="54"/>
      <c r="O187" s="55"/>
    </row>
    <row r="188" spans="1:15" x14ac:dyDescent="0.2">
      <c r="A188" s="18">
        <f t="shared" si="33"/>
        <v>1987</v>
      </c>
      <c r="B188" s="56">
        <f>J116/J171</f>
        <v>51.392213638742</v>
      </c>
      <c r="C188" s="32">
        <f t="shared" si="34"/>
        <v>854.8792583053895</v>
      </c>
      <c r="D188" s="52">
        <f t="shared" si="35"/>
        <v>43934.137478159886</v>
      </c>
      <c r="E188" s="53">
        <v>40205.614000000001</v>
      </c>
      <c r="F188" s="52">
        <f t="shared" si="36"/>
        <v>3728.5234781598847</v>
      </c>
      <c r="H188" s="54">
        <v>2890.0635634833379</v>
      </c>
      <c r="I188" s="55">
        <f t="shared" si="37"/>
        <v>0.77512280140171019</v>
      </c>
      <c r="K188" s="54">
        <v>4988.4323269274682</v>
      </c>
      <c r="L188" s="54">
        <v>4390.617238392595</v>
      </c>
      <c r="M188" s="54">
        <v>5933.6225262025864</v>
      </c>
      <c r="N188" s="54"/>
      <c r="O188" s="55"/>
    </row>
    <row r="189" spans="1:15" x14ac:dyDescent="0.2">
      <c r="A189" s="18">
        <f t="shared" si="33"/>
        <v>1988</v>
      </c>
      <c r="B189" s="56">
        <f>I117/I171</f>
        <v>45.650433167130139</v>
      </c>
      <c r="C189" s="32">
        <f t="shared" si="34"/>
        <v>874.70988997152347</v>
      </c>
      <c r="D189" s="52">
        <f t="shared" si="35"/>
        <v>39930.885372772791</v>
      </c>
      <c r="E189" s="53">
        <v>33364.098000000005</v>
      </c>
      <c r="F189" s="52">
        <f t="shared" si="36"/>
        <v>6566.7873727727856</v>
      </c>
      <c r="H189" s="54">
        <v>5839.6842253362774</v>
      </c>
      <c r="I189" s="55">
        <f t="shared" si="37"/>
        <v>0.88927566766494937</v>
      </c>
      <c r="K189" s="54">
        <v>6791.7694566274149</v>
      </c>
      <c r="L189" s="54">
        <v>6158.2560471590186</v>
      </c>
      <c r="M189" s="54">
        <v>9816.0509043225102</v>
      </c>
      <c r="N189" s="54"/>
      <c r="O189" s="55"/>
    </row>
    <row r="190" spans="1:15" x14ac:dyDescent="0.2">
      <c r="A190" s="18">
        <f t="shared" si="33"/>
        <v>1989</v>
      </c>
      <c r="B190" s="56">
        <f>H118/H171</f>
        <v>51.752819112461736</v>
      </c>
      <c r="C190" s="32">
        <f t="shared" si="34"/>
        <v>873.38341305241579</v>
      </c>
      <c r="D190" s="52">
        <f t="shared" si="35"/>
        <v>45200.05379152613</v>
      </c>
      <c r="E190" s="53">
        <v>37319.199000000001</v>
      </c>
      <c r="F190" s="52">
        <f t="shared" si="36"/>
        <v>7880.8547915261297</v>
      </c>
      <c r="H190" s="54">
        <v>7031.4376851106572</v>
      </c>
      <c r="I190" s="55">
        <f t="shared" si="37"/>
        <v>0.89221764277032412</v>
      </c>
      <c r="K190" s="54">
        <v>13152.312258232581</v>
      </c>
      <c r="L190" s="54">
        <v>12309.814739663809</v>
      </c>
      <c r="M190" s="54">
        <v>15060.469867494998</v>
      </c>
      <c r="N190" s="54"/>
      <c r="O190" s="55"/>
    </row>
    <row r="191" spans="1:15" x14ac:dyDescent="0.2">
      <c r="A191" s="18">
        <f t="shared" si="33"/>
        <v>1990</v>
      </c>
      <c r="B191" s="56">
        <f>G119/G171</f>
        <v>61.625147185189789</v>
      </c>
      <c r="C191" s="32">
        <f t="shared" si="34"/>
        <v>815.88864504250148</v>
      </c>
      <c r="D191" s="52">
        <f t="shared" si="35"/>
        <v>50279.257837469224</v>
      </c>
      <c r="E191" s="53">
        <v>35744.653000000006</v>
      </c>
      <c r="F191" s="52">
        <f t="shared" si="36"/>
        <v>14534.604837469218</v>
      </c>
      <c r="H191" s="54">
        <v>13676.165037476181</v>
      </c>
      <c r="I191" s="55">
        <f t="shared" si="37"/>
        <v>0.94093820853112997</v>
      </c>
      <c r="K191" s="54">
        <v>22409.830270913488</v>
      </c>
      <c r="L191" s="54">
        <v>21421.018307443781</v>
      </c>
      <c r="M191" s="54">
        <v>21631.212312376581</v>
      </c>
      <c r="N191" s="54"/>
      <c r="O191" s="55"/>
    </row>
    <row r="192" spans="1:15" x14ac:dyDescent="0.2">
      <c r="A192" s="18">
        <f t="shared" si="33"/>
        <v>1991</v>
      </c>
      <c r="B192" s="56">
        <f>F120/F171</f>
        <v>50.60095129080365</v>
      </c>
      <c r="C192" s="32">
        <f t="shared" si="34"/>
        <v>868.43441239995616</v>
      </c>
      <c r="D192" s="52">
        <f t="shared" si="35"/>
        <v>43943.607401107867</v>
      </c>
      <c r="E192" s="53">
        <v>29448.637999999999</v>
      </c>
      <c r="F192" s="52">
        <f t="shared" si="36"/>
        <v>14494.969401107868</v>
      </c>
      <c r="H192" s="54">
        <v>13768.28108998618</v>
      </c>
      <c r="I192" s="55">
        <f t="shared" si="37"/>
        <v>0.94986617142729901</v>
      </c>
      <c r="K192" s="54">
        <v>34842.093490836291</v>
      </c>
      <c r="L192" s="54">
        <v>34066.431031002016</v>
      </c>
      <c r="M192" s="54">
        <v>33309.216128706335</v>
      </c>
      <c r="N192" s="54"/>
      <c r="O192" s="55"/>
    </row>
    <row r="193" spans="1:15" x14ac:dyDescent="0.2">
      <c r="A193" s="18">
        <f t="shared" si="33"/>
        <v>1992</v>
      </c>
      <c r="B193" s="56">
        <f>E121/E171</f>
        <v>57.709544632582706</v>
      </c>
      <c r="C193" s="32">
        <f t="shared" si="34"/>
        <v>898.72105982357596</v>
      </c>
      <c r="D193" s="52">
        <f t="shared" si="35"/>
        <v>51864.783114130689</v>
      </c>
      <c r="E193" s="53">
        <v>28265.431</v>
      </c>
      <c r="F193" s="52">
        <f t="shared" si="36"/>
        <v>23599.352114130688</v>
      </c>
      <c r="H193" s="54">
        <v>22830.490462370039</v>
      </c>
      <c r="I193" s="55">
        <f t="shared" si="37"/>
        <v>0.96742022204498257</v>
      </c>
      <c r="K193" s="54">
        <v>68290.428950017478</v>
      </c>
      <c r="L193" s="54">
        <v>67048.881896215928</v>
      </c>
      <c r="M193" s="54">
        <v>47574.757586317428</v>
      </c>
      <c r="N193" s="54"/>
      <c r="O193" s="55"/>
    </row>
    <row r="194" spans="1:15" x14ac:dyDescent="0.2">
      <c r="A194" s="18">
        <f t="shared" si="33"/>
        <v>1993</v>
      </c>
      <c r="B194" s="56">
        <f>D122/D171</f>
        <v>55.151437764030426</v>
      </c>
      <c r="C194" s="32">
        <f t="shared" si="34"/>
        <v>886.54720979031833</v>
      </c>
      <c r="D194" s="52">
        <f t="shared" si="35"/>
        <v>48894.35326562557</v>
      </c>
      <c r="E194" s="53">
        <v>15165.406999999999</v>
      </c>
      <c r="F194" s="52">
        <f t="shared" si="36"/>
        <v>33728.946265625571</v>
      </c>
      <c r="H194" s="54">
        <v>33067.01555892318</v>
      </c>
      <c r="I194" s="55">
        <f t="shared" si="37"/>
        <v>0.98037499596075461</v>
      </c>
      <c r="K194" s="54">
        <v>78300.924643740407</v>
      </c>
      <c r="L194" s="54">
        <v>77537.056872853456</v>
      </c>
      <c r="M194" s="54">
        <v>61936.455887144271</v>
      </c>
      <c r="N194" s="54"/>
      <c r="O194" s="55"/>
    </row>
    <row r="195" spans="1:15" x14ac:dyDescent="0.2">
      <c r="A195" s="18">
        <f t="shared" si="33"/>
        <v>1994</v>
      </c>
      <c r="B195" s="56">
        <f>C123/C171</f>
        <v>50.843626008984636</v>
      </c>
      <c r="C195" s="32">
        <f t="shared" si="34"/>
        <v>889.84534761024838</v>
      </c>
      <c r="D195" s="52">
        <f t="shared" si="35"/>
        <v>45242.964059730402</v>
      </c>
      <c r="E195" s="53">
        <v>7962.4459999999999</v>
      </c>
      <c r="F195" s="52">
        <f t="shared" si="36"/>
        <v>37280.518059730399</v>
      </c>
      <c r="H195" s="54">
        <v>36600.208193132668</v>
      </c>
      <c r="I195" s="55">
        <f t="shared" si="37"/>
        <v>0.98175159836814108</v>
      </c>
      <c r="K195" s="54">
        <v>92401.488312778907</v>
      </c>
      <c r="L195" s="54">
        <v>91826.717645949597</v>
      </c>
      <c r="M195" s="54">
        <v>75609.67107811528</v>
      </c>
      <c r="N195" s="54"/>
      <c r="O195" s="55"/>
    </row>
    <row r="196" spans="1:15" x14ac:dyDescent="0.2">
      <c r="A196" s="18">
        <f t="shared" si="33"/>
        <v>1995</v>
      </c>
      <c r="B196" s="56">
        <f>B124/B171</f>
        <v>40.409813074253236</v>
      </c>
      <c r="C196" s="32">
        <f t="shared" si="34"/>
        <v>910.65548727102475</v>
      </c>
      <c r="D196" s="52">
        <f t="shared" si="35"/>
        <v>36799.418015665105</v>
      </c>
      <c r="E196" s="53">
        <v>2725.355</v>
      </c>
      <c r="F196" s="52">
        <f t="shared" si="36"/>
        <v>34074.063015665102</v>
      </c>
      <c r="H196" s="54">
        <v>34378.679705557108</v>
      </c>
      <c r="I196" s="55">
        <f t="shared" si="37"/>
        <v>1.0089398405394732</v>
      </c>
      <c r="K196" s="57">
        <v>99802.733250713252</v>
      </c>
      <c r="L196" s="57">
        <v>99822.056395701627</v>
      </c>
      <c r="M196" s="57">
        <v>89993.453365684836</v>
      </c>
      <c r="N196" s="54"/>
      <c r="O196" s="55"/>
    </row>
    <row r="197" spans="1:15" x14ac:dyDescent="0.2">
      <c r="D197" s="53"/>
      <c r="E197" s="53"/>
      <c r="F197" s="53"/>
      <c r="H197" s="58"/>
      <c r="I197" s="55"/>
      <c r="K197" s="58"/>
      <c r="L197" s="54"/>
      <c r="M197" s="58"/>
      <c r="N197" s="58"/>
      <c r="O197" s="55"/>
    </row>
    <row r="198" spans="1:15" x14ac:dyDescent="0.2">
      <c r="D198" s="53"/>
      <c r="E198" s="59"/>
      <c r="F198" s="60">
        <f>SUM(F179:F196)</f>
        <v>185946.80314352206</v>
      </c>
      <c r="H198" s="57">
        <v>179154.74729594711</v>
      </c>
      <c r="I198" s="55">
        <f t="shared" si="37"/>
        <v>0.96347312385718975</v>
      </c>
      <c r="K198" s="57">
        <v>428441.49144960538</v>
      </c>
      <c r="L198" s="57">
        <v>421071.27999417193</v>
      </c>
      <c r="M198" s="57">
        <v>371188.3721231512</v>
      </c>
      <c r="N198" s="54"/>
      <c r="O198" s="55"/>
    </row>
    <row r="200" spans="1:15" x14ac:dyDescent="0.2">
      <c r="F200" s="61" t="s">
        <v>268</v>
      </c>
    </row>
    <row r="201" spans="1:15" x14ac:dyDescent="0.2">
      <c r="F201" s="17" t="s">
        <v>269</v>
      </c>
    </row>
  </sheetData>
  <conditionalFormatting sqref="B135:B151">
    <cfRule type="colorScale" priority="14">
      <colorScale>
        <cfvo type="min"/>
        <cfvo type="percentile" val="50"/>
        <cfvo type="max"/>
        <color rgb="FFF8696B"/>
        <color rgb="FFFCFCFF"/>
        <color rgb="FF63BE7B"/>
      </colorScale>
    </cfRule>
  </conditionalFormatting>
  <conditionalFormatting sqref="B152:R153">
    <cfRule type="colorScale" priority="15">
      <colorScale>
        <cfvo type="min"/>
        <cfvo type="percentile" val="50"/>
        <cfvo type="max"/>
        <color rgb="FFF8696B"/>
        <color rgb="FFFFEB84"/>
        <color rgb="FF63BE7B"/>
      </colorScale>
    </cfRule>
  </conditionalFormatting>
  <conditionalFormatting sqref="B107:S124">
    <cfRule type="colorScale" priority="16">
      <colorScale>
        <cfvo type="min"/>
        <cfvo type="percentile" val="50"/>
        <cfvo type="max"/>
        <color rgb="FFF8696B"/>
        <color rgb="FFFFEB84"/>
        <color rgb="FF63BE7B"/>
      </colorScale>
    </cfRule>
  </conditionalFormatting>
  <conditionalFormatting sqref="C135:C150">
    <cfRule type="colorScale" priority="13">
      <colorScale>
        <cfvo type="min"/>
        <cfvo type="percentile" val="50"/>
        <cfvo type="max"/>
        <color rgb="FFF8696B"/>
        <color rgb="FFFCFCFF"/>
        <color rgb="FF63BE7B"/>
      </colorScale>
    </cfRule>
  </conditionalFormatting>
  <conditionalFormatting sqref="D135:D149">
    <cfRule type="colorScale" priority="12">
      <colorScale>
        <cfvo type="min"/>
        <cfvo type="percentile" val="50"/>
        <cfvo type="max"/>
        <color rgb="FFF8696B"/>
        <color rgb="FFFCFCFF"/>
        <color rgb="FF63BE7B"/>
      </colorScale>
    </cfRule>
  </conditionalFormatting>
  <conditionalFormatting sqref="E135:E148">
    <cfRule type="colorScale" priority="11">
      <colorScale>
        <cfvo type="min"/>
        <cfvo type="percentile" val="50"/>
        <cfvo type="max"/>
        <color rgb="FFF8696B"/>
        <color rgb="FFFCFCFF"/>
        <color rgb="FF63BE7B"/>
      </colorScale>
    </cfRule>
  </conditionalFormatting>
  <conditionalFormatting sqref="F135:F147">
    <cfRule type="colorScale" priority="10">
      <colorScale>
        <cfvo type="min"/>
        <cfvo type="percentile" val="50"/>
        <cfvo type="max"/>
        <color rgb="FFF8696B"/>
        <color rgb="FFFCFCFF"/>
        <color rgb="FF63BE7B"/>
      </colorScale>
    </cfRule>
  </conditionalFormatting>
  <conditionalFormatting sqref="G135:G146">
    <cfRule type="colorScale" priority="9">
      <colorScale>
        <cfvo type="min"/>
        <cfvo type="percentile" val="50"/>
        <cfvo type="max"/>
        <color rgb="FFF8696B"/>
        <color rgb="FFFCFCFF"/>
        <color rgb="FF63BE7B"/>
      </colorScale>
    </cfRule>
  </conditionalFormatting>
  <conditionalFormatting sqref="H135:H145">
    <cfRule type="colorScale" priority="8">
      <colorScale>
        <cfvo type="min"/>
        <cfvo type="percentile" val="50"/>
        <cfvo type="max"/>
        <color rgb="FFF8696B"/>
        <color rgb="FFFCFCFF"/>
        <color rgb="FF63BE7B"/>
      </colorScale>
    </cfRule>
  </conditionalFormatting>
  <conditionalFormatting sqref="I135:I144">
    <cfRule type="colorScale" priority="7">
      <colorScale>
        <cfvo type="min"/>
        <cfvo type="percentile" val="50"/>
        <cfvo type="max"/>
        <color rgb="FFF8696B"/>
        <color rgb="FFFCFCFF"/>
        <color rgb="FF63BE7B"/>
      </colorScale>
    </cfRule>
  </conditionalFormatting>
  <conditionalFormatting sqref="J135:J143">
    <cfRule type="colorScale" priority="6">
      <colorScale>
        <cfvo type="min"/>
        <cfvo type="percentile" val="50"/>
        <cfvo type="max"/>
        <color rgb="FFF8696B"/>
        <color rgb="FFFCFCFF"/>
        <color rgb="FF63BE7B"/>
      </colorScale>
    </cfRule>
  </conditionalFormatting>
  <conditionalFormatting sqref="K135:K142">
    <cfRule type="colorScale" priority="5">
      <colorScale>
        <cfvo type="min"/>
        <cfvo type="percentile" val="50"/>
        <cfvo type="max"/>
        <color rgb="FFF8696B"/>
        <color rgb="FFFCFCFF"/>
        <color rgb="FF63BE7B"/>
      </colorScale>
    </cfRule>
  </conditionalFormatting>
  <conditionalFormatting sqref="L135:L141">
    <cfRule type="colorScale" priority="4">
      <colorScale>
        <cfvo type="min"/>
        <cfvo type="percentile" val="50"/>
        <cfvo type="max"/>
        <color rgb="FFF8696B"/>
        <color rgb="FFFCFCFF"/>
        <color rgb="FF63BE7B"/>
      </colorScale>
    </cfRule>
  </conditionalFormatting>
  <conditionalFormatting sqref="M135:M140">
    <cfRule type="colorScale" priority="3">
      <colorScale>
        <cfvo type="min"/>
        <cfvo type="percentile" val="50"/>
        <cfvo type="max"/>
        <color rgb="FFF8696B"/>
        <color rgb="FFFCFCFF"/>
        <color rgb="FF63BE7B"/>
      </colorScale>
    </cfRule>
  </conditionalFormatting>
  <conditionalFormatting sqref="N135:N139">
    <cfRule type="colorScale" priority="2">
      <colorScale>
        <cfvo type="min"/>
        <cfvo type="percentile" val="50"/>
        <cfvo type="max"/>
        <color rgb="FFF8696B"/>
        <color rgb="FFFCFCFF"/>
        <color rgb="FF63BE7B"/>
      </colorScale>
    </cfRule>
  </conditionalFormatting>
  <conditionalFormatting sqref="O135:O138">
    <cfRule type="colorScale" priority="1">
      <colorScale>
        <cfvo type="min"/>
        <cfvo type="percentile" val="50"/>
        <cfvo type="max"/>
        <color rgb="FFF8696B"/>
        <color rgb="FFFCFCFF"/>
        <color rgb="FF63BE7B"/>
      </colorScale>
    </cfRule>
  </conditionalFormatting>
  <pageMargins left="0.7" right="0.7" top="0.75" bottom="0.75" header="0.3" footer="0.3"/>
  <ignoredErrors>
    <ignoredError sqref="C6:G6" numberStoredAsText="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DFB40-05D3-4A02-B999-7D77921159E4}">
  <sheetPr codeName="Sheet9"/>
  <dimension ref="B1:AL10013"/>
  <sheetViews>
    <sheetView workbookViewId="0">
      <selection activeCell="R23" sqref="R23"/>
    </sheetView>
  </sheetViews>
  <sheetFormatPr baseColWidth="10" defaultColWidth="8.83203125" defaultRowHeight="16" x14ac:dyDescent="0.2"/>
  <cols>
    <col min="13" max="13" width="9" style="77"/>
    <col min="31" max="31" width="9" style="77"/>
    <col min="36" max="36" width="8.1640625" bestFit="1" customWidth="1"/>
    <col min="37" max="37" width="9.6640625" bestFit="1" customWidth="1"/>
    <col min="38" max="38" width="18" bestFit="1" customWidth="1"/>
  </cols>
  <sheetData>
    <row r="1" spans="2:38" x14ac:dyDescent="0.2">
      <c r="B1" s="12" t="s">
        <v>270</v>
      </c>
      <c r="O1" s="12" t="s">
        <v>271</v>
      </c>
      <c r="AG1" s="12" t="s">
        <v>272</v>
      </c>
    </row>
    <row r="2" spans="2:38" x14ac:dyDescent="0.2">
      <c r="AJ2" t="s">
        <v>273</v>
      </c>
      <c r="AK2" t="s">
        <v>274</v>
      </c>
    </row>
    <row r="3" spans="2:38" x14ac:dyDescent="0.2">
      <c r="B3" s="12" t="s">
        <v>275</v>
      </c>
      <c r="D3" s="12" t="s">
        <v>276</v>
      </c>
      <c r="O3" s="67" t="str">
        <f ca="1">_xlfn.FORMULATEXT(O4)</f>
        <v>=NORM.S.INV(RANDARRAY(10000))</v>
      </c>
      <c r="X3" s="67" t="str">
        <f ca="1">_xlfn.FORMULATEXT(X4)</f>
        <v>=GAMMA.INV(RANDARRAY(10000),10,5)</v>
      </c>
      <c r="AJ3" t="s">
        <v>277</v>
      </c>
      <c r="AK3" s="2">
        <v>0.05</v>
      </c>
    </row>
    <row r="4" spans="2:38" x14ac:dyDescent="0.2">
      <c r="B4" s="67" t="str">
        <f ca="1">_xlfn.FORMULATEXT(B5)</f>
        <v>=RAND()</v>
      </c>
      <c r="D4" s="67" t="str">
        <f ca="1">_xlfn.FORMULATEXT(D5)</f>
        <v>=RANDARRAY(6,4,-2,10,TRUE)</v>
      </c>
      <c r="I4" s="67" t="str">
        <f ca="1">_xlfn.FORMULATEXT(I5)</f>
        <v>=RANDARRAY(2,5,0,1000, FALSE)</v>
      </c>
      <c r="O4" s="2" cm="1">
        <f t="array" aca="1" ref="O4:O10003" ca="1">_xlfn.NORM.S.INV(_xlfn.RANDARRAY(10000))</f>
        <v>1.5186797916223682</v>
      </c>
      <c r="X4" s="2" cm="1">
        <f t="array" aca="1" ref="X4:X10003" ca="1">_xlfn.GAMMA.INV(_xlfn.RANDARRAY(10000),10,5)</f>
        <v>75.788492791018371</v>
      </c>
      <c r="AJ4" t="s">
        <v>278</v>
      </c>
      <c r="AK4" s="2">
        <v>0.35</v>
      </c>
    </row>
    <row r="5" spans="2:38" x14ac:dyDescent="0.2">
      <c r="B5" s="2">
        <f ca="1">RAND()</f>
        <v>0.22308227331920683</v>
      </c>
      <c r="D5" s="2" cm="1">
        <f t="array" aca="1" ref="D5:G10" ca="1">_xlfn.RANDARRAY(6,4,-2,10,TRUE)</f>
        <v>8</v>
      </c>
      <c r="E5" s="2">
        <f ca="1"/>
        <v>3</v>
      </c>
      <c r="F5" s="2">
        <f ca="1"/>
        <v>10</v>
      </c>
      <c r="G5" s="2">
        <f ca="1"/>
        <v>5</v>
      </c>
      <c r="I5" s="2" cm="1">
        <f t="array" aca="1" ref="I5:M6" ca="1">_xlfn.RANDARRAY(2,5,0,1000, FALSE)</f>
        <v>53.049647091878342</v>
      </c>
      <c r="J5" s="2">
        <f ca="1"/>
        <v>387.39774041842804</v>
      </c>
      <c r="K5" s="2">
        <f ca="1"/>
        <v>305.80293096026389</v>
      </c>
      <c r="L5" s="2">
        <f ca="1"/>
        <v>337.78213846618235</v>
      </c>
      <c r="M5" s="90">
        <f ca="1"/>
        <v>45.527556523236058</v>
      </c>
      <c r="O5" s="2">
        <f ca="1"/>
        <v>0.9310228659353923</v>
      </c>
      <c r="X5" s="2">
        <f ca="1"/>
        <v>27.252726243446972</v>
      </c>
      <c r="AJ5" t="s">
        <v>279</v>
      </c>
      <c r="AK5" s="2">
        <v>0.6</v>
      </c>
    </row>
    <row r="6" spans="2:38" x14ac:dyDescent="0.2">
      <c r="D6" s="2">
        <f ca="1"/>
        <v>4</v>
      </c>
      <c r="E6" s="2">
        <f ca="1"/>
        <v>9</v>
      </c>
      <c r="F6" s="2">
        <f ca="1"/>
        <v>9</v>
      </c>
      <c r="G6" s="2">
        <f ca="1"/>
        <v>2</v>
      </c>
      <c r="I6" s="2">
        <f ca="1"/>
        <v>288.04115267837494</v>
      </c>
      <c r="J6" s="2">
        <f ca="1"/>
        <v>79.131400401805536</v>
      </c>
      <c r="K6" s="2">
        <f ca="1"/>
        <v>271.66087151264583</v>
      </c>
      <c r="L6" s="2">
        <f ca="1"/>
        <v>988.03456076982548</v>
      </c>
      <c r="M6" s="90">
        <f ca="1"/>
        <v>931.85952435200613</v>
      </c>
      <c r="O6" s="2">
        <f ca="1"/>
        <v>-0.62602806217926665</v>
      </c>
      <c r="X6" s="2">
        <f ca="1"/>
        <v>56.923907971335474</v>
      </c>
      <c r="AG6" s="67" t="str">
        <f ca="1">_xlfn.FORMULATEXT(AG8)</f>
        <v>=RANDARRAY(10000)</v>
      </c>
    </row>
    <row r="7" spans="2:38" x14ac:dyDescent="0.2">
      <c r="D7" s="2">
        <f ca="1"/>
        <v>5</v>
      </c>
      <c r="E7" s="2">
        <f ca="1"/>
        <v>3</v>
      </c>
      <c r="F7" s="2">
        <f ca="1"/>
        <v>5</v>
      </c>
      <c r="G7" s="2">
        <f ca="1"/>
        <v>9</v>
      </c>
      <c r="O7" s="2">
        <f ca="1"/>
        <v>-0.757720279220083</v>
      </c>
      <c r="X7" s="2">
        <f ca="1"/>
        <v>55.276976124791766</v>
      </c>
      <c r="AG7" s="67" t="str">
        <f ca="1">_xlfn.FORMULATEXT(AH8)</f>
        <v>=IFS(AG8#&lt;=AK3,AJ3, (AG8#&gt;AK3)*(AG8#&lt;=AK3+AK4),AJ4, AG8#&gt;1-AK5,AJ5)</v>
      </c>
    </row>
    <row r="8" spans="2:38" x14ac:dyDescent="0.2">
      <c r="D8" s="2">
        <f ca="1"/>
        <v>1</v>
      </c>
      <c r="E8" s="2">
        <f ca="1"/>
        <v>-2</v>
      </c>
      <c r="F8" s="2">
        <f ca="1"/>
        <v>1</v>
      </c>
      <c r="G8" s="2">
        <f ca="1"/>
        <v>-2</v>
      </c>
      <c r="O8" s="2">
        <f ca="1"/>
        <v>-0.70983384182580822</v>
      </c>
      <c r="X8" s="2">
        <f ca="1"/>
        <v>37.479898393453787</v>
      </c>
      <c r="AG8" s="2" cm="1">
        <f t="array" aca="1" ref="AG8:AG10007" ca="1">_xlfn.RANDARRAY(10000)</f>
        <v>0.319664097556557</v>
      </c>
      <c r="AH8" s="2" t="str" cm="1">
        <f t="array" aca="1" ref="AH8:AH10007" ca="1">_xlfn.IFS(_xlfn.ANCHORARRAY(AG8)&lt;=AK3,AJ3, (_xlfn.ANCHORARRAY(AG8)&gt;AK3)*(_xlfn.ANCHORARRAY(AG8)&lt;=AK3+AK4),AJ4,_xlfn.ANCHORARRAY( AG8)&gt;1-AK5,AJ5)</f>
        <v>OK</v>
      </c>
    </row>
    <row r="9" spans="2:38" x14ac:dyDescent="0.2">
      <c r="D9" s="2">
        <f ca="1"/>
        <v>-2</v>
      </c>
      <c r="E9" s="2">
        <f ca="1"/>
        <v>6</v>
      </c>
      <c r="F9" s="2">
        <f ca="1"/>
        <v>6</v>
      </c>
      <c r="G9" s="2">
        <f ca="1"/>
        <v>1</v>
      </c>
      <c r="O9" s="2">
        <f ca="1"/>
        <v>0.36245735634271858</v>
      </c>
      <c r="X9" s="2">
        <f ca="1"/>
        <v>49.188212909093238</v>
      </c>
      <c r="AG9" s="2">
        <f ca="1"/>
        <v>0.38307132835449065</v>
      </c>
      <c r="AH9" s="2" t="str">
        <f ca="1"/>
        <v>OK</v>
      </c>
      <c r="AJ9" t="s">
        <v>273</v>
      </c>
      <c r="AK9" t="s">
        <v>280</v>
      </c>
      <c r="AL9" t="s">
        <v>281</v>
      </c>
    </row>
    <row r="10" spans="2:38" x14ac:dyDescent="0.2">
      <c r="D10" s="2">
        <f ca="1"/>
        <v>1</v>
      </c>
      <c r="E10" s="2">
        <f ca="1"/>
        <v>8</v>
      </c>
      <c r="F10" s="2">
        <f ca="1"/>
        <v>10</v>
      </c>
      <c r="G10" s="2">
        <f ca="1"/>
        <v>2</v>
      </c>
      <c r="O10" s="2">
        <f ca="1"/>
        <v>-0.65033815984142462</v>
      </c>
      <c r="X10" s="2">
        <f ca="1"/>
        <v>38.547670664508502</v>
      </c>
      <c r="AG10" s="2">
        <f ca="1"/>
        <v>0.68740661016504934</v>
      </c>
      <c r="AH10" s="2" t="str">
        <f ca="1"/>
        <v>Bad</v>
      </c>
      <c r="AJ10" t="s">
        <v>277</v>
      </c>
      <c r="AK10">
        <f ca="1">COUNTIF(_xlfn.ANCHORARRAY($AH$8),"="&amp;AJ3)</f>
        <v>536</v>
      </c>
      <c r="AL10">
        <f ca="1">AK10/10000</f>
        <v>5.3600000000000002E-2</v>
      </c>
    </row>
    <row r="11" spans="2:38" x14ac:dyDescent="0.2">
      <c r="O11" s="2">
        <f ca="1"/>
        <v>1.1765500211488362</v>
      </c>
      <c r="X11" s="2">
        <f ca="1"/>
        <v>68.539601507624965</v>
      </c>
      <c r="AG11" s="2">
        <f ca="1"/>
        <v>0.92704228166518066</v>
      </c>
      <c r="AH11" s="2" t="str">
        <f ca="1"/>
        <v>Bad</v>
      </c>
      <c r="AJ11" t="s">
        <v>278</v>
      </c>
      <c r="AK11">
        <f t="shared" ref="AK11:AK12" ca="1" si="0">COUNTIF(_xlfn.ANCHORARRAY($AH$8),"="&amp;AJ4)</f>
        <v>3470</v>
      </c>
      <c r="AL11">
        <f t="shared" ref="AL11:AL12" ca="1" si="1">AK11/10000</f>
        <v>0.34699999999999998</v>
      </c>
    </row>
    <row r="12" spans="2:38" x14ac:dyDescent="0.2">
      <c r="O12" s="2">
        <f ca="1"/>
        <v>-1.1921698174828419</v>
      </c>
      <c r="X12" s="2">
        <f ca="1"/>
        <v>59.934599412484246</v>
      </c>
      <c r="AG12" s="2">
        <f ca="1"/>
        <v>0.44031210850021929</v>
      </c>
      <c r="AH12" s="2" t="str">
        <f ca="1"/>
        <v>Bad</v>
      </c>
      <c r="AJ12" t="s">
        <v>279</v>
      </c>
      <c r="AK12">
        <f t="shared" ca="1" si="0"/>
        <v>5994</v>
      </c>
      <c r="AL12">
        <f t="shared" ca="1" si="1"/>
        <v>0.59940000000000004</v>
      </c>
    </row>
    <row r="13" spans="2:38" x14ac:dyDescent="0.2">
      <c r="B13" s="67" t="str">
        <f ca="1">_xlfn.FORMULATEXT(B14)</f>
        <v>=RANDARRAY(10000)</v>
      </c>
      <c r="O13" s="2">
        <f ca="1"/>
        <v>-0.52464912128018493</v>
      </c>
      <c r="X13" s="2">
        <f ca="1"/>
        <v>53.159986150769036</v>
      </c>
      <c r="AG13" s="2">
        <f ca="1"/>
        <v>1.8800630090323178E-3</v>
      </c>
      <c r="AH13" s="2" t="str">
        <f ca="1"/>
        <v>Good</v>
      </c>
    </row>
    <row r="14" spans="2:38" x14ac:dyDescent="0.2">
      <c r="B14" s="2" cm="1">
        <f t="array" aca="1" ref="B14:B10013" ca="1">_xlfn.RANDARRAY(10000)</f>
        <v>0.40062045428373128</v>
      </c>
      <c r="O14" s="2">
        <f ca="1"/>
        <v>1.1412089383406947</v>
      </c>
      <c r="X14" s="2">
        <f ca="1"/>
        <v>64.495621726267615</v>
      </c>
      <c r="AG14" s="2">
        <f ca="1"/>
        <v>0.3996217932467252</v>
      </c>
      <c r="AH14" s="2" t="str">
        <f ca="1"/>
        <v>OK</v>
      </c>
    </row>
    <row r="15" spans="2:38" x14ac:dyDescent="0.2">
      <c r="B15" s="2">
        <f ca="1"/>
        <v>0.2444734062445717</v>
      </c>
      <c r="O15" s="2">
        <f ca="1"/>
        <v>-0.26192520398784253</v>
      </c>
      <c r="X15" s="2">
        <f ca="1"/>
        <v>38.309215256313472</v>
      </c>
      <c r="AG15" s="2">
        <f ca="1"/>
        <v>0.55304920312246009</v>
      </c>
      <c r="AH15" s="2" t="str">
        <f ca="1"/>
        <v>Bad</v>
      </c>
    </row>
    <row r="16" spans="2:38" x14ac:dyDescent="0.2">
      <c r="B16" s="2">
        <f ca="1"/>
        <v>0.76075913659227012</v>
      </c>
      <c r="O16" s="2">
        <f ca="1"/>
        <v>-1.7496648733112241</v>
      </c>
      <c r="X16" s="2">
        <f ca="1"/>
        <v>44.736780964413825</v>
      </c>
      <c r="AG16" s="2">
        <f ca="1"/>
        <v>0.18389093303824189</v>
      </c>
      <c r="AH16" s="2" t="str">
        <f ca="1"/>
        <v>OK</v>
      </c>
    </row>
    <row r="17" spans="2:34" x14ac:dyDescent="0.2">
      <c r="B17" s="2">
        <f ca="1"/>
        <v>0.15722358934006708</v>
      </c>
      <c r="O17" s="2">
        <f ca="1"/>
        <v>-0.65339405195878064</v>
      </c>
      <c r="X17" s="2">
        <f ca="1"/>
        <v>41.799419474302354</v>
      </c>
      <c r="AG17" s="2">
        <f ca="1"/>
        <v>0.6562439623552645</v>
      </c>
      <c r="AH17" s="2" t="str">
        <f ca="1"/>
        <v>Bad</v>
      </c>
    </row>
    <row r="18" spans="2:34" x14ac:dyDescent="0.2">
      <c r="B18" s="2">
        <f ca="1"/>
        <v>0.61641145546066056</v>
      </c>
      <c r="O18" s="2">
        <f ca="1"/>
        <v>-1.7843685340526183</v>
      </c>
      <c r="X18" s="2">
        <f ca="1"/>
        <v>40.696795772110974</v>
      </c>
      <c r="AG18" s="2">
        <f ca="1"/>
        <v>6.8388188646268055E-2</v>
      </c>
      <c r="AH18" s="2" t="str">
        <f ca="1"/>
        <v>OK</v>
      </c>
    </row>
    <row r="19" spans="2:34" x14ac:dyDescent="0.2">
      <c r="B19" s="2">
        <f ca="1"/>
        <v>0.79666278837940063</v>
      </c>
      <c r="O19" s="2">
        <f ca="1"/>
        <v>-0.65395607136065559</v>
      </c>
      <c r="Q19" t="s">
        <v>282</v>
      </c>
      <c r="R19" t="s">
        <v>283</v>
      </c>
      <c r="X19" s="2">
        <f ca="1"/>
        <v>25.754566216398654</v>
      </c>
      <c r="Z19" t="s">
        <v>282</v>
      </c>
      <c r="AA19" t="s">
        <v>284</v>
      </c>
      <c r="AG19" s="2">
        <f ca="1"/>
        <v>0.52929367492373047</v>
      </c>
      <c r="AH19" s="2" t="str">
        <f ca="1"/>
        <v>Bad</v>
      </c>
    </row>
    <row r="20" spans="2:34" x14ac:dyDescent="0.2">
      <c r="B20" s="2">
        <f ca="1"/>
        <v>0.95696709308674333</v>
      </c>
      <c r="O20" s="2">
        <f ca="1"/>
        <v>-0.50556895415780401</v>
      </c>
      <c r="Q20">
        <f ca="1">AVERAGE(_xlfn.ANCHORARRAY(O4))</f>
        <v>-5.6977693206330749E-3</v>
      </c>
      <c r="R20">
        <f ca="1">STDEV(_xlfn.ANCHORARRAY(O4))</f>
        <v>1.0003224080343609</v>
      </c>
      <c r="X20" s="2">
        <f ca="1"/>
        <v>36.421503449209361</v>
      </c>
      <c r="Z20">
        <f ca="1">AVERAGE(_xlfn.ANCHORARRAY(X4))</f>
        <v>49.678151904852704</v>
      </c>
      <c r="AA20">
        <f ca="1">VAR(_xlfn.ANCHORARRAY(X4))</f>
        <v>252.42480060078054</v>
      </c>
      <c r="AG20" s="2">
        <f ca="1"/>
        <v>0.74309937740851773</v>
      </c>
      <c r="AH20" s="2" t="str">
        <f ca="1"/>
        <v>Bad</v>
      </c>
    </row>
    <row r="21" spans="2:34" x14ac:dyDescent="0.2">
      <c r="B21" s="2">
        <f ca="1"/>
        <v>0.56561084832654385</v>
      </c>
      <c r="O21" s="2">
        <f ca="1"/>
        <v>0.96435310432650856</v>
      </c>
      <c r="X21" s="2">
        <f ca="1"/>
        <v>41.494262477007695</v>
      </c>
      <c r="AG21" s="2">
        <f ca="1"/>
        <v>0.31619253483515619</v>
      </c>
      <c r="AH21" s="2" t="str">
        <f ca="1"/>
        <v>OK</v>
      </c>
    </row>
    <row r="22" spans="2:34" x14ac:dyDescent="0.2">
      <c r="B22" s="2">
        <f ca="1"/>
        <v>5.5769482478571719E-2</v>
      </c>
      <c r="O22" s="2">
        <f ca="1"/>
        <v>0.87070028993124426</v>
      </c>
      <c r="X22" s="2">
        <f ca="1"/>
        <v>56.995866008472277</v>
      </c>
      <c r="Z22" s="67" t="s">
        <v>285</v>
      </c>
      <c r="AA22" s="67"/>
      <c r="AG22" s="2">
        <f ca="1"/>
        <v>0.84038830777206597</v>
      </c>
      <c r="AH22" s="2" t="str">
        <f ca="1"/>
        <v>Bad</v>
      </c>
    </row>
    <row r="23" spans="2:34" x14ac:dyDescent="0.2">
      <c r="B23" s="2">
        <f ca="1"/>
        <v>0.72269455401420823</v>
      </c>
      <c r="O23" s="2">
        <f ca="1"/>
        <v>2.5803255304436116E-2</v>
      </c>
      <c r="X23" s="2">
        <f ca="1"/>
        <v>23.031251057535798</v>
      </c>
      <c r="Z23" s="67" t="s">
        <v>282</v>
      </c>
      <c r="AA23" s="67" t="s">
        <v>284</v>
      </c>
      <c r="AG23" s="2">
        <f ca="1"/>
        <v>4.5912534559138241E-3</v>
      </c>
      <c r="AH23" s="2" t="str">
        <f ca="1"/>
        <v>Good</v>
      </c>
    </row>
    <row r="24" spans="2:34" x14ac:dyDescent="0.2">
      <c r="B24" s="2">
        <f ca="1"/>
        <v>0.10944066351237103</v>
      </c>
      <c r="O24" s="2">
        <f ca="1"/>
        <v>0.1755818824413706</v>
      </c>
      <c r="X24" s="2">
        <f ca="1"/>
        <v>36.565186492611502</v>
      </c>
      <c r="Z24" s="67">
        <f>10*5</f>
        <v>50</v>
      </c>
      <c r="AA24" s="67">
        <f>10*5^2</f>
        <v>250</v>
      </c>
      <c r="AG24" s="2">
        <f ca="1"/>
        <v>0.64668658141268787</v>
      </c>
      <c r="AH24" s="2" t="str">
        <f ca="1"/>
        <v>Bad</v>
      </c>
    </row>
    <row r="25" spans="2:34" x14ac:dyDescent="0.2">
      <c r="B25" s="2">
        <f ca="1"/>
        <v>0.63653460474096946</v>
      </c>
      <c r="O25" s="2">
        <f ca="1"/>
        <v>-0.39802656240018203</v>
      </c>
      <c r="X25" s="2">
        <f ca="1"/>
        <v>48.492858363391576</v>
      </c>
      <c r="AG25" s="2">
        <f ca="1"/>
        <v>0.20608311148288161</v>
      </c>
      <c r="AH25" s="2" t="str">
        <f ca="1"/>
        <v>OK</v>
      </c>
    </row>
    <row r="26" spans="2:34" x14ac:dyDescent="0.2">
      <c r="B26" s="2">
        <f ca="1"/>
        <v>0.78700728290288069</v>
      </c>
      <c r="O26" s="2">
        <f ca="1"/>
        <v>-9.2747520003105405E-2</v>
      </c>
      <c r="X26" s="2">
        <f ca="1"/>
        <v>32.55129756949075</v>
      </c>
      <c r="AG26" s="2">
        <f ca="1"/>
        <v>0.62012192590550486</v>
      </c>
      <c r="AH26" s="2" t="str">
        <f ca="1"/>
        <v>Bad</v>
      </c>
    </row>
    <row r="27" spans="2:34" x14ac:dyDescent="0.2">
      <c r="B27" s="2">
        <f ca="1"/>
        <v>0.65675513858252521</v>
      </c>
      <c r="O27" s="2">
        <f ca="1"/>
        <v>-1.1990921641842587</v>
      </c>
      <c r="X27" s="2">
        <f ca="1"/>
        <v>44.486460220475976</v>
      </c>
      <c r="AG27" s="2">
        <f ca="1"/>
        <v>0.55924987130374837</v>
      </c>
      <c r="AH27" s="2" t="str">
        <f ca="1"/>
        <v>Bad</v>
      </c>
    </row>
    <row r="28" spans="2:34" x14ac:dyDescent="0.2">
      <c r="B28" s="2">
        <f ca="1"/>
        <v>0.48628318406942994</v>
      </c>
      <c r="O28" s="2">
        <f ca="1"/>
        <v>9.6496076115031817E-2</v>
      </c>
      <c r="X28" s="2">
        <f ca="1"/>
        <v>37.674948806950319</v>
      </c>
      <c r="AG28" s="2">
        <f ca="1"/>
        <v>0.79456345032251963</v>
      </c>
      <c r="AH28" s="2" t="str">
        <f ca="1"/>
        <v>Bad</v>
      </c>
    </row>
    <row r="29" spans="2:34" x14ac:dyDescent="0.2">
      <c r="B29" s="2">
        <f ca="1"/>
        <v>0.42536063082047293</v>
      </c>
      <c r="O29" s="2">
        <f ca="1"/>
        <v>0.64227442414653435</v>
      </c>
      <c r="X29" s="2">
        <f ca="1"/>
        <v>30.189591583037554</v>
      </c>
      <c r="AG29" s="2">
        <f ca="1"/>
        <v>0.28847387469415064</v>
      </c>
      <c r="AH29" s="2" t="str">
        <f ca="1"/>
        <v>OK</v>
      </c>
    </row>
    <row r="30" spans="2:34" x14ac:dyDescent="0.2">
      <c r="B30" s="2">
        <f ca="1"/>
        <v>0.46153797301547961</v>
      </c>
      <c r="D30" t="s">
        <v>282</v>
      </c>
      <c r="E30" t="s">
        <v>286</v>
      </c>
      <c r="O30" s="2">
        <f ca="1"/>
        <v>0.89504439018630977</v>
      </c>
      <c r="X30" s="2">
        <f ca="1"/>
        <v>59.398511149679678</v>
      </c>
      <c r="AG30" s="2">
        <f ca="1"/>
        <v>0.35304684306689049</v>
      </c>
      <c r="AH30" s="2" t="str">
        <f ca="1"/>
        <v>OK</v>
      </c>
    </row>
    <row r="31" spans="2:34" x14ac:dyDescent="0.2">
      <c r="B31" s="2">
        <f ca="1"/>
        <v>0.22117220090550527</v>
      </c>
      <c r="D31">
        <f ca="1">AVERAGE(_xlfn.ANCHORARRAY(B14))</f>
        <v>0.49798832475877819</v>
      </c>
      <c r="E31">
        <f ca="1">VAR(_xlfn.ANCHORARRAY(B14))</f>
        <v>8.2423255984614141E-2</v>
      </c>
      <c r="O31" s="2">
        <f ca="1"/>
        <v>0.62337789057411408</v>
      </c>
      <c r="X31" s="2">
        <f ca="1"/>
        <v>54.97988273793819</v>
      </c>
      <c r="AG31" s="2">
        <f ca="1"/>
        <v>0.10162056789750107</v>
      </c>
      <c r="AH31" s="2" t="str">
        <f ca="1"/>
        <v>OK</v>
      </c>
    </row>
    <row r="32" spans="2:34" x14ac:dyDescent="0.2">
      <c r="B32" s="2">
        <f ca="1"/>
        <v>0.35795134004355833</v>
      </c>
      <c r="O32" s="2">
        <f ca="1"/>
        <v>1.0315070198166978</v>
      </c>
      <c r="X32" s="2">
        <f ca="1"/>
        <v>36.672299781093564</v>
      </c>
      <c r="AG32" s="2">
        <f ca="1"/>
        <v>0.5158548441353652</v>
      </c>
      <c r="AH32" s="2" t="str">
        <f ca="1"/>
        <v>Bad</v>
      </c>
    </row>
    <row r="33" spans="2:34" x14ac:dyDescent="0.2">
      <c r="B33" s="2">
        <f ca="1"/>
        <v>0.50417451892882292</v>
      </c>
      <c r="E33" s="67" t="s">
        <v>287</v>
      </c>
      <c r="O33" s="2">
        <f ca="1"/>
        <v>5.9910345387512082E-2</v>
      </c>
      <c r="X33" s="2">
        <f ca="1"/>
        <v>43.486892081754306</v>
      </c>
      <c r="AG33" s="2">
        <f ca="1"/>
        <v>0.68614532077472812</v>
      </c>
      <c r="AH33" s="2" t="str">
        <f ca="1"/>
        <v>Bad</v>
      </c>
    </row>
    <row r="34" spans="2:34" x14ac:dyDescent="0.2">
      <c r="B34" s="2">
        <f ca="1"/>
        <v>0.11020700172890785</v>
      </c>
      <c r="E34" s="67">
        <f>1/12</f>
        <v>8.3333333333333329E-2</v>
      </c>
      <c r="O34" s="2">
        <f ca="1"/>
        <v>0.99261785589564833</v>
      </c>
      <c r="X34" s="2">
        <f ca="1"/>
        <v>23.719062586325133</v>
      </c>
      <c r="AG34" s="2">
        <f ca="1"/>
        <v>0.60484189553535583</v>
      </c>
      <c r="AH34" s="2" t="str">
        <f ca="1"/>
        <v>Bad</v>
      </c>
    </row>
    <row r="35" spans="2:34" x14ac:dyDescent="0.2">
      <c r="B35" s="2">
        <f ca="1"/>
        <v>0.31433269681408516</v>
      </c>
      <c r="O35" s="2">
        <f ca="1"/>
        <v>-1.3330786686748275</v>
      </c>
      <c r="X35" s="2">
        <f ca="1"/>
        <v>31.162744945965237</v>
      </c>
      <c r="AG35" s="2">
        <f ca="1"/>
        <v>0.69146924740765892</v>
      </c>
      <c r="AH35" s="2" t="str">
        <f ca="1"/>
        <v>Bad</v>
      </c>
    </row>
    <row r="36" spans="2:34" x14ac:dyDescent="0.2">
      <c r="B36" s="2">
        <f ca="1"/>
        <v>0.83605590355961401</v>
      </c>
      <c r="O36" s="2">
        <f ca="1"/>
        <v>-1.6435927136178055</v>
      </c>
      <c r="X36" s="2">
        <f ca="1"/>
        <v>51.138341286557122</v>
      </c>
      <c r="AG36" s="2">
        <f ca="1"/>
        <v>0.42804098769394372</v>
      </c>
      <c r="AH36" s="2" t="str">
        <f ca="1"/>
        <v>Bad</v>
      </c>
    </row>
    <row r="37" spans="2:34" x14ac:dyDescent="0.2">
      <c r="B37" s="2">
        <f ca="1"/>
        <v>0.48484379144926804</v>
      </c>
      <c r="O37" s="2">
        <f ca="1"/>
        <v>1.0529194782900868</v>
      </c>
      <c r="X37" s="2">
        <f ca="1"/>
        <v>42.456035054759063</v>
      </c>
      <c r="AG37" s="2">
        <f ca="1"/>
        <v>0.15007496219145877</v>
      </c>
      <c r="AH37" s="2" t="str">
        <f ca="1"/>
        <v>OK</v>
      </c>
    </row>
    <row r="38" spans="2:34" x14ac:dyDescent="0.2">
      <c r="B38" s="2">
        <f ca="1"/>
        <v>0.20410079641917811</v>
      </c>
      <c r="O38" s="2">
        <f ca="1"/>
        <v>-1.6359091799271626</v>
      </c>
      <c r="X38" s="2">
        <f ca="1"/>
        <v>72.842277579703705</v>
      </c>
      <c r="AG38" s="2">
        <f ca="1"/>
        <v>6.2919905379320351E-2</v>
      </c>
      <c r="AH38" s="2" t="str">
        <f ca="1"/>
        <v>OK</v>
      </c>
    </row>
    <row r="39" spans="2:34" x14ac:dyDescent="0.2">
      <c r="B39" s="2">
        <f ca="1"/>
        <v>0.4562530472867603</v>
      </c>
      <c r="O39" s="2">
        <f ca="1"/>
        <v>1.254383579644984</v>
      </c>
      <c r="X39" s="2">
        <f ca="1"/>
        <v>42.631866565404017</v>
      </c>
      <c r="AG39" s="2">
        <f ca="1"/>
        <v>0.24344402355549111</v>
      </c>
      <c r="AH39" s="2" t="str">
        <f ca="1"/>
        <v>OK</v>
      </c>
    </row>
    <row r="40" spans="2:34" x14ac:dyDescent="0.2">
      <c r="B40" s="2">
        <f ca="1"/>
        <v>2.28219164221104E-2</v>
      </c>
      <c r="O40" s="2">
        <f ca="1"/>
        <v>-0.10208570945226503</v>
      </c>
      <c r="X40" s="2">
        <f ca="1"/>
        <v>65.127801391262906</v>
      </c>
      <c r="AG40" s="2">
        <f ca="1"/>
        <v>0.79476746327950232</v>
      </c>
      <c r="AH40" s="2" t="str">
        <f ca="1"/>
        <v>Bad</v>
      </c>
    </row>
    <row r="41" spans="2:34" x14ac:dyDescent="0.2">
      <c r="B41" s="2">
        <f ca="1"/>
        <v>0.65003665763535579</v>
      </c>
      <c r="O41" s="2">
        <f ca="1"/>
        <v>0.8638960316611709</v>
      </c>
      <c r="X41" s="2">
        <f ca="1"/>
        <v>49.610569048880677</v>
      </c>
      <c r="AG41" s="2">
        <f ca="1"/>
        <v>0.87716893842002941</v>
      </c>
      <c r="AH41" s="2" t="str">
        <f ca="1"/>
        <v>Bad</v>
      </c>
    </row>
    <row r="42" spans="2:34" x14ac:dyDescent="0.2">
      <c r="B42" s="2">
        <f ca="1"/>
        <v>0.10732712178887094</v>
      </c>
      <c r="O42" s="2">
        <f ca="1"/>
        <v>-1.2180963384186876</v>
      </c>
      <c r="X42" s="2">
        <f ca="1"/>
        <v>103.591083628993</v>
      </c>
      <c r="AG42" s="2">
        <f ca="1"/>
        <v>0.43811419465734081</v>
      </c>
      <c r="AH42" s="2" t="str">
        <f ca="1"/>
        <v>Bad</v>
      </c>
    </row>
    <row r="43" spans="2:34" x14ac:dyDescent="0.2">
      <c r="B43" s="2">
        <f ca="1"/>
        <v>0.84103938495377251</v>
      </c>
      <c r="O43" s="2">
        <f ca="1"/>
        <v>-1.460938650846215</v>
      </c>
      <c r="X43" s="2">
        <f ca="1"/>
        <v>64.601133450508911</v>
      </c>
      <c r="AG43" s="2">
        <f ca="1"/>
        <v>0.92780281797808306</v>
      </c>
      <c r="AH43" s="2" t="str">
        <f ca="1"/>
        <v>Bad</v>
      </c>
    </row>
    <row r="44" spans="2:34" x14ac:dyDescent="0.2">
      <c r="B44" s="2">
        <f ca="1"/>
        <v>0.39234860164563479</v>
      </c>
      <c r="O44" s="2">
        <f ca="1"/>
        <v>-0.3653949363809173</v>
      </c>
      <c r="X44" s="2">
        <f ca="1"/>
        <v>31.919336592152824</v>
      </c>
      <c r="AG44" s="2">
        <f ca="1"/>
        <v>0.26643052860358507</v>
      </c>
      <c r="AH44" s="2" t="str">
        <f ca="1"/>
        <v>OK</v>
      </c>
    </row>
    <row r="45" spans="2:34" x14ac:dyDescent="0.2">
      <c r="B45" s="2">
        <f ca="1"/>
        <v>0.3542716127746286</v>
      </c>
      <c r="O45" s="2">
        <f ca="1"/>
        <v>0.54621121213956858</v>
      </c>
      <c r="X45" s="2">
        <f ca="1"/>
        <v>61.664543774163704</v>
      </c>
      <c r="AG45" s="2">
        <f ca="1"/>
        <v>0.63636344684511315</v>
      </c>
      <c r="AH45" s="2" t="str">
        <f ca="1"/>
        <v>Bad</v>
      </c>
    </row>
    <row r="46" spans="2:34" x14ac:dyDescent="0.2">
      <c r="B46" s="2">
        <f ca="1"/>
        <v>0.31838993737480492</v>
      </c>
      <c r="O46" s="2">
        <f ca="1"/>
        <v>0.75294982485911677</v>
      </c>
      <c r="X46" s="2">
        <f ca="1"/>
        <v>50.683351959525666</v>
      </c>
      <c r="AG46" s="2">
        <f ca="1"/>
        <v>0.54707858640211748</v>
      </c>
      <c r="AH46" s="2" t="str">
        <f ca="1"/>
        <v>Bad</v>
      </c>
    </row>
    <row r="47" spans="2:34" x14ac:dyDescent="0.2">
      <c r="B47" s="2">
        <f ca="1"/>
        <v>0.5885576525338907</v>
      </c>
      <c r="O47" s="2">
        <f ca="1"/>
        <v>-1.0305260747397837</v>
      </c>
      <c r="X47" s="2">
        <f ca="1"/>
        <v>34.957039225831423</v>
      </c>
      <c r="AG47" s="2">
        <f ca="1"/>
        <v>0.88335116340273268</v>
      </c>
      <c r="AH47" s="2" t="str">
        <f ca="1"/>
        <v>Bad</v>
      </c>
    </row>
    <row r="48" spans="2:34" x14ac:dyDescent="0.2">
      <c r="B48" s="2">
        <f ca="1"/>
        <v>0.51137833933058663</v>
      </c>
      <c r="O48" s="2">
        <f ca="1"/>
        <v>-0.4325830355331014</v>
      </c>
      <c r="X48" s="2">
        <f ca="1"/>
        <v>72.878143845053359</v>
      </c>
      <c r="AG48" s="2">
        <f ca="1"/>
        <v>0.20517782366525017</v>
      </c>
      <c r="AH48" s="2" t="str">
        <f ca="1"/>
        <v>OK</v>
      </c>
    </row>
    <row r="49" spans="2:34" x14ac:dyDescent="0.2">
      <c r="B49" s="2">
        <f ca="1"/>
        <v>4.1952680664349318E-2</v>
      </c>
      <c r="O49" s="2">
        <f ca="1"/>
        <v>-1.3253000816825717</v>
      </c>
      <c r="X49" s="2">
        <f ca="1"/>
        <v>36.97322593442933</v>
      </c>
      <c r="AG49" s="2">
        <f ca="1"/>
        <v>0.43934887132871969</v>
      </c>
      <c r="AH49" s="2" t="str">
        <f ca="1"/>
        <v>Bad</v>
      </c>
    </row>
    <row r="50" spans="2:34" x14ac:dyDescent="0.2">
      <c r="B50" s="2">
        <f ca="1"/>
        <v>0.42307444277774375</v>
      </c>
      <c r="O50" s="2">
        <f ca="1"/>
        <v>1.3149303333538471</v>
      </c>
      <c r="X50" s="2">
        <f ca="1"/>
        <v>34.219800306014989</v>
      </c>
      <c r="AG50" s="2">
        <f ca="1"/>
        <v>0.18453821501840051</v>
      </c>
      <c r="AH50" s="2" t="str">
        <f ca="1"/>
        <v>OK</v>
      </c>
    </row>
    <row r="51" spans="2:34" x14ac:dyDescent="0.2">
      <c r="B51" s="2">
        <f ca="1"/>
        <v>0.40858463638735687</v>
      </c>
      <c r="O51" s="2">
        <f ca="1"/>
        <v>-2.1612655570168067</v>
      </c>
      <c r="X51" s="2">
        <f ca="1"/>
        <v>50.882105490054023</v>
      </c>
      <c r="AG51" s="2">
        <f ca="1"/>
        <v>0.33072444810436652</v>
      </c>
      <c r="AH51" s="2" t="str">
        <f ca="1"/>
        <v>OK</v>
      </c>
    </row>
    <row r="52" spans="2:34" x14ac:dyDescent="0.2">
      <c r="B52" s="2">
        <f ca="1"/>
        <v>0.51553964049252454</v>
      </c>
      <c r="O52" s="2">
        <f ca="1"/>
        <v>1.9574536448970077</v>
      </c>
      <c r="X52" s="2">
        <f ca="1"/>
        <v>36.220406917549894</v>
      </c>
      <c r="AG52" s="2">
        <f ca="1"/>
        <v>0.82512637615196538</v>
      </c>
      <c r="AH52" s="2" t="str">
        <f ca="1"/>
        <v>Bad</v>
      </c>
    </row>
    <row r="53" spans="2:34" x14ac:dyDescent="0.2">
      <c r="B53" s="2">
        <f ca="1"/>
        <v>0.79719458743938842</v>
      </c>
      <c r="O53" s="2">
        <f ca="1"/>
        <v>2.5384356980769009</v>
      </c>
      <c r="X53" s="2">
        <f ca="1"/>
        <v>76.755220167580845</v>
      </c>
      <c r="AG53" s="2">
        <f ca="1"/>
        <v>0.21665952902738206</v>
      </c>
      <c r="AH53" s="2" t="str">
        <f ca="1"/>
        <v>OK</v>
      </c>
    </row>
    <row r="54" spans="2:34" x14ac:dyDescent="0.2">
      <c r="B54" s="2">
        <f ca="1"/>
        <v>0.59642150989127551</v>
      </c>
      <c r="O54" s="2">
        <f ca="1"/>
        <v>-0.39191344902453379</v>
      </c>
      <c r="X54" s="2">
        <f ca="1"/>
        <v>40.532858844991964</v>
      </c>
      <c r="AG54" s="2">
        <f ca="1"/>
        <v>0.78146189016939793</v>
      </c>
      <c r="AH54" s="2" t="str">
        <f ca="1"/>
        <v>Bad</v>
      </c>
    </row>
    <row r="55" spans="2:34" x14ac:dyDescent="0.2">
      <c r="B55" s="2">
        <f ca="1"/>
        <v>0.47578968857779791</v>
      </c>
      <c r="O55" s="2">
        <f ca="1"/>
        <v>-0.18271561611449189</v>
      </c>
      <c r="X55" s="2">
        <f ca="1"/>
        <v>40.182415702756096</v>
      </c>
      <c r="AG55" s="2">
        <f ca="1"/>
        <v>0.63393700272448306</v>
      </c>
      <c r="AH55" s="2" t="str">
        <f ca="1"/>
        <v>Bad</v>
      </c>
    </row>
    <row r="56" spans="2:34" x14ac:dyDescent="0.2">
      <c r="B56" s="2">
        <f ca="1"/>
        <v>0.97159110660704662</v>
      </c>
      <c r="O56" s="2">
        <f ca="1"/>
        <v>-0.36931205422564173</v>
      </c>
      <c r="X56" s="2">
        <f ca="1"/>
        <v>34.936623106861795</v>
      </c>
      <c r="AG56" s="2">
        <f ca="1"/>
        <v>0.57794735199988567</v>
      </c>
      <c r="AH56" s="2" t="str">
        <f ca="1"/>
        <v>Bad</v>
      </c>
    </row>
    <row r="57" spans="2:34" x14ac:dyDescent="0.2">
      <c r="B57" s="2">
        <f ca="1"/>
        <v>0.88649175192969265</v>
      </c>
      <c r="O57" s="2">
        <f ca="1"/>
        <v>-0.5653322580813589</v>
      </c>
      <c r="X57" s="2">
        <f ca="1"/>
        <v>48.807797056778398</v>
      </c>
      <c r="AG57" s="2">
        <f ca="1"/>
        <v>0.88195331980258929</v>
      </c>
      <c r="AH57" s="2" t="str">
        <f ca="1"/>
        <v>Bad</v>
      </c>
    </row>
    <row r="58" spans="2:34" x14ac:dyDescent="0.2">
      <c r="B58" s="2">
        <f ca="1"/>
        <v>0.82399291756297943</v>
      </c>
      <c r="O58" s="2">
        <f ca="1"/>
        <v>-0.41746582938504306</v>
      </c>
      <c r="X58" s="2">
        <f ca="1"/>
        <v>63.61212555978851</v>
      </c>
      <c r="AG58" s="2">
        <f ca="1"/>
        <v>0.10753779094010896</v>
      </c>
      <c r="AH58" s="2" t="str">
        <f ca="1"/>
        <v>OK</v>
      </c>
    </row>
    <row r="59" spans="2:34" x14ac:dyDescent="0.2">
      <c r="B59" s="2">
        <f ca="1"/>
        <v>0.75761322664060038</v>
      </c>
      <c r="O59" s="2">
        <f ca="1"/>
        <v>0.71731502854546014</v>
      </c>
      <c r="X59" s="2">
        <f ca="1"/>
        <v>32.004702185552894</v>
      </c>
      <c r="AG59" s="2">
        <f ca="1"/>
        <v>0.94069019115535824</v>
      </c>
      <c r="AH59" s="2" t="str">
        <f ca="1"/>
        <v>Bad</v>
      </c>
    </row>
    <row r="60" spans="2:34" x14ac:dyDescent="0.2">
      <c r="B60" s="2">
        <f ca="1"/>
        <v>0.83012511998774663</v>
      </c>
      <c r="O60" s="2">
        <f ca="1"/>
        <v>0.99675760202917119</v>
      </c>
      <c r="X60" s="2">
        <f ca="1"/>
        <v>48.69853825760611</v>
      </c>
      <c r="AG60" s="2">
        <f ca="1"/>
        <v>0.73551209154224795</v>
      </c>
      <c r="AH60" s="2" t="str">
        <f ca="1"/>
        <v>Bad</v>
      </c>
    </row>
    <row r="61" spans="2:34" x14ac:dyDescent="0.2">
      <c r="B61" s="2">
        <f ca="1"/>
        <v>0.4933370870109286</v>
      </c>
      <c r="O61" s="2">
        <f ca="1"/>
        <v>0.13507793561303352</v>
      </c>
      <c r="X61" s="2">
        <f ca="1"/>
        <v>38.44087532060805</v>
      </c>
      <c r="AG61" s="2">
        <f ca="1"/>
        <v>0.73346829234606492</v>
      </c>
      <c r="AH61" s="2" t="str">
        <f ca="1"/>
        <v>Bad</v>
      </c>
    </row>
    <row r="62" spans="2:34" x14ac:dyDescent="0.2">
      <c r="B62" s="2">
        <f ca="1"/>
        <v>0.5276601898803237</v>
      </c>
      <c r="O62" s="2">
        <f ca="1"/>
        <v>1.2608300323558048</v>
      </c>
      <c r="X62" s="2">
        <f ca="1"/>
        <v>52.020242439241578</v>
      </c>
      <c r="AG62" s="2">
        <f ca="1"/>
        <v>0.76197773843176364</v>
      </c>
      <c r="AH62" s="2" t="str">
        <f ca="1"/>
        <v>Bad</v>
      </c>
    </row>
    <row r="63" spans="2:34" x14ac:dyDescent="0.2">
      <c r="B63" s="2">
        <f ca="1"/>
        <v>0.39280424282474025</v>
      </c>
      <c r="O63" s="2">
        <f ca="1"/>
        <v>-0.71278643453985813</v>
      </c>
      <c r="X63" s="2">
        <f ca="1"/>
        <v>61.078367018075291</v>
      </c>
      <c r="AG63" s="2">
        <f ca="1"/>
        <v>0.88252054129073221</v>
      </c>
      <c r="AH63" s="2" t="str">
        <f ca="1"/>
        <v>Bad</v>
      </c>
    </row>
    <row r="64" spans="2:34" x14ac:dyDescent="0.2">
      <c r="B64" s="2">
        <f ca="1"/>
        <v>0.67839024130970182</v>
      </c>
      <c r="O64" s="2">
        <f ca="1"/>
        <v>-0.65170617719548984</v>
      </c>
      <c r="X64" s="2">
        <f ca="1"/>
        <v>56.849602903692798</v>
      </c>
      <c r="AG64" s="2">
        <f ca="1"/>
        <v>0.41413978137938789</v>
      </c>
      <c r="AH64" s="2" t="str">
        <f ca="1"/>
        <v>Bad</v>
      </c>
    </row>
    <row r="65" spans="2:34" x14ac:dyDescent="0.2">
      <c r="B65" s="2">
        <f ca="1"/>
        <v>0.27861686909128314</v>
      </c>
      <c r="O65" s="2">
        <f ca="1"/>
        <v>1.0705807048197085</v>
      </c>
      <c r="X65" s="2">
        <f ca="1"/>
        <v>58.394338902938337</v>
      </c>
      <c r="AG65" s="2">
        <f ca="1"/>
        <v>0.48417550388958119</v>
      </c>
      <c r="AH65" s="2" t="str">
        <f ca="1"/>
        <v>Bad</v>
      </c>
    </row>
    <row r="66" spans="2:34" x14ac:dyDescent="0.2">
      <c r="B66" s="2">
        <f ca="1"/>
        <v>0.35548383215225243</v>
      </c>
      <c r="O66" s="2">
        <f ca="1"/>
        <v>1.1313699935204993</v>
      </c>
      <c r="X66" s="2">
        <f ca="1"/>
        <v>44.782258105691291</v>
      </c>
      <c r="AG66" s="2">
        <f ca="1"/>
        <v>0.68146410994341577</v>
      </c>
      <c r="AH66" s="2" t="str">
        <f ca="1"/>
        <v>Bad</v>
      </c>
    </row>
    <row r="67" spans="2:34" x14ac:dyDescent="0.2">
      <c r="B67" s="2">
        <f ca="1"/>
        <v>0.66699107335234165</v>
      </c>
      <c r="O67" s="2">
        <f ca="1"/>
        <v>0.92479806945154253</v>
      </c>
      <c r="X67" s="2">
        <f ca="1"/>
        <v>33.153704406714979</v>
      </c>
      <c r="AG67" s="2">
        <f ca="1"/>
        <v>0.25036796981379861</v>
      </c>
      <c r="AH67" s="2" t="str">
        <f ca="1"/>
        <v>OK</v>
      </c>
    </row>
    <row r="68" spans="2:34" x14ac:dyDescent="0.2">
      <c r="B68" s="2">
        <f ca="1"/>
        <v>0.76165145265612311</v>
      </c>
      <c r="O68" s="2">
        <f ca="1"/>
        <v>-0.39040323038848346</v>
      </c>
      <c r="X68" s="2">
        <f ca="1"/>
        <v>42.890649950194117</v>
      </c>
      <c r="AG68" s="2">
        <f ca="1"/>
        <v>0.41994447434756821</v>
      </c>
      <c r="AH68" s="2" t="str">
        <f ca="1"/>
        <v>Bad</v>
      </c>
    </row>
    <row r="69" spans="2:34" x14ac:dyDescent="0.2">
      <c r="B69" s="2">
        <f ca="1"/>
        <v>0.89992985850943463</v>
      </c>
      <c r="O69" s="2">
        <f ca="1"/>
        <v>0.1244084780952044</v>
      </c>
      <c r="X69" s="2">
        <f ca="1"/>
        <v>37.613096392477551</v>
      </c>
      <c r="AG69" s="2">
        <f ca="1"/>
        <v>0.17469989402664621</v>
      </c>
      <c r="AH69" s="2" t="str">
        <f ca="1"/>
        <v>OK</v>
      </c>
    </row>
    <row r="70" spans="2:34" x14ac:dyDescent="0.2">
      <c r="B70" s="2">
        <f ca="1"/>
        <v>0.40462497898254934</v>
      </c>
      <c r="O70" s="2">
        <f ca="1"/>
        <v>-0.12120780573930394</v>
      </c>
      <c r="X70" s="2">
        <f ca="1"/>
        <v>80.350655885143709</v>
      </c>
      <c r="AG70" s="2">
        <f ca="1"/>
        <v>0.77795470870689032</v>
      </c>
      <c r="AH70" s="2" t="str">
        <f ca="1"/>
        <v>Bad</v>
      </c>
    </row>
    <row r="71" spans="2:34" x14ac:dyDescent="0.2">
      <c r="B71" s="2">
        <f ca="1"/>
        <v>0.94852915149702621</v>
      </c>
      <c r="O71" s="2">
        <f ca="1"/>
        <v>0.10815355715718473</v>
      </c>
      <c r="X71" s="2">
        <f ca="1"/>
        <v>45.669333929556124</v>
      </c>
      <c r="AG71" s="2">
        <f ca="1"/>
        <v>0.20061018897555316</v>
      </c>
      <c r="AH71" s="2" t="str">
        <f ca="1"/>
        <v>OK</v>
      </c>
    </row>
    <row r="72" spans="2:34" x14ac:dyDescent="0.2">
      <c r="B72" s="2">
        <f ca="1"/>
        <v>0.86774867106380293</v>
      </c>
      <c r="O72" s="2">
        <f ca="1"/>
        <v>1.8738659076944741</v>
      </c>
      <c r="X72" s="2">
        <f ca="1"/>
        <v>42.475278108672576</v>
      </c>
      <c r="AG72" s="2">
        <f ca="1"/>
        <v>0.15772761749129627</v>
      </c>
      <c r="AH72" s="2" t="str">
        <f ca="1"/>
        <v>OK</v>
      </c>
    </row>
    <row r="73" spans="2:34" x14ac:dyDescent="0.2">
      <c r="B73" s="2">
        <f ca="1"/>
        <v>0.14054033573655844</v>
      </c>
      <c r="O73" s="2">
        <f ca="1"/>
        <v>-1.8917919109127141</v>
      </c>
      <c r="X73" s="2">
        <f ca="1"/>
        <v>79.707511866575359</v>
      </c>
      <c r="AG73" s="2">
        <f ca="1"/>
        <v>0.80689172448650881</v>
      </c>
      <c r="AH73" s="2" t="str">
        <f ca="1"/>
        <v>Bad</v>
      </c>
    </row>
    <row r="74" spans="2:34" x14ac:dyDescent="0.2">
      <c r="B74" s="2">
        <f ca="1"/>
        <v>0.2767518067639263</v>
      </c>
      <c r="O74" s="2">
        <f ca="1"/>
        <v>1.2928350005136695</v>
      </c>
      <c r="X74" s="2">
        <f ca="1"/>
        <v>22.35664135813499</v>
      </c>
      <c r="AG74" s="2">
        <f ca="1"/>
        <v>0.42678463354817464</v>
      </c>
      <c r="AH74" s="2" t="str">
        <f ca="1"/>
        <v>Bad</v>
      </c>
    </row>
    <row r="75" spans="2:34" x14ac:dyDescent="0.2">
      <c r="B75" s="2">
        <f ca="1"/>
        <v>0.5473799987375958</v>
      </c>
      <c r="O75" s="2">
        <f ca="1"/>
        <v>-0.76179959847672529</v>
      </c>
      <c r="X75" s="2">
        <f ca="1"/>
        <v>27.620701931017678</v>
      </c>
      <c r="AG75" s="2">
        <f ca="1"/>
        <v>0.9685738068617169</v>
      </c>
      <c r="AH75" s="2" t="str">
        <f ca="1"/>
        <v>Bad</v>
      </c>
    </row>
    <row r="76" spans="2:34" x14ac:dyDescent="0.2">
      <c r="B76" s="2">
        <f ca="1"/>
        <v>0.22176499940003036</v>
      </c>
      <c r="O76" s="2">
        <f ca="1"/>
        <v>-5.0619012601599081E-2</v>
      </c>
      <c r="X76" s="2">
        <f ca="1"/>
        <v>61.952641172472795</v>
      </c>
      <c r="AG76" s="2">
        <f ca="1"/>
        <v>0.89318009814430122</v>
      </c>
      <c r="AH76" s="2" t="str">
        <f ca="1"/>
        <v>Bad</v>
      </c>
    </row>
    <row r="77" spans="2:34" x14ac:dyDescent="0.2">
      <c r="B77" s="2">
        <f ca="1"/>
        <v>0.9576890575160466</v>
      </c>
      <c r="O77" s="2">
        <f ca="1"/>
        <v>0.83352300515751299</v>
      </c>
      <c r="X77" s="2">
        <f ca="1"/>
        <v>33.988474099533448</v>
      </c>
      <c r="AG77" s="2">
        <f ca="1"/>
        <v>0.80121913625171226</v>
      </c>
      <c r="AH77" s="2" t="str">
        <f ca="1"/>
        <v>Bad</v>
      </c>
    </row>
    <row r="78" spans="2:34" x14ac:dyDescent="0.2">
      <c r="B78" s="2">
        <f ca="1"/>
        <v>0.45036799495879043</v>
      </c>
      <c r="O78" s="2">
        <f ca="1"/>
        <v>0.3975856628681409</v>
      </c>
      <c r="X78" s="2">
        <f ca="1"/>
        <v>54.28381871979294</v>
      </c>
      <c r="AG78" s="2">
        <f ca="1"/>
        <v>0.44819080556705315</v>
      </c>
      <c r="AH78" s="2" t="str">
        <f ca="1"/>
        <v>Bad</v>
      </c>
    </row>
    <row r="79" spans="2:34" x14ac:dyDescent="0.2">
      <c r="B79" s="2">
        <f ca="1"/>
        <v>0.3386012631121551</v>
      </c>
      <c r="O79" s="2">
        <f ca="1"/>
        <v>-0.72895381732807163</v>
      </c>
      <c r="X79" s="2">
        <f ca="1"/>
        <v>55.080574276506944</v>
      </c>
      <c r="AG79" s="2">
        <f ca="1"/>
        <v>0.62663058144290318</v>
      </c>
      <c r="AH79" s="2" t="str">
        <f ca="1"/>
        <v>Bad</v>
      </c>
    </row>
    <row r="80" spans="2:34" x14ac:dyDescent="0.2">
      <c r="B80" s="2">
        <f ca="1"/>
        <v>0.89044646861040344</v>
      </c>
      <c r="O80" s="2">
        <f ca="1"/>
        <v>0.54700919684379568</v>
      </c>
      <c r="X80" s="2">
        <f ca="1"/>
        <v>35.09405507211671</v>
      </c>
      <c r="AG80" s="2">
        <f ca="1"/>
        <v>0.85110617696218061</v>
      </c>
      <c r="AH80" s="2" t="str">
        <f ca="1"/>
        <v>Bad</v>
      </c>
    </row>
    <row r="81" spans="2:34" x14ac:dyDescent="0.2">
      <c r="B81" s="2">
        <f ca="1"/>
        <v>0.46568067989792383</v>
      </c>
      <c r="O81" s="2">
        <f ca="1"/>
        <v>3.4527916233506009</v>
      </c>
      <c r="X81" s="2">
        <f ca="1"/>
        <v>38.171817115014576</v>
      </c>
      <c r="AG81" s="2">
        <f ca="1"/>
        <v>0.76755901604986421</v>
      </c>
      <c r="AH81" s="2" t="str">
        <f ca="1"/>
        <v>Bad</v>
      </c>
    </row>
    <row r="82" spans="2:34" x14ac:dyDescent="0.2">
      <c r="B82" s="2">
        <f ca="1"/>
        <v>0.34174801372009278</v>
      </c>
      <c r="O82" s="2">
        <f ca="1"/>
        <v>2.9320927539640751</v>
      </c>
      <c r="X82" s="2">
        <f ca="1"/>
        <v>36.238649292530226</v>
      </c>
      <c r="AG82" s="2">
        <f ca="1"/>
        <v>0.2758464877658755</v>
      </c>
      <c r="AH82" s="2" t="str">
        <f ca="1"/>
        <v>OK</v>
      </c>
    </row>
    <row r="83" spans="2:34" x14ac:dyDescent="0.2">
      <c r="B83" s="2">
        <f ca="1"/>
        <v>0.50708770489458765</v>
      </c>
      <c r="O83" s="2">
        <f ca="1"/>
        <v>2.1549758125312111</v>
      </c>
      <c r="X83" s="2">
        <f ca="1"/>
        <v>42.368450158951163</v>
      </c>
      <c r="AG83" s="2">
        <f ca="1"/>
        <v>0.75860386961370985</v>
      </c>
      <c r="AH83" s="2" t="str">
        <f ca="1"/>
        <v>Bad</v>
      </c>
    </row>
    <row r="84" spans="2:34" x14ac:dyDescent="0.2">
      <c r="B84" s="2">
        <f ca="1"/>
        <v>0.25382084102790325</v>
      </c>
      <c r="O84" s="2">
        <f ca="1"/>
        <v>0.66098983666426236</v>
      </c>
      <c r="X84" s="2">
        <f ca="1"/>
        <v>37.214275607777758</v>
      </c>
      <c r="AG84" s="2">
        <f ca="1"/>
        <v>1.1558036482835155E-2</v>
      </c>
      <c r="AH84" s="2" t="str">
        <f ca="1"/>
        <v>Good</v>
      </c>
    </row>
    <row r="85" spans="2:34" x14ac:dyDescent="0.2">
      <c r="B85" s="2">
        <f ca="1"/>
        <v>0.72588341919585209</v>
      </c>
      <c r="O85" s="2">
        <f ca="1"/>
        <v>0.46190808580318399</v>
      </c>
      <c r="X85" s="2">
        <f ca="1"/>
        <v>35.507674870216363</v>
      </c>
      <c r="AG85" s="2">
        <f ca="1"/>
        <v>0.20544141336254951</v>
      </c>
      <c r="AH85" s="2" t="str">
        <f ca="1"/>
        <v>OK</v>
      </c>
    </row>
    <row r="86" spans="2:34" x14ac:dyDescent="0.2">
      <c r="B86" s="2">
        <f ca="1"/>
        <v>0.84522794870995366</v>
      </c>
      <c r="O86" s="2">
        <f ca="1"/>
        <v>1.7455350192222596</v>
      </c>
      <c r="X86" s="2">
        <f ca="1"/>
        <v>78.335867367468694</v>
      </c>
      <c r="AG86" s="2">
        <f ca="1"/>
        <v>0.87117591324770238</v>
      </c>
      <c r="AH86" s="2" t="str">
        <f ca="1"/>
        <v>Bad</v>
      </c>
    </row>
    <row r="87" spans="2:34" x14ac:dyDescent="0.2">
      <c r="B87" s="2">
        <f ca="1"/>
        <v>0.56222538335907601</v>
      </c>
      <c r="O87" s="2">
        <f ca="1"/>
        <v>-2.1333747587539955</v>
      </c>
      <c r="X87" s="2">
        <f ca="1"/>
        <v>41.39793012341012</v>
      </c>
      <c r="AG87" s="2">
        <f ca="1"/>
        <v>0.37316915252176908</v>
      </c>
      <c r="AH87" s="2" t="str">
        <f ca="1"/>
        <v>OK</v>
      </c>
    </row>
    <row r="88" spans="2:34" x14ac:dyDescent="0.2">
      <c r="B88" s="2">
        <f ca="1"/>
        <v>0.5686554538046904</v>
      </c>
      <c r="O88" s="2">
        <f ca="1"/>
        <v>0.16438540391393461</v>
      </c>
      <c r="X88" s="2">
        <f ca="1"/>
        <v>34.901931472698386</v>
      </c>
      <c r="AG88" s="2">
        <f ca="1"/>
        <v>0.23876769227254435</v>
      </c>
      <c r="AH88" s="2" t="str">
        <f ca="1"/>
        <v>OK</v>
      </c>
    </row>
    <row r="89" spans="2:34" x14ac:dyDescent="0.2">
      <c r="B89" s="2">
        <f ca="1"/>
        <v>9.0593000601002949E-2</v>
      </c>
      <c r="O89" s="2">
        <f ca="1"/>
        <v>1.7624831588729897</v>
      </c>
      <c r="X89" s="2">
        <f ca="1"/>
        <v>86.374856564035071</v>
      </c>
      <c r="AG89" s="2">
        <f ca="1"/>
        <v>0.46855930952019831</v>
      </c>
      <c r="AH89" s="2" t="str">
        <f ca="1"/>
        <v>Bad</v>
      </c>
    </row>
    <row r="90" spans="2:34" x14ac:dyDescent="0.2">
      <c r="B90" s="2">
        <f ca="1"/>
        <v>0.88869882849288229</v>
      </c>
      <c r="O90" s="2">
        <f ca="1"/>
        <v>0.76701111119072496</v>
      </c>
      <c r="X90" s="2">
        <f ca="1"/>
        <v>51.210897844061734</v>
      </c>
      <c r="AG90" s="2">
        <f ca="1"/>
        <v>0.43342513022791107</v>
      </c>
      <c r="AH90" s="2" t="str">
        <f ca="1"/>
        <v>Bad</v>
      </c>
    </row>
    <row r="91" spans="2:34" x14ac:dyDescent="0.2">
      <c r="B91" s="2">
        <f ca="1"/>
        <v>0.9035459829931165</v>
      </c>
      <c r="O91" s="2">
        <f ca="1"/>
        <v>-1.6522599540834604</v>
      </c>
      <c r="X91" s="2">
        <f ca="1"/>
        <v>82.439402336795581</v>
      </c>
      <c r="AG91" s="2">
        <f ca="1"/>
        <v>0.84519065837941354</v>
      </c>
      <c r="AH91" s="2" t="str">
        <f ca="1"/>
        <v>Bad</v>
      </c>
    </row>
    <row r="92" spans="2:34" x14ac:dyDescent="0.2">
      <c r="B92" s="2">
        <f ca="1"/>
        <v>0.15444376481622113</v>
      </c>
      <c r="O92" s="2">
        <f ca="1"/>
        <v>1.5025806000814781</v>
      </c>
      <c r="X92" s="2">
        <f ca="1"/>
        <v>38.285722662081454</v>
      </c>
      <c r="AG92" s="2">
        <f ca="1"/>
        <v>1.1866899856470603E-2</v>
      </c>
      <c r="AH92" s="2" t="str">
        <f ca="1"/>
        <v>Good</v>
      </c>
    </row>
    <row r="93" spans="2:34" x14ac:dyDescent="0.2">
      <c r="B93" s="2">
        <f ca="1"/>
        <v>0.7073867755651233</v>
      </c>
      <c r="O93" s="2">
        <f ca="1"/>
        <v>0.69294351299569568</v>
      </c>
      <c r="X93" s="2">
        <f ca="1"/>
        <v>72.138403840061471</v>
      </c>
      <c r="AG93" s="2">
        <f ca="1"/>
        <v>0.78970712010636412</v>
      </c>
      <c r="AH93" s="2" t="str">
        <f ca="1"/>
        <v>Bad</v>
      </c>
    </row>
    <row r="94" spans="2:34" x14ac:dyDescent="0.2">
      <c r="B94" s="2">
        <f ca="1"/>
        <v>0.60014379583803823</v>
      </c>
      <c r="O94" s="2">
        <f ca="1"/>
        <v>-0.23779170826806714</v>
      </c>
      <c r="X94" s="2">
        <f ca="1"/>
        <v>33.809279218670994</v>
      </c>
      <c r="AG94" s="2">
        <f ca="1"/>
        <v>0.51710764329168701</v>
      </c>
      <c r="AH94" s="2" t="str">
        <f ca="1"/>
        <v>Bad</v>
      </c>
    </row>
    <row r="95" spans="2:34" x14ac:dyDescent="0.2">
      <c r="B95" s="2">
        <f ca="1"/>
        <v>0.96576949214869612</v>
      </c>
      <c r="O95" s="2">
        <f ca="1"/>
        <v>0.33771929185374122</v>
      </c>
      <c r="X95" s="2">
        <f ca="1"/>
        <v>57.973687272789071</v>
      </c>
      <c r="AG95" s="2">
        <f ca="1"/>
        <v>0.14160133308226586</v>
      </c>
      <c r="AH95" s="2" t="str">
        <f ca="1"/>
        <v>OK</v>
      </c>
    </row>
    <row r="96" spans="2:34" x14ac:dyDescent="0.2">
      <c r="B96" s="2">
        <f ca="1"/>
        <v>0.79626994135088869</v>
      </c>
      <c r="O96" s="2">
        <f ca="1"/>
        <v>0.11915839256187971</v>
      </c>
      <c r="X96" s="2">
        <f ca="1"/>
        <v>28.199278502595217</v>
      </c>
      <c r="AG96" s="2">
        <f ca="1"/>
        <v>0.75544798148949432</v>
      </c>
      <c r="AH96" s="2" t="str">
        <f ca="1"/>
        <v>Bad</v>
      </c>
    </row>
    <row r="97" spans="2:34" x14ac:dyDescent="0.2">
      <c r="B97" s="2">
        <f ca="1"/>
        <v>0.4343802065864566</v>
      </c>
      <c r="O97" s="2">
        <f ca="1"/>
        <v>1.2824906786462966</v>
      </c>
      <c r="X97" s="2">
        <f ca="1"/>
        <v>54.839087226388841</v>
      </c>
      <c r="AG97" s="2">
        <f ca="1"/>
        <v>0.98108340773943126</v>
      </c>
      <c r="AH97" s="2" t="str">
        <f ca="1"/>
        <v>Bad</v>
      </c>
    </row>
    <row r="98" spans="2:34" x14ac:dyDescent="0.2">
      <c r="B98" s="2">
        <f ca="1"/>
        <v>0.37384095141819729</v>
      </c>
      <c r="O98" s="2">
        <f ca="1"/>
        <v>-0.73292710095316971</v>
      </c>
      <c r="X98" s="2">
        <f ca="1"/>
        <v>42.358673598647755</v>
      </c>
      <c r="AG98" s="2">
        <f ca="1"/>
        <v>0.52090659195284172</v>
      </c>
      <c r="AH98" s="2" t="str">
        <f ca="1"/>
        <v>Bad</v>
      </c>
    </row>
    <row r="99" spans="2:34" x14ac:dyDescent="0.2">
      <c r="B99" s="2">
        <f ca="1"/>
        <v>0.87721181979970386</v>
      </c>
      <c r="O99" s="2">
        <f ca="1"/>
        <v>-2.3187788783809862</v>
      </c>
      <c r="X99" s="2">
        <f ca="1"/>
        <v>46.484691353554702</v>
      </c>
      <c r="AG99" s="2">
        <f ca="1"/>
        <v>4.8556868199892467E-2</v>
      </c>
      <c r="AH99" s="2" t="str">
        <f ca="1"/>
        <v>Good</v>
      </c>
    </row>
    <row r="100" spans="2:34" x14ac:dyDescent="0.2">
      <c r="B100" s="2">
        <f ca="1"/>
        <v>0.13814080922680327</v>
      </c>
      <c r="O100" s="2">
        <f ca="1"/>
        <v>-0.38413697787504975</v>
      </c>
      <c r="X100" s="2">
        <f ca="1"/>
        <v>54.599168451178251</v>
      </c>
      <c r="AG100" s="2">
        <f ca="1"/>
        <v>0.1901645551538369</v>
      </c>
      <c r="AH100" s="2" t="str">
        <f ca="1"/>
        <v>OK</v>
      </c>
    </row>
    <row r="101" spans="2:34" x14ac:dyDescent="0.2">
      <c r="B101" s="2">
        <f ca="1"/>
        <v>0.16777656840849442</v>
      </c>
      <c r="O101" s="2">
        <f ca="1"/>
        <v>0.3789440152373118</v>
      </c>
      <c r="X101" s="2">
        <f ca="1"/>
        <v>66.877477304913839</v>
      </c>
      <c r="AG101" s="2">
        <f ca="1"/>
        <v>0.88746408113694586</v>
      </c>
      <c r="AH101" s="2" t="str">
        <f ca="1"/>
        <v>Bad</v>
      </c>
    </row>
    <row r="102" spans="2:34" x14ac:dyDescent="0.2">
      <c r="B102" s="2">
        <f ca="1"/>
        <v>0.19889655163126663</v>
      </c>
      <c r="O102" s="2">
        <f ca="1"/>
        <v>-0.42318470027029298</v>
      </c>
      <c r="X102" s="2">
        <f ca="1"/>
        <v>21.525157705898806</v>
      </c>
      <c r="AG102" s="2">
        <f ca="1"/>
        <v>0.19387983697731759</v>
      </c>
      <c r="AH102" s="2" t="str">
        <f ca="1"/>
        <v>OK</v>
      </c>
    </row>
    <row r="103" spans="2:34" x14ac:dyDescent="0.2">
      <c r="B103" s="2">
        <f ca="1"/>
        <v>0.18124027491225436</v>
      </c>
      <c r="O103" s="2">
        <f ca="1"/>
        <v>-1.0743683744192614</v>
      </c>
      <c r="X103" s="2">
        <f ca="1"/>
        <v>61.258595684947814</v>
      </c>
      <c r="AG103" s="2">
        <f ca="1"/>
        <v>0.75534814828309904</v>
      </c>
      <c r="AH103" s="2" t="str">
        <f ca="1"/>
        <v>Bad</v>
      </c>
    </row>
    <row r="104" spans="2:34" x14ac:dyDescent="0.2">
      <c r="B104" s="2">
        <f ca="1"/>
        <v>0.28304140416501844</v>
      </c>
      <c r="O104" s="2">
        <f ca="1"/>
        <v>1.481437009216221</v>
      </c>
      <c r="X104" s="2">
        <f ca="1"/>
        <v>36.930626360577342</v>
      </c>
      <c r="AG104" s="2">
        <f ca="1"/>
        <v>0.45567608054853759</v>
      </c>
      <c r="AH104" s="2" t="str">
        <f ca="1"/>
        <v>Bad</v>
      </c>
    </row>
    <row r="105" spans="2:34" x14ac:dyDescent="0.2">
      <c r="B105" s="2">
        <f ca="1"/>
        <v>1.0607964267806969E-2</v>
      </c>
      <c r="O105" s="2">
        <f ca="1"/>
        <v>0.70433994691689705</v>
      </c>
      <c r="X105" s="2">
        <f ca="1"/>
        <v>47.539956324890788</v>
      </c>
      <c r="AG105" s="2">
        <f ca="1"/>
        <v>2.9372239050619475E-2</v>
      </c>
      <c r="AH105" s="2" t="str">
        <f ca="1"/>
        <v>Good</v>
      </c>
    </row>
    <row r="106" spans="2:34" x14ac:dyDescent="0.2">
      <c r="B106" s="2">
        <f ca="1"/>
        <v>0.25771431101451769</v>
      </c>
      <c r="O106" s="2">
        <f ca="1"/>
        <v>2.3997002618136469</v>
      </c>
      <c r="X106" s="2">
        <f ca="1"/>
        <v>25.432266212088521</v>
      </c>
      <c r="AG106" s="2">
        <f ca="1"/>
        <v>0.19549722125914792</v>
      </c>
      <c r="AH106" s="2" t="str">
        <f ca="1"/>
        <v>OK</v>
      </c>
    </row>
    <row r="107" spans="2:34" x14ac:dyDescent="0.2">
      <c r="B107" s="2">
        <f ca="1"/>
        <v>4.4623060555511795E-2</v>
      </c>
      <c r="O107" s="2">
        <f ca="1"/>
        <v>-1.9616083261857591</v>
      </c>
      <c r="X107" s="2">
        <f ca="1"/>
        <v>57.947679894849109</v>
      </c>
      <c r="AG107" s="2">
        <f ca="1"/>
        <v>0.65863803147947619</v>
      </c>
      <c r="AH107" s="2" t="str">
        <f ca="1"/>
        <v>Bad</v>
      </c>
    </row>
    <row r="108" spans="2:34" x14ac:dyDescent="0.2">
      <c r="B108" s="2">
        <f ca="1"/>
        <v>0.58911273870722014</v>
      </c>
      <c r="O108" s="2">
        <f ca="1"/>
        <v>-0.22393689993783308</v>
      </c>
      <c r="X108" s="2">
        <f ca="1"/>
        <v>40.379055193334956</v>
      </c>
      <c r="AG108" s="2">
        <f ca="1"/>
        <v>8.9763946915496051E-2</v>
      </c>
      <c r="AH108" s="2" t="str">
        <f ca="1"/>
        <v>OK</v>
      </c>
    </row>
    <row r="109" spans="2:34" x14ac:dyDescent="0.2">
      <c r="B109" s="2">
        <f ca="1"/>
        <v>0.59023440564832508</v>
      </c>
      <c r="O109" s="2">
        <f ca="1"/>
        <v>1.106280864860822</v>
      </c>
      <c r="X109" s="2">
        <f ca="1"/>
        <v>42.387020104406986</v>
      </c>
      <c r="AG109" s="2">
        <f ca="1"/>
        <v>0.13544252937189039</v>
      </c>
      <c r="AH109" s="2" t="str">
        <f ca="1"/>
        <v>OK</v>
      </c>
    </row>
    <row r="110" spans="2:34" x14ac:dyDescent="0.2">
      <c r="B110" s="2">
        <f ca="1"/>
        <v>0.81989801203239554</v>
      </c>
      <c r="O110" s="2">
        <f ca="1"/>
        <v>0.57098051008033635</v>
      </c>
      <c r="X110" s="2">
        <f ca="1"/>
        <v>34.48443143290018</v>
      </c>
      <c r="AG110" s="2">
        <f ca="1"/>
        <v>0.53876530532552369</v>
      </c>
      <c r="AH110" s="2" t="str">
        <f ca="1"/>
        <v>Bad</v>
      </c>
    </row>
    <row r="111" spans="2:34" x14ac:dyDescent="0.2">
      <c r="B111" s="2">
        <f ca="1"/>
        <v>0.63560280511897727</v>
      </c>
      <c r="O111" s="2">
        <f ca="1"/>
        <v>-0.92816560829378214</v>
      </c>
      <c r="X111" s="2">
        <f ca="1"/>
        <v>41.873486531265023</v>
      </c>
      <c r="AG111" s="2">
        <f ca="1"/>
        <v>0.91826148155718146</v>
      </c>
      <c r="AH111" s="2" t="str">
        <f ca="1"/>
        <v>Bad</v>
      </c>
    </row>
    <row r="112" spans="2:34" x14ac:dyDescent="0.2">
      <c r="B112" s="2">
        <f ca="1"/>
        <v>0.60542465892940034</v>
      </c>
      <c r="O112" s="2">
        <f ca="1"/>
        <v>1.0750107412516594</v>
      </c>
      <c r="X112" s="2">
        <f ca="1"/>
        <v>50.676588570303238</v>
      </c>
      <c r="AG112" s="2">
        <f ca="1"/>
        <v>0.35921232201235442</v>
      </c>
      <c r="AH112" s="2" t="str">
        <f ca="1"/>
        <v>OK</v>
      </c>
    </row>
    <row r="113" spans="2:34" x14ac:dyDescent="0.2">
      <c r="B113" s="2">
        <f ca="1"/>
        <v>0.87256526535943069</v>
      </c>
      <c r="O113" s="2">
        <f ca="1"/>
        <v>-0.44215790463209398</v>
      </c>
      <c r="X113" s="2">
        <f ca="1"/>
        <v>44.762248184499654</v>
      </c>
      <c r="AG113" s="2">
        <f ca="1"/>
        <v>5.726196031026265E-2</v>
      </c>
      <c r="AH113" s="2" t="str">
        <f ca="1"/>
        <v>OK</v>
      </c>
    </row>
    <row r="114" spans="2:34" x14ac:dyDescent="0.2">
      <c r="B114" s="2">
        <f ca="1"/>
        <v>0.60651865954137696</v>
      </c>
      <c r="O114" s="2">
        <f ca="1"/>
        <v>0.39846233693406585</v>
      </c>
      <c r="X114" s="2">
        <f ca="1"/>
        <v>46.849178302901784</v>
      </c>
      <c r="AG114" s="2">
        <f ca="1"/>
        <v>0.78648211041998661</v>
      </c>
      <c r="AH114" s="2" t="str">
        <f ca="1"/>
        <v>Bad</v>
      </c>
    </row>
    <row r="115" spans="2:34" x14ac:dyDescent="0.2">
      <c r="B115" s="2">
        <f ca="1"/>
        <v>0.60867875930992632</v>
      </c>
      <c r="O115" s="2">
        <f ca="1"/>
        <v>0.84006666041311928</v>
      </c>
      <c r="X115" s="2">
        <f ca="1"/>
        <v>55.751961045027215</v>
      </c>
      <c r="AG115" s="2">
        <f ca="1"/>
        <v>0.4785715902034049</v>
      </c>
      <c r="AH115" s="2" t="str">
        <f ca="1"/>
        <v>Bad</v>
      </c>
    </row>
    <row r="116" spans="2:34" x14ac:dyDescent="0.2">
      <c r="B116" s="2">
        <f ca="1"/>
        <v>0.88370211071127214</v>
      </c>
      <c r="O116" s="2">
        <f ca="1"/>
        <v>0.73087134790393871</v>
      </c>
      <c r="X116" s="2">
        <f ca="1"/>
        <v>64.6347165707177</v>
      </c>
      <c r="AG116" s="2">
        <f ca="1"/>
        <v>0.36531756669486581</v>
      </c>
      <c r="AH116" s="2" t="str">
        <f ca="1"/>
        <v>OK</v>
      </c>
    </row>
    <row r="117" spans="2:34" x14ac:dyDescent="0.2">
      <c r="B117" s="2">
        <f ca="1"/>
        <v>0.86038450087047447</v>
      </c>
      <c r="O117" s="2">
        <f ca="1"/>
        <v>2.8514025918105297</v>
      </c>
      <c r="X117" s="2">
        <f ca="1"/>
        <v>29.12928389577656</v>
      </c>
      <c r="AG117" s="2">
        <f ca="1"/>
        <v>0.44951810523949787</v>
      </c>
      <c r="AH117" s="2" t="str">
        <f ca="1"/>
        <v>Bad</v>
      </c>
    </row>
    <row r="118" spans="2:34" x14ac:dyDescent="0.2">
      <c r="B118" s="2">
        <f ca="1"/>
        <v>0.22788385713951609</v>
      </c>
      <c r="O118" s="2">
        <f ca="1"/>
        <v>1.5521057576553676</v>
      </c>
      <c r="X118" s="2">
        <f ca="1"/>
        <v>76.109348460100605</v>
      </c>
      <c r="AG118" s="2">
        <f ca="1"/>
        <v>0.11419251967028998</v>
      </c>
      <c r="AH118" s="2" t="str">
        <f ca="1"/>
        <v>OK</v>
      </c>
    </row>
    <row r="119" spans="2:34" x14ac:dyDescent="0.2">
      <c r="B119" s="2">
        <f ca="1"/>
        <v>0.71341248531650292</v>
      </c>
      <c r="O119" s="2">
        <f ca="1"/>
        <v>0.91171782172865379</v>
      </c>
      <c r="X119" s="2">
        <f ca="1"/>
        <v>71.524043404810854</v>
      </c>
      <c r="AG119" s="2">
        <f ca="1"/>
        <v>0.67415414169877041</v>
      </c>
      <c r="AH119" s="2" t="str">
        <f ca="1"/>
        <v>Bad</v>
      </c>
    </row>
    <row r="120" spans="2:34" x14ac:dyDescent="0.2">
      <c r="B120" s="2">
        <f ca="1"/>
        <v>0.68839860098540173</v>
      </c>
      <c r="O120" s="2">
        <f ca="1"/>
        <v>-1.7137822102745319</v>
      </c>
      <c r="X120" s="2">
        <f ca="1"/>
        <v>55.588839762428172</v>
      </c>
      <c r="AG120" s="2">
        <f ca="1"/>
        <v>0.11395723837179261</v>
      </c>
      <c r="AH120" s="2" t="str">
        <f ca="1"/>
        <v>OK</v>
      </c>
    </row>
    <row r="121" spans="2:34" x14ac:dyDescent="0.2">
      <c r="B121" s="2">
        <f ca="1"/>
        <v>0.92571430516850417</v>
      </c>
      <c r="O121" s="2">
        <f ca="1"/>
        <v>1.0258543428493809</v>
      </c>
      <c r="X121" s="2">
        <f ca="1"/>
        <v>52.145129491422011</v>
      </c>
      <c r="AG121" s="2">
        <f ca="1"/>
        <v>0.44510850498147714</v>
      </c>
      <c r="AH121" s="2" t="str">
        <f ca="1"/>
        <v>Bad</v>
      </c>
    </row>
    <row r="122" spans="2:34" x14ac:dyDescent="0.2">
      <c r="B122" s="2">
        <f ca="1"/>
        <v>0.91819537245855187</v>
      </c>
      <c r="O122" s="2">
        <f ca="1"/>
        <v>-1.0702847448528197</v>
      </c>
      <c r="X122" s="2">
        <f ca="1"/>
        <v>49.951821352605393</v>
      </c>
      <c r="AG122" s="2">
        <f ca="1"/>
        <v>0.15744198959481825</v>
      </c>
      <c r="AH122" s="2" t="str">
        <f ca="1"/>
        <v>OK</v>
      </c>
    </row>
    <row r="123" spans="2:34" x14ac:dyDescent="0.2">
      <c r="B123" s="2">
        <f ca="1"/>
        <v>0.64567873346124993</v>
      </c>
      <c r="O123" s="2">
        <f ca="1"/>
        <v>-1.7103957073151652</v>
      </c>
      <c r="X123" s="2">
        <f ca="1"/>
        <v>56.771122377175118</v>
      </c>
      <c r="AG123" s="2">
        <f ca="1"/>
        <v>0.20905544403300325</v>
      </c>
      <c r="AH123" s="2" t="str">
        <f ca="1"/>
        <v>OK</v>
      </c>
    </row>
    <row r="124" spans="2:34" x14ac:dyDescent="0.2">
      <c r="B124" s="2">
        <f ca="1"/>
        <v>0.25898542797217505</v>
      </c>
      <c r="O124" s="2">
        <f ca="1"/>
        <v>0.68591403714014154</v>
      </c>
      <c r="X124" s="2">
        <f ca="1"/>
        <v>82.743068774228533</v>
      </c>
      <c r="AG124" s="2">
        <f ca="1"/>
        <v>0.257442619470166</v>
      </c>
      <c r="AH124" s="2" t="str">
        <f ca="1"/>
        <v>OK</v>
      </c>
    </row>
    <row r="125" spans="2:34" x14ac:dyDescent="0.2">
      <c r="B125" s="2">
        <f ca="1"/>
        <v>0.20847193498601602</v>
      </c>
      <c r="O125" s="2">
        <f ca="1"/>
        <v>1.1752458906285757</v>
      </c>
      <c r="X125" s="2">
        <f ca="1"/>
        <v>27.527899873999022</v>
      </c>
      <c r="AG125" s="2">
        <f ca="1"/>
        <v>9.2674023924595117E-2</v>
      </c>
      <c r="AH125" s="2" t="str">
        <f ca="1"/>
        <v>OK</v>
      </c>
    </row>
    <row r="126" spans="2:34" x14ac:dyDescent="0.2">
      <c r="B126" s="2">
        <f ca="1"/>
        <v>0.84713054465718152</v>
      </c>
      <c r="O126" s="2">
        <f ca="1"/>
        <v>-0.84700605349038971</v>
      </c>
      <c r="X126" s="2">
        <f ca="1"/>
        <v>43.87082385314163</v>
      </c>
      <c r="AG126" s="2">
        <f ca="1"/>
        <v>0.93793501237793642</v>
      </c>
      <c r="AH126" s="2" t="str">
        <f ca="1"/>
        <v>Bad</v>
      </c>
    </row>
    <row r="127" spans="2:34" x14ac:dyDescent="0.2">
      <c r="B127" s="2">
        <f ca="1"/>
        <v>0.24225032031211158</v>
      </c>
      <c r="O127" s="2">
        <f ca="1"/>
        <v>0.7590509314783821</v>
      </c>
      <c r="X127" s="2">
        <f ca="1"/>
        <v>47.584518792861246</v>
      </c>
      <c r="AG127" s="2">
        <f ca="1"/>
        <v>5.9344856952765257E-2</v>
      </c>
      <c r="AH127" s="2" t="str">
        <f ca="1"/>
        <v>OK</v>
      </c>
    </row>
    <row r="128" spans="2:34" x14ac:dyDescent="0.2">
      <c r="B128" s="2">
        <f ca="1"/>
        <v>0.842002571174294</v>
      </c>
      <c r="O128" s="2">
        <f ca="1"/>
        <v>-0.15067398635323764</v>
      </c>
      <c r="X128" s="2">
        <f ca="1"/>
        <v>37.945202998927037</v>
      </c>
      <c r="AG128" s="2">
        <f ca="1"/>
        <v>0.22512931531569014</v>
      </c>
      <c r="AH128" s="2" t="str">
        <f ca="1"/>
        <v>OK</v>
      </c>
    </row>
    <row r="129" spans="2:34" x14ac:dyDescent="0.2">
      <c r="B129" s="2">
        <f ca="1"/>
        <v>0.24283322714132738</v>
      </c>
      <c r="O129" s="2">
        <f ca="1"/>
        <v>-0.30373906383573956</v>
      </c>
      <c r="X129" s="2">
        <f ca="1"/>
        <v>26.99769316935501</v>
      </c>
      <c r="AG129" s="2">
        <f ca="1"/>
        <v>0.28186978922264205</v>
      </c>
      <c r="AH129" s="2" t="str">
        <f ca="1"/>
        <v>OK</v>
      </c>
    </row>
    <row r="130" spans="2:34" x14ac:dyDescent="0.2">
      <c r="B130" s="2">
        <f ca="1"/>
        <v>0.94791022254310353</v>
      </c>
      <c r="O130" s="2">
        <f ca="1"/>
        <v>-0.64329943896878816</v>
      </c>
      <c r="X130" s="2">
        <f ca="1"/>
        <v>41.615885396731692</v>
      </c>
      <c r="AG130" s="2">
        <f ca="1"/>
        <v>4.0798676002101963E-2</v>
      </c>
      <c r="AH130" s="2" t="str">
        <f ca="1"/>
        <v>Good</v>
      </c>
    </row>
    <row r="131" spans="2:34" x14ac:dyDescent="0.2">
      <c r="B131" s="2">
        <f ca="1"/>
        <v>0.77942023287331441</v>
      </c>
      <c r="O131" s="2">
        <f ca="1"/>
        <v>0.24055246240960063</v>
      </c>
      <c r="X131" s="2">
        <f ca="1"/>
        <v>93.549022660695357</v>
      </c>
      <c r="AG131" s="2">
        <f ca="1"/>
        <v>0.50628459786230806</v>
      </c>
      <c r="AH131" s="2" t="str">
        <f ca="1"/>
        <v>Bad</v>
      </c>
    </row>
    <row r="132" spans="2:34" x14ac:dyDescent="0.2">
      <c r="B132" s="2">
        <f ca="1"/>
        <v>0.73282349452577389</v>
      </c>
      <c r="O132" s="2">
        <f ca="1"/>
        <v>-0.83788821108094202</v>
      </c>
      <c r="X132" s="2">
        <f ca="1"/>
        <v>48.954341111269883</v>
      </c>
      <c r="AG132" s="2">
        <f ca="1"/>
        <v>0.4436388424858515</v>
      </c>
      <c r="AH132" s="2" t="str">
        <f ca="1"/>
        <v>Bad</v>
      </c>
    </row>
    <row r="133" spans="2:34" x14ac:dyDescent="0.2">
      <c r="B133" s="2">
        <f ca="1"/>
        <v>0.81356017467012953</v>
      </c>
      <c r="O133" s="2">
        <f ca="1"/>
        <v>-0.69585509032188764</v>
      </c>
      <c r="X133" s="2">
        <f ca="1"/>
        <v>46.051222372717547</v>
      </c>
      <c r="AG133" s="2">
        <f ca="1"/>
        <v>0.86001059091720755</v>
      </c>
      <c r="AH133" s="2" t="str">
        <f ca="1"/>
        <v>Bad</v>
      </c>
    </row>
    <row r="134" spans="2:34" x14ac:dyDescent="0.2">
      <c r="B134" s="2">
        <f ca="1"/>
        <v>0.35445735990719385</v>
      </c>
      <c r="O134" s="2">
        <f ca="1"/>
        <v>0.61909568038694585</v>
      </c>
      <c r="X134" s="2">
        <f ca="1"/>
        <v>54.021894150043664</v>
      </c>
      <c r="AG134" s="2">
        <f ca="1"/>
        <v>0.10213592216814127</v>
      </c>
      <c r="AH134" s="2" t="str">
        <f ca="1"/>
        <v>OK</v>
      </c>
    </row>
    <row r="135" spans="2:34" x14ac:dyDescent="0.2">
      <c r="B135" s="2">
        <f ca="1"/>
        <v>0.94098595522760298</v>
      </c>
      <c r="O135" s="2">
        <f ca="1"/>
        <v>-1.127690586713896</v>
      </c>
      <c r="X135" s="2">
        <f ca="1"/>
        <v>46.361278378080002</v>
      </c>
      <c r="AG135" s="2">
        <f ca="1"/>
        <v>0.59394018755155398</v>
      </c>
      <c r="AH135" s="2" t="str">
        <f ca="1"/>
        <v>Bad</v>
      </c>
    </row>
    <row r="136" spans="2:34" x14ac:dyDescent="0.2">
      <c r="B136" s="2">
        <f ca="1"/>
        <v>0.90327136507237826</v>
      </c>
      <c r="O136" s="2">
        <f ca="1"/>
        <v>1.1815312606348576</v>
      </c>
      <c r="X136" s="2">
        <f ca="1"/>
        <v>56.997759671738493</v>
      </c>
      <c r="AG136" s="2">
        <f ca="1"/>
        <v>7.4359017998797405E-2</v>
      </c>
      <c r="AH136" s="2" t="str">
        <f ca="1"/>
        <v>OK</v>
      </c>
    </row>
    <row r="137" spans="2:34" x14ac:dyDescent="0.2">
      <c r="B137" s="2">
        <f ca="1"/>
        <v>0.26711243500301984</v>
      </c>
      <c r="O137" s="2">
        <f ca="1"/>
        <v>-1.7694138437420035</v>
      </c>
      <c r="X137" s="2">
        <f ca="1"/>
        <v>45.271994487075766</v>
      </c>
      <c r="AG137" s="2">
        <f ca="1"/>
        <v>0.80405949593278292</v>
      </c>
      <c r="AH137" s="2" t="str">
        <f ca="1"/>
        <v>Bad</v>
      </c>
    </row>
    <row r="138" spans="2:34" x14ac:dyDescent="0.2">
      <c r="B138" s="2">
        <f ca="1"/>
        <v>0.2523561888973791</v>
      </c>
      <c r="O138" s="2">
        <f ca="1"/>
        <v>-1.6204645004203908</v>
      </c>
      <c r="X138" s="2">
        <f ca="1"/>
        <v>87.017576651068126</v>
      </c>
      <c r="AG138" s="2">
        <f ca="1"/>
        <v>0.96249823995147321</v>
      </c>
      <c r="AH138" s="2" t="str">
        <f ca="1"/>
        <v>Bad</v>
      </c>
    </row>
    <row r="139" spans="2:34" x14ac:dyDescent="0.2">
      <c r="B139" s="2">
        <f ca="1"/>
        <v>0.51142508056796165</v>
      </c>
      <c r="O139" s="2">
        <f ca="1"/>
        <v>0.97866820927982412</v>
      </c>
      <c r="X139" s="2">
        <f ca="1"/>
        <v>30.755040679290783</v>
      </c>
      <c r="AG139" s="2">
        <f ca="1"/>
        <v>0.23229639515807898</v>
      </c>
      <c r="AH139" s="2" t="str">
        <f ca="1"/>
        <v>OK</v>
      </c>
    </row>
    <row r="140" spans="2:34" x14ac:dyDescent="0.2">
      <c r="B140" s="2">
        <f ca="1"/>
        <v>0.95635321279127061</v>
      </c>
      <c r="O140" s="2">
        <f ca="1"/>
        <v>1.2984495218901548</v>
      </c>
      <c r="X140" s="2">
        <f ca="1"/>
        <v>102.11057221125503</v>
      </c>
      <c r="AG140" s="2">
        <f ca="1"/>
        <v>0.40829923538533563</v>
      </c>
      <c r="AH140" s="2" t="str">
        <f ca="1"/>
        <v>Bad</v>
      </c>
    </row>
    <row r="141" spans="2:34" x14ac:dyDescent="0.2">
      <c r="B141" s="2">
        <f ca="1"/>
        <v>0.5918745502004934</v>
      </c>
      <c r="O141" s="2">
        <f ca="1"/>
        <v>0.212225434581263</v>
      </c>
      <c r="X141" s="2">
        <f ca="1"/>
        <v>53.106741119236588</v>
      </c>
      <c r="AG141" s="2">
        <f ca="1"/>
        <v>7.4288308201013509E-2</v>
      </c>
      <c r="AH141" s="2" t="str">
        <f ca="1"/>
        <v>OK</v>
      </c>
    </row>
    <row r="142" spans="2:34" x14ac:dyDescent="0.2">
      <c r="B142" s="2">
        <f ca="1"/>
        <v>0.55158562403057299</v>
      </c>
      <c r="O142" s="2">
        <f ca="1"/>
        <v>0.78842059478838855</v>
      </c>
      <c r="X142" s="2">
        <f ca="1"/>
        <v>48.576353563258877</v>
      </c>
      <c r="AG142" s="2">
        <f ca="1"/>
        <v>0.65741629068130281</v>
      </c>
      <c r="AH142" s="2" t="str">
        <f ca="1"/>
        <v>Bad</v>
      </c>
    </row>
    <row r="143" spans="2:34" x14ac:dyDescent="0.2">
      <c r="B143" s="2">
        <f ca="1"/>
        <v>0.997221281854616</v>
      </c>
      <c r="O143" s="2">
        <f ca="1"/>
        <v>-0.50425619088684714</v>
      </c>
      <c r="X143" s="2">
        <f ca="1"/>
        <v>58.402838727192041</v>
      </c>
      <c r="AG143" s="2">
        <f ca="1"/>
        <v>0.49158262738164327</v>
      </c>
      <c r="AH143" s="2" t="str">
        <f ca="1"/>
        <v>Bad</v>
      </c>
    </row>
    <row r="144" spans="2:34" x14ac:dyDescent="0.2">
      <c r="B144" s="2">
        <f ca="1"/>
        <v>0.91239419799059296</v>
      </c>
      <c r="O144" s="2">
        <f ca="1"/>
        <v>-0.23912965541219761</v>
      </c>
      <c r="X144" s="2">
        <f ca="1"/>
        <v>27.879757702670279</v>
      </c>
      <c r="AG144" s="2">
        <f ca="1"/>
        <v>0.53934138495965955</v>
      </c>
      <c r="AH144" s="2" t="str">
        <f ca="1"/>
        <v>Bad</v>
      </c>
    </row>
    <row r="145" spans="2:34" x14ac:dyDescent="0.2">
      <c r="B145" s="2">
        <f ca="1"/>
        <v>0.97576913143548216</v>
      </c>
      <c r="O145" s="2">
        <f ca="1"/>
        <v>2.0749390166990742</v>
      </c>
      <c r="X145" s="2">
        <f ca="1"/>
        <v>23.305589637476988</v>
      </c>
      <c r="AG145" s="2">
        <f ca="1"/>
        <v>3.2662072055893221E-2</v>
      </c>
      <c r="AH145" s="2" t="str">
        <f ca="1"/>
        <v>Good</v>
      </c>
    </row>
    <row r="146" spans="2:34" x14ac:dyDescent="0.2">
      <c r="B146" s="2">
        <f ca="1"/>
        <v>0.80924184755108941</v>
      </c>
      <c r="O146" s="2">
        <f ca="1"/>
        <v>0.28956714131992495</v>
      </c>
      <c r="X146" s="2">
        <f ca="1"/>
        <v>44.213218521305002</v>
      </c>
      <c r="AG146" s="2">
        <f ca="1"/>
        <v>0.95622918729084483</v>
      </c>
      <c r="AH146" s="2" t="str">
        <f ca="1"/>
        <v>Bad</v>
      </c>
    </row>
    <row r="147" spans="2:34" x14ac:dyDescent="0.2">
      <c r="B147" s="2">
        <f ca="1"/>
        <v>0.42888693370272324</v>
      </c>
      <c r="O147" s="2">
        <f ca="1"/>
        <v>-0.32948725112104793</v>
      </c>
      <c r="X147" s="2">
        <f ca="1"/>
        <v>46.946269447317633</v>
      </c>
      <c r="AG147" s="2">
        <f ca="1"/>
        <v>0.9232429483162965</v>
      </c>
      <c r="AH147" s="2" t="str">
        <f ca="1"/>
        <v>Bad</v>
      </c>
    </row>
    <row r="148" spans="2:34" x14ac:dyDescent="0.2">
      <c r="B148" s="2">
        <f ca="1"/>
        <v>0.85332730046544647</v>
      </c>
      <c r="O148" s="2">
        <f ca="1"/>
        <v>-8.9047858453303208E-2</v>
      </c>
      <c r="X148" s="2">
        <f ca="1"/>
        <v>58.225541682306144</v>
      </c>
      <c r="AG148" s="2">
        <f ca="1"/>
        <v>0.52003694058361649</v>
      </c>
      <c r="AH148" s="2" t="str">
        <f ca="1"/>
        <v>Bad</v>
      </c>
    </row>
    <row r="149" spans="2:34" x14ac:dyDescent="0.2">
      <c r="B149" s="2">
        <f ca="1"/>
        <v>0.4820652283827338</v>
      </c>
      <c r="O149" s="2">
        <f ca="1"/>
        <v>0.61852074593448658</v>
      </c>
      <c r="X149" s="2">
        <f ca="1"/>
        <v>52.041955754858463</v>
      </c>
      <c r="AG149" s="2">
        <f ca="1"/>
        <v>0.59344731322063682</v>
      </c>
      <c r="AH149" s="2" t="str">
        <f ca="1"/>
        <v>Bad</v>
      </c>
    </row>
    <row r="150" spans="2:34" x14ac:dyDescent="0.2">
      <c r="B150" s="2">
        <f ca="1"/>
        <v>0.80368980773981913</v>
      </c>
      <c r="O150" s="2">
        <f ca="1"/>
        <v>-2.0417329832383261E-2</v>
      </c>
      <c r="X150" s="2">
        <f ca="1"/>
        <v>40.708446149570314</v>
      </c>
      <c r="AG150" s="2">
        <f ca="1"/>
        <v>0.14041629082521068</v>
      </c>
      <c r="AH150" s="2" t="str">
        <f ca="1"/>
        <v>OK</v>
      </c>
    </row>
    <row r="151" spans="2:34" x14ac:dyDescent="0.2">
      <c r="B151" s="2">
        <f ca="1"/>
        <v>0.19914048204281531</v>
      </c>
      <c r="O151" s="2">
        <f ca="1"/>
        <v>0.68424019998125285</v>
      </c>
      <c r="X151" s="2">
        <f ca="1"/>
        <v>27.657501880991823</v>
      </c>
      <c r="AG151" s="2">
        <f ca="1"/>
        <v>0.17616768770026803</v>
      </c>
      <c r="AH151" s="2" t="str">
        <f ca="1"/>
        <v>OK</v>
      </c>
    </row>
    <row r="152" spans="2:34" x14ac:dyDescent="0.2">
      <c r="B152" s="2">
        <f ca="1"/>
        <v>6.3569179432029443E-2</v>
      </c>
      <c r="O152" s="2">
        <f ca="1"/>
        <v>-1.808897209862016</v>
      </c>
      <c r="X152" s="2">
        <f ca="1"/>
        <v>33.254560025278579</v>
      </c>
      <c r="AG152" s="2">
        <f ca="1"/>
        <v>0.20560006009681664</v>
      </c>
      <c r="AH152" s="2" t="str">
        <f ca="1"/>
        <v>OK</v>
      </c>
    </row>
    <row r="153" spans="2:34" x14ac:dyDescent="0.2">
      <c r="B153" s="2">
        <f ca="1"/>
        <v>0.41837620343931414</v>
      </c>
      <c r="O153" s="2">
        <f ca="1"/>
        <v>-1.569696263287085</v>
      </c>
      <c r="X153" s="2">
        <f ca="1"/>
        <v>72.885473552118214</v>
      </c>
      <c r="AG153" s="2">
        <f ca="1"/>
        <v>0.16541591284430779</v>
      </c>
      <c r="AH153" s="2" t="str">
        <f ca="1"/>
        <v>OK</v>
      </c>
    </row>
    <row r="154" spans="2:34" x14ac:dyDescent="0.2">
      <c r="B154" s="2">
        <f ca="1"/>
        <v>0.62948824323213737</v>
      </c>
      <c r="O154" s="2">
        <f ca="1"/>
        <v>1.0647936556905411</v>
      </c>
      <c r="X154" s="2">
        <f ca="1"/>
        <v>62.494146118131162</v>
      </c>
      <c r="AG154" s="2">
        <f ca="1"/>
        <v>0.13926347715171006</v>
      </c>
      <c r="AH154" s="2" t="str">
        <f ca="1"/>
        <v>OK</v>
      </c>
    </row>
    <row r="155" spans="2:34" x14ac:dyDescent="0.2">
      <c r="B155" s="2">
        <f ca="1"/>
        <v>0.45011981257660039</v>
      </c>
      <c r="O155" s="2">
        <f ca="1"/>
        <v>0.92737849919637727</v>
      </c>
      <c r="X155" s="2">
        <f ca="1"/>
        <v>62.425238365074208</v>
      </c>
      <c r="AG155" s="2">
        <f ca="1"/>
        <v>0.35362315229108865</v>
      </c>
      <c r="AH155" s="2" t="str">
        <f ca="1"/>
        <v>OK</v>
      </c>
    </row>
    <row r="156" spans="2:34" x14ac:dyDescent="0.2">
      <c r="B156" s="2">
        <f ca="1"/>
        <v>0.18046151638349106</v>
      </c>
      <c r="O156" s="2">
        <f ca="1"/>
        <v>-1.5251692944898887</v>
      </c>
      <c r="X156" s="2">
        <f ca="1"/>
        <v>52.51680153669988</v>
      </c>
      <c r="AG156" s="2">
        <f ca="1"/>
        <v>0.20898686942099443</v>
      </c>
      <c r="AH156" s="2" t="str">
        <f ca="1"/>
        <v>OK</v>
      </c>
    </row>
    <row r="157" spans="2:34" x14ac:dyDescent="0.2">
      <c r="B157" s="2">
        <f ca="1"/>
        <v>2.088201340257223E-3</v>
      </c>
      <c r="O157" s="2">
        <f ca="1"/>
        <v>-1.0457314765867147</v>
      </c>
      <c r="X157" s="2">
        <f ca="1"/>
        <v>51.384126929663417</v>
      </c>
      <c r="AG157" s="2">
        <f ca="1"/>
        <v>0.28244116604375313</v>
      </c>
      <c r="AH157" s="2" t="str">
        <f ca="1"/>
        <v>OK</v>
      </c>
    </row>
    <row r="158" spans="2:34" x14ac:dyDescent="0.2">
      <c r="B158" s="2">
        <f ca="1"/>
        <v>0.92511110907468952</v>
      </c>
      <c r="O158" s="2">
        <f ca="1"/>
        <v>0.47313917643553316</v>
      </c>
      <c r="X158" s="2">
        <f ca="1"/>
        <v>75.830071402371516</v>
      </c>
      <c r="AG158" s="2">
        <f ca="1"/>
        <v>0.8451943892123166</v>
      </c>
      <c r="AH158" s="2" t="str">
        <f ca="1"/>
        <v>Bad</v>
      </c>
    </row>
    <row r="159" spans="2:34" x14ac:dyDescent="0.2">
      <c r="B159" s="2">
        <f ca="1"/>
        <v>0.81260893123706457</v>
      </c>
      <c r="O159" s="2">
        <f ca="1"/>
        <v>-0.13923378812343221</v>
      </c>
      <c r="X159" s="2">
        <f ca="1"/>
        <v>69.443745263595559</v>
      </c>
      <c r="AG159" s="2">
        <f ca="1"/>
        <v>0.64300549539547647</v>
      </c>
      <c r="AH159" s="2" t="str">
        <f ca="1"/>
        <v>Bad</v>
      </c>
    </row>
    <row r="160" spans="2:34" x14ac:dyDescent="0.2">
      <c r="B160" s="2">
        <f ca="1"/>
        <v>0.98762428351862241</v>
      </c>
      <c r="O160" s="2">
        <f ca="1"/>
        <v>-1.1594971432689662</v>
      </c>
      <c r="X160" s="2">
        <f ca="1"/>
        <v>45.149039256965281</v>
      </c>
      <c r="AG160" s="2">
        <f ca="1"/>
        <v>0.98134098528783298</v>
      </c>
      <c r="AH160" s="2" t="str">
        <f ca="1"/>
        <v>Bad</v>
      </c>
    </row>
    <row r="161" spans="2:34" x14ac:dyDescent="0.2">
      <c r="B161" s="2">
        <f ca="1"/>
        <v>0.4163976575597903</v>
      </c>
      <c r="O161" s="2">
        <f ca="1"/>
        <v>1.5619479938305043</v>
      </c>
      <c r="X161" s="2">
        <f ca="1"/>
        <v>45.89098631857739</v>
      </c>
      <c r="AG161" s="2">
        <f ca="1"/>
        <v>0.83319819238300274</v>
      </c>
      <c r="AH161" s="2" t="str">
        <f ca="1"/>
        <v>Bad</v>
      </c>
    </row>
    <row r="162" spans="2:34" x14ac:dyDescent="0.2">
      <c r="B162" s="2">
        <f ca="1"/>
        <v>1.427957324892315E-3</v>
      </c>
      <c r="O162" s="2">
        <f ca="1"/>
        <v>-0.18696931129894928</v>
      </c>
      <c r="X162" s="2">
        <f ca="1"/>
        <v>36.599667613798317</v>
      </c>
      <c r="AG162" s="2">
        <f ca="1"/>
        <v>0.71807886775516305</v>
      </c>
      <c r="AH162" s="2" t="str">
        <f ca="1"/>
        <v>Bad</v>
      </c>
    </row>
    <row r="163" spans="2:34" x14ac:dyDescent="0.2">
      <c r="B163" s="2">
        <f ca="1"/>
        <v>0.94288880728772795</v>
      </c>
      <c r="O163" s="2">
        <f ca="1"/>
        <v>-0.42334516774432573</v>
      </c>
      <c r="X163" s="2">
        <f ca="1"/>
        <v>59.81416616267505</v>
      </c>
      <c r="AG163" s="2">
        <f ca="1"/>
        <v>0.33288581993285016</v>
      </c>
      <c r="AH163" s="2" t="str">
        <f ca="1"/>
        <v>OK</v>
      </c>
    </row>
    <row r="164" spans="2:34" x14ac:dyDescent="0.2">
      <c r="B164" s="2">
        <f ca="1"/>
        <v>0.22003856635917529</v>
      </c>
      <c r="O164" s="2">
        <f ca="1"/>
        <v>9.6201674761236783E-2</v>
      </c>
      <c r="X164" s="2">
        <f ca="1"/>
        <v>37.072480795010712</v>
      </c>
      <c r="AG164" s="2">
        <f ca="1"/>
        <v>4.2184488345914817E-2</v>
      </c>
      <c r="AH164" s="2" t="str">
        <f ca="1"/>
        <v>Good</v>
      </c>
    </row>
    <row r="165" spans="2:34" x14ac:dyDescent="0.2">
      <c r="B165" s="2">
        <f ca="1"/>
        <v>0.45248839231844196</v>
      </c>
      <c r="O165" s="2">
        <f ca="1"/>
        <v>0.43888770303655572</v>
      </c>
      <c r="X165" s="2">
        <f ca="1"/>
        <v>68.929151790016576</v>
      </c>
      <c r="AG165" s="2">
        <f ca="1"/>
        <v>0.64880046695312554</v>
      </c>
      <c r="AH165" s="2" t="str">
        <f ca="1"/>
        <v>Bad</v>
      </c>
    </row>
    <row r="166" spans="2:34" x14ac:dyDescent="0.2">
      <c r="B166" s="2">
        <f ca="1"/>
        <v>0.50428471632944971</v>
      </c>
      <c r="O166" s="2">
        <f ca="1"/>
        <v>0.20987435258156387</v>
      </c>
      <c r="X166" s="2">
        <f ca="1"/>
        <v>46.216229030344529</v>
      </c>
      <c r="AG166" s="2">
        <f ca="1"/>
        <v>8.8589191489861552E-2</v>
      </c>
      <c r="AH166" s="2" t="str">
        <f ca="1"/>
        <v>OK</v>
      </c>
    </row>
    <row r="167" spans="2:34" x14ac:dyDescent="0.2">
      <c r="B167" s="2">
        <f ca="1"/>
        <v>0.18757617048646602</v>
      </c>
      <c r="O167" s="2">
        <f ca="1"/>
        <v>0.59861643945606491</v>
      </c>
      <c r="X167" s="2">
        <f ca="1"/>
        <v>28.490067014023921</v>
      </c>
      <c r="AG167" s="2">
        <f ca="1"/>
        <v>0.99517682243374517</v>
      </c>
      <c r="AH167" s="2" t="str">
        <f ca="1"/>
        <v>Bad</v>
      </c>
    </row>
    <row r="168" spans="2:34" x14ac:dyDescent="0.2">
      <c r="B168" s="2">
        <f ca="1"/>
        <v>0.80056174221244314</v>
      </c>
      <c r="O168" s="2">
        <f ca="1"/>
        <v>-0.4900789711874905</v>
      </c>
      <c r="X168" s="2">
        <f ca="1"/>
        <v>76.195213838898582</v>
      </c>
      <c r="AG168" s="2">
        <f ca="1"/>
        <v>0.29884919971304336</v>
      </c>
      <c r="AH168" s="2" t="str">
        <f ca="1"/>
        <v>OK</v>
      </c>
    </row>
    <row r="169" spans="2:34" x14ac:dyDescent="0.2">
      <c r="B169" s="2">
        <f ca="1"/>
        <v>0.95367308191457356</v>
      </c>
      <c r="O169" s="2">
        <f ca="1"/>
        <v>-0.26427781667915407</v>
      </c>
      <c r="X169" s="2">
        <f ca="1"/>
        <v>52.24742551451763</v>
      </c>
      <c r="AG169" s="2">
        <f ca="1"/>
        <v>0.9914183269484913</v>
      </c>
      <c r="AH169" s="2" t="str">
        <f ca="1"/>
        <v>Bad</v>
      </c>
    </row>
    <row r="170" spans="2:34" x14ac:dyDescent="0.2">
      <c r="B170" s="2">
        <f ca="1"/>
        <v>0.63646975107377468</v>
      </c>
      <c r="O170" s="2">
        <f ca="1"/>
        <v>0.14694229241231493</v>
      </c>
      <c r="X170" s="2">
        <f ca="1"/>
        <v>92.577348503869786</v>
      </c>
      <c r="AG170" s="2">
        <f ca="1"/>
        <v>0.7064658634787333</v>
      </c>
      <c r="AH170" s="2" t="str">
        <f ca="1"/>
        <v>Bad</v>
      </c>
    </row>
    <row r="171" spans="2:34" x14ac:dyDescent="0.2">
      <c r="B171" s="2">
        <f ca="1"/>
        <v>0.16725168420344128</v>
      </c>
      <c r="O171" s="2">
        <f ca="1"/>
        <v>1.830061965812444</v>
      </c>
      <c r="X171" s="2">
        <f ca="1"/>
        <v>46.864099131074319</v>
      </c>
      <c r="AG171" s="2">
        <f ca="1"/>
        <v>0.76081628944144941</v>
      </c>
      <c r="AH171" s="2" t="str">
        <f ca="1"/>
        <v>Bad</v>
      </c>
    </row>
    <row r="172" spans="2:34" x14ac:dyDescent="0.2">
      <c r="B172" s="2">
        <f ca="1"/>
        <v>8.9090191735126778E-2</v>
      </c>
      <c r="O172" s="2">
        <f ca="1"/>
        <v>-0.89722331726756321</v>
      </c>
      <c r="X172" s="2">
        <f ca="1"/>
        <v>57.593490181199762</v>
      </c>
      <c r="AG172" s="2">
        <f ca="1"/>
        <v>0.72606204861378165</v>
      </c>
      <c r="AH172" s="2" t="str">
        <f ca="1"/>
        <v>Bad</v>
      </c>
    </row>
    <row r="173" spans="2:34" x14ac:dyDescent="0.2">
      <c r="B173" s="2">
        <f ca="1"/>
        <v>0.2819188393828449</v>
      </c>
      <c r="O173" s="2">
        <f ca="1"/>
        <v>1.7699217220191674</v>
      </c>
      <c r="X173" s="2">
        <f ca="1"/>
        <v>48.95043010694846</v>
      </c>
      <c r="AG173" s="2">
        <f ca="1"/>
        <v>0.18036136839042616</v>
      </c>
      <c r="AH173" s="2" t="str">
        <f ca="1"/>
        <v>OK</v>
      </c>
    </row>
    <row r="174" spans="2:34" x14ac:dyDescent="0.2">
      <c r="B174" s="2">
        <f ca="1"/>
        <v>0.38727785101839962</v>
      </c>
      <c r="O174" s="2">
        <f ca="1"/>
        <v>2.1074260042671185</v>
      </c>
      <c r="X174" s="2">
        <f ca="1"/>
        <v>59.797932631716002</v>
      </c>
      <c r="AG174" s="2">
        <f ca="1"/>
        <v>0.25389706007216817</v>
      </c>
      <c r="AH174" s="2" t="str">
        <f ca="1"/>
        <v>OK</v>
      </c>
    </row>
    <row r="175" spans="2:34" x14ac:dyDescent="0.2">
      <c r="B175" s="2">
        <f ca="1"/>
        <v>0.84276102943002051</v>
      </c>
      <c r="O175" s="2">
        <f ca="1"/>
        <v>0.36081923969575919</v>
      </c>
      <c r="X175" s="2">
        <f ca="1"/>
        <v>52.346975987607635</v>
      </c>
      <c r="AG175" s="2">
        <f ca="1"/>
        <v>0.80813720200915617</v>
      </c>
      <c r="AH175" s="2" t="str">
        <f ca="1"/>
        <v>Bad</v>
      </c>
    </row>
    <row r="176" spans="2:34" x14ac:dyDescent="0.2">
      <c r="B176" s="2">
        <f ca="1"/>
        <v>0.31167032755670432</v>
      </c>
      <c r="O176" s="2">
        <f ca="1"/>
        <v>-1.3960131169471439</v>
      </c>
      <c r="X176" s="2">
        <f ca="1"/>
        <v>63.394321427916019</v>
      </c>
      <c r="AG176" s="2">
        <f ca="1"/>
        <v>0.61449140054919016</v>
      </c>
      <c r="AH176" s="2" t="str">
        <f ca="1"/>
        <v>Bad</v>
      </c>
    </row>
    <row r="177" spans="2:34" x14ac:dyDescent="0.2">
      <c r="B177" s="2">
        <f ca="1"/>
        <v>0.70903524401240237</v>
      </c>
      <c r="O177" s="2">
        <f ca="1"/>
        <v>0.22198625283860887</v>
      </c>
      <c r="X177" s="2">
        <f ca="1"/>
        <v>50.846758897368993</v>
      </c>
      <c r="AG177" s="2">
        <f ca="1"/>
        <v>0.59622080798120991</v>
      </c>
      <c r="AH177" s="2" t="str">
        <f ca="1"/>
        <v>Bad</v>
      </c>
    </row>
    <row r="178" spans="2:34" x14ac:dyDescent="0.2">
      <c r="B178" s="2">
        <f ca="1"/>
        <v>0.78709874906861632</v>
      </c>
      <c r="O178" s="2">
        <f ca="1"/>
        <v>-0.34807665063724041</v>
      </c>
      <c r="X178" s="2">
        <f ca="1"/>
        <v>79.92483087640322</v>
      </c>
      <c r="AG178" s="2">
        <f ca="1"/>
        <v>0.70252684195909043</v>
      </c>
      <c r="AH178" s="2" t="str">
        <f ca="1"/>
        <v>Bad</v>
      </c>
    </row>
    <row r="179" spans="2:34" x14ac:dyDescent="0.2">
      <c r="B179" s="2">
        <f ca="1"/>
        <v>0.1121829324635677</v>
      </c>
      <c r="O179" s="2">
        <f ca="1"/>
        <v>0.71166593512330678</v>
      </c>
      <c r="X179" s="2">
        <f ca="1"/>
        <v>55.869683827400003</v>
      </c>
      <c r="AG179" s="2">
        <f ca="1"/>
        <v>0.49107694255155931</v>
      </c>
      <c r="AH179" s="2" t="str">
        <f ca="1"/>
        <v>Bad</v>
      </c>
    </row>
    <row r="180" spans="2:34" x14ac:dyDescent="0.2">
      <c r="B180" s="2">
        <f ca="1"/>
        <v>0.1574107945399863</v>
      </c>
      <c r="O180" s="2">
        <f ca="1"/>
        <v>-0.46314578757991914</v>
      </c>
      <c r="X180" s="2">
        <f ca="1"/>
        <v>64.004299204475018</v>
      </c>
      <c r="AG180" s="2">
        <f ca="1"/>
        <v>0.44805686834491198</v>
      </c>
      <c r="AH180" s="2" t="str">
        <f ca="1"/>
        <v>Bad</v>
      </c>
    </row>
    <row r="181" spans="2:34" x14ac:dyDescent="0.2">
      <c r="B181" s="2">
        <f ca="1"/>
        <v>0.19728951760048452</v>
      </c>
      <c r="O181" s="2">
        <f ca="1"/>
        <v>0.50306288826156242</v>
      </c>
      <c r="X181" s="2">
        <f ca="1"/>
        <v>28.947379306426267</v>
      </c>
      <c r="AG181" s="2">
        <f ca="1"/>
        <v>0.38074907552737725</v>
      </c>
      <c r="AH181" s="2" t="str">
        <f ca="1"/>
        <v>OK</v>
      </c>
    </row>
    <row r="182" spans="2:34" x14ac:dyDescent="0.2">
      <c r="B182" s="2">
        <f ca="1"/>
        <v>0.99273619468148366</v>
      </c>
      <c r="O182" s="2">
        <f ca="1"/>
        <v>1.8523247377200276</v>
      </c>
      <c r="X182" s="2">
        <f ca="1"/>
        <v>34.619723986270245</v>
      </c>
      <c r="AG182" s="2">
        <f ca="1"/>
        <v>9.0149519425488434E-2</v>
      </c>
      <c r="AH182" s="2" t="str">
        <f ca="1"/>
        <v>OK</v>
      </c>
    </row>
    <row r="183" spans="2:34" x14ac:dyDescent="0.2">
      <c r="B183" s="2">
        <f ca="1"/>
        <v>0.81443930021927535</v>
      </c>
      <c r="O183" s="2">
        <f ca="1"/>
        <v>-0.33385044491788868</v>
      </c>
      <c r="X183" s="2">
        <f ca="1"/>
        <v>34.491901753603116</v>
      </c>
      <c r="AG183" s="2">
        <f ca="1"/>
        <v>0.92211431022196821</v>
      </c>
      <c r="AH183" s="2" t="str">
        <f ca="1"/>
        <v>Bad</v>
      </c>
    </row>
    <row r="184" spans="2:34" x14ac:dyDescent="0.2">
      <c r="B184" s="2">
        <f ca="1"/>
        <v>0.92324346426871218</v>
      </c>
      <c r="O184" s="2">
        <f ca="1"/>
        <v>0.72144423921310896</v>
      </c>
      <c r="X184" s="2">
        <f ca="1"/>
        <v>30.958570038038637</v>
      </c>
      <c r="AG184" s="2">
        <f ca="1"/>
        <v>0.90969305979582638</v>
      </c>
      <c r="AH184" s="2" t="str">
        <f ca="1"/>
        <v>Bad</v>
      </c>
    </row>
    <row r="185" spans="2:34" x14ac:dyDescent="0.2">
      <c r="B185" s="2">
        <f ca="1"/>
        <v>7.2281409244361328E-3</v>
      </c>
      <c r="O185" s="2">
        <f ca="1"/>
        <v>0.23573829668790774</v>
      </c>
      <c r="X185" s="2">
        <f ca="1"/>
        <v>100.28384425871931</v>
      </c>
      <c r="AG185" s="2">
        <f ca="1"/>
        <v>6.5871363461127874E-2</v>
      </c>
      <c r="AH185" s="2" t="str">
        <f ca="1"/>
        <v>OK</v>
      </c>
    </row>
    <row r="186" spans="2:34" x14ac:dyDescent="0.2">
      <c r="B186" s="2">
        <f ca="1"/>
        <v>0.61331153343670364</v>
      </c>
      <c r="O186" s="2">
        <f ca="1"/>
        <v>-7.6192081662427913E-2</v>
      </c>
      <c r="X186" s="2">
        <f ca="1"/>
        <v>29.865272412003986</v>
      </c>
      <c r="AG186" s="2">
        <f ca="1"/>
        <v>0.11592371533549484</v>
      </c>
      <c r="AH186" s="2" t="str">
        <f ca="1"/>
        <v>OK</v>
      </c>
    </row>
    <row r="187" spans="2:34" x14ac:dyDescent="0.2">
      <c r="B187" s="2">
        <f ca="1"/>
        <v>0.26275845219489069</v>
      </c>
      <c r="O187" s="2">
        <f ca="1"/>
        <v>-0.19334257158944876</v>
      </c>
      <c r="X187" s="2">
        <f ca="1"/>
        <v>84.138860494782946</v>
      </c>
      <c r="AG187" s="2">
        <f ca="1"/>
        <v>0.79252769491907471</v>
      </c>
      <c r="AH187" s="2" t="str">
        <f ca="1"/>
        <v>Bad</v>
      </c>
    </row>
    <row r="188" spans="2:34" x14ac:dyDescent="0.2">
      <c r="B188" s="2">
        <f ca="1"/>
        <v>0.83882328858934674</v>
      </c>
      <c r="O188" s="2">
        <f ca="1"/>
        <v>-1.0318593228558022</v>
      </c>
      <c r="X188" s="2">
        <f ca="1"/>
        <v>47.54717087573394</v>
      </c>
      <c r="AG188" s="2">
        <f ca="1"/>
        <v>0.25735920340830609</v>
      </c>
      <c r="AH188" s="2" t="str">
        <f ca="1"/>
        <v>OK</v>
      </c>
    </row>
    <row r="189" spans="2:34" x14ac:dyDescent="0.2">
      <c r="B189" s="2">
        <f ca="1"/>
        <v>0.74712406133158371</v>
      </c>
      <c r="O189" s="2">
        <f ca="1"/>
        <v>-0.54535480070523323</v>
      </c>
      <c r="X189" s="2">
        <f ca="1"/>
        <v>34.882470431595195</v>
      </c>
      <c r="AG189" s="2">
        <f ca="1"/>
        <v>0.31977917013988466</v>
      </c>
      <c r="AH189" s="2" t="str">
        <f ca="1"/>
        <v>OK</v>
      </c>
    </row>
    <row r="190" spans="2:34" x14ac:dyDescent="0.2">
      <c r="B190" s="2">
        <f ca="1"/>
        <v>0.73299690445548249</v>
      </c>
      <c r="O190" s="2">
        <f ca="1"/>
        <v>1.1688116291016049</v>
      </c>
      <c r="X190" s="2">
        <f ca="1"/>
        <v>38.929149177096789</v>
      </c>
      <c r="AG190" s="2">
        <f ca="1"/>
        <v>0.8483336997400277</v>
      </c>
      <c r="AH190" s="2" t="str">
        <f ca="1"/>
        <v>Bad</v>
      </c>
    </row>
    <row r="191" spans="2:34" x14ac:dyDescent="0.2">
      <c r="B191" s="2">
        <f ca="1"/>
        <v>0.74762732714476376</v>
      </c>
      <c r="O191" s="2">
        <f ca="1"/>
        <v>-0.883510726721498</v>
      </c>
      <c r="X191" s="2">
        <f ca="1"/>
        <v>81.819914706385504</v>
      </c>
      <c r="AG191" s="2">
        <f ca="1"/>
        <v>0.70761873238293149</v>
      </c>
      <c r="AH191" s="2" t="str">
        <f ca="1"/>
        <v>Bad</v>
      </c>
    </row>
    <row r="192" spans="2:34" x14ac:dyDescent="0.2">
      <c r="B192" s="2">
        <f ca="1"/>
        <v>3.1346996320601228E-2</v>
      </c>
      <c r="O192" s="2">
        <f ca="1"/>
        <v>-0.17592973396469785</v>
      </c>
      <c r="X192" s="2">
        <f ca="1"/>
        <v>50.681710270319513</v>
      </c>
      <c r="AG192" s="2">
        <f ca="1"/>
        <v>2.7579742729460621E-2</v>
      </c>
      <c r="AH192" s="2" t="str">
        <f ca="1"/>
        <v>Good</v>
      </c>
    </row>
    <row r="193" spans="2:34" x14ac:dyDescent="0.2">
      <c r="B193" s="2">
        <f ca="1"/>
        <v>0.74670744552785262</v>
      </c>
      <c r="O193" s="2">
        <f ca="1"/>
        <v>-1.1797806673780589</v>
      </c>
      <c r="X193" s="2">
        <f ca="1"/>
        <v>72.956954360375704</v>
      </c>
      <c r="AG193" s="2">
        <f ca="1"/>
        <v>4.9913462634885164E-3</v>
      </c>
      <c r="AH193" s="2" t="str">
        <f ca="1"/>
        <v>Good</v>
      </c>
    </row>
    <row r="194" spans="2:34" x14ac:dyDescent="0.2">
      <c r="B194" s="2">
        <f ca="1"/>
        <v>0.48321667026065085</v>
      </c>
      <c r="O194" s="2">
        <f ca="1"/>
        <v>-0.36423298168417279</v>
      </c>
      <c r="X194" s="2">
        <f ca="1"/>
        <v>62.449672655221221</v>
      </c>
      <c r="AG194" s="2">
        <f ca="1"/>
        <v>0.90676983581874526</v>
      </c>
      <c r="AH194" s="2" t="str">
        <f ca="1"/>
        <v>Bad</v>
      </c>
    </row>
    <row r="195" spans="2:34" x14ac:dyDescent="0.2">
      <c r="B195" s="2">
        <f ca="1"/>
        <v>0.49722084170372227</v>
      </c>
      <c r="O195" s="2">
        <f ca="1"/>
        <v>0.25987683441881737</v>
      </c>
      <c r="X195" s="2">
        <f ca="1"/>
        <v>21.001846978194369</v>
      </c>
      <c r="AG195" s="2">
        <f ca="1"/>
        <v>0.69978686271937041</v>
      </c>
      <c r="AH195" s="2" t="str">
        <f ca="1"/>
        <v>Bad</v>
      </c>
    </row>
    <row r="196" spans="2:34" x14ac:dyDescent="0.2">
      <c r="B196" s="2">
        <f ca="1"/>
        <v>0.32638072925729311</v>
      </c>
      <c r="O196" s="2">
        <f ca="1"/>
        <v>-1.0434195418368359</v>
      </c>
      <c r="X196" s="2">
        <f ca="1"/>
        <v>43.82526656401545</v>
      </c>
      <c r="AG196" s="2">
        <f ca="1"/>
        <v>0.48617369971545155</v>
      </c>
      <c r="AH196" s="2" t="str">
        <f ca="1"/>
        <v>Bad</v>
      </c>
    </row>
    <row r="197" spans="2:34" x14ac:dyDescent="0.2">
      <c r="B197" s="2">
        <f ca="1"/>
        <v>0.44915154425597836</v>
      </c>
      <c r="O197" s="2">
        <f ca="1"/>
        <v>-0.53964083129090246</v>
      </c>
      <c r="X197" s="2">
        <f ca="1"/>
        <v>35.166727029465378</v>
      </c>
      <c r="AG197" s="2">
        <f ca="1"/>
        <v>0.33160479206929661</v>
      </c>
      <c r="AH197" s="2" t="str">
        <f ca="1"/>
        <v>OK</v>
      </c>
    </row>
    <row r="198" spans="2:34" x14ac:dyDescent="0.2">
      <c r="B198" s="2">
        <f ca="1"/>
        <v>2.4465765904607917E-2</v>
      </c>
      <c r="O198" s="2">
        <f ca="1"/>
        <v>-0.28681323152920579</v>
      </c>
      <c r="X198" s="2">
        <f ca="1"/>
        <v>30.52880050257075</v>
      </c>
      <c r="AG198" s="2">
        <f ca="1"/>
        <v>0.90575590052056976</v>
      </c>
      <c r="AH198" s="2" t="str">
        <f ca="1"/>
        <v>Bad</v>
      </c>
    </row>
    <row r="199" spans="2:34" x14ac:dyDescent="0.2">
      <c r="B199" s="2">
        <f ca="1"/>
        <v>7.6516527536688139E-2</v>
      </c>
      <c r="O199" s="2">
        <f ca="1"/>
        <v>-4.3594602921888888E-2</v>
      </c>
      <c r="X199" s="2">
        <f ca="1"/>
        <v>39.891465351731185</v>
      </c>
      <c r="AG199" s="2">
        <f ca="1"/>
        <v>2.6971950772010977E-2</v>
      </c>
      <c r="AH199" s="2" t="str">
        <f ca="1"/>
        <v>Good</v>
      </c>
    </row>
    <row r="200" spans="2:34" x14ac:dyDescent="0.2">
      <c r="B200" s="2">
        <f ca="1"/>
        <v>0.96548512275931753</v>
      </c>
      <c r="O200" s="2">
        <f ca="1"/>
        <v>1.0453325927071502</v>
      </c>
      <c r="X200" s="2">
        <f ca="1"/>
        <v>32.987124836270027</v>
      </c>
      <c r="AG200" s="2">
        <f ca="1"/>
        <v>0.76497983042013828</v>
      </c>
      <c r="AH200" s="2" t="str">
        <f ca="1"/>
        <v>Bad</v>
      </c>
    </row>
    <row r="201" spans="2:34" x14ac:dyDescent="0.2">
      <c r="B201" s="2">
        <f ca="1"/>
        <v>0.30537533593439581</v>
      </c>
      <c r="O201" s="2">
        <f ca="1"/>
        <v>0.44871708361959461</v>
      </c>
      <c r="X201" s="2">
        <f ca="1"/>
        <v>36.700801799540002</v>
      </c>
      <c r="AG201" s="2">
        <f ca="1"/>
        <v>0.57764279161054644</v>
      </c>
      <c r="AH201" s="2" t="str">
        <f ca="1"/>
        <v>Bad</v>
      </c>
    </row>
    <row r="202" spans="2:34" x14ac:dyDescent="0.2">
      <c r="B202" s="2">
        <f ca="1"/>
        <v>0.18603701606808198</v>
      </c>
      <c r="O202" s="2">
        <f ca="1"/>
        <v>-1.6102432565944045</v>
      </c>
      <c r="X202" s="2">
        <f ca="1"/>
        <v>41.876973099662749</v>
      </c>
      <c r="AG202" s="2">
        <f ca="1"/>
        <v>0.92462167280569574</v>
      </c>
      <c r="AH202" s="2" t="str">
        <f ca="1"/>
        <v>Bad</v>
      </c>
    </row>
    <row r="203" spans="2:34" x14ac:dyDescent="0.2">
      <c r="B203" s="2">
        <f ca="1"/>
        <v>0.55197755372177415</v>
      </c>
      <c r="O203" s="2">
        <f ca="1"/>
        <v>-0.66220905341193959</v>
      </c>
      <c r="X203" s="2">
        <f ca="1"/>
        <v>81.889507395368781</v>
      </c>
      <c r="AG203" s="2">
        <f ca="1"/>
        <v>0.45342162966308441</v>
      </c>
      <c r="AH203" s="2" t="str">
        <f ca="1"/>
        <v>Bad</v>
      </c>
    </row>
    <row r="204" spans="2:34" x14ac:dyDescent="0.2">
      <c r="B204" s="2">
        <f ca="1"/>
        <v>0.6272581485199249</v>
      </c>
      <c r="O204" s="2">
        <f ca="1"/>
        <v>-0.2266724971134331</v>
      </c>
      <c r="X204" s="2">
        <f ca="1"/>
        <v>52.414825367901969</v>
      </c>
      <c r="AG204" s="2">
        <f ca="1"/>
        <v>0.28784658515389805</v>
      </c>
      <c r="AH204" s="2" t="str">
        <f ca="1"/>
        <v>OK</v>
      </c>
    </row>
    <row r="205" spans="2:34" x14ac:dyDescent="0.2">
      <c r="B205" s="2">
        <f ca="1"/>
        <v>0.12534666932760685</v>
      </c>
      <c r="O205" s="2">
        <f ca="1"/>
        <v>0.55929380923193683</v>
      </c>
      <c r="X205" s="2">
        <f ca="1"/>
        <v>60.036443292068739</v>
      </c>
      <c r="AG205" s="2">
        <f ca="1"/>
        <v>0.52470601421004148</v>
      </c>
      <c r="AH205" s="2" t="str">
        <f ca="1"/>
        <v>Bad</v>
      </c>
    </row>
    <row r="206" spans="2:34" x14ac:dyDescent="0.2">
      <c r="B206" s="2">
        <f ca="1"/>
        <v>0.39944093475717612</v>
      </c>
      <c r="O206" s="2">
        <f ca="1"/>
        <v>1.0674132795831204</v>
      </c>
      <c r="X206" s="2">
        <f ca="1"/>
        <v>76.74662372311505</v>
      </c>
      <c r="AG206" s="2">
        <f ca="1"/>
        <v>0.8358565907950124</v>
      </c>
      <c r="AH206" s="2" t="str">
        <f ca="1"/>
        <v>Bad</v>
      </c>
    </row>
    <row r="207" spans="2:34" x14ac:dyDescent="0.2">
      <c r="B207" s="2">
        <f ca="1"/>
        <v>0.22743208953514293</v>
      </c>
      <c r="O207" s="2">
        <f ca="1"/>
        <v>1.2694785344656936</v>
      </c>
      <c r="X207" s="2">
        <f ca="1"/>
        <v>82.827615632695483</v>
      </c>
      <c r="AG207" s="2">
        <f ca="1"/>
        <v>0.62783117781383924</v>
      </c>
      <c r="AH207" s="2" t="str">
        <f ca="1"/>
        <v>Bad</v>
      </c>
    </row>
    <row r="208" spans="2:34" x14ac:dyDescent="0.2">
      <c r="B208" s="2">
        <f ca="1"/>
        <v>0.36448139102709876</v>
      </c>
      <c r="O208" s="2">
        <f ca="1"/>
        <v>-0.73408119822948725</v>
      </c>
      <c r="X208" s="2">
        <f ca="1"/>
        <v>58.228192210510898</v>
      </c>
      <c r="AG208" s="2">
        <f ca="1"/>
        <v>0.26402513025019614</v>
      </c>
      <c r="AH208" s="2" t="str">
        <f ca="1"/>
        <v>OK</v>
      </c>
    </row>
    <row r="209" spans="2:34" x14ac:dyDescent="0.2">
      <c r="B209" s="2">
        <f ca="1"/>
        <v>8.4331383612625821E-2</v>
      </c>
      <c r="O209" s="2">
        <f ca="1"/>
        <v>-0.30707634699093966</v>
      </c>
      <c r="X209" s="2">
        <f ca="1"/>
        <v>59.64145319197123</v>
      </c>
      <c r="AG209" s="2">
        <f ca="1"/>
        <v>0.14124393804692414</v>
      </c>
      <c r="AH209" s="2" t="str">
        <f ca="1"/>
        <v>OK</v>
      </c>
    </row>
    <row r="210" spans="2:34" x14ac:dyDescent="0.2">
      <c r="B210" s="2">
        <f ca="1"/>
        <v>0.79129874059153527</v>
      </c>
      <c r="O210" s="2">
        <f ca="1"/>
        <v>0.30655257536265362</v>
      </c>
      <c r="X210" s="2">
        <f ca="1"/>
        <v>31.173081085946382</v>
      </c>
      <c r="AG210" s="2">
        <f ca="1"/>
        <v>0.24498161551214048</v>
      </c>
      <c r="AH210" s="2" t="str">
        <f ca="1"/>
        <v>OK</v>
      </c>
    </row>
    <row r="211" spans="2:34" x14ac:dyDescent="0.2">
      <c r="B211" s="2">
        <f ca="1"/>
        <v>0.52349939532398815</v>
      </c>
      <c r="O211" s="2">
        <f ca="1"/>
        <v>-0.3260286788561369</v>
      </c>
      <c r="X211" s="2">
        <f ca="1"/>
        <v>44.987207074856215</v>
      </c>
      <c r="AG211" s="2">
        <f ca="1"/>
        <v>0.4345674435255511</v>
      </c>
      <c r="AH211" s="2" t="str">
        <f ca="1"/>
        <v>Bad</v>
      </c>
    </row>
    <row r="212" spans="2:34" x14ac:dyDescent="0.2">
      <c r="B212" s="2">
        <f ca="1"/>
        <v>0.61776127325443064</v>
      </c>
      <c r="O212" s="2">
        <f ca="1"/>
        <v>0.49800600303625708</v>
      </c>
      <c r="X212" s="2">
        <f ca="1"/>
        <v>62.539685017678266</v>
      </c>
      <c r="AG212" s="2">
        <f ca="1"/>
        <v>0.66517353547650115</v>
      </c>
      <c r="AH212" s="2" t="str">
        <f ca="1"/>
        <v>Bad</v>
      </c>
    </row>
    <row r="213" spans="2:34" x14ac:dyDescent="0.2">
      <c r="B213" s="2">
        <f ca="1"/>
        <v>0.43857627399189036</v>
      </c>
      <c r="O213" s="2">
        <f ca="1"/>
        <v>-2.2566836328496001</v>
      </c>
      <c r="X213" s="2">
        <f ca="1"/>
        <v>53.742735128551118</v>
      </c>
      <c r="AG213" s="2">
        <f ca="1"/>
        <v>0.39712522207158774</v>
      </c>
      <c r="AH213" s="2" t="str">
        <f ca="1"/>
        <v>OK</v>
      </c>
    </row>
    <row r="214" spans="2:34" x14ac:dyDescent="0.2">
      <c r="B214" s="2">
        <f ca="1"/>
        <v>0.84965201137920165</v>
      </c>
      <c r="O214" s="2">
        <f ca="1"/>
        <v>-0.55168668119917919</v>
      </c>
      <c r="X214" s="2">
        <f ca="1"/>
        <v>76.926375520412833</v>
      </c>
      <c r="AG214" s="2">
        <f ca="1"/>
        <v>0.47400508980273792</v>
      </c>
      <c r="AH214" s="2" t="str">
        <f ca="1"/>
        <v>Bad</v>
      </c>
    </row>
    <row r="215" spans="2:34" x14ac:dyDescent="0.2">
      <c r="B215" s="2">
        <f ca="1"/>
        <v>0.55456661507650851</v>
      </c>
      <c r="O215" s="2">
        <f ca="1"/>
        <v>0.15640166592669286</v>
      </c>
      <c r="X215" s="2">
        <f ca="1"/>
        <v>34.491802586444827</v>
      </c>
      <c r="AG215" s="2">
        <f ca="1"/>
        <v>0.66880289742290389</v>
      </c>
      <c r="AH215" s="2" t="str">
        <f ca="1"/>
        <v>Bad</v>
      </c>
    </row>
    <row r="216" spans="2:34" x14ac:dyDescent="0.2">
      <c r="B216" s="2">
        <f ca="1"/>
        <v>0.3718744673674228</v>
      </c>
      <c r="O216" s="2">
        <f ca="1"/>
        <v>-1.2574049980446007</v>
      </c>
      <c r="X216" s="2">
        <f ca="1"/>
        <v>65.501051743960048</v>
      </c>
      <c r="AG216" s="2">
        <f ca="1"/>
        <v>0.29682899176273914</v>
      </c>
      <c r="AH216" s="2" t="str">
        <f ca="1"/>
        <v>OK</v>
      </c>
    </row>
    <row r="217" spans="2:34" x14ac:dyDescent="0.2">
      <c r="B217" s="2">
        <f ca="1"/>
        <v>0.37031743750760926</v>
      </c>
      <c r="O217" s="2">
        <f ca="1"/>
        <v>0.73030508809306482</v>
      </c>
      <c r="X217" s="2">
        <f ca="1"/>
        <v>69.166450923700566</v>
      </c>
      <c r="AG217" s="2">
        <f ca="1"/>
        <v>0.6527965500238786</v>
      </c>
      <c r="AH217" s="2" t="str">
        <f ca="1"/>
        <v>Bad</v>
      </c>
    </row>
    <row r="218" spans="2:34" x14ac:dyDescent="0.2">
      <c r="B218" s="2">
        <f ca="1"/>
        <v>5.1416265105177716E-2</v>
      </c>
      <c r="O218" s="2">
        <f ca="1"/>
        <v>-2.2341313097942179</v>
      </c>
      <c r="X218" s="2">
        <f ca="1"/>
        <v>70.792416244555881</v>
      </c>
      <c r="AG218" s="2">
        <f ca="1"/>
        <v>0.85404852063104175</v>
      </c>
      <c r="AH218" s="2" t="str">
        <f ca="1"/>
        <v>Bad</v>
      </c>
    </row>
    <row r="219" spans="2:34" x14ac:dyDescent="0.2">
      <c r="B219" s="2">
        <f ca="1"/>
        <v>0.61163331551427169</v>
      </c>
      <c r="O219" s="2">
        <f ca="1"/>
        <v>0.1347779113003871</v>
      </c>
      <c r="X219" s="2">
        <f ca="1"/>
        <v>92.016046679209296</v>
      </c>
      <c r="AG219" s="2">
        <f ca="1"/>
        <v>0.19430224391401385</v>
      </c>
      <c r="AH219" s="2" t="str">
        <f ca="1"/>
        <v>OK</v>
      </c>
    </row>
    <row r="220" spans="2:34" x14ac:dyDescent="0.2">
      <c r="B220" s="2">
        <f ca="1"/>
        <v>0.53891355538831176</v>
      </c>
      <c r="O220" s="2">
        <f ca="1"/>
        <v>-0.22222520974011786</v>
      </c>
      <c r="X220" s="2">
        <f ca="1"/>
        <v>64.365829428797895</v>
      </c>
      <c r="AG220" s="2">
        <f ca="1"/>
        <v>0.13047566062861748</v>
      </c>
      <c r="AH220" s="2" t="str">
        <f ca="1"/>
        <v>OK</v>
      </c>
    </row>
    <row r="221" spans="2:34" x14ac:dyDescent="0.2">
      <c r="B221" s="2">
        <f ca="1"/>
        <v>3.6846013591207205E-2</v>
      </c>
      <c r="O221" s="2">
        <f ca="1"/>
        <v>0.45342499625903748</v>
      </c>
      <c r="X221" s="2">
        <f ca="1"/>
        <v>33.229699017578398</v>
      </c>
      <c r="AG221" s="2">
        <f ca="1"/>
        <v>0.74385545202862713</v>
      </c>
      <c r="AH221" s="2" t="str">
        <f ca="1"/>
        <v>Bad</v>
      </c>
    </row>
    <row r="222" spans="2:34" x14ac:dyDescent="0.2">
      <c r="B222" s="2">
        <f ca="1"/>
        <v>0.63138899219218625</v>
      </c>
      <c r="O222" s="2">
        <f ca="1"/>
        <v>-1.9720442315031508</v>
      </c>
      <c r="X222" s="2">
        <f ca="1"/>
        <v>62.619869292416055</v>
      </c>
      <c r="AG222" s="2">
        <f ca="1"/>
        <v>0.81153179475644666</v>
      </c>
      <c r="AH222" s="2" t="str">
        <f ca="1"/>
        <v>Bad</v>
      </c>
    </row>
    <row r="223" spans="2:34" x14ac:dyDescent="0.2">
      <c r="B223" s="2">
        <f ca="1"/>
        <v>0.70673497090458914</v>
      </c>
      <c r="O223" s="2">
        <f ca="1"/>
        <v>-0.23652728928719033</v>
      </c>
      <c r="X223" s="2">
        <f ca="1"/>
        <v>42.842743449456002</v>
      </c>
      <c r="AG223" s="2">
        <f ca="1"/>
        <v>0.1065136820424335</v>
      </c>
      <c r="AH223" s="2" t="str">
        <f ca="1"/>
        <v>OK</v>
      </c>
    </row>
    <row r="224" spans="2:34" x14ac:dyDescent="0.2">
      <c r="B224" s="2">
        <f ca="1"/>
        <v>0.90463442654307702</v>
      </c>
      <c r="O224" s="2">
        <f ca="1"/>
        <v>-0.47010366947645132</v>
      </c>
      <c r="X224" s="2">
        <f ca="1"/>
        <v>27.471253389624003</v>
      </c>
      <c r="AG224" s="2">
        <f ca="1"/>
        <v>0.57760425384792691</v>
      </c>
      <c r="AH224" s="2" t="str">
        <f ca="1"/>
        <v>Bad</v>
      </c>
    </row>
    <row r="225" spans="2:34" x14ac:dyDescent="0.2">
      <c r="B225" s="2">
        <f ca="1"/>
        <v>0.59772820382931235</v>
      </c>
      <c r="O225" s="2">
        <f ca="1"/>
        <v>0.83831002361509366</v>
      </c>
      <c r="X225" s="2">
        <f ca="1"/>
        <v>60.047080544542951</v>
      </c>
      <c r="AG225" s="2">
        <f ca="1"/>
        <v>0.76435005743313522</v>
      </c>
      <c r="AH225" s="2" t="str">
        <f ca="1"/>
        <v>Bad</v>
      </c>
    </row>
    <row r="226" spans="2:34" x14ac:dyDescent="0.2">
      <c r="B226" s="2">
        <f ca="1"/>
        <v>0.28264506774308429</v>
      </c>
      <c r="O226" s="2">
        <f ca="1"/>
        <v>-2.6115535702842219</v>
      </c>
      <c r="X226" s="2">
        <f ca="1"/>
        <v>34.306986835600945</v>
      </c>
      <c r="AG226" s="2">
        <f ca="1"/>
        <v>0.26747204659013724</v>
      </c>
      <c r="AH226" s="2" t="str">
        <f ca="1"/>
        <v>OK</v>
      </c>
    </row>
    <row r="227" spans="2:34" x14ac:dyDescent="0.2">
      <c r="B227" s="2">
        <f ca="1"/>
        <v>7.5771430931494965E-3</v>
      </c>
      <c r="O227" s="2">
        <f ca="1"/>
        <v>-1.2765940234286259</v>
      </c>
      <c r="X227" s="2">
        <f ca="1"/>
        <v>43.657063981410609</v>
      </c>
      <c r="AG227" s="2">
        <f ca="1"/>
        <v>0.10669797900722844</v>
      </c>
      <c r="AH227" s="2" t="str">
        <f ca="1"/>
        <v>OK</v>
      </c>
    </row>
    <row r="228" spans="2:34" x14ac:dyDescent="0.2">
      <c r="B228" s="2">
        <f ca="1"/>
        <v>2.0212868260425898E-2</v>
      </c>
      <c r="O228" s="2">
        <f ca="1"/>
        <v>0.9053434743771529</v>
      </c>
      <c r="X228" s="2">
        <f ca="1"/>
        <v>25.921198259606086</v>
      </c>
      <c r="AG228" s="2">
        <f ca="1"/>
        <v>0.22096427667650809</v>
      </c>
      <c r="AH228" s="2" t="str">
        <f ca="1"/>
        <v>OK</v>
      </c>
    </row>
    <row r="229" spans="2:34" x14ac:dyDescent="0.2">
      <c r="B229" s="2">
        <f ca="1"/>
        <v>0.27555698305501863</v>
      </c>
      <c r="O229" s="2">
        <f ca="1"/>
        <v>-1.4290146256984662</v>
      </c>
      <c r="X229" s="2">
        <f ca="1"/>
        <v>43.592163822879179</v>
      </c>
      <c r="AG229" s="2">
        <f ca="1"/>
        <v>0.9793229835965358</v>
      </c>
      <c r="AH229" s="2" t="str">
        <f ca="1"/>
        <v>Bad</v>
      </c>
    </row>
    <row r="230" spans="2:34" x14ac:dyDescent="0.2">
      <c r="B230" s="2">
        <f ca="1"/>
        <v>0.18373531958166356</v>
      </c>
      <c r="O230" s="2">
        <f ca="1"/>
        <v>0.85089287239876898</v>
      </c>
      <c r="X230" s="2">
        <f ca="1"/>
        <v>53.985860942986569</v>
      </c>
      <c r="AG230" s="2">
        <f ca="1"/>
        <v>0.25279412514818023</v>
      </c>
      <c r="AH230" s="2" t="str">
        <f ca="1"/>
        <v>OK</v>
      </c>
    </row>
    <row r="231" spans="2:34" x14ac:dyDescent="0.2">
      <c r="B231" s="2">
        <f ca="1"/>
        <v>0.75510648606381126</v>
      </c>
      <c r="O231" s="2">
        <f ca="1"/>
        <v>-2.0085022993468979</v>
      </c>
      <c r="X231" s="2">
        <f ca="1"/>
        <v>47.213446571831561</v>
      </c>
      <c r="AG231" s="2">
        <f ca="1"/>
        <v>0.13956741976272502</v>
      </c>
      <c r="AH231" s="2" t="str">
        <f ca="1"/>
        <v>OK</v>
      </c>
    </row>
    <row r="232" spans="2:34" x14ac:dyDescent="0.2">
      <c r="B232" s="2">
        <f ca="1"/>
        <v>0.62955955571951128</v>
      </c>
      <c r="O232" s="2">
        <f ca="1"/>
        <v>1.5073502495910469</v>
      </c>
      <c r="X232" s="2">
        <f ca="1"/>
        <v>37.937534435922245</v>
      </c>
      <c r="AG232" s="2">
        <f ca="1"/>
        <v>0.37016718278261274</v>
      </c>
      <c r="AH232" s="2" t="str">
        <f ca="1"/>
        <v>OK</v>
      </c>
    </row>
    <row r="233" spans="2:34" x14ac:dyDescent="0.2">
      <c r="B233" s="2">
        <f ca="1"/>
        <v>0.7716359500071448</v>
      </c>
      <c r="O233" s="2">
        <f ca="1"/>
        <v>0.68250921166955147</v>
      </c>
      <c r="X233" s="2">
        <f ca="1"/>
        <v>78.23054950375635</v>
      </c>
      <c r="AG233" s="2">
        <f ca="1"/>
        <v>0.60099827151543583</v>
      </c>
      <c r="AH233" s="2" t="str">
        <f ca="1"/>
        <v>Bad</v>
      </c>
    </row>
    <row r="234" spans="2:34" x14ac:dyDescent="0.2">
      <c r="B234" s="2">
        <f ca="1"/>
        <v>0.28887220331765051</v>
      </c>
      <c r="O234" s="2">
        <f ca="1"/>
        <v>-1.6415986274875023</v>
      </c>
      <c r="X234" s="2">
        <f ca="1"/>
        <v>71.908661915890306</v>
      </c>
      <c r="AG234" s="2">
        <f ca="1"/>
        <v>0.66492909252539101</v>
      </c>
      <c r="AH234" s="2" t="str">
        <f ca="1"/>
        <v>Bad</v>
      </c>
    </row>
    <row r="235" spans="2:34" x14ac:dyDescent="0.2">
      <c r="B235" s="2">
        <f ca="1"/>
        <v>0.47122591444409645</v>
      </c>
      <c r="O235" s="2">
        <f ca="1"/>
        <v>0.47096454163752582</v>
      </c>
      <c r="X235" s="2">
        <f ca="1"/>
        <v>50.498793832415039</v>
      </c>
      <c r="AG235" s="2">
        <f ca="1"/>
        <v>0.10407790393204475</v>
      </c>
      <c r="AH235" s="2" t="str">
        <f ca="1"/>
        <v>OK</v>
      </c>
    </row>
    <row r="236" spans="2:34" x14ac:dyDescent="0.2">
      <c r="B236" s="2">
        <f ca="1"/>
        <v>0.14752143427365616</v>
      </c>
      <c r="O236" s="2">
        <f ca="1"/>
        <v>1.6286198282759063</v>
      </c>
      <c r="X236" s="2">
        <f ca="1"/>
        <v>53.270092979281657</v>
      </c>
      <c r="AG236" s="2">
        <f ca="1"/>
        <v>1.9322811837444664E-2</v>
      </c>
      <c r="AH236" s="2" t="str">
        <f ca="1"/>
        <v>Good</v>
      </c>
    </row>
    <row r="237" spans="2:34" x14ac:dyDescent="0.2">
      <c r="B237" s="2">
        <f ca="1"/>
        <v>0.57135991560890753</v>
      </c>
      <c r="O237" s="2">
        <f ca="1"/>
        <v>0.70270730810649795</v>
      </c>
      <c r="X237" s="2">
        <f ca="1"/>
        <v>30.790432174889482</v>
      </c>
      <c r="AG237" s="2">
        <f ca="1"/>
        <v>2.7302375583388772E-2</v>
      </c>
      <c r="AH237" s="2" t="str">
        <f ca="1"/>
        <v>Good</v>
      </c>
    </row>
    <row r="238" spans="2:34" x14ac:dyDescent="0.2">
      <c r="B238" s="2">
        <f ca="1"/>
        <v>0.66395901296356241</v>
      </c>
      <c r="O238" s="2">
        <f ca="1"/>
        <v>0.29520057505667846</v>
      </c>
      <c r="X238" s="2">
        <f ca="1"/>
        <v>39.931761869206298</v>
      </c>
      <c r="AG238" s="2">
        <f ca="1"/>
        <v>0.63425722743756796</v>
      </c>
      <c r="AH238" s="2" t="str">
        <f ca="1"/>
        <v>Bad</v>
      </c>
    </row>
    <row r="239" spans="2:34" x14ac:dyDescent="0.2">
      <c r="B239" s="2">
        <f ca="1"/>
        <v>0.7877583730327995</v>
      </c>
      <c r="O239" s="2">
        <f ca="1"/>
        <v>2.5409415299481011</v>
      </c>
      <c r="X239" s="2">
        <f ca="1"/>
        <v>53.962747941929941</v>
      </c>
      <c r="AG239" s="2">
        <f ca="1"/>
        <v>1.9422950863203337E-2</v>
      </c>
      <c r="AH239" s="2" t="str">
        <f ca="1"/>
        <v>Good</v>
      </c>
    </row>
    <row r="240" spans="2:34" x14ac:dyDescent="0.2">
      <c r="B240" s="2">
        <f ca="1"/>
        <v>0.35461498150509385</v>
      </c>
      <c r="O240" s="2">
        <f ca="1"/>
        <v>-0.60947814618106166</v>
      </c>
      <c r="X240" s="2">
        <f ca="1"/>
        <v>38.868611672302777</v>
      </c>
      <c r="AG240" s="2">
        <f ca="1"/>
        <v>0.77411796455473136</v>
      </c>
      <c r="AH240" s="2" t="str">
        <f ca="1"/>
        <v>Bad</v>
      </c>
    </row>
    <row r="241" spans="2:34" x14ac:dyDescent="0.2">
      <c r="B241" s="2">
        <f ca="1"/>
        <v>0.70067801840591049</v>
      </c>
      <c r="O241" s="2">
        <f ca="1"/>
        <v>-1.4300744281504525</v>
      </c>
      <c r="X241" s="2">
        <f ca="1"/>
        <v>27.961684769766396</v>
      </c>
      <c r="AG241" s="2">
        <f ca="1"/>
        <v>0.59562264449991997</v>
      </c>
      <c r="AH241" s="2" t="str">
        <f ca="1"/>
        <v>Bad</v>
      </c>
    </row>
    <row r="242" spans="2:34" x14ac:dyDescent="0.2">
      <c r="B242" s="2">
        <f ca="1"/>
        <v>7.0237409677465834E-2</v>
      </c>
      <c r="O242" s="2">
        <f ca="1"/>
        <v>0.44664133059184191</v>
      </c>
      <c r="X242" s="2">
        <f ca="1"/>
        <v>40.553185568320075</v>
      </c>
      <c r="AG242" s="2">
        <f ca="1"/>
        <v>0.66374617418958448</v>
      </c>
      <c r="AH242" s="2" t="str">
        <f ca="1"/>
        <v>Bad</v>
      </c>
    </row>
    <row r="243" spans="2:34" x14ac:dyDescent="0.2">
      <c r="B243" s="2">
        <f ca="1"/>
        <v>0.57906290471130295</v>
      </c>
      <c r="O243" s="2">
        <f ca="1"/>
        <v>-0.26268271889230821</v>
      </c>
      <c r="X243" s="2">
        <f ca="1"/>
        <v>67.267185449108339</v>
      </c>
      <c r="AG243" s="2">
        <f ca="1"/>
        <v>0.54740052460830024</v>
      </c>
      <c r="AH243" s="2" t="str">
        <f ca="1"/>
        <v>Bad</v>
      </c>
    </row>
    <row r="244" spans="2:34" x14ac:dyDescent="0.2">
      <c r="B244" s="2">
        <f ca="1"/>
        <v>0.92409968291320888</v>
      </c>
      <c r="O244" s="2">
        <f ca="1"/>
        <v>-1.6652452605100847</v>
      </c>
      <c r="X244" s="2">
        <f ca="1"/>
        <v>42.965712207293265</v>
      </c>
      <c r="AG244" s="2">
        <f ca="1"/>
        <v>0.44913137885444598</v>
      </c>
      <c r="AH244" s="2" t="str">
        <f ca="1"/>
        <v>Bad</v>
      </c>
    </row>
    <row r="245" spans="2:34" x14ac:dyDescent="0.2">
      <c r="B245" s="2">
        <f ca="1"/>
        <v>3.8404587136119384E-2</v>
      </c>
      <c r="O245" s="2">
        <f ca="1"/>
        <v>0.86995729886322215</v>
      </c>
      <c r="X245" s="2">
        <f ca="1"/>
        <v>33.883611381122449</v>
      </c>
      <c r="AG245" s="2">
        <f ca="1"/>
        <v>0.3425302873456777</v>
      </c>
      <c r="AH245" s="2" t="str">
        <f ca="1"/>
        <v>OK</v>
      </c>
    </row>
    <row r="246" spans="2:34" x14ac:dyDescent="0.2">
      <c r="B246" s="2">
        <f ca="1"/>
        <v>0.22905981715831158</v>
      </c>
      <c r="O246" s="2">
        <f ca="1"/>
        <v>-1.7181773548028028</v>
      </c>
      <c r="X246" s="2">
        <f ca="1"/>
        <v>51.140831545838211</v>
      </c>
      <c r="AG246" s="2">
        <f ca="1"/>
        <v>0.83067930719329275</v>
      </c>
      <c r="AH246" s="2" t="str">
        <f ca="1"/>
        <v>Bad</v>
      </c>
    </row>
    <row r="247" spans="2:34" x14ac:dyDescent="0.2">
      <c r="B247" s="2">
        <f ca="1"/>
        <v>0.70686805449405998</v>
      </c>
      <c r="O247" s="2">
        <f ca="1"/>
        <v>0.58480530244156581</v>
      </c>
      <c r="X247" s="2">
        <f ca="1"/>
        <v>53.367203400059715</v>
      </c>
      <c r="AG247" s="2">
        <f ca="1"/>
        <v>0.74103209782408119</v>
      </c>
      <c r="AH247" s="2" t="str">
        <f ca="1"/>
        <v>Bad</v>
      </c>
    </row>
    <row r="248" spans="2:34" x14ac:dyDescent="0.2">
      <c r="B248" s="2">
        <f ca="1"/>
        <v>0.65043937879138247</v>
      </c>
      <c r="O248" s="2">
        <f ca="1"/>
        <v>0.46784391365819966</v>
      </c>
      <c r="X248" s="2">
        <f ca="1"/>
        <v>32.457136494842139</v>
      </c>
      <c r="AG248" s="2">
        <f ca="1"/>
        <v>0.32842372076554316</v>
      </c>
      <c r="AH248" s="2" t="str">
        <f ca="1"/>
        <v>OK</v>
      </c>
    </row>
    <row r="249" spans="2:34" x14ac:dyDescent="0.2">
      <c r="B249" s="2">
        <f ca="1"/>
        <v>0.20247942433471144</v>
      </c>
      <c r="O249" s="2">
        <f ca="1"/>
        <v>-1.7655185024958431</v>
      </c>
      <c r="X249" s="2">
        <f ca="1"/>
        <v>51.077048612874307</v>
      </c>
      <c r="AG249" s="2">
        <f ca="1"/>
        <v>0.64337434901305102</v>
      </c>
      <c r="AH249" s="2" t="str">
        <f ca="1"/>
        <v>Bad</v>
      </c>
    </row>
    <row r="250" spans="2:34" x14ac:dyDescent="0.2">
      <c r="B250" s="2">
        <f ca="1"/>
        <v>0.91889858488652476</v>
      </c>
      <c r="O250" s="2">
        <f ca="1"/>
        <v>0.30537613369225913</v>
      </c>
      <c r="X250" s="2">
        <f ca="1"/>
        <v>62.744900945123831</v>
      </c>
      <c r="AG250" s="2">
        <f ca="1"/>
        <v>2.6112720540778511E-2</v>
      </c>
      <c r="AH250" s="2" t="str">
        <f ca="1"/>
        <v>Good</v>
      </c>
    </row>
    <row r="251" spans="2:34" x14ac:dyDescent="0.2">
      <c r="B251" s="2">
        <f ca="1"/>
        <v>4.2165432152630355E-2</v>
      </c>
      <c r="O251" s="2">
        <f ca="1"/>
        <v>1.1446308313547033</v>
      </c>
      <c r="X251" s="2">
        <f ca="1"/>
        <v>52.348160951597109</v>
      </c>
      <c r="AG251" s="2">
        <f ca="1"/>
        <v>0.46097420079777018</v>
      </c>
      <c r="AH251" s="2" t="str">
        <f ca="1"/>
        <v>Bad</v>
      </c>
    </row>
    <row r="252" spans="2:34" x14ac:dyDescent="0.2">
      <c r="B252" s="2">
        <f ca="1"/>
        <v>0.4272677687680515</v>
      </c>
      <c r="O252" s="2">
        <f ca="1"/>
        <v>-1.9091505449566817</v>
      </c>
      <c r="X252" s="2">
        <f ca="1"/>
        <v>27.43419482204057</v>
      </c>
      <c r="AG252" s="2">
        <f ca="1"/>
        <v>0.50480340423973713</v>
      </c>
      <c r="AH252" s="2" t="str">
        <f ca="1"/>
        <v>Bad</v>
      </c>
    </row>
    <row r="253" spans="2:34" x14ac:dyDescent="0.2">
      <c r="B253" s="2">
        <f ca="1"/>
        <v>0.32013984718458399</v>
      </c>
      <c r="O253" s="2">
        <f ca="1"/>
        <v>-1.6934280204851897</v>
      </c>
      <c r="X253" s="2">
        <f ca="1"/>
        <v>77.485112682091668</v>
      </c>
      <c r="AG253" s="2">
        <f ca="1"/>
        <v>0.64212095435395877</v>
      </c>
      <c r="AH253" s="2" t="str">
        <f ca="1"/>
        <v>Bad</v>
      </c>
    </row>
    <row r="254" spans="2:34" x14ac:dyDescent="0.2">
      <c r="B254" s="2">
        <f ca="1"/>
        <v>0.22040622943455523</v>
      </c>
      <c r="O254" s="2">
        <f ca="1"/>
        <v>-0.92410684878681437</v>
      </c>
      <c r="X254" s="2">
        <f ca="1"/>
        <v>42.766080996336342</v>
      </c>
      <c r="AG254" s="2">
        <f ca="1"/>
        <v>0.78382644813195124</v>
      </c>
      <c r="AH254" s="2" t="str">
        <f ca="1"/>
        <v>Bad</v>
      </c>
    </row>
    <row r="255" spans="2:34" x14ac:dyDescent="0.2">
      <c r="B255" s="2">
        <f ca="1"/>
        <v>0.60576895504564354</v>
      </c>
      <c r="O255" s="2">
        <f ca="1"/>
        <v>-0.14879204993010092</v>
      </c>
      <c r="X255" s="2">
        <f ca="1"/>
        <v>26.053180157562906</v>
      </c>
      <c r="AG255" s="2">
        <f ca="1"/>
        <v>4.9917146968134762E-3</v>
      </c>
      <c r="AH255" s="2" t="str">
        <f ca="1"/>
        <v>Good</v>
      </c>
    </row>
    <row r="256" spans="2:34" x14ac:dyDescent="0.2">
      <c r="B256" s="2">
        <f ca="1"/>
        <v>7.5422492469978009E-2</v>
      </c>
      <c r="O256" s="2">
        <f ca="1"/>
        <v>0.25074230805351388</v>
      </c>
      <c r="X256" s="2">
        <f ca="1"/>
        <v>45.663564386525493</v>
      </c>
      <c r="AG256" s="2">
        <f ca="1"/>
        <v>0.89099904297532961</v>
      </c>
      <c r="AH256" s="2" t="str">
        <f ca="1"/>
        <v>Bad</v>
      </c>
    </row>
    <row r="257" spans="2:34" x14ac:dyDescent="0.2">
      <c r="B257" s="2">
        <f ca="1"/>
        <v>0.55281674104851897</v>
      </c>
      <c r="O257" s="2">
        <f ca="1"/>
        <v>-1.6311134138594234</v>
      </c>
      <c r="X257" s="2">
        <f ca="1"/>
        <v>89.415668855394017</v>
      </c>
      <c r="AG257" s="2">
        <f ca="1"/>
        <v>0.28245034277229242</v>
      </c>
      <c r="AH257" s="2" t="str">
        <f ca="1"/>
        <v>OK</v>
      </c>
    </row>
    <row r="258" spans="2:34" x14ac:dyDescent="0.2">
      <c r="B258" s="2">
        <f ca="1"/>
        <v>0.28990943713285322</v>
      </c>
      <c r="O258" s="2">
        <f ca="1"/>
        <v>0.66610388302262136</v>
      </c>
      <c r="X258" s="2">
        <f ca="1"/>
        <v>46.010802491546492</v>
      </c>
      <c r="AG258" s="2">
        <f ca="1"/>
        <v>0.48800253729535426</v>
      </c>
      <c r="AH258" s="2" t="str">
        <f ca="1"/>
        <v>Bad</v>
      </c>
    </row>
    <row r="259" spans="2:34" x14ac:dyDescent="0.2">
      <c r="B259" s="2">
        <f ca="1"/>
        <v>0.29242082459832375</v>
      </c>
      <c r="O259" s="2">
        <f ca="1"/>
        <v>-0.12965930867683986</v>
      </c>
      <c r="X259" s="2">
        <f ca="1"/>
        <v>50.494995113119721</v>
      </c>
      <c r="AG259" s="2">
        <f ca="1"/>
        <v>0.9844603919197179</v>
      </c>
      <c r="AH259" s="2" t="str">
        <f ca="1"/>
        <v>Bad</v>
      </c>
    </row>
    <row r="260" spans="2:34" x14ac:dyDescent="0.2">
      <c r="B260" s="2">
        <f ca="1"/>
        <v>5.3603194466345316E-2</v>
      </c>
      <c r="O260" s="2">
        <f ca="1"/>
        <v>0.71345316689895577</v>
      </c>
      <c r="X260" s="2">
        <f ca="1"/>
        <v>40.191526975072691</v>
      </c>
      <c r="AG260" s="2">
        <f ca="1"/>
        <v>0.46428461196042514</v>
      </c>
      <c r="AH260" s="2" t="str">
        <f ca="1"/>
        <v>Bad</v>
      </c>
    </row>
    <row r="261" spans="2:34" x14ac:dyDescent="0.2">
      <c r="B261" s="2">
        <f ca="1"/>
        <v>0.57727519894600343</v>
      </c>
      <c r="O261" s="2">
        <f ca="1"/>
        <v>-0.81904509251156865</v>
      </c>
      <c r="X261" s="2">
        <f ca="1"/>
        <v>20.120051120017347</v>
      </c>
      <c r="AG261" s="2">
        <f ca="1"/>
        <v>2.9486459789529018E-2</v>
      </c>
      <c r="AH261" s="2" t="str">
        <f ca="1"/>
        <v>Good</v>
      </c>
    </row>
    <row r="262" spans="2:34" x14ac:dyDescent="0.2">
      <c r="B262" s="2">
        <f ca="1"/>
        <v>0.96142802929805704</v>
      </c>
      <c r="O262" s="2">
        <f ca="1"/>
        <v>-0.67381569278682307</v>
      </c>
      <c r="X262" s="2">
        <f ca="1"/>
        <v>33.373298965987466</v>
      </c>
      <c r="AG262" s="2">
        <f ca="1"/>
        <v>0.27375418185405009</v>
      </c>
      <c r="AH262" s="2" t="str">
        <f ca="1"/>
        <v>OK</v>
      </c>
    </row>
    <row r="263" spans="2:34" x14ac:dyDescent="0.2">
      <c r="B263" s="2">
        <f ca="1"/>
        <v>0.53720887367246428</v>
      </c>
      <c r="O263" s="2">
        <f ca="1"/>
        <v>0.67898009696599404</v>
      </c>
      <c r="X263" s="2">
        <f ca="1"/>
        <v>42.371610004528044</v>
      </c>
      <c r="AG263" s="2">
        <f ca="1"/>
        <v>0.21370675960472907</v>
      </c>
      <c r="AH263" s="2" t="str">
        <f ca="1"/>
        <v>OK</v>
      </c>
    </row>
    <row r="264" spans="2:34" x14ac:dyDescent="0.2">
      <c r="B264" s="2">
        <f ca="1"/>
        <v>0.3402819721782897</v>
      </c>
      <c r="O264" s="2">
        <f ca="1"/>
        <v>-0.53201376372125264</v>
      </c>
      <c r="X264" s="2">
        <f ca="1"/>
        <v>67.030811738735594</v>
      </c>
      <c r="AG264" s="2">
        <f ca="1"/>
        <v>0.44087266299395722</v>
      </c>
      <c r="AH264" s="2" t="str">
        <f ca="1"/>
        <v>Bad</v>
      </c>
    </row>
    <row r="265" spans="2:34" x14ac:dyDescent="0.2">
      <c r="B265" s="2">
        <f ca="1"/>
        <v>0.14977073351970316</v>
      </c>
      <c r="O265" s="2">
        <f ca="1"/>
        <v>-1.191060889023716</v>
      </c>
      <c r="X265" s="2">
        <f ca="1"/>
        <v>44.689305954273088</v>
      </c>
      <c r="AG265" s="2">
        <f ca="1"/>
        <v>0.28794689363199732</v>
      </c>
      <c r="AH265" s="2" t="str">
        <f ca="1"/>
        <v>OK</v>
      </c>
    </row>
    <row r="266" spans="2:34" x14ac:dyDescent="0.2">
      <c r="B266" s="2">
        <f ca="1"/>
        <v>0.79961240273083001</v>
      </c>
      <c r="O266" s="2">
        <f ca="1"/>
        <v>-2.4200802429865855</v>
      </c>
      <c r="X266" s="2">
        <f ca="1"/>
        <v>61.781005464419501</v>
      </c>
      <c r="AG266" s="2">
        <f ca="1"/>
        <v>0.69221553186915807</v>
      </c>
      <c r="AH266" s="2" t="str">
        <f ca="1"/>
        <v>Bad</v>
      </c>
    </row>
    <row r="267" spans="2:34" x14ac:dyDescent="0.2">
      <c r="B267" s="2">
        <f ca="1"/>
        <v>0.25310285633208474</v>
      </c>
      <c r="O267" s="2">
        <f ca="1"/>
        <v>1.4940075660972709</v>
      </c>
      <c r="X267" s="2">
        <f ca="1"/>
        <v>55.656545964984034</v>
      </c>
      <c r="AG267" s="2">
        <f ca="1"/>
        <v>0.89272918517571709</v>
      </c>
      <c r="AH267" s="2" t="str">
        <f ca="1"/>
        <v>Bad</v>
      </c>
    </row>
    <row r="268" spans="2:34" x14ac:dyDescent="0.2">
      <c r="B268" s="2">
        <f ca="1"/>
        <v>0.97170011823484392</v>
      </c>
      <c r="O268" s="2">
        <f ca="1"/>
        <v>-1.0784162363673602</v>
      </c>
      <c r="X268" s="2">
        <f ca="1"/>
        <v>64.857107813747504</v>
      </c>
      <c r="AG268" s="2">
        <f ca="1"/>
        <v>0.63562750360269882</v>
      </c>
      <c r="AH268" s="2" t="str">
        <f ca="1"/>
        <v>Bad</v>
      </c>
    </row>
    <row r="269" spans="2:34" x14ac:dyDescent="0.2">
      <c r="B269" s="2">
        <f ca="1"/>
        <v>0.91664739698411046</v>
      </c>
      <c r="O269" s="2">
        <f ca="1"/>
        <v>0.40787194241908609</v>
      </c>
      <c r="X269" s="2">
        <f ca="1"/>
        <v>24.344450527978694</v>
      </c>
      <c r="AG269" s="2">
        <f ca="1"/>
        <v>0.50398224598471186</v>
      </c>
      <c r="AH269" s="2" t="str">
        <f ca="1"/>
        <v>Bad</v>
      </c>
    </row>
    <row r="270" spans="2:34" x14ac:dyDescent="0.2">
      <c r="B270" s="2">
        <f ca="1"/>
        <v>0.28139546026356732</v>
      </c>
      <c r="O270" s="2">
        <f ca="1"/>
        <v>-0.84073147924627689</v>
      </c>
      <c r="X270" s="2">
        <f ca="1"/>
        <v>57.628454226914691</v>
      </c>
      <c r="AG270" s="2">
        <f ca="1"/>
        <v>1.195071800717673E-2</v>
      </c>
      <c r="AH270" s="2" t="str">
        <f ca="1"/>
        <v>Good</v>
      </c>
    </row>
    <row r="271" spans="2:34" x14ac:dyDescent="0.2">
      <c r="B271" s="2">
        <f ca="1"/>
        <v>0.86518819439335615</v>
      </c>
      <c r="O271" s="2">
        <f ca="1"/>
        <v>0.86452849562770995</v>
      </c>
      <c r="X271" s="2">
        <f ca="1"/>
        <v>50.212937606273556</v>
      </c>
      <c r="AG271" s="2">
        <f ca="1"/>
        <v>0.34300194655797545</v>
      </c>
      <c r="AH271" s="2" t="str">
        <f ca="1"/>
        <v>OK</v>
      </c>
    </row>
    <row r="272" spans="2:34" x14ac:dyDescent="0.2">
      <c r="B272" s="2">
        <f ca="1"/>
        <v>0.59752686859896498</v>
      </c>
      <c r="O272" s="2">
        <f ca="1"/>
        <v>2.0971364528895204</v>
      </c>
      <c r="X272" s="2">
        <f ca="1"/>
        <v>66.251579619956942</v>
      </c>
      <c r="AG272" s="2">
        <f ca="1"/>
        <v>0.72977443342951509</v>
      </c>
      <c r="AH272" s="2" t="str">
        <f ca="1"/>
        <v>Bad</v>
      </c>
    </row>
    <row r="273" spans="2:34" x14ac:dyDescent="0.2">
      <c r="B273" s="2">
        <f ca="1"/>
        <v>0.95892827383729951</v>
      </c>
      <c r="O273" s="2">
        <f ca="1"/>
        <v>-0.12777172893497399</v>
      </c>
      <c r="X273" s="2">
        <f ca="1"/>
        <v>66.96842631707537</v>
      </c>
      <c r="AG273" s="2">
        <f ca="1"/>
        <v>0.93701974293937451</v>
      </c>
      <c r="AH273" s="2" t="str">
        <f ca="1"/>
        <v>Bad</v>
      </c>
    </row>
    <row r="274" spans="2:34" x14ac:dyDescent="0.2">
      <c r="B274" s="2">
        <f ca="1"/>
        <v>0.378486206133966</v>
      </c>
      <c r="O274" s="2">
        <f ca="1"/>
        <v>1.3323372297805753</v>
      </c>
      <c r="X274" s="2">
        <f ca="1"/>
        <v>47.067176170602984</v>
      </c>
      <c r="AG274" s="2">
        <f ca="1"/>
        <v>0.7227987290331499</v>
      </c>
      <c r="AH274" s="2" t="str">
        <f ca="1"/>
        <v>Bad</v>
      </c>
    </row>
    <row r="275" spans="2:34" x14ac:dyDescent="0.2">
      <c r="B275" s="2">
        <f ca="1"/>
        <v>0.17672116153267159</v>
      </c>
      <c r="O275" s="2">
        <f ca="1"/>
        <v>-1.5105526306954451</v>
      </c>
      <c r="X275" s="2">
        <f ca="1"/>
        <v>65.772791955374842</v>
      </c>
      <c r="AG275" s="2">
        <f ca="1"/>
        <v>0.98888372040893602</v>
      </c>
      <c r="AH275" s="2" t="str">
        <f ca="1"/>
        <v>Bad</v>
      </c>
    </row>
    <row r="276" spans="2:34" x14ac:dyDescent="0.2">
      <c r="B276" s="2">
        <f ca="1"/>
        <v>0.32642714299663944</v>
      </c>
      <c r="O276" s="2">
        <f ca="1"/>
        <v>0.89747017521896766</v>
      </c>
      <c r="X276" s="2">
        <f ca="1"/>
        <v>37.990063142622333</v>
      </c>
      <c r="AG276" s="2">
        <f ca="1"/>
        <v>2.2089562297930021E-2</v>
      </c>
      <c r="AH276" s="2" t="str">
        <f ca="1"/>
        <v>Good</v>
      </c>
    </row>
    <row r="277" spans="2:34" x14ac:dyDescent="0.2">
      <c r="B277" s="2">
        <f ca="1"/>
        <v>0.3629675623644999</v>
      </c>
      <c r="O277" s="2">
        <f ca="1"/>
        <v>0.57465911584924845</v>
      </c>
      <c r="X277" s="2">
        <f ca="1"/>
        <v>49.401382612321427</v>
      </c>
      <c r="AG277" s="2">
        <f ca="1"/>
        <v>0.16622932700528037</v>
      </c>
      <c r="AH277" s="2" t="str">
        <f ca="1"/>
        <v>OK</v>
      </c>
    </row>
    <row r="278" spans="2:34" x14ac:dyDescent="0.2">
      <c r="B278" s="2">
        <f ca="1"/>
        <v>0.61723603987467368</v>
      </c>
      <c r="O278" s="2">
        <f ca="1"/>
        <v>-0.80802911463513605</v>
      </c>
      <c r="X278" s="2">
        <f ca="1"/>
        <v>66.750222438148668</v>
      </c>
      <c r="AG278" s="2">
        <f ca="1"/>
        <v>0.56922609886730524</v>
      </c>
      <c r="AH278" s="2" t="str">
        <f ca="1"/>
        <v>Bad</v>
      </c>
    </row>
    <row r="279" spans="2:34" x14ac:dyDescent="0.2">
      <c r="B279" s="2">
        <f ca="1"/>
        <v>0.29842907551857545</v>
      </c>
      <c r="O279" s="2">
        <f ca="1"/>
        <v>-1.1722780842471394</v>
      </c>
      <c r="X279" s="2">
        <f ca="1"/>
        <v>49.388524973334157</v>
      </c>
      <c r="AG279" s="2">
        <f ca="1"/>
        <v>0.14428199319629464</v>
      </c>
      <c r="AH279" s="2" t="str">
        <f ca="1"/>
        <v>OK</v>
      </c>
    </row>
    <row r="280" spans="2:34" x14ac:dyDescent="0.2">
      <c r="B280" s="2">
        <f ca="1"/>
        <v>0.29628480137974433</v>
      </c>
      <c r="O280" s="2">
        <f ca="1"/>
        <v>-1.9197798749464343</v>
      </c>
      <c r="X280" s="2">
        <f ca="1"/>
        <v>47.974377677847365</v>
      </c>
      <c r="AG280" s="2">
        <f ca="1"/>
        <v>0.16256219145402651</v>
      </c>
      <c r="AH280" s="2" t="str">
        <f ca="1"/>
        <v>OK</v>
      </c>
    </row>
    <row r="281" spans="2:34" x14ac:dyDescent="0.2">
      <c r="B281" s="2">
        <f ca="1"/>
        <v>0.53448930243692883</v>
      </c>
      <c r="O281" s="2">
        <f ca="1"/>
        <v>6.0665331554122938E-2</v>
      </c>
      <c r="X281" s="2">
        <f ca="1"/>
        <v>77.393845033044755</v>
      </c>
      <c r="AG281" s="2">
        <f ca="1"/>
        <v>0.27955417139243655</v>
      </c>
      <c r="AH281" s="2" t="str">
        <f ca="1"/>
        <v>OK</v>
      </c>
    </row>
    <row r="282" spans="2:34" x14ac:dyDescent="0.2">
      <c r="B282" s="2">
        <f ca="1"/>
        <v>0.79628131610556152</v>
      </c>
      <c r="O282" s="2">
        <f ca="1"/>
        <v>0.56159062023862616</v>
      </c>
      <c r="X282" s="2">
        <f ca="1"/>
        <v>46.467180703672184</v>
      </c>
      <c r="AG282" s="2">
        <f ca="1"/>
        <v>0.88679345898406114</v>
      </c>
      <c r="AH282" s="2" t="str">
        <f ca="1"/>
        <v>Bad</v>
      </c>
    </row>
    <row r="283" spans="2:34" x14ac:dyDescent="0.2">
      <c r="B283" s="2">
        <f ca="1"/>
        <v>0.69854124881731705</v>
      </c>
      <c r="O283" s="2">
        <f ca="1"/>
        <v>1.2452963943903474</v>
      </c>
      <c r="X283" s="2">
        <f ca="1"/>
        <v>52.183410037443252</v>
      </c>
      <c r="AG283" s="2">
        <f ca="1"/>
        <v>0.51551214889615093</v>
      </c>
      <c r="AH283" s="2" t="str">
        <f ca="1"/>
        <v>Bad</v>
      </c>
    </row>
    <row r="284" spans="2:34" x14ac:dyDescent="0.2">
      <c r="B284" s="2">
        <f ca="1"/>
        <v>4.3755686921194803E-2</v>
      </c>
      <c r="O284" s="2">
        <f ca="1"/>
        <v>5.7450020516175225E-2</v>
      </c>
      <c r="X284" s="2">
        <f ca="1"/>
        <v>33.324044087699775</v>
      </c>
      <c r="AG284" s="2">
        <f ca="1"/>
        <v>0.17015663945897264</v>
      </c>
      <c r="AH284" s="2" t="str">
        <f ca="1"/>
        <v>OK</v>
      </c>
    </row>
    <row r="285" spans="2:34" x14ac:dyDescent="0.2">
      <c r="B285" s="2">
        <f ca="1"/>
        <v>0.28077900807939504</v>
      </c>
      <c r="O285" s="2">
        <f ca="1"/>
        <v>1.1113015053860658</v>
      </c>
      <c r="X285" s="2">
        <f ca="1"/>
        <v>46.073974509714986</v>
      </c>
      <c r="AG285" s="2">
        <f ca="1"/>
        <v>4.4789326326875489E-2</v>
      </c>
      <c r="AH285" s="2" t="str">
        <f ca="1"/>
        <v>Good</v>
      </c>
    </row>
    <row r="286" spans="2:34" x14ac:dyDescent="0.2">
      <c r="B286" s="2">
        <f ca="1"/>
        <v>0.26757882848410164</v>
      </c>
      <c r="O286" s="2">
        <f ca="1"/>
        <v>0.98395659236766841</v>
      </c>
      <c r="X286" s="2">
        <f ca="1"/>
        <v>45.876770041943615</v>
      </c>
      <c r="AG286" s="2">
        <f ca="1"/>
        <v>6.4505065997277899E-3</v>
      </c>
      <c r="AH286" s="2" t="str">
        <f ca="1"/>
        <v>Good</v>
      </c>
    </row>
    <row r="287" spans="2:34" x14ac:dyDescent="0.2">
      <c r="B287" s="2">
        <f ca="1"/>
        <v>0.50906443238254862</v>
      </c>
      <c r="O287" s="2">
        <f ca="1"/>
        <v>-1.1573446409596013</v>
      </c>
      <c r="X287" s="2">
        <f ca="1"/>
        <v>55.029650711503457</v>
      </c>
      <c r="AG287" s="2">
        <f ca="1"/>
        <v>0.16000235613735203</v>
      </c>
      <c r="AH287" s="2" t="str">
        <f ca="1"/>
        <v>OK</v>
      </c>
    </row>
    <row r="288" spans="2:34" x14ac:dyDescent="0.2">
      <c r="B288" s="2">
        <f ca="1"/>
        <v>0.47406043283221666</v>
      </c>
      <c r="O288" s="2">
        <f ca="1"/>
        <v>-0.28059743883508864</v>
      </c>
      <c r="X288" s="2">
        <f ca="1"/>
        <v>68.114031617257979</v>
      </c>
      <c r="AG288" s="2">
        <f ca="1"/>
        <v>0.72575390779088078</v>
      </c>
      <c r="AH288" s="2" t="str">
        <f ca="1"/>
        <v>Bad</v>
      </c>
    </row>
    <row r="289" spans="2:34" x14ac:dyDescent="0.2">
      <c r="B289" s="2">
        <f ca="1"/>
        <v>0.59274129971289979</v>
      </c>
      <c r="O289" s="2">
        <f ca="1"/>
        <v>1.165696442685116</v>
      </c>
      <c r="X289" s="2">
        <f ca="1"/>
        <v>60.761355839032085</v>
      </c>
      <c r="AG289" s="2">
        <f ca="1"/>
        <v>0.92027564129588812</v>
      </c>
      <c r="AH289" s="2" t="str">
        <f ca="1"/>
        <v>Bad</v>
      </c>
    </row>
    <row r="290" spans="2:34" x14ac:dyDescent="0.2">
      <c r="B290" s="2">
        <f ca="1"/>
        <v>0.83954202941369016</v>
      </c>
      <c r="O290" s="2">
        <f ca="1"/>
        <v>0.7039480806427193</v>
      </c>
      <c r="X290" s="2">
        <f ca="1"/>
        <v>54.531497366254015</v>
      </c>
      <c r="AG290" s="2">
        <f ca="1"/>
        <v>0.41424762849498942</v>
      </c>
      <c r="AH290" s="2" t="str">
        <f ca="1"/>
        <v>Bad</v>
      </c>
    </row>
    <row r="291" spans="2:34" x14ac:dyDescent="0.2">
      <c r="B291" s="2">
        <f ca="1"/>
        <v>0.73452828553734206</v>
      </c>
      <c r="O291" s="2">
        <f ca="1"/>
        <v>-0.74576522643195731</v>
      </c>
      <c r="X291" s="2">
        <f ca="1"/>
        <v>34.531987785845601</v>
      </c>
      <c r="AG291" s="2">
        <f ca="1"/>
        <v>0.74854213583900231</v>
      </c>
      <c r="AH291" s="2" t="str">
        <f ca="1"/>
        <v>Bad</v>
      </c>
    </row>
    <row r="292" spans="2:34" x14ac:dyDescent="0.2">
      <c r="B292" s="2">
        <f ca="1"/>
        <v>0.73626421462196778</v>
      </c>
      <c r="O292" s="2">
        <f ca="1"/>
        <v>-1.3743567824994509</v>
      </c>
      <c r="X292" s="2">
        <f ca="1"/>
        <v>51.484822658442198</v>
      </c>
      <c r="AG292" s="2">
        <f ca="1"/>
        <v>0.28636253321118699</v>
      </c>
      <c r="AH292" s="2" t="str">
        <f ca="1"/>
        <v>OK</v>
      </c>
    </row>
    <row r="293" spans="2:34" x14ac:dyDescent="0.2">
      <c r="B293" s="2">
        <f ca="1"/>
        <v>0.44490153991786996</v>
      </c>
      <c r="O293" s="2">
        <f ca="1"/>
        <v>1.3244912747807909</v>
      </c>
      <c r="X293" s="2">
        <f ca="1"/>
        <v>26.372561287946851</v>
      </c>
      <c r="AG293" s="2">
        <f ca="1"/>
        <v>2.7523421716350693E-2</v>
      </c>
      <c r="AH293" s="2" t="str">
        <f ca="1"/>
        <v>Good</v>
      </c>
    </row>
    <row r="294" spans="2:34" x14ac:dyDescent="0.2">
      <c r="B294" s="2">
        <f ca="1"/>
        <v>0.45926659064814546</v>
      </c>
      <c r="O294" s="2">
        <f ca="1"/>
        <v>-2.6639772802600388</v>
      </c>
      <c r="X294" s="2">
        <f ca="1"/>
        <v>48.881449973463269</v>
      </c>
      <c r="AG294" s="2">
        <f ca="1"/>
        <v>0.48678532140839303</v>
      </c>
      <c r="AH294" s="2" t="str">
        <f ca="1"/>
        <v>Bad</v>
      </c>
    </row>
    <row r="295" spans="2:34" x14ac:dyDescent="0.2">
      <c r="B295" s="2">
        <f ca="1"/>
        <v>0.91455588301243518</v>
      </c>
      <c r="O295" s="2">
        <f ca="1"/>
        <v>-0.37231925360765905</v>
      </c>
      <c r="X295" s="2">
        <f ca="1"/>
        <v>53.827028486294701</v>
      </c>
      <c r="AG295" s="2">
        <f ca="1"/>
        <v>0.38824751233619237</v>
      </c>
      <c r="AH295" s="2" t="str">
        <f ca="1"/>
        <v>OK</v>
      </c>
    </row>
    <row r="296" spans="2:34" x14ac:dyDescent="0.2">
      <c r="B296" s="2">
        <f ca="1"/>
        <v>0.31967072365354698</v>
      </c>
      <c r="O296" s="2">
        <f ca="1"/>
        <v>-1.3305017720109977</v>
      </c>
      <c r="X296" s="2">
        <f ca="1"/>
        <v>63.78919012528057</v>
      </c>
      <c r="AG296" s="2">
        <f ca="1"/>
        <v>0.34990707176484048</v>
      </c>
      <c r="AH296" s="2" t="str">
        <f ca="1"/>
        <v>OK</v>
      </c>
    </row>
    <row r="297" spans="2:34" x14ac:dyDescent="0.2">
      <c r="B297" s="2">
        <f ca="1"/>
        <v>0.90096275757272348</v>
      </c>
      <c r="O297" s="2">
        <f ca="1"/>
        <v>-2.2153569987199071</v>
      </c>
      <c r="X297" s="2">
        <f ca="1"/>
        <v>45.2885345911805</v>
      </c>
      <c r="AG297" s="2">
        <f ca="1"/>
        <v>0.11548412595115765</v>
      </c>
      <c r="AH297" s="2" t="str">
        <f ca="1"/>
        <v>OK</v>
      </c>
    </row>
    <row r="298" spans="2:34" x14ac:dyDescent="0.2">
      <c r="B298" s="2">
        <f ca="1"/>
        <v>0.89086606877854213</v>
      </c>
      <c r="O298" s="2">
        <f ca="1"/>
        <v>2.9189816244627298E-2</v>
      </c>
      <c r="X298" s="2">
        <f ca="1"/>
        <v>58.465581445875273</v>
      </c>
      <c r="AG298" s="2">
        <f ca="1"/>
        <v>0.74378833104958408</v>
      </c>
      <c r="AH298" s="2" t="str">
        <f ca="1"/>
        <v>Bad</v>
      </c>
    </row>
    <row r="299" spans="2:34" x14ac:dyDescent="0.2">
      <c r="B299" s="2">
        <f ca="1"/>
        <v>0.82669329992321483</v>
      </c>
      <c r="O299" s="2">
        <f ca="1"/>
        <v>1.0920108592181113</v>
      </c>
      <c r="X299" s="2">
        <f ca="1"/>
        <v>31.967181183153404</v>
      </c>
      <c r="AG299" s="2">
        <f ca="1"/>
        <v>0.59475223152525647</v>
      </c>
      <c r="AH299" s="2" t="str">
        <f ca="1"/>
        <v>Bad</v>
      </c>
    </row>
    <row r="300" spans="2:34" x14ac:dyDescent="0.2">
      <c r="B300" s="2">
        <f ca="1"/>
        <v>0.36314593208292156</v>
      </c>
      <c r="O300" s="2">
        <f ca="1"/>
        <v>-0.56495541860943244</v>
      </c>
      <c r="X300" s="2">
        <f ca="1"/>
        <v>35.57764325292532</v>
      </c>
      <c r="AG300" s="2">
        <f ca="1"/>
        <v>0.94297425014734459</v>
      </c>
      <c r="AH300" s="2" t="str">
        <f ca="1"/>
        <v>Bad</v>
      </c>
    </row>
    <row r="301" spans="2:34" x14ac:dyDescent="0.2">
      <c r="B301" s="2">
        <f ca="1"/>
        <v>0.67882980709418095</v>
      </c>
      <c r="O301" s="2">
        <f ca="1"/>
        <v>0.83310217222731431</v>
      </c>
      <c r="X301" s="2">
        <f ca="1"/>
        <v>41.646919249612033</v>
      </c>
      <c r="AG301" s="2">
        <f ca="1"/>
        <v>0.54213351814543986</v>
      </c>
      <c r="AH301" s="2" t="str">
        <f ca="1"/>
        <v>Bad</v>
      </c>
    </row>
    <row r="302" spans="2:34" x14ac:dyDescent="0.2">
      <c r="B302" s="2">
        <f ca="1"/>
        <v>0.58264476755699302</v>
      </c>
      <c r="O302" s="2">
        <f ca="1"/>
        <v>0.23701492346674297</v>
      </c>
      <c r="X302" s="2">
        <f ca="1"/>
        <v>38.331785163591114</v>
      </c>
      <c r="AG302" s="2">
        <f ca="1"/>
        <v>0.34856438158237468</v>
      </c>
      <c r="AH302" s="2" t="str">
        <f ca="1"/>
        <v>OK</v>
      </c>
    </row>
    <row r="303" spans="2:34" x14ac:dyDescent="0.2">
      <c r="B303" s="2">
        <f ca="1"/>
        <v>0.95584775804003863</v>
      </c>
      <c r="O303" s="2">
        <f ca="1"/>
        <v>-0.19471356166837125</v>
      </c>
      <c r="X303" s="2">
        <f ca="1"/>
        <v>33.726003203979815</v>
      </c>
      <c r="AG303" s="2">
        <f ca="1"/>
        <v>8.8579388872407128E-2</v>
      </c>
      <c r="AH303" s="2" t="str">
        <f ca="1"/>
        <v>OK</v>
      </c>
    </row>
    <row r="304" spans="2:34" x14ac:dyDescent="0.2">
      <c r="B304" s="2">
        <f ca="1"/>
        <v>0.28289471411533085</v>
      </c>
      <c r="O304" s="2">
        <f ca="1"/>
        <v>-0.49383582153811528</v>
      </c>
      <c r="X304" s="2">
        <f ca="1"/>
        <v>52.881140795666902</v>
      </c>
      <c r="AG304" s="2">
        <f ca="1"/>
        <v>0.48500545289851038</v>
      </c>
      <c r="AH304" s="2" t="str">
        <f ca="1"/>
        <v>Bad</v>
      </c>
    </row>
    <row r="305" spans="2:34" x14ac:dyDescent="0.2">
      <c r="B305" s="2">
        <f ca="1"/>
        <v>0.49918038316732671</v>
      </c>
      <c r="O305" s="2">
        <f ca="1"/>
        <v>0.21488950188797806</v>
      </c>
      <c r="X305" s="2">
        <f ca="1"/>
        <v>34.983093869804264</v>
      </c>
      <c r="AG305" s="2">
        <f ca="1"/>
        <v>0.6017575113050333</v>
      </c>
      <c r="AH305" s="2" t="str">
        <f ca="1"/>
        <v>Bad</v>
      </c>
    </row>
    <row r="306" spans="2:34" x14ac:dyDescent="0.2">
      <c r="B306" s="2">
        <f ca="1"/>
        <v>0.4170778331474625</v>
      </c>
      <c r="O306" s="2">
        <f ca="1"/>
        <v>-0.91821779337611575</v>
      </c>
      <c r="X306" s="2">
        <f ca="1"/>
        <v>76.014831016387049</v>
      </c>
      <c r="AG306" s="2">
        <f ca="1"/>
        <v>0.62521907908128171</v>
      </c>
      <c r="AH306" s="2" t="str">
        <f ca="1"/>
        <v>Bad</v>
      </c>
    </row>
    <row r="307" spans="2:34" x14ac:dyDescent="0.2">
      <c r="B307" s="2">
        <f ca="1"/>
        <v>0.17573856564649137</v>
      </c>
      <c r="O307" s="2">
        <f ca="1"/>
        <v>-1.6856616338825461</v>
      </c>
      <c r="X307" s="2">
        <f ca="1"/>
        <v>28.035405097369846</v>
      </c>
      <c r="AG307" s="2">
        <f ca="1"/>
        <v>0.13950090660002057</v>
      </c>
      <c r="AH307" s="2" t="str">
        <f ca="1"/>
        <v>OK</v>
      </c>
    </row>
    <row r="308" spans="2:34" x14ac:dyDescent="0.2">
      <c r="B308" s="2">
        <f ca="1"/>
        <v>0.401414554906107</v>
      </c>
      <c r="O308" s="2">
        <f ca="1"/>
        <v>-1.4408276348812483</v>
      </c>
      <c r="X308" s="2">
        <f ca="1"/>
        <v>53.249999509415488</v>
      </c>
      <c r="AG308" s="2">
        <f ca="1"/>
        <v>0.91545623106714213</v>
      </c>
      <c r="AH308" s="2" t="str">
        <f ca="1"/>
        <v>Bad</v>
      </c>
    </row>
    <row r="309" spans="2:34" x14ac:dyDescent="0.2">
      <c r="B309" s="2">
        <f ca="1"/>
        <v>0.14292186564829934</v>
      </c>
      <c r="O309" s="2">
        <f ca="1"/>
        <v>-1.2006345453374887</v>
      </c>
      <c r="X309" s="2">
        <f ca="1"/>
        <v>31.349182308141291</v>
      </c>
      <c r="AG309" s="2">
        <f ca="1"/>
        <v>0.20490958491226574</v>
      </c>
      <c r="AH309" s="2" t="str">
        <f ca="1"/>
        <v>OK</v>
      </c>
    </row>
    <row r="310" spans="2:34" x14ac:dyDescent="0.2">
      <c r="B310" s="2">
        <f ca="1"/>
        <v>5.3791529864332999E-2</v>
      </c>
      <c r="O310" s="2">
        <f ca="1"/>
        <v>-0.49916469970863508</v>
      </c>
      <c r="X310" s="2">
        <f ca="1"/>
        <v>72.764329053378674</v>
      </c>
      <c r="AG310" s="2">
        <f ca="1"/>
        <v>0.6430079589283948</v>
      </c>
      <c r="AH310" s="2" t="str">
        <f ca="1"/>
        <v>Bad</v>
      </c>
    </row>
    <row r="311" spans="2:34" x14ac:dyDescent="0.2">
      <c r="B311" s="2">
        <f ca="1"/>
        <v>0.61412284141249129</v>
      </c>
      <c r="O311" s="2">
        <f ca="1"/>
        <v>1.195358497338096</v>
      </c>
      <c r="X311" s="2">
        <f ca="1"/>
        <v>41.824457955259803</v>
      </c>
      <c r="AG311" s="2">
        <f ca="1"/>
        <v>0.87654089514857803</v>
      </c>
      <c r="AH311" s="2" t="str">
        <f ca="1"/>
        <v>Bad</v>
      </c>
    </row>
    <row r="312" spans="2:34" x14ac:dyDescent="0.2">
      <c r="B312" s="2">
        <f ca="1"/>
        <v>0.28846432694189539</v>
      </c>
      <c r="O312" s="2">
        <f ca="1"/>
        <v>-0.55426476555245519</v>
      </c>
      <c r="X312" s="2">
        <f ca="1"/>
        <v>70.024330332194879</v>
      </c>
      <c r="AG312" s="2">
        <f ca="1"/>
        <v>0.3909522388491824</v>
      </c>
      <c r="AH312" s="2" t="str">
        <f ca="1"/>
        <v>OK</v>
      </c>
    </row>
    <row r="313" spans="2:34" x14ac:dyDescent="0.2">
      <c r="B313" s="2">
        <f ca="1"/>
        <v>0.38100941181795966</v>
      </c>
      <c r="O313" s="2">
        <f ca="1"/>
        <v>0.62222791676367695</v>
      </c>
      <c r="X313" s="2">
        <f ca="1"/>
        <v>60.911150010344599</v>
      </c>
      <c r="AG313" s="2">
        <f ca="1"/>
        <v>7.0225426643594879E-2</v>
      </c>
      <c r="AH313" s="2" t="str">
        <f ca="1"/>
        <v>OK</v>
      </c>
    </row>
    <row r="314" spans="2:34" x14ac:dyDescent="0.2">
      <c r="B314" s="2">
        <f ca="1"/>
        <v>0.36037091272740551</v>
      </c>
      <c r="O314" s="2">
        <f ca="1"/>
        <v>1.4709967204051604</v>
      </c>
      <c r="X314" s="2">
        <f ca="1"/>
        <v>47.944339714263194</v>
      </c>
      <c r="AG314" s="2">
        <f ca="1"/>
        <v>0.52404947687291425</v>
      </c>
      <c r="AH314" s="2" t="str">
        <f ca="1"/>
        <v>Bad</v>
      </c>
    </row>
    <row r="315" spans="2:34" x14ac:dyDescent="0.2">
      <c r="B315" s="2">
        <f ca="1"/>
        <v>0.95651693874192079</v>
      </c>
      <c r="O315" s="2">
        <f ca="1"/>
        <v>1.9202513352536033</v>
      </c>
      <c r="X315" s="2">
        <f ca="1"/>
        <v>37.883672832688646</v>
      </c>
      <c r="AG315" s="2">
        <f ca="1"/>
        <v>9.5492595941517822E-2</v>
      </c>
      <c r="AH315" s="2" t="str">
        <f ca="1"/>
        <v>OK</v>
      </c>
    </row>
    <row r="316" spans="2:34" x14ac:dyDescent="0.2">
      <c r="B316" s="2">
        <f ca="1"/>
        <v>0.27727472749033089</v>
      </c>
      <c r="O316" s="2">
        <f ca="1"/>
        <v>-0.14706803727333587</v>
      </c>
      <c r="X316" s="2">
        <f ca="1"/>
        <v>76.645027573776716</v>
      </c>
      <c r="AG316" s="2">
        <f ca="1"/>
        <v>0.76524442821108152</v>
      </c>
      <c r="AH316" s="2" t="str">
        <f ca="1"/>
        <v>Bad</v>
      </c>
    </row>
    <row r="317" spans="2:34" x14ac:dyDescent="0.2">
      <c r="B317" s="2">
        <f ca="1"/>
        <v>0.49753550196955665</v>
      </c>
      <c r="O317" s="2">
        <f ca="1"/>
        <v>-1.0833135689864484</v>
      </c>
      <c r="X317" s="2">
        <f ca="1"/>
        <v>30.51064876571386</v>
      </c>
      <c r="AG317" s="2">
        <f ca="1"/>
        <v>0.33600120339651074</v>
      </c>
      <c r="AH317" s="2" t="str">
        <f ca="1"/>
        <v>OK</v>
      </c>
    </row>
    <row r="318" spans="2:34" x14ac:dyDescent="0.2">
      <c r="B318" s="2">
        <f ca="1"/>
        <v>0.16890960186583404</v>
      </c>
      <c r="O318" s="2">
        <f ca="1"/>
        <v>1.2047766346129045</v>
      </c>
      <c r="X318" s="2">
        <f ca="1"/>
        <v>50.988164954956787</v>
      </c>
      <c r="AG318" s="2">
        <f ca="1"/>
        <v>0.73556697607810939</v>
      </c>
      <c r="AH318" s="2" t="str">
        <f ca="1"/>
        <v>Bad</v>
      </c>
    </row>
    <row r="319" spans="2:34" x14ac:dyDescent="0.2">
      <c r="B319" s="2">
        <f ca="1"/>
        <v>0.64172465597419781</v>
      </c>
      <c r="O319" s="2">
        <f ca="1"/>
        <v>0.41055631585642194</v>
      </c>
      <c r="X319" s="2">
        <f ca="1"/>
        <v>75.019530193536085</v>
      </c>
      <c r="AG319" s="2">
        <f ca="1"/>
        <v>0.19902693230763968</v>
      </c>
      <c r="AH319" s="2" t="str">
        <f ca="1"/>
        <v>OK</v>
      </c>
    </row>
    <row r="320" spans="2:34" x14ac:dyDescent="0.2">
      <c r="B320" s="2">
        <f ca="1"/>
        <v>0.4187993221750741</v>
      </c>
      <c r="O320" s="2">
        <f ca="1"/>
        <v>-0.87178349759733975</v>
      </c>
      <c r="X320" s="2">
        <f ca="1"/>
        <v>45.550204912257144</v>
      </c>
      <c r="AG320" s="2">
        <f ca="1"/>
        <v>0.40702651493652819</v>
      </c>
      <c r="AH320" s="2" t="str">
        <f ca="1"/>
        <v>Bad</v>
      </c>
    </row>
    <row r="321" spans="2:34" x14ac:dyDescent="0.2">
      <c r="B321" s="2">
        <f ca="1"/>
        <v>0.46682734369143652</v>
      </c>
      <c r="O321" s="2">
        <f ca="1"/>
        <v>-0.35921710737535428</v>
      </c>
      <c r="X321" s="2">
        <f ca="1"/>
        <v>62.627010342056906</v>
      </c>
      <c r="AG321" s="2">
        <f ca="1"/>
        <v>0.52395195961446461</v>
      </c>
      <c r="AH321" s="2" t="str">
        <f ca="1"/>
        <v>Bad</v>
      </c>
    </row>
    <row r="322" spans="2:34" x14ac:dyDescent="0.2">
      <c r="B322" s="2">
        <f ca="1"/>
        <v>0.2488719807901294</v>
      </c>
      <c r="O322" s="2">
        <f ca="1"/>
        <v>0.88734554399488919</v>
      </c>
      <c r="X322" s="2">
        <f ca="1"/>
        <v>40.681165569971199</v>
      </c>
      <c r="AG322" s="2">
        <f ca="1"/>
        <v>0.50725007599264127</v>
      </c>
      <c r="AH322" s="2" t="str">
        <f ca="1"/>
        <v>Bad</v>
      </c>
    </row>
    <row r="323" spans="2:34" x14ac:dyDescent="0.2">
      <c r="B323" s="2">
        <f ca="1"/>
        <v>0.37316644526241083</v>
      </c>
      <c r="O323" s="2">
        <f ca="1"/>
        <v>0.52171419685031939</v>
      </c>
      <c r="X323" s="2">
        <f ca="1"/>
        <v>28.479258657477729</v>
      </c>
      <c r="AG323" s="2">
        <f ca="1"/>
        <v>0.48896923559154448</v>
      </c>
      <c r="AH323" s="2" t="str">
        <f ca="1"/>
        <v>Bad</v>
      </c>
    </row>
    <row r="324" spans="2:34" x14ac:dyDescent="0.2">
      <c r="B324" s="2">
        <f ca="1"/>
        <v>0.4970595523546415</v>
      </c>
      <c r="O324" s="2">
        <f ca="1"/>
        <v>-0.39338384660969694</v>
      </c>
      <c r="X324" s="2">
        <f ca="1"/>
        <v>55.245611409527832</v>
      </c>
      <c r="AG324" s="2">
        <f ca="1"/>
        <v>0.3346321260689793</v>
      </c>
      <c r="AH324" s="2" t="str">
        <f ca="1"/>
        <v>OK</v>
      </c>
    </row>
    <row r="325" spans="2:34" x14ac:dyDescent="0.2">
      <c r="B325" s="2">
        <f ca="1"/>
        <v>7.7837925068856118E-2</v>
      </c>
      <c r="O325" s="2">
        <f ca="1"/>
        <v>-0.46971342968011759</v>
      </c>
      <c r="X325" s="2">
        <f ca="1"/>
        <v>39.141247920315401</v>
      </c>
      <c r="AG325" s="2">
        <f ca="1"/>
        <v>0.31963329058738998</v>
      </c>
      <c r="AH325" s="2" t="str">
        <f ca="1"/>
        <v>OK</v>
      </c>
    </row>
    <row r="326" spans="2:34" x14ac:dyDescent="0.2">
      <c r="B326" s="2">
        <f ca="1"/>
        <v>0.37165480601464673</v>
      </c>
      <c r="O326" s="2">
        <f ca="1"/>
        <v>-1.0026912892173143</v>
      </c>
      <c r="X326" s="2">
        <f ca="1"/>
        <v>26.683518902288089</v>
      </c>
      <c r="AG326" s="2">
        <f ca="1"/>
        <v>0.13714898450114066</v>
      </c>
      <c r="AH326" s="2" t="str">
        <f ca="1"/>
        <v>OK</v>
      </c>
    </row>
    <row r="327" spans="2:34" x14ac:dyDescent="0.2">
      <c r="B327" s="2">
        <f ca="1"/>
        <v>0.67071117091784282</v>
      </c>
      <c r="O327" s="2">
        <f ca="1"/>
        <v>1.2700732183498182</v>
      </c>
      <c r="X327" s="2">
        <f ca="1"/>
        <v>44.282564697440741</v>
      </c>
      <c r="AG327" s="2">
        <f ca="1"/>
        <v>0.60975322586491143</v>
      </c>
      <c r="AH327" s="2" t="str">
        <f ca="1"/>
        <v>Bad</v>
      </c>
    </row>
    <row r="328" spans="2:34" x14ac:dyDescent="0.2">
      <c r="B328" s="2">
        <f ca="1"/>
        <v>0.37183452283549689</v>
      </c>
      <c r="O328" s="2">
        <f ca="1"/>
        <v>0.47132203505658221</v>
      </c>
      <c r="X328" s="2">
        <f ca="1"/>
        <v>55.765625377811041</v>
      </c>
      <c r="AG328" s="2">
        <f ca="1"/>
        <v>0.73422084515255803</v>
      </c>
      <c r="AH328" s="2" t="str">
        <f ca="1"/>
        <v>Bad</v>
      </c>
    </row>
    <row r="329" spans="2:34" x14ac:dyDescent="0.2">
      <c r="B329" s="2">
        <f ca="1"/>
        <v>0.73900057707047551</v>
      </c>
      <c r="O329" s="2">
        <f ca="1"/>
        <v>-0.43231012869332464</v>
      </c>
      <c r="X329" s="2">
        <f ca="1"/>
        <v>41.06882887223329</v>
      </c>
      <c r="AG329" s="2">
        <f ca="1"/>
        <v>0.65844610330722886</v>
      </c>
      <c r="AH329" s="2" t="str">
        <f ca="1"/>
        <v>Bad</v>
      </c>
    </row>
    <row r="330" spans="2:34" x14ac:dyDescent="0.2">
      <c r="B330" s="2">
        <f ca="1"/>
        <v>0.99977259167912291</v>
      </c>
      <c r="O330" s="2">
        <f ca="1"/>
        <v>-1.7000802819001346</v>
      </c>
      <c r="X330" s="2">
        <f ca="1"/>
        <v>60.745047457879622</v>
      </c>
      <c r="AG330" s="2">
        <f ca="1"/>
        <v>0.99812326348179137</v>
      </c>
      <c r="AH330" s="2" t="str">
        <f ca="1"/>
        <v>Bad</v>
      </c>
    </row>
    <row r="331" spans="2:34" x14ac:dyDescent="0.2">
      <c r="B331" s="2">
        <f ca="1"/>
        <v>0.87159763335640617</v>
      </c>
      <c r="O331" s="2">
        <f ca="1"/>
        <v>-2.397090650144631</v>
      </c>
      <c r="X331" s="2">
        <f ca="1"/>
        <v>53.734090185373226</v>
      </c>
      <c r="AG331" s="2">
        <f ca="1"/>
        <v>0.7926199036096091</v>
      </c>
      <c r="AH331" s="2" t="str">
        <f ca="1"/>
        <v>Bad</v>
      </c>
    </row>
    <row r="332" spans="2:34" x14ac:dyDescent="0.2">
      <c r="B332" s="2">
        <f ca="1"/>
        <v>0.21606306251805818</v>
      </c>
      <c r="O332" s="2">
        <f ca="1"/>
        <v>-2.4136955132161066</v>
      </c>
      <c r="X332" s="2">
        <f ca="1"/>
        <v>98.181006905573554</v>
      </c>
      <c r="AG332" s="2">
        <f ca="1"/>
        <v>0.5253608369021594</v>
      </c>
      <c r="AH332" s="2" t="str">
        <f ca="1"/>
        <v>Bad</v>
      </c>
    </row>
    <row r="333" spans="2:34" x14ac:dyDescent="0.2">
      <c r="B333" s="2">
        <f ca="1"/>
        <v>8.4675477136771482E-2</v>
      </c>
      <c r="O333" s="2">
        <f ca="1"/>
        <v>-0.52002825633414274</v>
      </c>
      <c r="X333" s="2">
        <f ca="1"/>
        <v>62.052070916520748</v>
      </c>
      <c r="AG333" s="2">
        <f ca="1"/>
        <v>0.9822997206244779</v>
      </c>
      <c r="AH333" s="2" t="str">
        <f ca="1"/>
        <v>Bad</v>
      </c>
    </row>
    <row r="334" spans="2:34" x14ac:dyDescent="0.2">
      <c r="B334" s="2">
        <f ca="1"/>
        <v>0.50780068856303151</v>
      </c>
      <c r="O334" s="2">
        <f ca="1"/>
        <v>0.59154259037291723</v>
      </c>
      <c r="X334" s="2">
        <f ca="1"/>
        <v>45.682987391139505</v>
      </c>
      <c r="AG334" s="2">
        <f ca="1"/>
        <v>0.61304615747897451</v>
      </c>
      <c r="AH334" s="2" t="str">
        <f ca="1"/>
        <v>Bad</v>
      </c>
    </row>
    <row r="335" spans="2:34" x14ac:dyDescent="0.2">
      <c r="B335" s="2">
        <f ca="1"/>
        <v>0.23979817370955359</v>
      </c>
      <c r="O335" s="2">
        <f ca="1"/>
        <v>-9.770610434472983E-2</v>
      </c>
      <c r="X335" s="2">
        <f ca="1"/>
        <v>39.45531076946628</v>
      </c>
      <c r="AG335" s="2">
        <f ca="1"/>
        <v>0.86910068657000061</v>
      </c>
      <c r="AH335" s="2" t="str">
        <f ca="1"/>
        <v>Bad</v>
      </c>
    </row>
    <row r="336" spans="2:34" x14ac:dyDescent="0.2">
      <c r="B336" s="2">
        <f ca="1"/>
        <v>0.69038281759724018</v>
      </c>
      <c r="O336" s="2">
        <f ca="1"/>
        <v>-0.55422136518592646</v>
      </c>
      <c r="X336" s="2">
        <f ca="1"/>
        <v>57.255192280407144</v>
      </c>
      <c r="AG336" s="2">
        <f ca="1"/>
        <v>0.39044345346061116</v>
      </c>
      <c r="AH336" s="2" t="str">
        <f ca="1"/>
        <v>OK</v>
      </c>
    </row>
    <row r="337" spans="2:34" x14ac:dyDescent="0.2">
      <c r="B337" s="2">
        <f ca="1"/>
        <v>0.47417832323510556</v>
      </c>
      <c r="O337" s="2">
        <f ca="1"/>
        <v>0.1194742410361592</v>
      </c>
      <c r="X337" s="2">
        <f ca="1"/>
        <v>43.921392797502705</v>
      </c>
      <c r="AG337" s="2">
        <f ca="1"/>
        <v>0.52257250662218357</v>
      </c>
      <c r="AH337" s="2" t="str">
        <f ca="1"/>
        <v>Bad</v>
      </c>
    </row>
    <row r="338" spans="2:34" x14ac:dyDescent="0.2">
      <c r="B338" s="2">
        <f ca="1"/>
        <v>0.57608574036217908</v>
      </c>
      <c r="O338" s="2">
        <f ca="1"/>
        <v>0.2160732026199092</v>
      </c>
      <c r="X338" s="2">
        <f ca="1"/>
        <v>63.99760418783093</v>
      </c>
      <c r="AG338" s="2">
        <f ca="1"/>
        <v>0.35207552228226624</v>
      </c>
      <c r="AH338" s="2" t="str">
        <f ca="1"/>
        <v>OK</v>
      </c>
    </row>
    <row r="339" spans="2:34" x14ac:dyDescent="0.2">
      <c r="B339" s="2">
        <f ca="1"/>
        <v>0.30200381612155902</v>
      </c>
      <c r="O339" s="2">
        <f ca="1"/>
        <v>-0.3287750783778029</v>
      </c>
      <c r="X339" s="2">
        <f ca="1"/>
        <v>70.239598101187553</v>
      </c>
      <c r="AG339" s="2">
        <f ca="1"/>
        <v>0.11374535152895304</v>
      </c>
      <c r="AH339" s="2" t="str">
        <f ca="1"/>
        <v>OK</v>
      </c>
    </row>
    <row r="340" spans="2:34" x14ac:dyDescent="0.2">
      <c r="B340" s="2">
        <f ca="1"/>
        <v>0.12171770584725738</v>
      </c>
      <c r="O340" s="2">
        <f ca="1"/>
        <v>-0.16554809325541026</v>
      </c>
      <c r="X340" s="2">
        <f ca="1"/>
        <v>32.725898185859819</v>
      </c>
      <c r="AG340" s="2">
        <f ca="1"/>
        <v>0.48905927753752221</v>
      </c>
      <c r="AH340" s="2" t="str">
        <f ca="1"/>
        <v>Bad</v>
      </c>
    </row>
    <row r="341" spans="2:34" x14ac:dyDescent="0.2">
      <c r="B341" s="2">
        <f ca="1"/>
        <v>0.54783468366283183</v>
      </c>
      <c r="O341" s="2">
        <f ca="1"/>
        <v>0.22091284146519474</v>
      </c>
      <c r="X341" s="2">
        <f ca="1"/>
        <v>54.302248905017471</v>
      </c>
      <c r="AG341" s="2">
        <f ca="1"/>
        <v>0.38458846370245325</v>
      </c>
      <c r="AH341" s="2" t="str">
        <f ca="1"/>
        <v>OK</v>
      </c>
    </row>
    <row r="342" spans="2:34" x14ac:dyDescent="0.2">
      <c r="B342" s="2">
        <f ca="1"/>
        <v>0.59451339456813801</v>
      </c>
      <c r="O342" s="2">
        <f ca="1"/>
        <v>2.5566473969940856E-3</v>
      </c>
      <c r="X342" s="2">
        <f ca="1"/>
        <v>43.312621383399652</v>
      </c>
      <c r="AG342" s="2">
        <f ca="1"/>
        <v>0.35446405338440901</v>
      </c>
      <c r="AH342" s="2" t="str">
        <f ca="1"/>
        <v>OK</v>
      </c>
    </row>
    <row r="343" spans="2:34" x14ac:dyDescent="0.2">
      <c r="B343" s="2">
        <f ca="1"/>
        <v>0.66471557915563384</v>
      </c>
      <c r="O343" s="2">
        <f ca="1"/>
        <v>1.4977305111068127</v>
      </c>
      <c r="X343" s="2">
        <f ca="1"/>
        <v>61.319487678034356</v>
      </c>
      <c r="AG343" s="2">
        <f ca="1"/>
        <v>0.28320822849816696</v>
      </c>
      <c r="AH343" s="2" t="str">
        <f ca="1"/>
        <v>OK</v>
      </c>
    </row>
    <row r="344" spans="2:34" x14ac:dyDescent="0.2">
      <c r="B344" s="2">
        <f ca="1"/>
        <v>0.40587195003718568</v>
      </c>
      <c r="O344" s="2">
        <f ca="1"/>
        <v>5.7928246500646785E-3</v>
      </c>
      <c r="X344" s="2">
        <f ca="1"/>
        <v>31.311874215368608</v>
      </c>
      <c r="AG344" s="2">
        <f ca="1"/>
        <v>0.2464038772967414</v>
      </c>
      <c r="AH344" s="2" t="str">
        <f ca="1"/>
        <v>OK</v>
      </c>
    </row>
    <row r="345" spans="2:34" x14ac:dyDescent="0.2">
      <c r="B345" s="2">
        <f ca="1"/>
        <v>0.54613343877052478</v>
      </c>
      <c r="O345" s="2">
        <f ca="1"/>
        <v>0.70758770477575361</v>
      </c>
      <c r="X345" s="2">
        <f ca="1"/>
        <v>23.774583228106657</v>
      </c>
      <c r="AG345" s="2">
        <f ca="1"/>
        <v>0.85448849373503144</v>
      </c>
      <c r="AH345" s="2" t="str">
        <f ca="1"/>
        <v>Bad</v>
      </c>
    </row>
    <row r="346" spans="2:34" x14ac:dyDescent="0.2">
      <c r="B346" s="2">
        <f ca="1"/>
        <v>0.19687040579237314</v>
      </c>
      <c r="O346" s="2">
        <f ca="1"/>
        <v>-1.1333144299790991</v>
      </c>
      <c r="X346" s="2">
        <f ca="1"/>
        <v>39.579750431483951</v>
      </c>
      <c r="AG346" s="2">
        <f ca="1"/>
        <v>0.34093437800198423</v>
      </c>
      <c r="AH346" s="2" t="str">
        <f ca="1"/>
        <v>OK</v>
      </c>
    </row>
    <row r="347" spans="2:34" x14ac:dyDescent="0.2">
      <c r="B347" s="2">
        <f ca="1"/>
        <v>0.18822451304187093</v>
      </c>
      <c r="O347" s="2">
        <f ca="1"/>
        <v>-0.6332015540025443</v>
      </c>
      <c r="X347" s="2">
        <f ca="1"/>
        <v>70.587319329379199</v>
      </c>
      <c r="AG347" s="2">
        <f ca="1"/>
        <v>9.81105576870831E-2</v>
      </c>
      <c r="AH347" s="2" t="str">
        <f ca="1"/>
        <v>OK</v>
      </c>
    </row>
    <row r="348" spans="2:34" x14ac:dyDescent="0.2">
      <c r="B348" s="2">
        <f ca="1"/>
        <v>0.43712359900746267</v>
      </c>
      <c r="O348" s="2">
        <f ca="1"/>
        <v>4.3069376072521334E-3</v>
      </c>
      <c r="X348" s="2">
        <f ca="1"/>
        <v>41.39307068359102</v>
      </c>
      <c r="AG348" s="2">
        <f ca="1"/>
        <v>0.41743368503760858</v>
      </c>
      <c r="AH348" s="2" t="str">
        <f ca="1"/>
        <v>Bad</v>
      </c>
    </row>
    <row r="349" spans="2:34" x14ac:dyDescent="0.2">
      <c r="B349" s="2">
        <f ca="1"/>
        <v>2.2551087391003977E-2</v>
      </c>
      <c r="O349" s="2">
        <f ca="1"/>
        <v>-0.86082926383061109</v>
      </c>
      <c r="X349" s="2">
        <f ca="1"/>
        <v>69.062909924692605</v>
      </c>
      <c r="AG349" s="2">
        <f ca="1"/>
        <v>0.25332261902930941</v>
      </c>
      <c r="AH349" s="2" t="str">
        <f ca="1"/>
        <v>OK</v>
      </c>
    </row>
    <row r="350" spans="2:34" x14ac:dyDescent="0.2">
      <c r="B350" s="2">
        <f ca="1"/>
        <v>0.71158036738826458</v>
      </c>
      <c r="O350" s="2">
        <f ca="1"/>
        <v>-0.95582468943122412</v>
      </c>
      <c r="X350" s="2">
        <f ca="1"/>
        <v>86.867890104331607</v>
      </c>
      <c r="AG350" s="2">
        <f ca="1"/>
        <v>0.43499603710716062</v>
      </c>
      <c r="AH350" s="2" t="str">
        <f ca="1"/>
        <v>Bad</v>
      </c>
    </row>
    <row r="351" spans="2:34" x14ac:dyDescent="0.2">
      <c r="B351" s="2">
        <f ca="1"/>
        <v>0.23917821550062035</v>
      </c>
      <c r="O351" s="2">
        <f ca="1"/>
        <v>-0.51734632720284179</v>
      </c>
      <c r="X351" s="2">
        <f ca="1"/>
        <v>80.602812020267933</v>
      </c>
      <c r="AG351" s="2">
        <f ca="1"/>
        <v>0.12451126466240514</v>
      </c>
      <c r="AH351" s="2" t="str">
        <f ca="1"/>
        <v>OK</v>
      </c>
    </row>
    <row r="352" spans="2:34" x14ac:dyDescent="0.2">
      <c r="B352" s="2">
        <f ca="1"/>
        <v>0.67555606039080218</v>
      </c>
      <c r="O352" s="2">
        <f ca="1"/>
        <v>-0.54301673495512437</v>
      </c>
      <c r="X352" s="2">
        <f ca="1"/>
        <v>50.716215816153287</v>
      </c>
      <c r="AG352" s="2">
        <f ca="1"/>
        <v>0.48331269450231895</v>
      </c>
      <c r="AH352" s="2" t="str">
        <f ca="1"/>
        <v>Bad</v>
      </c>
    </row>
    <row r="353" spans="2:34" x14ac:dyDescent="0.2">
      <c r="B353" s="2">
        <f ca="1"/>
        <v>0.51574226750304164</v>
      </c>
      <c r="O353" s="2">
        <f ca="1"/>
        <v>0.26132465865840049</v>
      </c>
      <c r="X353" s="2">
        <f ca="1"/>
        <v>35.721935826184598</v>
      </c>
      <c r="AG353" s="2">
        <f ca="1"/>
        <v>2.3581844805703023E-2</v>
      </c>
      <c r="AH353" s="2" t="str">
        <f ca="1"/>
        <v>Good</v>
      </c>
    </row>
    <row r="354" spans="2:34" x14ac:dyDescent="0.2">
      <c r="B354" s="2">
        <f ca="1"/>
        <v>0.84712678974964595</v>
      </c>
      <c r="O354" s="2">
        <f ca="1"/>
        <v>1.6615434484786751</v>
      </c>
      <c r="X354" s="2">
        <f ca="1"/>
        <v>32.777199234072881</v>
      </c>
      <c r="AG354" s="2">
        <f ca="1"/>
        <v>0.87614739734408453</v>
      </c>
      <c r="AH354" s="2" t="str">
        <f ca="1"/>
        <v>Bad</v>
      </c>
    </row>
    <row r="355" spans="2:34" x14ac:dyDescent="0.2">
      <c r="B355" s="2">
        <f ca="1"/>
        <v>0.86537970648739249</v>
      </c>
      <c r="O355" s="2">
        <f ca="1"/>
        <v>2.4235042225019661</v>
      </c>
      <c r="X355" s="2">
        <f ca="1"/>
        <v>86.381338267929294</v>
      </c>
      <c r="AG355" s="2">
        <f ca="1"/>
        <v>0.85997837944648214</v>
      </c>
      <c r="AH355" s="2" t="str">
        <f ca="1"/>
        <v>Bad</v>
      </c>
    </row>
    <row r="356" spans="2:34" x14ac:dyDescent="0.2">
      <c r="B356" s="2">
        <f ca="1"/>
        <v>8.3683259092427242E-2</v>
      </c>
      <c r="O356" s="2">
        <f ca="1"/>
        <v>-0.36177019859729947</v>
      </c>
      <c r="X356" s="2">
        <f ca="1"/>
        <v>42.109812405183433</v>
      </c>
      <c r="AG356" s="2">
        <f ca="1"/>
        <v>5.3278008160685841E-2</v>
      </c>
      <c r="AH356" s="2" t="str">
        <f ca="1"/>
        <v>OK</v>
      </c>
    </row>
    <row r="357" spans="2:34" x14ac:dyDescent="0.2">
      <c r="B357" s="2">
        <f ca="1"/>
        <v>0.5258371103975088</v>
      </c>
      <c r="O357" s="2">
        <f ca="1"/>
        <v>1.3351416631493016</v>
      </c>
      <c r="X357" s="2">
        <f ca="1"/>
        <v>55.722530544608617</v>
      </c>
      <c r="AG357" s="2">
        <f ca="1"/>
        <v>0.18429434489464103</v>
      </c>
      <c r="AH357" s="2" t="str">
        <f ca="1"/>
        <v>OK</v>
      </c>
    </row>
    <row r="358" spans="2:34" x14ac:dyDescent="0.2">
      <c r="B358" s="2">
        <f ca="1"/>
        <v>0.5190786636178697</v>
      </c>
      <c r="O358" s="2">
        <f ca="1"/>
        <v>-1.2373596710798807</v>
      </c>
      <c r="X358" s="2">
        <f ca="1"/>
        <v>25.849468610981326</v>
      </c>
      <c r="AG358" s="2">
        <f ca="1"/>
        <v>0.60758908412021162</v>
      </c>
      <c r="AH358" s="2" t="str">
        <f ca="1"/>
        <v>Bad</v>
      </c>
    </row>
    <row r="359" spans="2:34" x14ac:dyDescent="0.2">
      <c r="B359" s="2">
        <f ca="1"/>
        <v>0.98342332477864081</v>
      </c>
      <c r="O359" s="2">
        <f ca="1"/>
        <v>1.2917436114646319E-2</v>
      </c>
      <c r="X359" s="2">
        <f ca="1"/>
        <v>51.29929256303177</v>
      </c>
      <c r="AG359" s="2">
        <f ca="1"/>
        <v>0.42841646689750945</v>
      </c>
      <c r="AH359" s="2" t="str">
        <f ca="1"/>
        <v>Bad</v>
      </c>
    </row>
    <row r="360" spans="2:34" x14ac:dyDescent="0.2">
      <c r="B360" s="2">
        <f ca="1"/>
        <v>0.30320977922900383</v>
      </c>
      <c r="O360" s="2">
        <f ca="1"/>
        <v>-0.45602349729412128</v>
      </c>
      <c r="X360" s="2">
        <f ca="1"/>
        <v>23.300509746574882</v>
      </c>
      <c r="AG360" s="2">
        <f ca="1"/>
        <v>0.86233383536902997</v>
      </c>
      <c r="AH360" s="2" t="str">
        <f ca="1"/>
        <v>Bad</v>
      </c>
    </row>
    <row r="361" spans="2:34" x14ac:dyDescent="0.2">
      <c r="B361" s="2">
        <f ca="1"/>
        <v>0.36520612655209028</v>
      </c>
      <c r="O361" s="2">
        <f ca="1"/>
        <v>1.2791308175671181</v>
      </c>
      <c r="X361" s="2">
        <f ca="1"/>
        <v>43.127861132917751</v>
      </c>
      <c r="AG361" s="2">
        <f ca="1"/>
        <v>0.80028828679795527</v>
      </c>
      <c r="AH361" s="2" t="str">
        <f ca="1"/>
        <v>Bad</v>
      </c>
    </row>
    <row r="362" spans="2:34" x14ac:dyDescent="0.2">
      <c r="B362" s="2">
        <f ca="1"/>
        <v>0.78272944071497608</v>
      </c>
      <c r="O362" s="2">
        <f ca="1"/>
        <v>1.5474972332452392</v>
      </c>
      <c r="X362" s="2">
        <f ca="1"/>
        <v>72.486747378130417</v>
      </c>
      <c r="AG362" s="2">
        <f ca="1"/>
        <v>0.91507224138878573</v>
      </c>
      <c r="AH362" s="2" t="str">
        <f ca="1"/>
        <v>Bad</v>
      </c>
    </row>
    <row r="363" spans="2:34" x14ac:dyDescent="0.2">
      <c r="B363" s="2">
        <f ca="1"/>
        <v>0.71070835897844087</v>
      </c>
      <c r="O363" s="2">
        <f ca="1"/>
        <v>-4.6982457011073304E-3</v>
      </c>
      <c r="X363" s="2">
        <f ca="1"/>
        <v>28.683743255630205</v>
      </c>
      <c r="AG363" s="2">
        <f ca="1"/>
        <v>0.9882238482068626</v>
      </c>
      <c r="AH363" s="2" t="str">
        <f ca="1"/>
        <v>Bad</v>
      </c>
    </row>
    <row r="364" spans="2:34" x14ac:dyDescent="0.2">
      <c r="B364" s="2">
        <f ca="1"/>
        <v>0.55644757382924981</v>
      </c>
      <c r="O364" s="2">
        <f ca="1"/>
        <v>1.3951185734816622</v>
      </c>
      <c r="X364" s="2">
        <f ca="1"/>
        <v>50.64159527350661</v>
      </c>
      <c r="AG364" s="2">
        <f ca="1"/>
        <v>4.3865062077792283E-2</v>
      </c>
      <c r="AH364" s="2" t="str">
        <f ca="1"/>
        <v>Good</v>
      </c>
    </row>
    <row r="365" spans="2:34" x14ac:dyDescent="0.2">
      <c r="B365" s="2">
        <f ca="1"/>
        <v>0.65622398080031963</v>
      </c>
      <c r="O365" s="2">
        <f ca="1"/>
        <v>0.53860905417967886</v>
      </c>
      <c r="X365" s="2">
        <f ca="1"/>
        <v>44.362796712249775</v>
      </c>
      <c r="AG365" s="2">
        <f ca="1"/>
        <v>0.26244478455407005</v>
      </c>
      <c r="AH365" s="2" t="str">
        <f ca="1"/>
        <v>OK</v>
      </c>
    </row>
    <row r="366" spans="2:34" x14ac:dyDescent="0.2">
      <c r="B366" s="2">
        <f ca="1"/>
        <v>0.85415878665021405</v>
      </c>
      <c r="O366" s="2">
        <f ca="1"/>
        <v>1.3911260997410775</v>
      </c>
      <c r="X366" s="2">
        <f ca="1"/>
        <v>32.252765757893719</v>
      </c>
      <c r="AG366" s="2">
        <f ca="1"/>
        <v>0.74190185858330726</v>
      </c>
      <c r="AH366" s="2" t="str">
        <f ca="1"/>
        <v>Bad</v>
      </c>
    </row>
    <row r="367" spans="2:34" x14ac:dyDescent="0.2">
      <c r="B367" s="2">
        <f ca="1"/>
        <v>0.23379410282550817</v>
      </c>
      <c r="O367" s="2">
        <f ca="1"/>
        <v>0.60103666645926068</v>
      </c>
      <c r="X367" s="2">
        <f ca="1"/>
        <v>64.03996908455008</v>
      </c>
      <c r="AG367" s="2">
        <f ca="1"/>
        <v>0.4358186492431404</v>
      </c>
      <c r="AH367" s="2" t="str">
        <f ca="1"/>
        <v>Bad</v>
      </c>
    </row>
    <row r="368" spans="2:34" x14ac:dyDescent="0.2">
      <c r="B368" s="2">
        <f ca="1"/>
        <v>0.28547929713428721</v>
      </c>
      <c r="O368" s="2">
        <f ca="1"/>
        <v>0.72477724681269162</v>
      </c>
      <c r="X368" s="2">
        <f ca="1"/>
        <v>39.812586442826699</v>
      </c>
      <c r="AG368" s="2">
        <f ca="1"/>
        <v>0.24161010204028188</v>
      </c>
      <c r="AH368" s="2" t="str">
        <f ca="1"/>
        <v>OK</v>
      </c>
    </row>
    <row r="369" spans="2:34" x14ac:dyDescent="0.2">
      <c r="B369" s="2">
        <f ca="1"/>
        <v>0.16383717272863429</v>
      </c>
      <c r="O369" s="2">
        <f ca="1"/>
        <v>0.69240885692178378</v>
      </c>
      <c r="X369" s="2">
        <f ca="1"/>
        <v>81.121196160220421</v>
      </c>
      <c r="AG369" s="2">
        <f ca="1"/>
        <v>0.27140469893010599</v>
      </c>
      <c r="AH369" s="2" t="str">
        <f ca="1"/>
        <v>OK</v>
      </c>
    </row>
    <row r="370" spans="2:34" x14ac:dyDescent="0.2">
      <c r="B370" s="2">
        <f ca="1"/>
        <v>0.74720160578089589</v>
      </c>
      <c r="O370" s="2">
        <f ca="1"/>
        <v>6.7359985221784033E-2</v>
      </c>
      <c r="X370" s="2">
        <f ca="1"/>
        <v>62.773458757439833</v>
      </c>
      <c r="AG370" s="2">
        <f ca="1"/>
        <v>2.4944117083221196E-2</v>
      </c>
      <c r="AH370" s="2" t="str">
        <f ca="1"/>
        <v>Good</v>
      </c>
    </row>
    <row r="371" spans="2:34" x14ac:dyDescent="0.2">
      <c r="B371" s="2">
        <f ca="1"/>
        <v>7.6613853909812679E-2</v>
      </c>
      <c r="O371" s="2">
        <f ca="1"/>
        <v>-0.48030009890172426</v>
      </c>
      <c r="X371" s="2">
        <f ca="1"/>
        <v>30.119881341361481</v>
      </c>
      <c r="AG371" s="2">
        <f ca="1"/>
        <v>0.82767231690926835</v>
      </c>
      <c r="AH371" s="2" t="str">
        <f ca="1"/>
        <v>Bad</v>
      </c>
    </row>
    <row r="372" spans="2:34" x14ac:dyDescent="0.2">
      <c r="B372" s="2">
        <f ca="1"/>
        <v>0.84480631997437317</v>
      </c>
      <c r="O372" s="2">
        <f ca="1"/>
        <v>2.2254869854633124</v>
      </c>
      <c r="X372" s="2">
        <f ca="1"/>
        <v>37.717017374669794</v>
      </c>
      <c r="AG372" s="2">
        <f ca="1"/>
        <v>0.95406440476706322</v>
      </c>
      <c r="AH372" s="2" t="str">
        <f ca="1"/>
        <v>Bad</v>
      </c>
    </row>
    <row r="373" spans="2:34" x14ac:dyDescent="0.2">
      <c r="B373" s="2">
        <f ca="1"/>
        <v>0.55278418179764666</v>
      </c>
      <c r="O373" s="2">
        <f ca="1"/>
        <v>0.66558600535873047</v>
      </c>
      <c r="X373" s="2">
        <f ca="1"/>
        <v>48.770184215179249</v>
      </c>
      <c r="AG373" s="2">
        <f ca="1"/>
        <v>0.28464086325797289</v>
      </c>
      <c r="AH373" s="2" t="str">
        <f ca="1"/>
        <v>OK</v>
      </c>
    </row>
    <row r="374" spans="2:34" x14ac:dyDescent="0.2">
      <c r="B374" s="2">
        <f ca="1"/>
        <v>0.79516019782209368</v>
      </c>
      <c r="O374" s="2">
        <f ca="1"/>
        <v>0.3536052650813753</v>
      </c>
      <c r="X374" s="2">
        <f ca="1"/>
        <v>35.772006726237308</v>
      </c>
      <c r="AG374" s="2">
        <f ca="1"/>
        <v>0.6334748250948119</v>
      </c>
      <c r="AH374" s="2" t="str">
        <f ca="1"/>
        <v>Bad</v>
      </c>
    </row>
    <row r="375" spans="2:34" x14ac:dyDescent="0.2">
      <c r="B375" s="2">
        <f ca="1"/>
        <v>0.34553531713860974</v>
      </c>
      <c r="O375" s="2">
        <f ca="1"/>
        <v>-1.373760373361566</v>
      </c>
      <c r="X375" s="2">
        <f ca="1"/>
        <v>55.828407186656442</v>
      </c>
      <c r="AG375" s="2">
        <f ca="1"/>
        <v>0.12195744926288365</v>
      </c>
      <c r="AH375" s="2" t="str">
        <f ca="1"/>
        <v>OK</v>
      </c>
    </row>
    <row r="376" spans="2:34" x14ac:dyDescent="0.2">
      <c r="B376" s="2">
        <f ca="1"/>
        <v>6.8652482228187317E-2</v>
      </c>
      <c r="O376" s="2">
        <f ca="1"/>
        <v>0.64608868651716267</v>
      </c>
      <c r="X376" s="2">
        <f ca="1"/>
        <v>31.989520010480824</v>
      </c>
      <c r="AG376" s="2">
        <f ca="1"/>
        <v>0.43683825850941149</v>
      </c>
      <c r="AH376" s="2" t="str">
        <f ca="1"/>
        <v>Bad</v>
      </c>
    </row>
    <row r="377" spans="2:34" x14ac:dyDescent="0.2">
      <c r="B377" s="2">
        <f ca="1"/>
        <v>0.44317551703246827</v>
      </c>
      <c r="O377" s="2">
        <f ca="1"/>
        <v>-0.46896580420032247</v>
      </c>
      <c r="X377" s="2">
        <f ca="1"/>
        <v>52.258997681962889</v>
      </c>
      <c r="AG377" s="2">
        <f ca="1"/>
        <v>0.94325193072332003</v>
      </c>
      <c r="AH377" s="2" t="str">
        <f ca="1"/>
        <v>Bad</v>
      </c>
    </row>
    <row r="378" spans="2:34" x14ac:dyDescent="0.2">
      <c r="B378" s="2">
        <f ca="1"/>
        <v>5.5023006240416672E-2</v>
      </c>
      <c r="O378" s="2">
        <f ca="1"/>
        <v>0.66021365320397951</v>
      </c>
      <c r="X378" s="2">
        <f ca="1"/>
        <v>51.127881274917669</v>
      </c>
      <c r="AG378" s="2">
        <f ca="1"/>
        <v>6.8229506041821208E-2</v>
      </c>
      <c r="AH378" s="2" t="str">
        <f ca="1"/>
        <v>OK</v>
      </c>
    </row>
    <row r="379" spans="2:34" x14ac:dyDescent="0.2">
      <c r="B379" s="2">
        <f ca="1"/>
        <v>0.48641596289928213</v>
      </c>
      <c r="O379" s="2">
        <f ca="1"/>
        <v>-0.5122413959426978</v>
      </c>
      <c r="X379" s="2">
        <f ca="1"/>
        <v>55.136541188735144</v>
      </c>
      <c r="AG379" s="2">
        <f ca="1"/>
        <v>0.95010010575204262</v>
      </c>
      <c r="AH379" s="2" t="str">
        <f ca="1"/>
        <v>Bad</v>
      </c>
    </row>
    <row r="380" spans="2:34" x14ac:dyDescent="0.2">
      <c r="B380" s="2">
        <f ca="1"/>
        <v>0.84491673137428203</v>
      </c>
      <c r="O380" s="2">
        <f ca="1"/>
        <v>0.40592002468803406</v>
      </c>
      <c r="X380" s="2">
        <f ca="1"/>
        <v>37.923603151816508</v>
      </c>
      <c r="AG380" s="2">
        <f ca="1"/>
        <v>0.12212028244836426</v>
      </c>
      <c r="AH380" s="2" t="str">
        <f ca="1"/>
        <v>OK</v>
      </c>
    </row>
    <row r="381" spans="2:34" x14ac:dyDescent="0.2">
      <c r="B381" s="2">
        <f ca="1"/>
        <v>0.10248760244847865</v>
      </c>
      <c r="O381" s="2">
        <f ca="1"/>
        <v>-1.1805166854531259E-2</v>
      </c>
      <c r="X381" s="2">
        <f ca="1"/>
        <v>41.990147223328165</v>
      </c>
      <c r="AG381" s="2">
        <f ca="1"/>
        <v>0.46072604535786144</v>
      </c>
      <c r="AH381" s="2" t="str">
        <f ca="1"/>
        <v>Bad</v>
      </c>
    </row>
    <row r="382" spans="2:34" x14ac:dyDescent="0.2">
      <c r="B382" s="2">
        <f ca="1"/>
        <v>0.70033556459630697</v>
      </c>
      <c r="O382" s="2">
        <f ca="1"/>
        <v>-1.0330649814197996</v>
      </c>
      <c r="X382" s="2">
        <f ca="1"/>
        <v>42.907992779422955</v>
      </c>
      <c r="AG382" s="2">
        <f ca="1"/>
        <v>0.41799873593722991</v>
      </c>
      <c r="AH382" s="2" t="str">
        <f ca="1"/>
        <v>Bad</v>
      </c>
    </row>
    <row r="383" spans="2:34" x14ac:dyDescent="0.2">
      <c r="B383" s="2">
        <f ca="1"/>
        <v>0.68463020232573313</v>
      </c>
      <c r="O383" s="2">
        <f ca="1"/>
        <v>0.19447972655298873</v>
      </c>
      <c r="X383" s="2">
        <f ca="1"/>
        <v>50.287795326237998</v>
      </c>
      <c r="AG383" s="2">
        <f ca="1"/>
        <v>0.16273522055102374</v>
      </c>
      <c r="AH383" s="2" t="str">
        <f ca="1"/>
        <v>OK</v>
      </c>
    </row>
    <row r="384" spans="2:34" x14ac:dyDescent="0.2">
      <c r="B384" s="2">
        <f ca="1"/>
        <v>0.98456593756563549</v>
      </c>
      <c r="O384" s="2">
        <f ca="1"/>
        <v>-0.1664181242689107</v>
      </c>
      <c r="X384" s="2">
        <f ca="1"/>
        <v>67.588672368713844</v>
      </c>
      <c r="AG384" s="2">
        <f ca="1"/>
        <v>0.12659041745644561</v>
      </c>
      <c r="AH384" s="2" t="str">
        <f ca="1"/>
        <v>OK</v>
      </c>
    </row>
    <row r="385" spans="2:34" x14ac:dyDescent="0.2">
      <c r="B385" s="2">
        <f ca="1"/>
        <v>0.97762155121566363</v>
      </c>
      <c r="O385" s="2">
        <f ca="1"/>
        <v>-5.8843888316153859E-3</v>
      </c>
      <c r="X385" s="2">
        <f ca="1"/>
        <v>53.773055477798707</v>
      </c>
      <c r="AG385" s="2">
        <f ca="1"/>
        <v>0.78708033153765933</v>
      </c>
      <c r="AH385" s="2" t="str">
        <f ca="1"/>
        <v>Bad</v>
      </c>
    </row>
    <row r="386" spans="2:34" x14ac:dyDescent="0.2">
      <c r="B386" s="2">
        <f ca="1"/>
        <v>0.63142694021385037</v>
      </c>
      <c r="O386" s="2">
        <f ca="1"/>
        <v>-0.23792482579138888</v>
      </c>
      <c r="X386" s="2">
        <f ca="1"/>
        <v>53.881013460711472</v>
      </c>
      <c r="AG386" s="2">
        <f ca="1"/>
        <v>1.2221988184422328E-2</v>
      </c>
      <c r="AH386" s="2" t="str">
        <f ca="1"/>
        <v>Good</v>
      </c>
    </row>
    <row r="387" spans="2:34" x14ac:dyDescent="0.2">
      <c r="B387" s="2">
        <f ca="1"/>
        <v>0.45137563761632782</v>
      </c>
      <c r="O387" s="2">
        <f ca="1"/>
        <v>-1.9239249206982703</v>
      </c>
      <c r="X387" s="2">
        <f ca="1"/>
        <v>69.537400313210426</v>
      </c>
      <c r="AG387" s="2">
        <f ca="1"/>
        <v>3.5030987899027588E-2</v>
      </c>
      <c r="AH387" s="2" t="str">
        <f ca="1"/>
        <v>Good</v>
      </c>
    </row>
    <row r="388" spans="2:34" x14ac:dyDescent="0.2">
      <c r="B388" s="2">
        <f ca="1"/>
        <v>5.7435660729077576E-2</v>
      </c>
      <c r="O388" s="2">
        <f ca="1"/>
        <v>-1.0598778168734075</v>
      </c>
      <c r="X388" s="2">
        <f ca="1"/>
        <v>61.487398041707252</v>
      </c>
      <c r="AG388" s="2">
        <f ca="1"/>
        <v>0.41294401135277181</v>
      </c>
      <c r="AH388" s="2" t="str">
        <f ca="1"/>
        <v>Bad</v>
      </c>
    </row>
    <row r="389" spans="2:34" x14ac:dyDescent="0.2">
      <c r="B389" s="2">
        <f ca="1"/>
        <v>0.95733729703912962</v>
      </c>
      <c r="O389" s="2">
        <f ca="1"/>
        <v>8.5704178142818735E-2</v>
      </c>
      <c r="X389" s="2">
        <f ca="1"/>
        <v>43.316215985308418</v>
      </c>
      <c r="AG389" s="2">
        <f ca="1"/>
        <v>0.32449266252465891</v>
      </c>
      <c r="AH389" s="2" t="str">
        <f ca="1"/>
        <v>OK</v>
      </c>
    </row>
    <row r="390" spans="2:34" x14ac:dyDescent="0.2">
      <c r="B390" s="2">
        <f ca="1"/>
        <v>7.2256654335217219E-2</v>
      </c>
      <c r="O390" s="2">
        <f ca="1"/>
        <v>0.2058273200303776</v>
      </c>
      <c r="X390" s="2">
        <f ca="1"/>
        <v>57.260465454725711</v>
      </c>
      <c r="AG390" s="2">
        <f ca="1"/>
        <v>0.93468106084647395</v>
      </c>
      <c r="AH390" s="2" t="str">
        <f ca="1"/>
        <v>Bad</v>
      </c>
    </row>
    <row r="391" spans="2:34" x14ac:dyDescent="0.2">
      <c r="B391" s="2">
        <f ca="1"/>
        <v>1.6920673615411275E-2</v>
      </c>
      <c r="O391" s="2">
        <f ca="1"/>
        <v>-0.29732610202561016</v>
      </c>
      <c r="X391" s="2">
        <f ca="1"/>
        <v>46.508020832298278</v>
      </c>
      <c r="AG391" s="2">
        <f ca="1"/>
        <v>4.2879679724602493E-2</v>
      </c>
      <c r="AH391" s="2" t="str">
        <f ca="1"/>
        <v>Good</v>
      </c>
    </row>
    <row r="392" spans="2:34" x14ac:dyDescent="0.2">
      <c r="B392" s="2">
        <f ca="1"/>
        <v>0.23080145016820208</v>
      </c>
      <c r="O392" s="2">
        <f ca="1"/>
        <v>-1.6023634037012195</v>
      </c>
      <c r="X392" s="2">
        <f ca="1"/>
        <v>50.0509679940998</v>
      </c>
      <c r="AG392" s="2">
        <f ca="1"/>
        <v>0.79793712257928662</v>
      </c>
      <c r="AH392" s="2" t="str">
        <f ca="1"/>
        <v>Bad</v>
      </c>
    </row>
    <row r="393" spans="2:34" x14ac:dyDescent="0.2">
      <c r="B393" s="2">
        <f ca="1"/>
        <v>0.92759044646818078</v>
      </c>
      <c r="O393" s="2">
        <f ca="1"/>
        <v>-0.29227846927377821</v>
      </c>
      <c r="X393" s="2">
        <f ca="1"/>
        <v>25.781013764598168</v>
      </c>
      <c r="AG393" s="2">
        <f ca="1"/>
        <v>0.21882053210015417</v>
      </c>
      <c r="AH393" s="2" t="str">
        <f ca="1"/>
        <v>OK</v>
      </c>
    </row>
    <row r="394" spans="2:34" x14ac:dyDescent="0.2">
      <c r="B394" s="2">
        <f ca="1"/>
        <v>9.6596378618414303E-2</v>
      </c>
      <c r="O394" s="2">
        <f ca="1"/>
        <v>-1.0473479208906751</v>
      </c>
      <c r="X394" s="2">
        <f ca="1"/>
        <v>46.184386650365106</v>
      </c>
      <c r="AG394" s="2">
        <f ca="1"/>
        <v>0.13588692418652459</v>
      </c>
      <c r="AH394" s="2" t="str">
        <f ca="1"/>
        <v>OK</v>
      </c>
    </row>
    <row r="395" spans="2:34" x14ac:dyDescent="0.2">
      <c r="B395" s="2">
        <f ca="1"/>
        <v>0.48786184470600413</v>
      </c>
      <c r="O395" s="2">
        <f ca="1"/>
        <v>0.54461073708211305</v>
      </c>
      <c r="X395" s="2">
        <f ca="1"/>
        <v>64.117015835284334</v>
      </c>
      <c r="AG395" s="2">
        <f ca="1"/>
        <v>0.54826919771962723</v>
      </c>
      <c r="AH395" s="2" t="str">
        <f ca="1"/>
        <v>Bad</v>
      </c>
    </row>
    <row r="396" spans="2:34" x14ac:dyDescent="0.2">
      <c r="B396" s="2">
        <f ca="1"/>
        <v>0.34304807437941642</v>
      </c>
      <c r="O396" s="2">
        <f ca="1"/>
        <v>-1.1825199395840804</v>
      </c>
      <c r="X396" s="2">
        <f ca="1"/>
        <v>51.956816626449594</v>
      </c>
      <c r="AG396" s="2">
        <f ca="1"/>
        <v>0.61775806958662738</v>
      </c>
      <c r="AH396" s="2" t="str">
        <f ca="1"/>
        <v>Bad</v>
      </c>
    </row>
    <row r="397" spans="2:34" x14ac:dyDescent="0.2">
      <c r="B397" s="2">
        <f ca="1"/>
        <v>2.5517473834870463E-2</v>
      </c>
      <c r="O397" s="2">
        <f ca="1"/>
        <v>0.58910857901851632</v>
      </c>
      <c r="X397" s="2">
        <f ca="1"/>
        <v>42.697113147415763</v>
      </c>
      <c r="AG397" s="2">
        <f ca="1"/>
        <v>0.95683308136314715</v>
      </c>
      <c r="AH397" s="2" t="str">
        <f ca="1"/>
        <v>Bad</v>
      </c>
    </row>
    <row r="398" spans="2:34" x14ac:dyDescent="0.2">
      <c r="B398" s="2">
        <f ca="1"/>
        <v>0.37671727371711383</v>
      </c>
      <c r="O398" s="2">
        <f ca="1"/>
        <v>-0.65517838613914414</v>
      </c>
      <c r="X398" s="2">
        <f ca="1"/>
        <v>63.391568239940483</v>
      </c>
      <c r="AG398" s="2">
        <f ca="1"/>
        <v>0.51998809833542992</v>
      </c>
      <c r="AH398" s="2" t="str">
        <f ca="1"/>
        <v>Bad</v>
      </c>
    </row>
    <row r="399" spans="2:34" x14ac:dyDescent="0.2">
      <c r="B399" s="2">
        <f ca="1"/>
        <v>0.65035518153035743</v>
      </c>
      <c r="O399" s="2">
        <f ca="1"/>
        <v>0.64490452417874389</v>
      </c>
      <c r="X399" s="2">
        <f ca="1"/>
        <v>43.896379723418889</v>
      </c>
      <c r="AG399" s="2">
        <f ca="1"/>
        <v>0.49787691374233045</v>
      </c>
      <c r="AH399" s="2" t="str">
        <f ca="1"/>
        <v>Bad</v>
      </c>
    </row>
    <row r="400" spans="2:34" x14ac:dyDescent="0.2">
      <c r="B400" s="2">
        <f ca="1"/>
        <v>0.62780162296593067</v>
      </c>
      <c r="O400" s="2">
        <f ca="1"/>
        <v>1.2259964968088848</v>
      </c>
      <c r="X400" s="2">
        <f ca="1"/>
        <v>42.509290273949638</v>
      </c>
      <c r="AG400" s="2">
        <f ca="1"/>
        <v>0.39359711933436081</v>
      </c>
      <c r="AH400" s="2" t="str">
        <f ca="1"/>
        <v>OK</v>
      </c>
    </row>
    <row r="401" spans="2:34" x14ac:dyDescent="0.2">
      <c r="B401" s="2">
        <f ca="1"/>
        <v>0.69811923301557743</v>
      </c>
      <c r="O401" s="2">
        <f ca="1"/>
        <v>0.77869950041104152</v>
      </c>
      <c r="X401" s="2">
        <f ca="1"/>
        <v>59.505834083891855</v>
      </c>
      <c r="AG401" s="2">
        <f ca="1"/>
        <v>0.57452170059379948</v>
      </c>
      <c r="AH401" s="2" t="str">
        <f ca="1"/>
        <v>Bad</v>
      </c>
    </row>
    <row r="402" spans="2:34" x14ac:dyDescent="0.2">
      <c r="B402" s="2">
        <f ca="1"/>
        <v>0.58636153525317392</v>
      </c>
      <c r="O402" s="2">
        <f ca="1"/>
        <v>-0.44021616286636855</v>
      </c>
      <c r="X402" s="2">
        <f ca="1"/>
        <v>37.346906960584271</v>
      </c>
      <c r="AG402" s="2">
        <f ca="1"/>
        <v>0.55447537886548415</v>
      </c>
      <c r="AH402" s="2" t="str">
        <f ca="1"/>
        <v>Bad</v>
      </c>
    </row>
    <row r="403" spans="2:34" x14ac:dyDescent="0.2">
      <c r="B403" s="2">
        <f ca="1"/>
        <v>0.25360579021332574</v>
      </c>
      <c r="O403" s="2">
        <f ca="1"/>
        <v>1.2044544315921641</v>
      </c>
      <c r="X403" s="2">
        <f ca="1"/>
        <v>39.453259499455541</v>
      </c>
      <c r="AG403" s="2">
        <f ca="1"/>
        <v>0.2689471402830852</v>
      </c>
      <c r="AH403" s="2" t="str">
        <f ca="1"/>
        <v>OK</v>
      </c>
    </row>
    <row r="404" spans="2:34" x14ac:dyDescent="0.2">
      <c r="B404" s="2">
        <f ca="1"/>
        <v>0.92210171057087664</v>
      </c>
      <c r="O404" s="2">
        <f ca="1"/>
        <v>-0.38373592728841488</v>
      </c>
      <c r="X404" s="2">
        <f ca="1"/>
        <v>53.432546541678121</v>
      </c>
      <c r="AG404" s="2">
        <f ca="1"/>
        <v>0.64747035237547679</v>
      </c>
      <c r="AH404" s="2" t="str">
        <f ca="1"/>
        <v>Bad</v>
      </c>
    </row>
    <row r="405" spans="2:34" x14ac:dyDescent="0.2">
      <c r="B405" s="2">
        <f ca="1"/>
        <v>0.48345712627474646</v>
      </c>
      <c r="O405" s="2">
        <f ca="1"/>
        <v>-1.639668768993556E-2</v>
      </c>
      <c r="X405" s="2">
        <f ca="1"/>
        <v>33.346980783301333</v>
      </c>
      <c r="AG405" s="2">
        <f ca="1"/>
        <v>0.76674501633836578</v>
      </c>
      <c r="AH405" s="2" t="str">
        <f ca="1"/>
        <v>Bad</v>
      </c>
    </row>
    <row r="406" spans="2:34" x14ac:dyDescent="0.2">
      <c r="B406" s="2">
        <f ca="1"/>
        <v>0.68565902476153795</v>
      </c>
      <c r="O406" s="2">
        <f ca="1"/>
        <v>0.38863510539055357</v>
      </c>
      <c r="X406" s="2">
        <f ca="1"/>
        <v>72.456192217661069</v>
      </c>
      <c r="AG406" s="2">
        <f ca="1"/>
        <v>6.7224970880378931E-2</v>
      </c>
      <c r="AH406" s="2" t="str">
        <f ca="1"/>
        <v>OK</v>
      </c>
    </row>
    <row r="407" spans="2:34" x14ac:dyDescent="0.2">
      <c r="B407" s="2">
        <f ca="1"/>
        <v>0.47598980217816123</v>
      </c>
      <c r="O407" s="2">
        <f ca="1"/>
        <v>-0.3211940857937316</v>
      </c>
      <c r="X407" s="2">
        <f ca="1"/>
        <v>101.75938915620745</v>
      </c>
      <c r="AG407" s="2">
        <f ca="1"/>
        <v>0.41680574033405215</v>
      </c>
      <c r="AH407" s="2" t="str">
        <f ca="1"/>
        <v>Bad</v>
      </c>
    </row>
    <row r="408" spans="2:34" x14ac:dyDescent="0.2">
      <c r="B408" s="2">
        <f ca="1"/>
        <v>0.55078457981684847</v>
      </c>
      <c r="O408" s="2">
        <f ca="1"/>
        <v>-0.10452832240573873</v>
      </c>
      <c r="X408" s="2">
        <f ca="1"/>
        <v>46.494456759395973</v>
      </c>
      <c r="AG408" s="2">
        <f ca="1"/>
        <v>0.48248772070983681</v>
      </c>
      <c r="AH408" s="2" t="str">
        <f ca="1"/>
        <v>Bad</v>
      </c>
    </row>
    <row r="409" spans="2:34" x14ac:dyDescent="0.2">
      <c r="B409" s="2">
        <f ca="1"/>
        <v>0.92983460693933728</v>
      </c>
      <c r="O409" s="2">
        <f ca="1"/>
        <v>-0.20580894092922389</v>
      </c>
      <c r="X409" s="2">
        <f ca="1"/>
        <v>49.17563023733328</v>
      </c>
      <c r="AG409" s="2">
        <f ca="1"/>
        <v>0.54180747611285707</v>
      </c>
      <c r="AH409" s="2" t="str">
        <f ca="1"/>
        <v>Bad</v>
      </c>
    </row>
    <row r="410" spans="2:34" x14ac:dyDescent="0.2">
      <c r="B410" s="2">
        <f ca="1"/>
        <v>7.6220033481247729E-2</v>
      </c>
      <c r="O410" s="2">
        <f ca="1"/>
        <v>0.21087326626680722</v>
      </c>
      <c r="X410" s="2">
        <f ca="1"/>
        <v>44.640771247034792</v>
      </c>
      <c r="AG410" s="2">
        <f ca="1"/>
        <v>0.61876252572659096</v>
      </c>
      <c r="AH410" s="2" t="str">
        <f ca="1"/>
        <v>Bad</v>
      </c>
    </row>
    <row r="411" spans="2:34" x14ac:dyDescent="0.2">
      <c r="B411" s="2">
        <f ca="1"/>
        <v>0.39989589599079167</v>
      </c>
      <c r="O411" s="2">
        <f ca="1"/>
        <v>-0.71905221699975386</v>
      </c>
      <c r="X411" s="2">
        <f ca="1"/>
        <v>30.703409469084843</v>
      </c>
      <c r="AG411" s="2">
        <f ca="1"/>
        <v>0.1745918147880543</v>
      </c>
      <c r="AH411" s="2" t="str">
        <f ca="1"/>
        <v>OK</v>
      </c>
    </row>
    <row r="412" spans="2:34" x14ac:dyDescent="0.2">
      <c r="B412" s="2">
        <f ca="1"/>
        <v>0.39522943582815939</v>
      </c>
      <c r="O412" s="2">
        <f ca="1"/>
        <v>-0.77593205129774379</v>
      </c>
      <c r="X412" s="2">
        <f ca="1"/>
        <v>57.593362922954967</v>
      </c>
      <c r="AG412" s="2">
        <f ca="1"/>
        <v>0.66532930491125009</v>
      </c>
      <c r="AH412" s="2" t="str">
        <f ca="1"/>
        <v>Bad</v>
      </c>
    </row>
    <row r="413" spans="2:34" x14ac:dyDescent="0.2">
      <c r="B413" s="2">
        <f ca="1"/>
        <v>0.39432432604072698</v>
      </c>
      <c r="O413" s="2">
        <f ca="1"/>
        <v>0.34812686434257484</v>
      </c>
      <c r="X413" s="2">
        <f ca="1"/>
        <v>39.980776344373858</v>
      </c>
      <c r="AG413" s="2">
        <f ca="1"/>
        <v>0.53287315363283505</v>
      </c>
      <c r="AH413" s="2" t="str">
        <f ca="1"/>
        <v>Bad</v>
      </c>
    </row>
    <row r="414" spans="2:34" x14ac:dyDescent="0.2">
      <c r="B414" s="2">
        <f ca="1"/>
        <v>0.95750682099681783</v>
      </c>
      <c r="O414" s="2">
        <f ca="1"/>
        <v>-2.11837926056202</v>
      </c>
      <c r="X414" s="2">
        <f ca="1"/>
        <v>76.728601693689257</v>
      </c>
      <c r="AG414" s="2">
        <f ca="1"/>
        <v>0.14481827568112227</v>
      </c>
      <c r="AH414" s="2" t="str">
        <f ca="1"/>
        <v>OK</v>
      </c>
    </row>
    <row r="415" spans="2:34" x14ac:dyDescent="0.2">
      <c r="B415" s="2">
        <f ca="1"/>
        <v>0.73461976862349987</v>
      </c>
      <c r="O415" s="2">
        <f ca="1"/>
        <v>3.7802309223559157E-2</v>
      </c>
      <c r="X415" s="2">
        <f ca="1"/>
        <v>65.973330216944134</v>
      </c>
      <c r="AG415" s="2">
        <f ca="1"/>
        <v>0.26150522134491339</v>
      </c>
      <c r="AH415" s="2" t="str">
        <f ca="1"/>
        <v>OK</v>
      </c>
    </row>
    <row r="416" spans="2:34" x14ac:dyDescent="0.2">
      <c r="B416" s="2">
        <f ca="1"/>
        <v>0.96647242533213262</v>
      </c>
      <c r="O416" s="2">
        <f ca="1"/>
        <v>1.3430520321190917</v>
      </c>
      <c r="X416" s="2">
        <f ca="1"/>
        <v>32.415512897360244</v>
      </c>
      <c r="AG416" s="2">
        <f ca="1"/>
        <v>0.32728702091443052</v>
      </c>
      <c r="AH416" s="2" t="str">
        <f ca="1"/>
        <v>OK</v>
      </c>
    </row>
    <row r="417" spans="2:34" x14ac:dyDescent="0.2">
      <c r="B417" s="2">
        <f ca="1"/>
        <v>0.37185333471791382</v>
      </c>
      <c r="O417" s="2">
        <f ca="1"/>
        <v>-1.1392784896290411</v>
      </c>
      <c r="X417" s="2">
        <f ca="1"/>
        <v>63.686267495897717</v>
      </c>
      <c r="AG417" s="2">
        <f ca="1"/>
        <v>0.26542977968538506</v>
      </c>
      <c r="AH417" s="2" t="str">
        <f ca="1"/>
        <v>OK</v>
      </c>
    </row>
    <row r="418" spans="2:34" x14ac:dyDescent="0.2">
      <c r="B418" s="2">
        <f ca="1"/>
        <v>0.35899913239730785</v>
      </c>
      <c r="O418" s="2">
        <f ca="1"/>
        <v>-1.3381263765558595</v>
      </c>
      <c r="X418" s="2">
        <f ca="1"/>
        <v>52.6469542306059</v>
      </c>
      <c r="AG418" s="2">
        <f ca="1"/>
        <v>0.63643155096474335</v>
      </c>
      <c r="AH418" s="2" t="str">
        <f ca="1"/>
        <v>Bad</v>
      </c>
    </row>
    <row r="419" spans="2:34" x14ac:dyDescent="0.2">
      <c r="B419" s="2">
        <f ca="1"/>
        <v>0.69165573714364026</v>
      </c>
      <c r="O419" s="2">
        <f ca="1"/>
        <v>-0.5047786696992469</v>
      </c>
      <c r="X419" s="2">
        <f ca="1"/>
        <v>50.754155657626782</v>
      </c>
      <c r="AG419" s="2">
        <f ca="1"/>
        <v>0.64029319986653044</v>
      </c>
      <c r="AH419" s="2" t="str">
        <f ca="1"/>
        <v>Bad</v>
      </c>
    </row>
    <row r="420" spans="2:34" x14ac:dyDescent="0.2">
      <c r="B420" s="2">
        <f ca="1"/>
        <v>0.66324632620858015</v>
      </c>
      <c r="O420" s="2">
        <f ca="1"/>
        <v>1.5089500006709312E-2</v>
      </c>
      <c r="X420" s="2">
        <f ca="1"/>
        <v>50.091988347579566</v>
      </c>
      <c r="AG420" s="2">
        <f ca="1"/>
        <v>7.2171894902721245E-2</v>
      </c>
      <c r="AH420" s="2" t="str">
        <f ca="1"/>
        <v>OK</v>
      </c>
    </row>
    <row r="421" spans="2:34" x14ac:dyDescent="0.2">
      <c r="B421" s="2">
        <f ca="1"/>
        <v>0.64544041084998205</v>
      </c>
      <c r="O421" s="2">
        <f ca="1"/>
        <v>0.50826955199948531</v>
      </c>
      <c r="X421" s="2">
        <f ca="1"/>
        <v>52.796309234859578</v>
      </c>
      <c r="AG421" s="2">
        <f ca="1"/>
        <v>0.37448335534522004</v>
      </c>
      <c r="AH421" s="2" t="str">
        <f ca="1"/>
        <v>OK</v>
      </c>
    </row>
    <row r="422" spans="2:34" x14ac:dyDescent="0.2">
      <c r="B422" s="2">
        <f ca="1"/>
        <v>0.81062507130658323</v>
      </c>
      <c r="O422" s="2">
        <f ca="1"/>
        <v>-1.1028199715193936</v>
      </c>
      <c r="X422" s="2">
        <f ca="1"/>
        <v>32.880350200268538</v>
      </c>
      <c r="AG422" s="2">
        <f ca="1"/>
        <v>0.42031535479566395</v>
      </c>
      <c r="AH422" s="2" t="str">
        <f ca="1"/>
        <v>Bad</v>
      </c>
    </row>
    <row r="423" spans="2:34" x14ac:dyDescent="0.2">
      <c r="B423" s="2">
        <f ca="1"/>
        <v>0.84697151065789611</v>
      </c>
      <c r="O423" s="2">
        <f ca="1"/>
        <v>-0.33030577757902579</v>
      </c>
      <c r="X423" s="2">
        <f ca="1"/>
        <v>50.89026879048194</v>
      </c>
      <c r="AG423" s="2">
        <f ca="1"/>
        <v>0.96058708891529521</v>
      </c>
      <c r="AH423" s="2" t="str">
        <f ca="1"/>
        <v>Bad</v>
      </c>
    </row>
    <row r="424" spans="2:34" x14ac:dyDescent="0.2">
      <c r="B424" s="2">
        <f ca="1"/>
        <v>0.12044307760287909</v>
      </c>
      <c r="O424" s="2">
        <f ca="1"/>
        <v>-0.19045515160227094</v>
      </c>
      <c r="X424" s="2">
        <f ca="1"/>
        <v>45.147403828251207</v>
      </c>
      <c r="AG424" s="2">
        <f ca="1"/>
        <v>0.83608847460339608</v>
      </c>
      <c r="AH424" s="2" t="str">
        <f ca="1"/>
        <v>Bad</v>
      </c>
    </row>
    <row r="425" spans="2:34" x14ac:dyDescent="0.2">
      <c r="B425" s="2">
        <f ca="1"/>
        <v>0.32707260878154765</v>
      </c>
      <c r="O425" s="2">
        <f ca="1"/>
        <v>0.43257839884894483</v>
      </c>
      <c r="X425" s="2">
        <f ca="1"/>
        <v>54.114885162251475</v>
      </c>
      <c r="AG425" s="2">
        <f ca="1"/>
        <v>0.56884935996679054</v>
      </c>
      <c r="AH425" s="2" t="str">
        <f ca="1"/>
        <v>Bad</v>
      </c>
    </row>
    <row r="426" spans="2:34" x14ac:dyDescent="0.2">
      <c r="B426" s="2">
        <f ca="1"/>
        <v>0.91931799220274879</v>
      </c>
      <c r="O426" s="2">
        <f ca="1"/>
        <v>1.6257921981654073</v>
      </c>
      <c r="X426" s="2">
        <f ca="1"/>
        <v>68.250606175715006</v>
      </c>
      <c r="AG426" s="2">
        <f ca="1"/>
        <v>0.66293466062246442</v>
      </c>
      <c r="AH426" s="2" t="str">
        <f ca="1"/>
        <v>Bad</v>
      </c>
    </row>
    <row r="427" spans="2:34" x14ac:dyDescent="0.2">
      <c r="B427" s="2">
        <f ca="1"/>
        <v>1.7670341809782331E-2</v>
      </c>
      <c r="O427" s="2">
        <f ca="1"/>
        <v>2.6648470089842409</v>
      </c>
      <c r="X427" s="2">
        <f ca="1"/>
        <v>32.706419171083397</v>
      </c>
      <c r="AG427" s="2">
        <f ca="1"/>
        <v>6.6452011983757719E-2</v>
      </c>
      <c r="AH427" s="2" t="str">
        <f ca="1"/>
        <v>OK</v>
      </c>
    </row>
    <row r="428" spans="2:34" x14ac:dyDescent="0.2">
      <c r="B428" s="2">
        <f ca="1"/>
        <v>0.24400155289390502</v>
      </c>
      <c r="O428" s="2">
        <f ca="1"/>
        <v>-1.3987932156570022</v>
      </c>
      <c r="X428" s="2">
        <f ca="1"/>
        <v>42.519520782712078</v>
      </c>
      <c r="AG428" s="2">
        <f ca="1"/>
        <v>0.7266383468957518</v>
      </c>
      <c r="AH428" s="2" t="str">
        <f ca="1"/>
        <v>Bad</v>
      </c>
    </row>
    <row r="429" spans="2:34" x14ac:dyDescent="0.2">
      <c r="B429" s="2">
        <f ca="1"/>
        <v>0.46119026135343621</v>
      </c>
      <c r="O429" s="2">
        <f ca="1"/>
        <v>0.97906854359205975</v>
      </c>
      <c r="X429" s="2">
        <f ca="1"/>
        <v>47.238677110732226</v>
      </c>
      <c r="AG429" s="2">
        <f ca="1"/>
        <v>0.59565464201756058</v>
      </c>
      <c r="AH429" s="2" t="str">
        <f ca="1"/>
        <v>Bad</v>
      </c>
    </row>
    <row r="430" spans="2:34" x14ac:dyDescent="0.2">
      <c r="B430" s="2">
        <f ca="1"/>
        <v>0.24903970333546299</v>
      </c>
      <c r="O430" s="2">
        <f ca="1"/>
        <v>-4.545165416277646E-2</v>
      </c>
      <c r="X430" s="2">
        <f ca="1"/>
        <v>49.650404149434536</v>
      </c>
      <c r="AG430" s="2">
        <f ca="1"/>
        <v>0.9157725680360167</v>
      </c>
      <c r="AH430" s="2" t="str">
        <f ca="1"/>
        <v>Bad</v>
      </c>
    </row>
    <row r="431" spans="2:34" x14ac:dyDescent="0.2">
      <c r="B431" s="2">
        <f ca="1"/>
        <v>0.74301495242631943</v>
      </c>
      <c r="O431" s="2">
        <f ca="1"/>
        <v>-2.0182166499234464</v>
      </c>
      <c r="X431" s="2">
        <f ca="1"/>
        <v>58.093064671846975</v>
      </c>
      <c r="AG431" s="2">
        <f ca="1"/>
        <v>0.4257460589814166</v>
      </c>
      <c r="AH431" s="2" t="str">
        <f ca="1"/>
        <v>Bad</v>
      </c>
    </row>
    <row r="432" spans="2:34" x14ac:dyDescent="0.2">
      <c r="B432" s="2">
        <f ca="1"/>
        <v>0.69221878672678394</v>
      </c>
      <c r="O432" s="2">
        <f ca="1"/>
        <v>1.3283337946641469</v>
      </c>
      <c r="X432" s="2">
        <f ca="1"/>
        <v>54.542960810004367</v>
      </c>
      <c r="AG432" s="2">
        <f ca="1"/>
        <v>0.24398272372966168</v>
      </c>
      <c r="AH432" s="2" t="str">
        <f ca="1"/>
        <v>OK</v>
      </c>
    </row>
    <row r="433" spans="2:34" x14ac:dyDescent="0.2">
      <c r="B433" s="2">
        <f ca="1"/>
        <v>0.20034917109606054</v>
      </c>
      <c r="O433" s="2">
        <f ca="1"/>
        <v>0.21071983796664029</v>
      </c>
      <c r="X433" s="2">
        <f ca="1"/>
        <v>47.250702072599623</v>
      </c>
      <c r="AG433" s="2">
        <f ca="1"/>
        <v>0.26837873631691034</v>
      </c>
      <c r="AH433" s="2" t="str">
        <f ca="1"/>
        <v>OK</v>
      </c>
    </row>
    <row r="434" spans="2:34" x14ac:dyDescent="0.2">
      <c r="B434" s="2">
        <f ca="1"/>
        <v>0.47848374188741816</v>
      </c>
      <c r="O434" s="2">
        <f ca="1"/>
        <v>0.81554170060514652</v>
      </c>
      <c r="X434" s="2">
        <f ca="1"/>
        <v>36.464722742557861</v>
      </c>
      <c r="AG434" s="2">
        <f ca="1"/>
        <v>0.84083905476552356</v>
      </c>
      <c r="AH434" s="2" t="str">
        <f ca="1"/>
        <v>Bad</v>
      </c>
    </row>
    <row r="435" spans="2:34" x14ac:dyDescent="0.2">
      <c r="B435" s="2">
        <f ca="1"/>
        <v>0.74534821476101776</v>
      </c>
      <c r="O435" s="2">
        <f ca="1"/>
        <v>-1.5381233517836461</v>
      </c>
      <c r="X435" s="2">
        <f ca="1"/>
        <v>88.997631276819376</v>
      </c>
      <c r="AG435" s="2">
        <f ca="1"/>
        <v>0.68024983970520636</v>
      </c>
      <c r="AH435" s="2" t="str">
        <f ca="1"/>
        <v>Bad</v>
      </c>
    </row>
    <row r="436" spans="2:34" x14ac:dyDescent="0.2">
      <c r="B436" s="2">
        <f ca="1"/>
        <v>0.34539150479506153</v>
      </c>
      <c r="O436" s="2">
        <f ca="1"/>
        <v>0.83735890302195493</v>
      </c>
      <c r="X436" s="2">
        <f ca="1"/>
        <v>57.764528511088471</v>
      </c>
      <c r="AG436" s="2">
        <f ca="1"/>
        <v>9.1160223207277014E-2</v>
      </c>
      <c r="AH436" s="2" t="str">
        <f ca="1"/>
        <v>OK</v>
      </c>
    </row>
    <row r="437" spans="2:34" x14ac:dyDescent="0.2">
      <c r="B437" s="2">
        <f ca="1"/>
        <v>0.2688926691446385</v>
      </c>
      <c r="O437" s="2">
        <f ca="1"/>
        <v>0.67533868813800602</v>
      </c>
      <c r="X437" s="2">
        <f ca="1"/>
        <v>34.325295188971069</v>
      </c>
      <c r="AG437" s="2">
        <f ca="1"/>
        <v>0.20752347129559623</v>
      </c>
      <c r="AH437" s="2" t="str">
        <f ca="1"/>
        <v>OK</v>
      </c>
    </row>
    <row r="438" spans="2:34" x14ac:dyDescent="0.2">
      <c r="B438" s="2">
        <f ca="1"/>
        <v>0.32383468854126218</v>
      </c>
      <c r="O438" s="2">
        <f ca="1"/>
        <v>0.52512118845485611</v>
      </c>
      <c r="X438" s="2">
        <f ca="1"/>
        <v>22.593087678861764</v>
      </c>
      <c r="AG438" s="2">
        <f ca="1"/>
        <v>0.33401999166761476</v>
      </c>
      <c r="AH438" s="2" t="str">
        <f ca="1"/>
        <v>OK</v>
      </c>
    </row>
    <row r="439" spans="2:34" x14ac:dyDescent="0.2">
      <c r="B439" s="2">
        <f ca="1"/>
        <v>0.36665971710307432</v>
      </c>
      <c r="O439" s="2">
        <f ca="1"/>
        <v>-1.2097351932612987</v>
      </c>
      <c r="X439" s="2">
        <f ca="1"/>
        <v>26.046374241180278</v>
      </c>
      <c r="AG439" s="2">
        <f ca="1"/>
        <v>0.85729183569015066</v>
      </c>
      <c r="AH439" s="2" t="str">
        <f ca="1"/>
        <v>Bad</v>
      </c>
    </row>
    <row r="440" spans="2:34" x14ac:dyDescent="0.2">
      <c r="B440" s="2">
        <f ca="1"/>
        <v>0.37339220689599562</v>
      </c>
      <c r="O440" s="2">
        <f ca="1"/>
        <v>-1.8088410554829144</v>
      </c>
      <c r="X440" s="2">
        <f ca="1"/>
        <v>89.34596876171446</v>
      </c>
      <c r="AG440" s="2">
        <f ca="1"/>
        <v>0.88669004937799323</v>
      </c>
      <c r="AH440" s="2" t="str">
        <f ca="1"/>
        <v>Bad</v>
      </c>
    </row>
    <row r="441" spans="2:34" x14ac:dyDescent="0.2">
      <c r="B441" s="2">
        <f ca="1"/>
        <v>3.3282340020527768E-2</v>
      </c>
      <c r="O441" s="2">
        <f ca="1"/>
        <v>-0.83540688071261726</v>
      </c>
      <c r="X441" s="2">
        <f ca="1"/>
        <v>40.024304916659531</v>
      </c>
      <c r="AG441" s="2">
        <f ca="1"/>
        <v>0.16739705572626984</v>
      </c>
      <c r="AH441" s="2" t="str">
        <f ca="1"/>
        <v>OK</v>
      </c>
    </row>
    <row r="442" spans="2:34" x14ac:dyDescent="0.2">
      <c r="B442" s="2">
        <f ca="1"/>
        <v>0.18650562121137204</v>
      </c>
      <c r="O442" s="2">
        <f ca="1"/>
        <v>-1.2718529387808579</v>
      </c>
      <c r="X442" s="2">
        <f ca="1"/>
        <v>42.576038029105902</v>
      </c>
      <c r="AG442" s="2">
        <f ca="1"/>
        <v>0.77032779000596197</v>
      </c>
      <c r="AH442" s="2" t="str">
        <f ca="1"/>
        <v>Bad</v>
      </c>
    </row>
    <row r="443" spans="2:34" x14ac:dyDescent="0.2">
      <c r="B443" s="2">
        <f ca="1"/>
        <v>1.2185006127878317E-3</v>
      </c>
      <c r="O443" s="2">
        <f ca="1"/>
        <v>-0.83021106680145873</v>
      </c>
      <c r="X443" s="2">
        <f ca="1"/>
        <v>65.979911322327197</v>
      </c>
      <c r="AG443" s="2">
        <f ca="1"/>
        <v>0.12967878172854785</v>
      </c>
      <c r="AH443" s="2" t="str">
        <f ca="1"/>
        <v>OK</v>
      </c>
    </row>
    <row r="444" spans="2:34" x14ac:dyDescent="0.2">
      <c r="B444" s="2">
        <f ca="1"/>
        <v>0.59076738532172546</v>
      </c>
      <c r="O444" s="2">
        <f ca="1"/>
        <v>-0.19051194283764011</v>
      </c>
      <c r="X444" s="2">
        <f ca="1"/>
        <v>44.038302036259822</v>
      </c>
      <c r="AG444" s="2">
        <f ca="1"/>
        <v>0.19144267180272845</v>
      </c>
      <c r="AH444" s="2" t="str">
        <f ca="1"/>
        <v>OK</v>
      </c>
    </row>
    <row r="445" spans="2:34" x14ac:dyDescent="0.2">
      <c r="B445" s="2">
        <f ca="1"/>
        <v>0.70366401930586675</v>
      </c>
      <c r="O445" s="2">
        <f ca="1"/>
        <v>-0.73997632439972194</v>
      </c>
      <c r="X445" s="2">
        <f ca="1"/>
        <v>39.240655193456647</v>
      </c>
      <c r="AG445" s="2">
        <f ca="1"/>
        <v>0.62300103856539679</v>
      </c>
      <c r="AH445" s="2" t="str">
        <f ca="1"/>
        <v>Bad</v>
      </c>
    </row>
    <row r="446" spans="2:34" x14ac:dyDescent="0.2">
      <c r="B446" s="2">
        <f ca="1"/>
        <v>8.110279073013027E-2</v>
      </c>
      <c r="O446" s="2">
        <f ca="1"/>
        <v>-0.12575150413660788</v>
      </c>
      <c r="X446" s="2">
        <f ca="1"/>
        <v>44.607230788502164</v>
      </c>
      <c r="AG446" s="2">
        <f ca="1"/>
        <v>0.51461949582031319</v>
      </c>
      <c r="AH446" s="2" t="str">
        <f ca="1"/>
        <v>Bad</v>
      </c>
    </row>
    <row r="447" spans="2:34" x14ac:dyDescent="0.2">
      <c r="B447" s="2">
        <f ca="1"/>
        <v>8.6038792636249806E-2</v>
      </c>
      <c r="O447" s="2">
        <f ca="1"/>
        <v>-0.31531256109826655</v>
      </c>
      <c r="X447" s="2">
        <f ca="1"/>
        <v>28.026621986310044</v>
      </c>
      <c r="AG447" s="2">
        <f ca="1"/>
        <v>1.4987378338140678E-2</v>
      </c>
      <c r="AH447" s="2" t="str">
        <f ca="1"/>
        <v>Good</v>
      </c>
    </row>
    <row r="448" spans="2:34" x14ac:dyDescent="0.2">
      <c r="B448" s="2">
        <f ca="1"/>
        <v>0.76111794909785968</v>
      </c>
      <c r="O448" s="2">
        <f ca="1"/>
        <v>-8.4073462399104279E-2</v>
      </c>
      <c r="X448" s="2">
        <f ca="1"/>
        <v>37.851633492456557</v>
      </c>
      <c r="AG448" s="2">
        <f ca="1"/>
        <v>0.69014047910244369</v>
      </c>
      <c r="AH448" s="2" t="str">
        <f ca="1"/>
        <v>Bad</v>
      </c>
    </row>
    <row r="449" spans="2:34" x14ac:dyDescent="0.2">
      <c r="B449" s="2">
        <f ca="1"/>
        <v>0.17093700094462805</v>
      </c>
      <c r="O449" s="2">
        <f ca="1"/>
        <v>0.77554873335812313</v>
      </c>
      <c r="X449" s="2">
        <f ca="1"/>
        <v>61.540209327792013</v>
      </c>
      <c r="AG449" s="2">
        <f ca="1"/>
        <v>0.58944643100687366</v>
      </c>
      <c r="AH449" s="2" t="str">
        <f ca="1"/>
        <v>Bad</v>
      </c>
    </row>
    <row r="450" spans="2:34" x14ac:dyDescent="0.2">
      <c r="B450" s="2">
        <f ca="1"/>
        <v>0.34326909482904155</v>
      </c>
      <c r="O450" s="2">
        <f ca="1"/>
        <v>0.97886835989728804</v>
      </c>
      <c r="X450" s="2">
        <f ca="1"/>
        <v>33.490549459079958</v>
      </c>
      <c r="AG450" s="2">
        <f ca="1"/>
        <v>0.33919900621590959</v>
      </c>
      <c r="AH450" s="2" t="str">
        <f ca="1"/>
        <v>OK</v>
      </c>
    </row>
    <row r="451" spans="2:34" x14ac:dyDescent="0.2">
      <c r="B451" s="2">
        <f ca="1"/>
        <v>0.58550058438037866</v>
      </c>
      <c r="O451" s="2">
        <f ca="1"/>
        <v>-0.48740101789843915</v>
      </c>
      <c r="X451" s="2">
        <f ca="1"/>
        <v>60.213137201215837</v>
      </c>
      <c r="AG451" s="2">
        <f ca="1"/>
        <v>0.83317419482835264</v>
      </c>
      <c r="AH451" s="2" t="str">
        <f ca="1"/>
        <v>Bad</v>
      </c>
    </row>
    <row r="452" spans="2:34" x14ac:dyDescent="0.2">
      <c r="B452" s="2">
        <f ca="1"/>
        <v>0.54605722871750895</v>
      </c>
      <c r="O452" s="2">
        <f ca="1"/>
        <v>-1.3604774483625291E-2</v>
      </c>
      <c r="X452" s="2">
        <f ca="1"/>
        <v>61.317309247260106</v>
      </c>
      <c r="AG452" s="2">
        <f ca="1"/>
        <v>0.32873789332106984</v>
      </c>
      <c r="AH452" s="2" t="str">
        <f ca="1"/>
        <v>OK</v>
      </c>
    </row>
    <row r="453" spans="2:34" x14ac:dyDescent="0.2">
      <c r="B453" s="2">
        <f ca="1"/>
        <v>0.87941863028681966</v>
      </c>
      <c r="O453" s="2">
        <f ca="1"/>
        <v>1.609120704281761</v>
      </c>
      <c r="X453" s="2">
        <f ca="1"/>
        <v>44.375712440770599</v>
      </c>
      <c r="AG453" s="2">
        <f ca="1"/>
        <v>0.35441571999815835</v>
      </c>
      <c r="AH453" s="2" t="str">
        <f ca="1"/>
        <v>OK</v>
      </c>
    </row>
    <row r="454" spans="2:34" x14ac:dyDescent="0.2">
      <c r="B454" s="2">
        <f ca="1"/>
        <v>0.58420860718572953</v>
      </c>
      <c r="O454" s="2">
        <f ca="1"/>
        <v>0.25818535343937943</v>
      </c>
      <c r="X454" s="2">
        <f ca="1"/>
        <v>54.573454663663995</v>
      </c>
      <c r="AG454" s="2">
        <f ca="1"/>
        <v>0.87216194474891284</v>
      </c>
      <c r="AH454" s="2" t="str">
        <f ca="1"/>
        <v>Bad</v>
      </c>
    </row>
    <row r="455" spans="2:34" x14ac:dyDescent="0.2">
      <c r="B455" s="2">
        <f ca="1"/>
        <v>0.61936085595859081</v>
      </c>
      <c r="O455" s="2">
        <f ca="1"/>
        <v>1.7950100025696638</v>
      </c>
      <c r="X455" s="2">
        <f ca="1"/>
        <v>34.293944907898933</v>
      </c>
      <c r="AG455" s="2">
        <f ca="1"/>
        <v>0.83580280881375502</v>
      </c>
      <c r="AH455" s="2" t="str">
        <f ca="1"/>
        <v>Bad</v>
      </c>
    </row>
    <row r="456" spans="2:34" x14ac:dyDescent="0.2">
      <c r="B456" s="2">
        <f ca="1"/>
        <v>0.64119029749311629</v>
      </c>
      <c r="O456" s="2">
        <f ca="1"/>
        <v>0.63402957816896899</v>
      </c>
      <c r="X456" s="2">
        <f ca="1"/>
        <v>32.273383155450745</v>
      </c>
      <c r="AG456" s="2">
        <f ca="1"/>
        <v>2.5367407901954131E-2</v>
      </c>
      <c r="AH456" s="2" t="str">
        <f ca="1"/>
        <v>Good</v>
      </c>
    </row>
    <row r="457" spans="2:34" x14ac:dyDescent="0.2">
      <c r="B457" s="2">
        <f ca="1"/>
        <v>0.81118952295186753</v>
      </c>
      <c r="O457" s="2">
        <f ca="1"/>
        <v>0.64553773843793538</v>
      </c>
      <c r="X457" s="2">
        <f ca="1"/>
        <v>47.575771528884907</v>
      </c>
      <c r="AG457" s="2">
        <f ca="1"/>
        <v>0.5555267316485073</v>
      </c>
      <c r="AH457" s="2" t="str">
        <f ca="1"/>
        <v>Bad</v>
      </c>
    </row>
    <row r="458" spans="2:34" x14ac:dyDescent="0.2">
      <c r="B458" s="2">
        <f ca="1"/>
        <v>0.35517005701380433</v>
      </c>
      <c r="O458" s="2">
        <f ca="1"/>
        <v>1.4824516021301786</v>
      </c>
      <c r="X458" s="2">
        <f ca="1"/>
        <v>47.37574192118921</v>
      </c>
      <c r="AG458" s="2">
        <f ca="1"/>
        <v>0.970022338652623</v>
      </c>
      <c r="AH458" s="2" t="str">
        <f ca="1"/>
        <v>Bad</v>
      </c>
    </row>
    <row r="459" spans="2:34" x14ac:dyDescent="0.2">
      <c r="B459" s="2">
        <f ca="1"/>
        <v>0.28282064633530335</v>
      </c>
      <c r="O459" s="2">
        <f ca="1"/>
        <v>-1.857934417801326</v>
      </c>
      <c r="X459" s="2">
        <f ca="1"/>
        <v>50.437454162902696</v>
      </c>
      <c r="AG459" s="2">
        <f ca="1"/>
        <v>0.81346126205386105</v>
      </c>
      <c r="AH459" s="2" t="str">
        <f ca="1"/>
        <v>Bad</v>
      </c>
    </row>
    <row r="460" spans="2:34" x14ac:dyDescent="0.2">
      <c r="B460" s="2">
        <f ca="1"/>
        <v>7.5322642094370229E-2</v>
      </c>
      <c r="O460" s="2">
        <f ca="1"/>
        <v>0.36979698641962822</v>
      </c>
      <c r="X460" s="2">
        <f ca="1"/>
        <v>54.306484706409258</v>
      </c>
      <c r="AG460" s="2">
        <f ca="1"/>
        <v>0.39694238718357688</v>
      </c>
      <c r="AH460" s="2" t="str">
        <f ca="1"/>
        <v>OK</v>
      </c>
    </row>
    <row r="461" spans="2:34" x14ac:dyDescent="0.2">
      <c r="B461" s="2">
        <f ca="1"/>
        <v>0.75964543877667268</v>
      </c>
      <c r="O461" s="2">
        <f ca="1"/>
        <v>-2.0410898657832646</v>
      </c>
      <c r="X461" s="2">
        <f ca="1"/>
        <v>38.171554009087053</v>
      </c>
      <c r="AG461" s="2">
        <f ca="1"/>
        <v>0.22744079865168931</v>
      </c>
      <c r="AH461" s="2" t="str">
        <f ca="1"/>
        <v>OK</v>
      </c>
    </row>
    <row r="462" spans="2:34" x14ac:dyDescent="0.2">
      <c r="B462" s="2">
        <f ca="1"/>
        <v>0.50772196444141948</v>
      </c>
      <c r="O462" s="2">
        <f ca="1"/>
        <v>1.9832183152279026</v>
      </c>
      <c r="X462" s="2">
        <f ca="1"/>
        <v>58.131509594981964</v>
      </c>
      <c r="AG462" s="2">
        <f ca="1"/>
        <v>0.10758130482390027</v>
      </c>
      <c r="AH462" s="2" t="str">
        <f ca="1"/>
        <v>OK</v>
      </c>
    </row>
    <row r="463" spans="2:34" x14ac:dyDescent="0.2">
      <c r="B463" s="2">
        <f ca="1"/>
        <v>0.93284983692640422</v>
      </c>
      <c r="O463" s="2">
        <f ca="1"/>
        <v>0.23192008505943534</v>
      </c>
      <c r="X463" s="2">
        <f ca="1"/>
        <v>51.334856658512805</v>
      </c>
      <c r="AG463" s="2">
        <f ca="1"/>
        <v>0.34440339791641561</v>
      </c>
      <c r="AH463" s="2" t="str">
        <f ca="1"/>
        <v>OK</v>
      </c>
    </row>
    <row r="464" spans="2:34" x14ac:dyDescent="0.2">
      <c r="B464" s="2">
        <f ca="1"/>
        <v>0.82746486911138617</v>
      </c>
      <c r="O464" s="2">
        <f ca="1"/>
        <v>-0.80656373413131599</v>
      </c>
      <c r="X464" s="2">
        <f ca="1"/>
        <v>36.390456881128507</v>
      </c>
      <c r="AG464" s="2">
        <f ca="1"/>
        <v>0.89820941881131211</v>
      </c>
      <c r="AH464" s="2" t="str">
        <f ca="1"/>
        <v>Bad</v>
      </c>
    </row>
    <row r="465" spans="2:34" x14ac:dyDescent="0.2">
      <c r="B465" s="2">
        <f ca="1"/>
        <v>0.87060107872790127</v>
      </c>
      <c r="O465" s="2">
        <f ca="1"/>
        <v>0.90353661055151957</v>
      </c>
      <c r="X465" s="2">
        <f ca="1"/>
        <v>46.048182274244951</v>
      </c>
      <c r="AG465" s="2">
        <f ca="1"/>
        <v>0.86243622607792725</v>
      </c>
      <c r="AH465" s="2" t="str">
        <f ca="1"/>
        <v>Bad</v>
      </c>
    </row>
    <row r="466" spans="2:34" x14ac:dyDescent="0.2">
      <c r="B466" s="2">
        <f ca="1"/>
        <v>0.88500744508670248</v>
      </c>
      <c r="O466" s="2">
        <f ca="1"/>
        <v>-0.41811757984841813</v>
      </c>
      <c r="X466" s="2">
        <f ca="1"/>
        <v>44.160330357298818</v>
      </c>
      <c r="AG466" s="2">
        <f ca="1"/>
        <v>0.41332511299404118</v>
      </c>
      <c r="AH466" s="2" t="str">
        <f ca="1"/>
        <v>Bad</v>
      </c>
    </row>
    <row r="467" spans="2:34" x14ac:dyDescent="0.2">
      <c r="B467" s="2">
        <f ca="1"/>
        <v>0.93634702938759262</v>
      </c>
      <c r="O467" s="2">
        <f ca="1"/>
        <v>-0.89203452140902584</v>
      </c>
      <c r="X467" s="2">
        <f ca="1"/>
        <v>99.424434538690605</v>
      </c>
      <c r="AG467" s="2">
        <f ca="1"/>
        <v>0.7022275868008665</v>
      </c>
      <c r="AH467" s="2" t="str">
        <f ca="1"/>
        <v>Bad</v>
      </c>
    </row>
    <row r="468" spans="2:34" x14ac:dyDescent="0.2">
      <c r="B468" s="2">
        <f ca="1"/>
        <v>0.52361585465818794</v>
      </c>
      <c r="O468" s="2">
        <f ca="1"/>
        <v>1.4695708080608527</v>
      </c>
      <c r="X468" s="2">
        <f ca="1"/>
        <v>30.470874445906887</v>
      </c>
      <c r="AG468" s="2">
        <f ca="1"/>
        <v>0.98280010743844426</v>
      </c>
      <c r="AH468" s="2" t="str">
        <f ca="1"/>
        <v>Bad</v>
      </c>
    </row>
    <row r="469" spans="2:34" x14ac:dyDescent="0.2">
      <c r="B469" s="2">
        <f ca="1"/>
        <v>0.22851520351482191</v>
      </c>
      <c r="O469" s="2">
        <f ca="1"/>
        <v>-0.44961003782911391</v>
      </c>
      <c r="X469" s="2">
        <f ca="1"/>
        <v>25.477246931431068</v>
      </c>
      <c r="AG469" s="2">
        <f ca="1"/>
        <v>0.86129776949007208</v>
      </c>
      <c r="AH469" s="2" t="str">
        <f ca="1"/>
        <v>Bad</v>
      </c>
    </row>
    <row r="470" spans="2:34" x14ac:dyDescent="0.2">
      <c r="B470" s="2">
        <f ca="1"/>
        <v>5.3535717978198338E-2</v>
      </c>
      <c r="O470" s="2">
        <f ca="1"/>
        <v>-0.84050916380306373</v>
      </c>
      <c r="X470" s="2">
        <f ca="1"/>
        <v>62.881161358308113</v>
      </c>
      <c r="AG470" s="2">
        <f ca="1"/>
        <v>0.94167664952032815</v>
      </c>
      <c r="AH470" s="2" t="str">
        <f ca="1"/>
        <v>Bad</v>
      </c>
    </row>
    <row r="471" spans="2:34" x14ac:dyDescent="0.2">
      <c r="B471" s="2">
        <f ca="1"/>
        <v>8.4610198461698038E-2</v>
      </c>
      <c r="O471" s="2">
        <f ca="1"/>
        <v>0.97351356685916013</v>
      </c>
      <c r="X471" s="2">
        <f ca="1"/>
        <v>46.604729675087583</v>
      </c>
      <c r="AG471" s="2">
        <f ca="1"/>
        <v>0.70614144568318937</v>
      </c>
      <c r="AH471" s="2" t="str">
        <f ca="1"/>
        <v>Bad</v>
      </c>
    </row>
    <row r="472" spans="2:34" x14ac:dyDescent="0.2">
      <c r="B472" s="2">
        <f ca="1"/>
        <v>0.16300168697407735</v>
      </c>
      <c r="O472" s="2">
        <f ca="1"/>
        <v>0.20342082209779747</v>
      </c>
      <c r="X472" s="2">
        <f ca="1"/>
        <v>47.164577133983663</v>
      </c>
      <c r="AG472" s="2">
        <f ca="1"/>
        <v>8.445141442686821E-2</v>
      </c>
      <c r="AH472" s="2" t="str">
        <f ca="1"/>
        <v>OK</v>
      </c>
    </row>
    <row r="473" spans="2:34" x14ac:dyDescent="0.2">
      <c r="B473" s="2">
        <f ca="1"/>
        <v>0.68026713008854478</v>
      </c>
      <c r="O473" s="2">
        <f ca="1"/>
        <v>1.5270897189584118</v>
      </c>
      <c r="X473" s="2">
        <f ca="1"/>
        <v>35.377216537896381</v>
      </c>
      <c r="AG473" s="2">
        <f ca="1"/>
        <v>3.5279294028351948E-2</v>
      </c>
      <c r="AH473" s="2" t="str">
        <f ca="1"/>
        <v>Good</v>
      </c>
    </row>
    <row r="474" spans="2:34" x14ac:dyDescent="0.2">
      <c r="B474" s="2">
        <f ca="1"/>
        <v>0.98038659400678618</v>
      </c>
      <c r="O474" s="2">
        <f ca="1"/>
        <v>0.84443538820458797</v>
      </c>
      <c r="X474" s="2">
        <f ca="1"/>
        <v>62.904386775683072</v>
      </c>
      <c r="AG474" s="2">
        <f ca="1"/>
        <v>0.66561908254490221</v>
      </c>
      <c r="AH474" s="2" t="str">
        <f ca="1"/>
        <v>Bad</v>
      </c>
    </row>
    <row r="475" spans="2:34" x14ac:dyDescent="0.2">
      <c r="B475" s="2">
        <f ca="1"/>
        <v>0.53990703805169038</v>
      </c>
      <c r="O475" s="2">
        <f ca="1"/>
        <v>-0.87074522224412887</v>
      </c>
      <c r="X475" s="2">
        <f ca="1"/>
        <v>59.558325270520633</v>
      </c>
      <c r="AG475" s="2">
        <f ca="1"/>
        <v>0.55745548976254389</v>
      </c>
      <c r="AH475" s="2" t="str">
        <f ca="1"/>
        <v>Bad</v>
      </c>
    </row>
    <row r="476" spans="2:34" x14ac:dyDescent="0.2">
      <c r="B476" s="2">
        <f ca="1"/>
        <v>0.63416503400561108</v>
      </c>
      <c r="O476" s="2">
        <f ca="1"/>
        <v>0.84447145567452475</v>
      </c>
      <c r="X476" s="2">
        <f ca="1"/>
        <v>66.140773169498857</v>
      </c>
      <c r="AG476" s="2">
        <f ca="1"/>
        <v>0.44783506696052311</v>
      </c>
      <c r="AH476" s="2" t="str">
        <f ca="1"/>
        <v>Bad</v>
      </c>
    </row>
    <row r="477" spans="2:34" x14ac:dyDescent="0.2">
      <c r="B477" s="2">
        <f ca="1"/>
        <v>0.92237825545823271</v>
      </c>
      <c r="O477" s="2">
        <f ca="1"/>
        <v>-1.5497127921190659</v>
      </c>
      <c r="X477" s="2">
        <f ca="1"/>
        <v>40.266078660592804</v>
      </c>
      <c r="AG477" s="2">
        <f ca="1"/>
        <v>7.2658981199973827E-2</v>
      </c>
      <c r="AH477" s="2" t="str">
        <f ca="1"/>
        <v>OK</v>
      </c>
    </row>
    <row r="478" spans="2:34" x14ac:dyDescent="0.2">
      <c r="B478" s="2">
        <f ca="1"/>
        <v>0.80146296668618144</v>
      </c>
      <c r="O478" s="2">
        <f ca="1"/>
        <v>-1.0964285644169256</v>
      </c>
      <c r="X478" s="2">
        <f ca="1"/>
        <v>34.886503565115554</v>
      </c>
      <c r="AG478" s="2">
        <f ca="1"/>
        <v>9.938776531430471E-2</v>
      </c>
      <c r="AH478" s="2" t="str">
        <f ca="1"/>
        <v>OK</v>
      </c>
    </row>
    <row r="479" spans="2:34" x14ac:dyDescent="0.2">
      <c r="B479" s="2">
        <f ca="1"/>
        <v>0.68986011204185371</v>
      </c>
      <c r="O479" s="2">
        <f ca="1"/>
        <v>0.7901250298703868</v>
      </c>
      <c r="X479" s="2">
        <f ca="1"/>
        <v>55.358366798457311</v>
      </c>
      <c r="AG479" s="2">
        <f ca="1"/>
        <v>0.23461350624482047</v>
      </c>
      <c r="AH479" s="2" t="str">
        <f ca="1"/>
        <v>OK</v>
      </c>
    </row>
    <row r="480" spans="2:34" x14ac:dyDescent="0.2">
      <c r="B480" s="2">
        <f ca="1"/>
        <v>9.6019502559975045E-2</v>
      </c>
      <c r="O480" s="2">
        <f ca="1"/>
        <v>0.91836325360931392</v>
      </c>
      <c r="X480" s="2">
        <f ca="1"/>
        <v>35.320476324830643</v>
      </c>
      <c r="AG480" s="2">
        <f ca="1"/>
        <v>0.68165157119496356</v>
      </c>
      <c r="AH480" s="2" t="str">
        <f ca="1"/>
        <v>Bad</v>
      </c>
    </row>
    <row r="481" spans="2:34" x14ac:dyDescent="0.2">
      <c r="B481" s="2">
        <f ca="1"/>
        <v>0.34594090985335435</v>
      </c>
      <c r="O481" s="2">
        <f ca="1"/>
        <v>5.6023492186555814E-2</v>
      </c>
      <c r="X481" s="2">
        <f ca="1"/>
        <v>51.810300957990798</v>
      </c>
      <c r="AG481" s="2">
        <f ca="1"/>
        <v>0.31381929389674523</v>
      </c>
      <c r="AH481" s="2" t="str">
        <f ca="1"/>
        <v>OK</v>
      </c>
    </row>
    <row r="482" spans="2:34" x14ac:dyDescent="0.2">
      <c r="B482" s="2">
        <f ca="1"/>
        <v>0.63724103995614789</v>
      </c>
      <c r="O482" s="2">
        <f ca="1"/>
        <v>2.5526475666908874</v>
      </c>
      <c r="X482" s="2">
        <f ca="1"/>
        <v>55.94031695665705</v>
      </c>
      <c r="AG482" s="2">
        <f ca="1"/>
        <v>0.15485699414780463</v>
      </c>
      <c r="AH482" s="2" t="str">
        <f ca="1"/>
        <v>OK</v>
      </c>
    </row>
    <row r="483" spans="2:34" x14ac:dyDescent="0.2">
      <c r="B483" s="2">
        <f ca="1"/>
        <v>9.3941393557177122E-2</v>
      </c>
      <c r="O483" s="2">
        <f ca="1"/>
        <v>-0.37373097748059392</v>
      </c>
      <c r="X483" s="2">
        <f ca="1"/>
        <v>56.435695777011517</v>
      </c>
      <c r="AG483" s="2">
        <f ca="1"/>
        <v>4.8867714900771686E-2</v>
      </c>
      <c r="AH483" s="2" t="str">
        <f ca="1"/>
        <v>Good</v>
      </c>
    </row>
    <row r="484" spans="2:34" x14ac:dyDescent="0.2">
      <c r="B484" s="2">
        <f ca="1"/>
        <v>0.68788413186472419</v>
      </c>
      <c r="O484" s="2">
        <f ca="1"/>
        <v>0.71875335469779311</v>
      </c>
      <c r="X484" s="2">
        <f ca="1"/>
        <v>62.510544485286516</v>
      </c>
      <c r="AG484" s="2">
        <f ca="1"/>
        <v>0.24268063995820555</v>
      </c>
      <c r="AH484" s="2" t="str">
        <f ca="1"/>
        <v>OK</v>
      </c>
    </row>
    <row r="485" spans="2:34" x14ac:dyDescent="0.2">
      <c r="B485" s="2">
        <f ca="1"/>
        <v>0.24099597961476449</v>
      </c>
      <c r="O485" s="2">
        <f ca="1"/>
        <v>-0.45128747083221005</v>
      </c>
      <c r="X485" s="2">
        <f ca="1"/>
        <v>45.76162722809368</v>
      </c>
      <c r="AG485" s="2">
        <f ca="1"/>
        <v>0.32917124283699017</v>
      </c>
      <c r="AH485" s="2" t="str">
        <f ca="1"/>
        <v>OK</v>
      </c>
    </row>
    <row r="486" spans="2:34" x14ac:dyDescent="0.2">
      <c r="B486" s="2">
        <f ca="1"/>
        <v>0.1027787102356259</v>
      </c>
      <c r="O486" s="2">
        <f ca="1"/>
        <v>0.17359896344639636</v>
      </c>
      <c r="X486" s="2">
        <f ca="1"/>
        <v>38.005270207692639</v>
      </c>
      <c r="AG486" s="2">
        <f ca="1"/>
        <v>6.5781314324110385E-2</v>
      </c>
      <c r="AH486" s="2" t="str">
        <f ca="1"/>
        <v>OK</v>
      </c>
    </row>
    <row r="487" spans="2:34" x14ac:dyDescent="0.2">
      <c r="B487" s="2">
        <f ca="1"/>
        <v>0.27197320286082838</v>
      </c>
      <c r="O487" s="2">
        <f ca="1"/>
        <v>-0.24006733842004818</v>
      </c>
      <c r="X487" s="2">
        <f ca="1"/>
        <v>47.341460754864272</v>
      </c>
      <c r="AG487" s="2">
        <f ca="1"/>
        <v>0.16798103818724552</v>
      </c>
      <c r="AH487" s="2" t="str">
        <f ca="1"/>
        <v>OK</v>
      </c>
    </row>
    <row r="488" spans="2:34" x14ac:dyDescent="0.2">
      <c r="B488" s="2">
        <f ca="1"/>
        <v>6.9042720412639813E-2</v>
      </c>
      <c r="O488" s="2">
        <f ca="1"/>
        <v>0.27199166853916018</v>
      </c>
      <c r="X488" s="2">
        <f ca="1"/>
        <v>49.191782480385278</v>
      </c>
      <c r="AG488" s="2">
        <f ca="1"/>
        <v>0.27237879100672258</v>
      </c>
      <c r="AH488" s="2" t="str">
        <f ca="1"/>
        <v>OK</v>
      </c>
    </row>
    <row r="489" spans="2:34" x14ac:dyDescent="0.2">
      <c r="B489" s="2">
        <f ca="1"/>
        <v>0.58709078359212219</v>
      </c>
      <c r="O489" s="2">
        <f ca="1"/>
        <v>6.9287903868987297E-2</v>
      </c>
      <c r="X489" s="2">
        <f ca="1"/>
        <v>44.267013497404164</v>
      </c>
      <c r="AG489" s="2">
        <f ca="1"/>
        <v>5.5912526582200694E-2</v>
      </c>
      <c r="AH489" s="2" t="str">
        <f ca="1"/>
        <v>OK</v>
      </c>
    </row>
    <row r="490" spans="2:34" x14ac:dyDescent="0.2">
      <c r="B490" s="2">
        <f ca="1"/>
        <v>0.95812863739073362</v>
      </c>
      <c r="O490" s="2">
        <f ca="1"/>
        <v>0.63530129242014033</v>
      </c>
      <c r="X490" s="2">
        <f ca="1"/>
        <v>107.6287391855716</v>
      </c>
      <c r="AG490" s="2">
        <f ca="1"/>
        <v>0.60311687826761262</v>
      </c>
      <c r="AH490" s="2" t="str">
        <f ca="1"/>
        <v>Bad</v>
      </c>
    </row>
    <row r="491" spans="2:34" x14ac:dyDescent="0.2">
      <c r="B491" s="2">
        <f ca="1"/>
        <v>0.97016399714829427</v>
      </c>
      <c r="O491" s="2">
        <f ca="1"/>
        <v>-0.1087342067833888</v>
      </c>
      <c r="X491" s="2">
        <f ca="1"/>
        <v>37.921950529664926</v>
      </c>
      <c r="AG491" s="2">
        <f ca="1"/>
        <v>7.4362759307058601E-2</v>
      </c>
      <c r="AH491" s="2" t="str">
        <f ca="1"/>
        <v>OK</v>
      </c>
    </row>
    <row r="492" spans="2:34" x14ac:dyDescent="0.2">
      <c r="B492" s="2">
        <f ca="1"/>
        <v>0.89631046498159983</v>
      </c>
      <c r="O492" s="2">
        <f ca="1"/>
        <v>-0.67471544998699129</v>
      </c>
      <c r="X492" s="2">
        <f ca="1"/>
        <v>53.668659986681575</v>
      </c>
      <c r="AG492" s="2">
        <f ca="1"/>
        <v>0.43766424430482864</v>
      </c>
      <c r="AH492" s="2" t="str">
        <f ca="1"/>
        <v>Bad</v>
      </c>
    </row>
    <row r="493" spans="2:34" x14ac:dyDescent="0.2">
      <c r="B493" s="2">
        <f ca="1"/>
        <v>5.5132137394586778E-4</v>
      </c>
      <c r="O493" s="2">
        <f ca="1"/>
        <v>-0.11909702399233983</v>
      </c>
      <c r="X493" s="2">
        <f ca="1"/>
        <v>35.96678845581409</v>
      </c>
      <c r="AG493" s="2">
        <f ca="1"/>
        <v>6.4200756310274443E-2</v>
      </c>
      <c r="AH493" s="2" t="str">
        <f ca="1"/>
        <v>OK</v>
      </c>
    </row>
    <row r="494" spans="2:34" x14ac:dyDescent="0.2">
      <c r="B494" s="2">
        <f ca="1"/>
        <v>0.45732145750338904</v>
      </c>
      <c r="O494" s="2">
        <f ca="1"/>
        <v>-0.30465828407689383</v>
      </c>
      <c r="X494" s="2">
        <f ca="1"/>
        <v>26.777330525813056</v>
      </c>
      <c r="AG494" s="2">
        <f ca="1"/>
        <v>0.87600562685587513</v>
      </c>
      <c r="AH494" s="2" t="str">
        <f ca="1"/>
        <v>Bad</v>
      </c>
    </row>
    <row r="495" spans="2:34" x14ac:dyDescent="0.2">
      <c r="B495" s="2">
        <f ca="1"/>
        <v>0.10666021065735531</v>
      </c>
      <c r="O495" s="2">
        <f ca="1"/>
        <v>0.42174628084202709</v>
      </c>
      <c r="X495" s="2">
        <f ca="1"/>
        <v>33.219276685575629</v>
      </c>
      <c r="AG495" s="2">
        <f ca="1"/>
        <v>0.28300756398317484</v>
      </c>
      <c r="AH495" s="2" t="str">
        <f ca="1"/>
        <v>OK</v>
      </c>
    </row>
    <row r="496" spans="2:34" x14ac:dyDescent="0.2">
      <c r="B496" s="2">
        <f ca="1"/>
        <v>0.50426388656997756</v>
      </c>
      <c r="O496" s="2">
        <f ca="1"/>
        <v>0.66747379264292717</v>
      </c>
      <c r="X496" s="2">
        <f ca="1"/>
        <v>59.769802017572943</v>
      </c>
      <c r="AG496" s="2">
        <f ca="1"/>
        <v>0.38202346577081125</v>
      </c>
      <c r="AH496" s="2" t="str">
        <f ca="1"/>
        <v>OK</v>
      </c>
    </row>
    <row r="497" spans="2:34" x14ac:dyDescent="0.2">
      <c r="B497" s="2">
        <f ca="1"/>
        <v>0.97423632395201554</v>
      </c>
      <c r="O497" s="2">
        <f ca="1"/>
        <v>-0.27341471636100279</v>
      </c>
      <c r="X497" s="2">
        <f ca="1"/>
        <v>51.787289315500765</v>
      </c>
      <c r="AG497" s="2">
        <f ca="1"/>
        <v>0.58494707075759611</v>
      </c>
      <c r="AH497" s="2" t="str">
        <f ca="1"/>
        <v>Bad</v>
      </c>
    </row>
    <row r="498" spans="2:34" x14ac:dyDescent="0.2">
      <c r="B498" s="2">
        <f ca="1"/>
        <v>0.44031862099775787</v>
      </c>
      <c r="O498" s="2">
        <f ca="1"/>
        <v>0.4568292898754116</v>
      </c>
      <c r="X498" s="2">
        <f ca="1"/>
        <v>49.955246060193971</v>
      </c>
      <c r="AG498" s="2">
        <f ca="1"/>
        <v>0.75074093469279113</v>
      </c>
      <c r="AH498" s="2" t="str">
        <f ca="1"/>
        <v>Bad</v>
      </c>
    </row>
    <row r="499" spans="2:34" x14ac:dyDescent="0.2">
      <c r="B499" s="2">
        <f ca="1"/>
        <v>0.12613757296467565</v>
      </c>
      <c r="O499" s="2">
        <f ca="1"/>
        <v>-0.35826405653307242</v>
      </c>
      <c r="X499" s="2">
        <f ca="1"/>
        <v>32.212007378871085</v>
      </c>
      <c r="AG499" s="2">
        <f ca="1"/>
        <v>0.18845525674921504</v>
      </c>
      <c r="AH499" s="2" t="str">
        <f ca="1"/>
        <v>OK</v>
      </c>
    </row>
    <row r="500" spans="2:34" x14ac:dyDescent="0.2">
      <c r="B500" s="2">
        <f ca="1"/>
        <v>0.99695418187152285</v>
      </c>
      <c r="O500" s="2">
        <f ca="1"/>
        <v>-0.91067306021854533</v>
      </c>
      <c r="X500" s="2">
        <f ca="1"/>
        <v>57.323761511121077</v>
      </c>
      <c r="AG500" s="2">
        <f ca="1"/>
        <v>0.26358200380183461</v>
      </c>
      <c r="AH500" s="2" t="str">
        <f ca="1"/>
        <v>OK</v>
      </c>
    </row>
    <row r="501" spans="2:34" x14ac:dyDescent="0.2">
      <c r="B501" s="2">
        <f ca="1"/>
        <v>0.75549468182441459</v>
      </c>
      <c r="O501" s="2">
        <f ca="1"/>
        <v>-1.4428732308159722</v>
      </c>
      <c r="X501" s="2">
        <f ca="1"/>
        <v>50.503098238552901</v>
      </c>
      <c r="AG501" s="2">
        <f ca="1"/>
        <v>1.8089599945636747E-2</v>
      </c>
      <c r="AH501" s="2" t="str">
        <f ca="1"/>
        <v>Good</v>
      </c>
    </row>
    <row r="502" spans="2:34" x14ac:dyDescent="0.2">
      <c r="B502" s="2">
        <f ca="1"/>
        <v>0.80197923002730764</v>
      </c>
      <c r="O502" s="2">
        <f ca="1"/>
        <v>0.479637512412107</v>
      </c>
      <c r="X502" s="2">
        <f ca="1"/>
        <v>41.312861877602209</v>
      </c>
      <c r="AG502" s="2">
        <f ca="1"/>
        <v>0.1927277180232092</v>
      </c>
      <c r="AH502" s="2" t="str">
        <f ca="1"/>
        <v>OK</v>
      </c>
    </row>
    <row r="503" spans="2:34" x14ac:dyDescent="0.2">
      <c r="B503" s="2">
        <f ca="1"/>
        <v>0.27301496525049429</v>
      </c>
      <c r="O503" s="2">
        <f ca="1"/>
        <v>0.52572954191169541</v>
      </c>
      <c r="X503" s="2">
        <f ca="1"/>
        <v>89.560606449569647</v>
      </c>
      <c r="AG503" s="2">
        <f ca="1"/>
        <v>0.38755400518654071</v>
      </c>
      <c r="AH503" s="2" t="str">
        <f ca="1"/>
        <v>OK</v>
      </c>
    </row>
    <row r="504" spans="2:34" x14ac:dyDescent="0.2">
      <c r="B504" s="2">
        <f ca="1"/>
        <v>0.62500337105635229</v>
      </c>
      <c r="O504" s="2">
        <f ca="1"/>
        <v>-1.4502784902565546</v>
      </c>
      <c r="X504" s="2">
        <f ca="1"/>
        <v>71.520057945860302</v>
      </c>
      <c r="AG504" s="2">
        <f ca="1"/>
        <v>0.11850166206872981</v>
      </c>
      <c r="AH504" s="2" t="str">
        <f ca="1"/>
        <v>OK</v>
      </c>
    </row>
    <row r="505" spans="2:34" x14ac:dyDescent="0.2">
      <c r="B505" s="2">
        <f ca="1"/>
        <v>0.74536458365766944</v>
      </c>
      <c r="O505" s="2">
        <f ca="1"/>
        <v>-1.8828272994468738</v>
      </c>
      <c r="X505" s="2">
        <f ca="1"/>
        <v>40.302986733123241</v>
      </c>
      <c r="AG505" s="2">
        <f ca="1"/>
        <v>0.47627824213507752</v>
      </c>
      <c r="AH505" s="2" t="str">
        <f ca="1"/>
        <v>Bad</v>
      </c>
    </row>
    <row r="506" spans="2:34" x14ac:dyDescent="0.2">
      <c r="B506" s="2">
        <f ca="1"/>
        <v>0.71356471397585364</v>
      </c>
      <c r="O506" s="2">
        <f ca="1"/>
        <v>0.16698316734608556</v>
      </c>
      <c r="X506" s="2">
        <f ca="1"/>
        <v>45.204000011974458</v>
      </c>
      <c r="AG506" s="2">
        <f ca="1"/>
        <v>0.91464164203453868</v>
      </c>
      <c r="AH506" s="2" t="str">
        <f ca="1"/>
        <v>Bad</v>
      </c>
    </row>
    <row r="507" spans="2:34" x14ac:dyDescent="0.2">
      <c r="B507" s="2">
        <f ca="1"/>
        <v>0.31488703258713957</v>
      </c>
      <c r="O507" s="2">
        <f ca="1"/>
        <v>0.48177679302110266</v>
      </c>
      <c r="X507" s="2">
        <f ca="1"/>
        <v>89.101667777217202</v>
      </c>
      <c r="AG507" s="2">
        <f ca="1"/>
        <v>0.18532094645078878</v>
      </c>
      <c r="AH507" s="2" t="str">
        <f ca="1"/>
        <v>OK</v>
      </c>
    </row>
    <row r="508" spans="2:34" x14ac:dyDescent="0.2">
      <c r="B508" s="2">
        <f ca="1"/>
        <v>3.3743665883476881E-2</v>
      </c>
      <c r="O508" s="2">
        <f ca="1"/>
        <v>-0.36371379418996053</v>
      </c>
      <c r="X508" s="2">
        <f ca="1"/>
        <v>33.898992751937492</v>
      </c>
      <c r="AG508" s="2">
        <f ca="1"/>
        <v>0.14013918778862688</v>
      </c>
      <c r="AH508" s="2" t="str">
        <f ca="1"/>
        <v>OK</v>
      </c>
    </row>
    <row r="509" spans="2:34" x14ac:dyDescent="0.2">
      <c r="B509" s="2">
        <f ca="1"/>
        <v>0.45903051653926941</v>
      </c>
      <c r="O509" s="2">
        <f ca="1"/>
        <v>0.33654353995496972</v>
      </c>
      <c r="X509" s="2">
        <f ca="1"/>
        <v>49.825628223322489</v>
      </c>
      <c r="AG509" s="2">
        <f ca="1"/>
        <v>0.6066981426625575</v>
      </c>
      <c r="AH509" s="2" t="str">
        <f ca="1"/>
        <v>Bad</v>
      </c>
    </row>
    <row r="510" spans="2:34" x14ac:dyDescent="0.2">
      <c r="B510" s="2">
        <f ca="1"/>
        <v>0.36978447183953378</v>
      </c>
      <c r="O510" s="2">
        <f ca="1"/>
        <v>0.39626517121329224</v>
      </c>
      <c r="X510" s="2">
        <f ca="1"/>
        <v>36.032119801131685</v>
      </c>
      <c r="AG510" s="2">
        <f ca="1"/>
        <v>0.74611670596779289</v>
      </c>
      <c r="AH510" s="2" t="str">
        <f ca="1"/>
        <v>Bad</v>
      </c>
    </row>
    <row r="511" spans="2:34" x14ac:dyDescent="0.2">
      <c r="B511" s="2">
        <f ca="1"/>
        <v>0.41523991746807631</v>
      </c>
      <c r="O511" s="2">
        <f ca="1"/>
        <v>0.31681296164247846</v>
      </c>
      <c r="X511" s="2">
        <f ca="1"/>
        <v>53.113080246907707</v>
      </c>
      <c r="AG511" s="2">
        <f ca="1"/>
        <v>0.50786011929590447</v>
      </c>
      <c r="AH511" s="2" t="str">
        <f ca="1"/>
        <v>Bad</v>
      </c>
    </row>
    <row r="512" spans="2:34" x14ac:dyDescent="0.2">
      <c r="B512" s="2">
        <f ca="1"/>
        <v>6.0454695438787676E-2</v>
      </c>
      <c r="O512" s="2">
        <f ca="1"/>
        <v>-0.56288362707266704</v>
      </c>
      <c r="X512" s="2">
        <f ca="1"/>
        <v>70.682794525046134</v>
      </c>
      <c r="AG512" s="2">
        <f ca="1"/>
        <v>0.89049899967268353</v>
      </c>
      <c r="AH512" s="2" t="str">
        <f ca="1"/>
        <v>Bad</v>
      </c>
    </row>
    <row r="513" spans="2:34" x14ac:dyDescent="0.2">
      <c r="B513" s="2">
        <f ca="1"/>
        <v>0.66435761028399654</v>
      </c>
      <c r="O513" s="2">
        <f ca="1"/>
        <v>-1.3117313148633574E-3</v>
      </c>
      <c r="X513" s="2">
        <f ca="1"/>
        <v>49.127449738392102</v>
      </c>
      <c r="AG513" s="2">
        <f ca="1"/>
        <v>0.53256671901743213</v>
      </c>
      <c r="AH513" s="2" t="str">
        <f ca="1"/>
        <v>Bad</v>
      </c>
    </row>
    <row r="514" spans="2:34" x14ac:dyDescent="0.2">
      <c r="B514" s="2">
        <f ca="1"/>
        <v>3.2293227160490545E-2</v>
      </c>
      <c r="O514" s="2">
        <f ca="1"/>
        <v>-0.22051123820574683</v>
      </c>
      <c r="X514" s="2">
        <f ca="1"/>
        <v>53.474423089451378</v>
      </c>
      <c r="AG514" s="2">
        <f ca="1"/>
        <v>0.78683587766891216</v>
      </c>
      <c r="AH514" s="2" t="str">
        <f ca="1"/>
        <v>Bad</v>
      </c>
    </row>
    <row r="515" spans="2:34" x14ac:dyDescent="0.2">
      <c r="B515" s="2">
        <f ca="1"/>
        <v>9.2328379922963943E-2</v>
      </c>
      <c r="O515" s="2">
        <f ca="1"/>
        <v>-0.26046853462627007</v>
      </c>
      <c r="X515" s="2">
        <f ca="1"/>
        <v>63.881520103266354</v>
      </c>
      <c r="AG515" s="2">
        <f ca="1"/>
        <v>0.92136480099447837</v>
      </c>
      <c r="AH515" s="2" t="str">
        <f ca="1"/>
        <v>Bad</v>
      </c>
    </row>
    <row r="516" spans="2:34" x14ac:dyDescent="0.2">
      <c r="B516" s="2">
        <f ca="1"/>
        <v>0.14092468705018923</v>
      </c>
      <c r="O516" s="2">
        <f ca="1"/>
        <v>1.5732464853497075</v>
      </c>
      <c r="X516" s="2">
        <f ca="1"/>
        <v>56.943110381311456</v>
      </c>
      <c r="AG516" s="2">
        <f ca="1"/>
        <v>0.29807600485453722</v>
      </c>
      <c r="AH516" s="2" t="str">
        <f ca="1"/>
        <v>OK</v>
      </c>
    </row>
    <row r="517" spans="2:34" x14ac:dyDescent="0.2">
      <c r="B517" s="2">
        <f ca="1"/>
        <v>0.34558948496936148</v>
      </c>
      <c r="O517" s="2">
        <f ca="1"/>
        <v>-0.97278674498362838</v>
      </c>
      <c r="X517" s="2">
        <f ca="1"/>
        <v>32.644161083388703</v>
      </c>
      <c r="AG517" s="2">
        <f ca="1"/>
        <v>0.99716215147336373</v>
      </c>
      <c r="AH517" s="2" t="str">
        <f ca="1"/>
        <v>Bad</v>
      </c>
    </row>
    <row r="518" spans="2:34" x14ac:dyDescent="0.2">
      <c r="B518" s="2">
        <f ca="1"/>
        <v>0.58136819317756072</v>
      </c>
      <c r="O518" s="2">
        <f ca="1"/>
        <v>1.212254955840725</v>
      </c>
      <c r="X518" s="2">
        <f ca="1"/>
        <v>48.35767165363044</v>
      </c>
      <c r="AG518" s="2">
        <f ca="1"/>
        <v>0.47872785255869621</v>
      </c>
      <c r="AH518" s="2" t="str">
        <f ca="1"/>
        <v>Bad</v>
      </c>
    </row>
    <row r="519" spans="2:34" x14ac:dyDescent="0.2">
      <c r="B519" s="2">
        <f ca="1"/>
        <v>0.16837943957212165</v>
      </c>
      <c r="O519" s="2">
        <f ca="1"/>
        <v>1.8461668370580531</v>
      </c>
      <c r="X519" s="2">
        <f ca="1"/>
        <v>59.673944951647684</v>
      </c>
      <c r="AG519" s="2">
        <f ca="1"/>
        <v>0.15621932624545098</v>
      </c>
      <c r="AH519" s="2" t="str">
        <f ca="1"/>
        <v>OK</v>
      </c>
    </row>
    <row r="520" spans="2:34" x14ac:dyDescent="0.2">
      <c r="B520" s="2">
        <f ca="1"/>
        <v>0.93857353391235887</v>
      </c>
      <c r="O520" s="2">
        <f ca="1"/>
        <v>0.94537184789981221</v>
      </c>
      <c r="X520" s="2">
        <f ca="1"/>
        <v>51.408237507118628</v>
      </c>
      <c r="AG520" s="2">
        <f ca="1"/>
        <v>0.77104872835141558</v>
      </c>
      <c r="AH520" s="2" t="str">
        <f ca="1"/>
        <v>Bad</v>
      </c>
    </row>
    <row r="521" spans="2:34" x14ac:dyDescent="0.2">
      <c r="B521" s="2">
        <f ca="1"/>
        <v>0.85150021294911959</v>
      </c>
      <c r="O521" s="2">
        <f ca="1"/>
        <v>0.72564815217134693</v>
      </c>
      <c r="X521" s="2">
        <f ca="1"/>
        <v>47.382165220228444</v>
      </c>
      <c r="AG521" s="2">
        <f ca="1"/>
        <v>0.84310428400312265</v>
      </c>
      <c r="AH521" s="2" t="str">
        <f ca="1"/>
        <v>Bad</v>
      </c>
    </row>
    <row r="522" spans="2:34" x14ac:dyDescent="0.2">
      <c r="B522" s="2">
        <f ca="1"/>
        <v>0.67044891666462081</v>
      </c>
      <c r="O522" s="2">
        <f ca="1"/>
        <v>0.37274218727159386</v>
      </c>
      <c r="X522" s="2">
        <f ca="1"/>
        <v>52.927374439450404</v>
      </c>
      <c r="AG522" s="2">
        <f ca="1"/>
        <v>6.7072158381832336E-2</v>
      </c>
      <c r="AH522" s="2" t="str">
        <f ca="1"/>
        <v>OK</v>
      </c>
    </row>
    <row r="523" spans="2:34" x14ac:dyDescent="0.2">
      <c r="B523" s="2">
        <f ca="1"/>
        <v>0.64070721495831906</v>
      </c>
      <c r="O523" s="2">
        <f ca="1"/>
        <v>1.0525272018477223</v>
      </c>
      <c r="X523" s="2">
        <f ca="1"/>
        <v>36.749833720902537</v>
      </c>
      <c r="AG523" s="2">
        <f ca="1"/>
        <v>0.22131055101877584</v>
      </c>
      <c r="AH523" s="2" t="str">
        <f ca="1"/>
        <v>OK</v>
      </c>
    </row>
    <row r="524" spans="2:34" x14ac:dyDescent="0.2">
      <c r="B524" s="2">
        <f ca="1"/>
        <v>0.17614245919568972</v>
      </c>
      <c r="O524" s="2">
        <f ca="1"/>
        <v>0.22757125011885951</v>
      </c>
      <c r="X524" s="2">
        <f ca="1"/>
        <v>31.570027064058909</v>
      </c>
      <c r="AG524" s="2">
        <f ca="1"/>
        <v>0.78951291583972361</v>
      </c>
      <c r="AH524" s="2" t="str">
        <f ca="1"/>
        <v>Bad</v>
      </c>
    </row>
    <row r="525" spans="2:34" x14ac:dyDescent="0.2">
      <c r="B525" s="2">
        <f ca="1"/>
        <v>0.13904022189464071</v>
      </c>
      <c r="O525" s="2">
        <f ca="1"/>
        <v>-1.3716805923595956</v>
      </c>
      <c r="X525" s="2">
        <f ca="1"/>
        <v>47.685046750962073</v>
      </c>
      <c r="AG525" s="2">
        <f ca="1"/>
        <v>0.50008431156630229</v>
      </c>
      <c r="AH525" s="2" t="str">
        <f ca="1"/>
        <v>Bad</v>
      </c>
    </row>
    <row r="526" spans="2:34" x14ac:dyDescent="0.2">
      <c r="B526" s="2">
        <f ca="1"/>
        <v>0.40945384923295114</v>
      </c>
      <c r="O526" s="2">
        <f ca="1"/>
        <v>-1.259759616900975</v>
      </c>
      <c r="X526" s="2">
        <f ca="1"/>
        <v>48.571099761357502</v>
      </c>
      <c r="AG526" s="2">
        <f ca="1"/>
        <v>0.40160099638815505</v>
      </c>
      <c r="AH526" s="2" t="str">
        <f ca="1"/>
        <v>Bad</v>
      </c>
    </row>
    <row r="527" spans="2:34" x14ac:dyDescent="0.2">
      <c r="B527" s="2">
        <f ca="1"/>
        <v>0.4839695299915403</v>
      </c>
      <c r="O527" s="2">
        <f ca="1"/>
        <v>0.73521410491312877</v>
      </c>
      <c r="X527" s="2">
        <f ca="1"/>
        <v>61.96396885631421</v>
      </c>
      <c r="AG527" s="2">
        <f ca="1"/>
        <v>0.22302218195844015</v>
      </c>
      <c r="AH527" s="2" t="str">
        <f ca="1"/>
        <v>OK</v>
      </c>
    </row>
    <row r="528" spans="2:34" x14ac:dyDescent="0.2">
      <c r="B528" s="2">
        <f ca="1"/>
        <v>0.79731331231491209</v>
      </c>
      <c r="O528" s="2">
        <f ca="1"/>
        <v>-0.46565187157117421</v>
      </c>
      <c r="X528" s="2">
        <f ca="1"/>
        <v>45.848448513965423</v>
      </c>
      <c r="AG528" s="2">
        <f ca="1"/>
        <v>0.55152909795720428</v>
      </c>
      <c r="AH528" s="2" t="str">
        <f ca="1"/>
        <v>Bad</v>
      </c>
    </row>
    <row r="529" spans="2:34" x14ac:dyDescent="0.2">
      <c r="B529" s="2">
        <f ca="1"/>
        <v>0.40179062449199665</v>
      </c>
      <c r="O529" s="2">
        <f ca="1"/>
        <v>-1.0100718938004121</v>
      </c>
      <c r="X529" s="2">
        <f ca="1"/>
        <v>62.110349290642645</v>
      </c>
      <c r="AG529" s="2">
        <f ca="1"/>
        <v>0.66156055243457401</v>
      </c>
      <c r="AH529" s="2" t="str">
        <f ca="1"/>
        <v>Bad</v>
      </c>
    </row>
    <row r="530" spans="2:34" x14ac:dyDescent="0.2">
      <c r="B530" s="2">
        <f ca="1"/>
        <v>0.90486656424563772</v>
      </c>
      <c r="O530" s="2">
        <f ca="1"/>
        <v>0.98721589399822007</v>
      </c>
      <c r="X530" s="2">
        <f ca="1"/>
        <v>46.100468061635105</v>
      </c>
      <c r="AG530" s="2">
        <f ca="1"/>
        <v>0.57493183379465962</v>
      </c>
      <c r="AH530" s="2" t="str">
        <f ca="1"/>
        <v>Bad</v>
      </c>
    </row>
    <row r="531" spans="2:34" x14ac:dyDescent="0.2">
      <c r="B531" s="2">
        <f ca="1"/>
        <v>0.69957957778747537</v>
      </c>
      <c r="O531" s="2">
        <f ca="1"/>
        <v>0.64037515617480356</v>
      </c>
      <c r="X531" s="2">
        <f ca="1"/>
        <v>44.192167874626122</v>
      </c>
      <c r="AG531" s="2">
        <f ca="1"/>
        <v>0.71665923675140819</v>
      </c>
      <c r="AH531" s="2" t="str">
        <f ca="1"/>
        <v>Bad</v>
      </c>
    </row>
    <row r="532" spans="2:34" x14ac:dyDescent="0.2">
      <c r="B532" s="2">
        <f ca="1"/>
        <v>0.97442297435865521</v>
      </c>
      <c r="O532" s="2">
        <f ca="1"/>
        <v>-0.54406670822372905</v>
      </c>
      <c r="X532" s="2">
        <f ca="1"/>
        <v>63.023584893830218</v>
      </c>
      <c r="AG532" s="2">
        <f ca="1"/>
        <v>0.9366711509216572</v>
      </c>
      <c r="AH532" s="2" t="str">
        <f ca="1"/>
        <v>Bad</v>
      </c>
    </row>
    <row r="533" spans="2:34" x14ac:dyDescent="0.2">
      <c r="B533" s="2">
        <f ca="1"/>
        <v>0.47956239212744389</v>
      </c>
      <c r="O533" s="2">
        <f ca="1"/>
        <v>1.6753034503906352</v>
      </c>
      <c r="X533" s="2">
        <f ca="1"/>
        <v>26.172210846184718</v>
      </c>
      <c r="AG533" s="2">
        <f ca="1"/>
        <v>0.49880173076077172</v>
      </c>
      <c r="AH533" s="2" t="str">
        <f ca="1"/>
        <v>Bad</v>
      </c>
    </row>
    <row r="534" spans="2:34" x14ac:dyDescent="0.2">
      <c r="B534" s="2">
        <f ca="1"/>
        <v>9.2706193426804084E-2</v>
      </c>
      <c r="O534" s="2">
        <f ca="1"/>
        <v>-0.95306072338427772</v>
      </c>
      <c r="X534" s="2">
        <f ca="1"/>
        <v>39.592472777068245</v>
      </c>
      <c r="AG534" s="2">
        <f ca="1"/>
        <v>0.87437148686464639</v>
      </c>
      <c r="AH534" s="2" t="str">
        <f ca="1"/>
        <v>Bad</v>
      </c>
    </row>
    <row r="535" spans="2:34" x14ac:dyDescent="0.2">
      <c r="B535" s="2">
        <f ca="1"/>
        <v>0.83987948416305613</v>
      </c>
      <c r="O535" s="2">
        <f ca="1"/>
        <v>-1.005604380747974</v>
      </c>
      <c r="X535" s="2">
        <f ca="1"/>
        <v>74.273162473948716</v>
      </c>
      <c r="AG535" s="2">
        <f ca="1"/>
        <v>0.97354373709147501</v>
      </c>
      <c r="AH535" s="2" t="str">
        <f ca="1"/>
        <v>Bad</v>
      </c>
    </row>
    <row r="536" spans="2:34" x14ac:dyDescent="0.2">
      <c r="B536" s="2">
        <f ca="1"/>
        <v>0.22279392781356711</v>
      </c>
      <c r="O536" s="2">
        <f ca="1"/>
        <v>0.87681753674685192</v>
      </c>
      <c r="X536" s="2">
        <f ca="1"/>
        <v>60.017452383272129</v>
      </c>
      <c r="AG536" s="2">
        <f ca="1"/>
        <v>0.54903173321204934</v>
      </c>
      <c r="AH536" s="2" t="str">
        <f ca="1"/>
        <v>Bad</v>
      </c>
    </row>
    <row r="537" spans="2:34" x14ac:dyDescent="0.2">
      <c r="B537" s="2">
        <f ca="1"/>
        <v>0.59348281042244855</v>
      </c>
      <c r="O537" s="2">
        <f ca="1"/>
        <v>-1.5057971366840416E-2</v>
      </c>
      <c r="X537" s="2">
        <f ca="1"/>
        <v>32.312441651756181</v>
      </c>
      <c r="AG537" s="2">
        <f ca="1"/>
        <v>0.33282185941248721</v>
      </c>
      <c r="AH537" s="2" t="str">
        <f ca="1"/>
        <v>OK</v>
      </c>
    </row>
    <row r="538" spans="2:34" x14ac:dyDescent="0.2">
      <c r="B538" s="2">
        <f ca="1"/>
        <v>0.54459984583436594</v>
      </c>
      <c r="O538" s="2">
        <f ca="1"/>
        <v>9.5121248978825013E-2</v>
      </c>
      <c r="X538" s="2">
        <f ca="1"/>
        <v>67.990614386872068</v>
      </c>
      <c r="AG538" s="2">
        <f ca="1"/>
        <v>0.60104470761970541</v>
      </c>
      <c r="AH538" s="2" t="str">
        <f ca="1"/>
        <v>Bad</v>
      </c>
    </row>
    <row r="539" spans="2:34" x14ac:dyDescent="0.2">
      <c r="B539" s="2">
        <f ca="1"/>
        <v>0.50430083660490932</v>
      </c>
      <c r="O539" s="2">
        <f ca="1"/>
        <v>-0.38486311623918823</v>
      </c>
      <c r="X539" s="2">
        <f ca="1"/>
        <v>59.913126752642761</v>
      </c>
      <c r="AG539" s="2">
        <f ca="1"/>
        <v>4.0104179875475321E-3</v>
      </c>
      <c r="AH539" s="2" t="str">
        <f ca="1"/>
        <v>Good</v>
      </c>
    </row>
    <row r="540" spans="2:34" x14ac:dyDescent="0.2">
      <c r="B540" s="2">
        <f ca="1"/>
        <v>0.64829868599445239</v>
      </c>
      <c r="O540" s="2">
        <f ca="1"/>
        <v>-1.1428304070408508</v>
      </c>
      <c r="X540" s="2">
        <f ca="1"/>
        <v>38.070036357061355</v>
      </c>
      <c r="AG540" s="2">
        <f ca="1"/>
        <v>0.26607357210233107</v>
      </c>
      <c r="AH540" s="2" t="str">
        <f ca="1"/>
        <v>OK</v>
      </c>
    </row>
    <row r="541" spans="2:34" x14ac:dyDescent="0.2">
      <c r="B541" s="2">
        <f ca="1"/>
        <v>0.84925882541024733</v>
      </c>
      <c r="O541" s="2">
        <f ca="1"/>
        <v>-1.4112019672771674</v>
      </c>
      <c r="X541" s="2">
        <f ca="1"/>
        <v>37.317415780455931</v>
      </c>
      <c r="AG541" s="2">
        <f ca="1"/>
        <v>0.62429226315208752</v>
      </c>
      <c r="AH541" s="2" t="str">
        <f ca="1"/>
        <v>Bad</v>
      </c>
    </row>
    <row r="542" spans="2:34" x14ac:dyDescent="0.2">
      <c r="B542" s="2">
        <f ca="1"/>
        <v>0.83081909387901653</v>
      </c>
      <c r="O542" s="2">
        <f ca="1"/>
        <v>0.51294090190904029</v>
      </c>
      <c r="X542" s="2">
        <f ca="1"/>
        <v>88.394683388831851</v>
      </c>
      <c r="AG542" s="2">
        <f ca="1"/>
        <v>0.78304285193735135</v>
      </c>
      <c r="AH542" s="2" t="str">
        <f ca="1"/>
        <v>Bad</v>
      </c>
    </row>
    <row r="543" spans="2:34" x14ac:dyDescent="0.2">
      <c r="B543" s="2">
        <f ca="1"/>
        <v>0.29185140659229103</v>
      </c>
      <c r="O543" s="2">
        <f ca="1"/>
        <v>-1.0239373502671187</v>
      </c>
      <c r="X543" s="2">
        <f ca="1"/>
        <v>37.812315694653066</v>
      </c>
      <c r="AG543" s="2">
        <f ca="1"/>
        <v>0.47231949731853273</v>
      </c>
      <c r="AH543" s="2" t="str">
        <f ca="1"/>
        <v>Bad</v>
      </c>
    </row>
    <row r="544" spans="2:34" x14ac:dyDescent="0.2">
      <c r="B544" s="2">
        <f ca="1"/>
        <v>0.81401739457471156</v>
      </c>
      <c r="O544" s="2">
        <f ca="1"/>
        <v>9.9760373101455788E-2</v>
      </c>
      <c r="X544" s="2">
        <f ca="1"/>
        <v>49.870770463478202</v>
      </c>
      <c r="AG544" s="2">
        <f ca="1"/>
        <v>0.46179779492065598</v>
      </c>
      <c r="AH544" s="2" t="str">
        <f ca="1"/>
        <v>Bad</v>
      </c>
    </row>
    <row r="545" spans="2:34" x14ac:dyDescent="0.2">
      <c r="B545" s="2">
        <f ca="1"/>
        <v>0.37076606671497814</v>
      </c>
      <c r="O545" s="2">
        <f ca="1"/>
        <v>0.18395784023326811</v>
      </c>
      <c r="X545" s="2">
        <f ca="1"/>
        <v>72.651620600868895</v>
      </c>
      <c r="AG545" s="2">
        <f ca="1"/>
        <v>0.33737887313190207</v>
      </c>
      <c r="AH545" s="2" t="str">
        <f ca="1"/>
        <v>OK</v>
      </c>
    </row>
    <row r="546" spans="2:34" x14ac:dyDescent="0.2">
      <c r="B546" s="2">
        <f ca="1"/>
        <v>0.74929822243872723</v>
      </c>
      <c r="O546" s="2">
        <f ca="1"/>
        <v>0.43288136369603419</v>
      </c>
      <c r="X546" s="2">
        <f ca="1"/>
        <v>61.492207595486278</v>
      </c>
      <c r="AG546" s="2">
        <f ca="1"/>
        <v>0.92602866887146829</v>
      </c>
      <c r="AH546" s="2" t="str">
        <f ca="1"/>
        <v>Bad</v>
      </c>
    </row>
    <row r="547" spans="2:34" x14ac:dyDescent="0.2">
      <c r="B547" s="2">
        <f ca="1"/>
        <v>0.40404224371300468</v>
      </c>
      <c r="O547" s="2">
        <f ca="1"/>
        <v>-1.3842774501580717</v>
      </c>
      <c r="X547" s="2">
        <f ca="1"/>
        <v>38.119235202844273</v>
      </c>
      <c r="AG547" s="2">
        <f ca="1"/>
        <v>0.61513867133426769</v>
      </c>
      <c r="AH547" s="2" t="str">
        <f ca="1"/>
        <v>Bad</v>
      </c>
    </row>
    <row r="548" spans="2:34" x14ac:dyDescent="0.2">
      <c r="B548" s="2">
        <f ca="1"/>
        <v>0.45800199540463593</v>
      </c>
      <c r="O548" s="2">
        <f ca="1"/>
        <v>-1.0865162082541393</v>
      </c>
      <c r="X548" s="2">
        <f ca="1"/>
        <v>57.699950882005581</v>
      </c>
      <c r="AG548" s="2">
        <f ca="1"/>
        <v>0.28909972982998533</v>
      </c>
      <c r="AH548" s="2" t="str">
        <f ca="1"/>
        <v>OK</v>
      </c>
    </row>
    <row r="549" spans="2:34" x14ac:dyDescent="0.2">
      <c r="B549" s="2">
        <f ca="1"/>
        <v>0.67950720402070774</v>
      </c>
      <c r="O549" s="2">
        <f ca="1"/>
        <v>-1.8669558386015637</v>
      </c>
      <c r="X549" s="2">
        <f ca="1"/>
        <v>59.487961827620246</v>
      </c>
      <c r="AG549" s="2">
        <f ca="1"/>
        <v>0.72193669646674885</v>
      </c>
      <c r="AH549" s="2" t="str">
        <f ca="1"/>
        <v>Bad</v>
      </c>
    </row>
    <row r="550" spans="2:34" x14ac:dyDescent="0.2">
      <c r="B550" s="2">
        <f ca="1"/>
        <v>0.40341548860667986</v>
      </c>
      <c r="O550" s="2">
        <f ca="1"/>
        <v>0.20386620833951119</v>
      </c>
      <c r="X550" s="2">
        <f ca="1"/>
        <v>51.37222841444833</v>
      </c>
      <c r="AG550" s="2">
        <f ca="1"/>
        <v>9.1499643276392595E-2</v>
      </c>
      <c r="AH550" s="2" t="str">
        <f ca="1"/>
        <v>OK</v>
      </c>
    </row>
    <row r="551" spans="2:34" x14ac:dyDescent="0.2">
      <c r="B551" s="2">
        <f ca="1"/>
        <v>0.23261153543634938</v>
      </c>
      <c r="O551" s="2">
        <f ca="1"/>
        <v>-1.7489017412300998</v>
      </c>
      <c r="X551" s="2">
        <f ca="1"/>
        <v>53.62798306977254</v>
      </c>
      <c r="AG551" s="2">
        <f ca="1"/>
        <v>0.43081217086177648</v>
      </c>
      <c r="AH551" s="2" t="str">
        <f ca="1"/>
        <v>Bad</v>
      </c>
    </row>
    <row r="552" spans="2:34" x14ac:dyDescent="0.2">
      <c r="B552" s="2">
        <f ca="1"/>
        <v>0.31115367709949071</v>
      </c>
      <c r="O552" s="2">
        <f ca="1"/>
        <v>-1.0630178318754693</v>
      </c>
      <c r="X552" s="2">
        <f ca="1"/>
        <v>35.872278950406525</v>
      </c>
      <c r="AG552" s="2">
        <f ca="1"/>
        <v>0.46302132759418924</v>
      </c>
      <c r="AH552" s="2" t="str">
        <f ca="1"/>
        <v>Bad</v>
      </c>
    </row>
    <row r="553" spans="2:34" x14ac:dyDescent="0.2">
      <c r="B553" s="2">
        <f ca="1"/>
        <v>0.64094963931816773</v>
      </c>
      <c r="O553" s="2">
        <f ca="1"/>
        <v>-0.26200759755526482</v>
      </c>
      <c r="X553" s="2">
        <f ca="1"/>
        <v>63.854464275388807</v>
      </c>
      <c r="AG553" s="2">
        <f ca="1"/>
        <v>0.56701874733443747</v>
      </c>
      <c r="AH553" s="2" t="str">
        <f ca="1"/>
        <v>Bad</v>
      </c>
    </row>
    <row r="554" spans="2:34" x14ac:dyDescent="0.2">
      <c r="B554" s="2">
        <f ca="1"/>
        <v>0.26687502435251287</v>
      </c>
      <c r="O554" s="2">
        <f ca="1"/>
        <v>-0.83702157384494325</v>
      </c>
      <c r="X554" s="2">
        <f ca="1"/>
        <v>41.630357879764773</v>
      </c>
      <c r="AG554" s="2">
        <f ca="1"/>
        <v>0.75724139926597922</v>
      </c>
      <c r="AH554" s="2" t="str">
        <f ca="1"/>
        <v>Bad</v>
      </c>
    </row>
    <row r="555" spans="2:34" x14ac:dyDescent="0.2">
      <c r="B555" s="2">
        <f ca="1"/>
        <v>0.18609408437977271</v>
      </c>
      <c r="O555" s="2">
        <f ca="1"/>
        <v>-0.29850587398383088</v>
      </c>
      <c r="X555" s="2">
        <f ca="1"/>
        <v>41.68914672935859</v>
      </c>
      <c r="AG555" s="2">
        <f ca="1"/>
        <v>0.43851820997936342</v>
      </c>
      <c r="AH555" s="2" t="str">
        <f ca="1"/>
        <v>Bad</v>
      </c>
    </row>
    <row r="556" spans="2:34" x14ac:dyDescent="0.2">
      <c r="B556" s="2">
        <f ca="1"/>
        <v>0.3780786593004255</v>
      </c>
      <c r="O556" s="2">
        <f ca="1"/>
        <v>-1.2600258735370899</v>
      </c>
      <c r="X556" s="2">
        <f ca="1"/>
        <v>43.363649976111404</v>
      </c>
      <c r="AG556" s="2">
        <f ca="1"/>
        <v>0.33758236391782992</v>
      </c>
      <c r="AH556" s="2" t="str">
        <f ca="1"/>
        <v>OK</v>
      </c>
    </row>
    <row r="557" spans="2:34" x14ac:dyDescent="0.2">
      <c r="B557" s="2">
        <f ca="1"/>
        <v>9.4025289972494708E-3</v>
      </c>
      <c r="O557" s="2">
        <f ca="1"/>
        <v>1.6477514720377098</v>
      </c>
      <c r="X557" s="2">
        <f ca="1"/>
        <v>47.892313047019222</v>
      </c>
      <c r="AG557" s="2">
        <f ca="1"/>
        <v>0.87203439365607283</v>
      </c>
      <c r="AH557" s="2" t="str">
        <f ca="1"/>
        <v>Bad</v>
      </c>
    </row>
    <row r="558" spans="2:34" x14ac:dyDescent="0.2">
      <c r="B558" s="2">
        <f ca="1"/>
        <v>0.4490863045188509</v>
      </c>
      <c r="O558" s="2">
        <f ca="1"/>
        <v>-1.6203788272215027</v>
      </c>
      <c r="X558" s="2">
        <f ca="1"/>
        <v>45.876778472353706</v>
      </c>
      <c r="AG558" s="2">
        <f ca="1"/>
        <v>0.99083550662204045</v>
      </c>
      <c r="AH558" s="2" t="str">
        <f ca="1"/>
        <v>Bad</v>
      </c>
    </row>
    <row r="559" spans="2:34" x14ac:dyDescent="0.2">
      <c r="B559" s="2">
        <f ca="1"/>
        <v>0.81269285796367075</v>
      </c>
      <c r="O559" s="2">
        <f ca="1"/>
        <v>-0.83211078989301779</v>
      </c>
      <c r="X559" s="2">
        <f ca="1"/>
        <v>36.227920167446946</v>
      </c>
      <c r="AG559" s="2">
        <f ca="1"/>
        <v>0.72665186070586829</v>
      </c>
      <c r="AH559" s="2" t="str">
        <f ca="1"/>
        <v>Bad</v>
      </c>
    </row>
    <row r="560" spans="2:34" x14ac:dyDescent="0.2">
      <c r="B560" s="2">
        <f ca="1"/>
        <v>0.37564108080749192</v>
      </c>
      <c r="O560" s="2">
        <f ca="1"/>
        <v>-0.61853966517621806</v>
      </c>
      <c r="X560" s="2">
        <f ca="1"/>
        <v>34.665532309312709</v>
      </c>
      <c r="AG560" s="2">
        <f ca="1"/>
        <v>0.89408360286799882</v>
      </c>
      <c r="AH560" s="2" t="str">
        <f ca="1"/>
        <v>Bad</v>
      </c>
    </row>
    <row r="561" spans="2:34" x14ac:dyDescent="0.2">
      <c r="B561" s="2">
        <f ca="1"/>
        <v>0.49946257646405101</v>
      </c>
      <c r="O561" s="2">
        <f ca="1"/>
        <v>-2.2747918788002681</v>
      </c>
      <c r="X561" s="2">
        <f ca="1"/>
        <v>70.835860584717494</v>
      </c>
      <c r="AG561" s="2">
        <f ca="1"/>
        <v>0.65194513586789915</v>
      </c>
      <c r="AH561" s="2" t="str">
        <f ca="1"/>
        <v>Bad</v>
      </c>
    </row>
    <row r="562" spans="2:34" x14ac:dyDescent="0.2">
      <c r="B562" s="2">
        <f ca="1"/>
        <v>0.46935350880648019</v>
      </c>
      <c r="O562" s="2">
        <f ca="1"/>
        <v>0.70052330094295789</v>
      </c>
      <c r="X562" s="2">
        <f ca="1"/>
        <v>65.121708832674926</v>
      </c>
      <c r="AG562" s="2">
        <f ca="1"/>
        <v>0.70891637132341279</v>
      </c>
      <c r="AH562" s="2" t="str">
        <f ca="1"/>
        <v>Bad</v>
      </c>
    </row>
    <row r="563" spans="2:34" x14ac:dyDescent="0.2">
      <c r="B563" s="2">
        <f ca="1"/>
        <v>0.1085618082385873</v>
      </c>
      <c r="O563" s="2">
        <f ca="1"/>
        <v>0.97977779232925233</v>
      </c>
      <c r="X563" s="2">
        <f ca="1"/>
        <v>60.594137475732062</v>
      </c>
      <c r="AG563" s="2">
        <f ca="1"/>
        <v>0.9673193422120574</v>
      </c>
      <c r="AH563" s="2" t="str">
        <f ca="1"/>
        <v>Bad</v>
      </c>
    </row>
    <row r="564" spans="2:34" x14ac:dyDescent="0.2">
      <c r="B564" s="2">
        <f ca="1"/>
        <v>0.3247673029745759</v>
      </c>
      <c r="O564" s="2">
        <f ca="1"/>
        <v>-0.44420244844505052</v>
      </c>
      <c r="X564" s="2">
        <f ca="1"/>
        <v>58.856724785994118</v>
      </c>
      <c r="AG564" s="2">
        <f ca="1"/>
        <v>0.45170254327512493</v>
      </c>
      <c r="AH564" s="2" t="str">
        <f ca="1"/>
        <v>Bad</v>
      </c>
    </row>
    <row r="565" spans="2:34" x14ac:dyDescent="0.2">
      <c r="B565" s="2">
        <f ca="1"/>
        <v>0.18860512241739458</v>
      </c>
      <c r="O565" s="2">
        <f ca="1"/>
        <v>-1.2230355997605982</v>
      </c>
      <c r="X565" s="2">
        <f ca="1"/>
        <v>45.131073514014332</v>
      </c>
      <c r="AG565" s="2">
        <f ca="1"/>
        <v>0.27666667936718325</v>
      </c>
      <c r="AH565" s="2" t="str">
        <f ca="1"/>
        <v>OK</v>
      </c>
    </row>
    <row r="566" spans="2:34" x14ac:dyDescent="0.2">
      <c r="B566" s="2">
        <f ca="1"/>
        <v>0.92999892468382384</v>
      </c>
      <c r="O566" s="2">
        <f ca="1"/>
        <v>0.78492319822728251</v>
      </c>
      <c r="X566" s="2">
        <f ca="1"/>
        <v>37.267194422652878</v>
      </c>
      <c r="AG566" s="2">
        <f ca="1"/>
        <v>0.5197919307380936</v>
      </c>
      <c r="AH566" s="2" t="str">
        <f ca="1"/>
        <v>Bad</v>
      </c>
    </row>
    <row r="567" spans="2:34" x14ac:dyDescent="0.2">
      <c r="B567" s="2">
        <f ca="1"/>
        <v>0.63341278915704957</v>
      </c>
      <c r="O567" s="2">
        <f ca="1"/>
        <v>-0.5359962426309528</v>
      </c>
      <c r="X567" s="2">
        <f ca="1"/>
        <v>40.896898379096918</v>
      </c>
      <c r="AG567" s="2">
        <f ca="1"/>
        <v>0.33226100633187761</v>
      </c>
      <c r="AH567" s="2" t="str">
        <f ca="1"/>
        <v>OK</v>
      </c>
    </row>
    <row r="568" spans="2:34" x14ac:dyDescent="0.2">
      <c r="B568" s="2">
        <f ca="1"/>
        <v>0.67232889345595748</v>
      </c>
      <c r="O568" s="2">
        <f ca="1"/>
        <v>-0.48979275467491207</v>
      </c>
      <c r="X568" s="2">
        <f ca="1"/>
        <v>53.255474093209926</v>
      </c>
      <c r="AG568" s="2">
        <f ca="1"/>
        <v>0.78220603632262575</v>
      </c>
      <c r="AH568" s="2" t="str">
        <f ca="1"/>
        <v>Bad</v>
      </c>
    </row>
    <row r="569" spans="2:34" x14ac:dyDescent="0.2">
      <c r="B569" s="2">
        <f ca="1"/>
        <v>0.74287657163942389</v>
      </c>
      <c r="O569" s="2">
        <f ca="1"/>
        <v>0.54343729297253895</v>
      </c>
      <c r="X569" s="2">
        <f ca="1"/>
        <v>38.92920052268704</v>
      </c>
      <c r="AG569" s="2">
        <f ca="1"/>
        <v>0.62048493716575459</v>
      </c>
      <c r="AH569" s="2" t="str">
        <f ca="1"/>
        <v>Bad</v>
      </c>
    </row>
    <row r="570" spans="2:34" x14ac:dyDescent="0.2">
      <c r="B570" s="2">
        <f ca="1"/>
        <v>0.52910327622230868</v>
      </c>
      <c r="O570" s="2">
        <f ca="1"/>
        <v>1.1791651478466223</v>
      </c>
      <c r="X570" s="2">
        <f ca="1"/>
        <v>43.781752856827588</v>
      </c>
      <c r="AG570" s="2">
        <f ca="1"/>
        <v>0.85803746334460018</v>
      </c>
      <c r="AH570" s="2" t="str">
        <f ca="1"/>
        <v>Bad</v>
      </c>
    </row>
    <row r="571" spans="2:34" x14ac:dyDescent="0.2">
      <c r="B571" s="2">
        <f ca="1"/>
        <v>0.85870130752408769</v>
      </c>
      <c r="O571" s="2">
        <f ca="1"/>
        <v>0.31875605045024125</v>
      </c>
      <c r="X571" s="2">
        <f ca="1"/>
        <v>50.131348078457385</v>
      </c>
      <c r="AG571" s="2">
        <f ca="1"/>
        <v>0.81986530008045477</v>
      </c>
      <c r="AH571" s="2" t="str">
        <f ca="1"/>
        <v>Bad</v>
      </c>
    </row>
    <row r="572" spans="2:34" x14ac:dyDescent="0.2">
      <c r="B572" s="2">
        <f ca="1"/>
        <v>0.49248589164210954</v>
      </c>
      <c r="O572" s="2">
        <f ca="1"/>
        <v>1.110927557159501</v>
      </c>
      <c r="X572" s="2">
        <f ca="1"/>
        <v>48.791888855768889</v>
      </c>
      <c r="AG572" s="2">
        <f ca="1"/>
        <v>0.89921563378034475</v>
      </c>
      <c r="AH572" s="2" t="str">
        <f ca="1"/>
        <v>Bad</v>
      </c>
    </row>
    <row r="573" spans="2:34" x14ac:dyDescent="0.2">
      <c r="B573" s="2">
        <f ca="1"/>
        <v>0.36447976409030214</v>
      </c>
      <c r="O573" s="2">
        <f ca="1"/>
        <v>0.44199156291635489</v>
      </c>
      <c r="X573" s="2">
        <f ca="1"/>
        <v>34.790968134250761</v>
      </c>
      <c r="AG573" s="2">
        <f ca="1"/>
        <v>0.71026678760890705</v>
      </c>
      <c r="AH573" s="2" t="str">
        <f ca="1"/>
        <v>Bad</v>
      </c>
    </row>
    <row r="574" spans="2:34" x14ac:dyDescent="0.2">
      <c r="B574" s="2">
        <f ca="1"/>
        <v>0.44438453124703403</v>
      </c>
      <c r="O574" s="2">
        <f ca="1"/>
        <v>-1.1989848120991213</v>
      </c>
      <c r="X574" s="2">
        <f ca="1"/>
        <v>33.994563691544812</v>
      </c>
      <c r="AG574" s="2">
        <f ca="1"/>
        <v>0.83858159495224016</v>
      </c>
      <c r="AH574" s="2" t="str">
        <f ca="1"/>
        <v>Bad</v>
      </c>
    </row>
    <row r="575" spans="2:34" x14ac:dyDescent="0.2">
      <c r="B575" s="2">
        <f ca="1"/>
        <v>0.75750676349906598</v>
      </c>
      <c r="O575" s="2">
        <f ca="1"/>
        <v>-0.68883448993615393</v>
      </c>
      <c r="X575" s="2">
        <f ca="1"/>
        <v>45.902167317195463</v>
      </c>
      <c r="AG575" s="2">
        <f ca="1"/>
        <v>0.533042868544229</v>
      </c>
      <c r="AH575" s="2" t="str">
        <f ca="1"/>
        <v>Bad</v>
      </c>
    </row>
    <row r="576" spans="2:34" x14ac:dyDescent="0.2">
      <c r="B576" s="2">
        <f ca="1"/>
        <v>0.68787833028485745</v>
      </c>
      <c r="O576" s="2">
        <f ca="1"/>
        <v>0.22329134073065376</v>
      </c>
      <c r="X576" s="2">
        <f ca="1"/>
        <v>54.065484417656506</v>
      </c>
      <c r="AG576" s="2">
        <f ca="1"/>
        <v>4.5665370711228448E-2</v>
      </c>
      <c r="AH576" s="2" t="str">
        <f ca="1"/>
        <v>Good</v>
      </c>
    </row>
    <row r="577" spans="2:34" x14ac:dyDescent="0.2">
      <c r="B577" s="2">
        <f ca="1"/>
        <v>0.35185637621423771</v>
      </c>
      <c r="O577" s="2">
        <f ca="1"/>
        <v>-1.4170046565798589</v>
      </c>
      <c r="X577" s="2">
        <f ca="1"/>
        <v>20.48676732386593</v>
      </c>
      <c r="AG577" s="2">
        <f ca="1"/>
        <v>0.73712588730713868</v>
      </c>
      <c r="AH577" s="2" t="str">
        <f ca="1"/>
        <v>Bad</v>
      </c>
    </row>
    <row r="578" spans="2:34" x14ac:dyDescent="0.2">
      <c r="B578" s="2">
        <f ca="1"/>
        <v>0.75249511164944982</v>
      </c>
      <c r="O578" s="2">
        <f ca="1"/>
        <v>-0.55239616256299462</v>
      </c>
      <c r="X578" s="2">
        <f ca="1"/>
        <v>80.576603163432523</v>
      </c>
      <c r="AG578" s="2">
        <f ca="1"/>
        <v>0.30604121354086056</v>
      </c>
      <c r="AH578" s="2" t="str">
        <f ca="1"/>
        <v>OK</v>
      </c>
    </row>
    <row r="579" spans="2:34" x14ac:dyDescent="0.2">
      <c r="B579" s="2">
        <f ca="1"/>
        <v>0.18839670549024889</v>
      </c>
      <c r="O579" s="2">
        <f ca="1"/>
        <v>-1.0034439800917452</v>
      </c>
      <c r="X579" s="2">
        <f ca="1"/>
        <v>52.479703127459494</v>
      </c>
      <c r="AG579" s="2">
        <f ca="1"/>
        <v>0.75403717574651208</v>
      </c>
      <c r="AH579" s="2" t="str">
        <f ca="1"/>
        <v>Bad</v>
      </c>
    </row>
    <row r="580" spans="2:34" x14ac:dyDescent="0.2">
      <c r="B580" s="2">
        <f ca="1"/>
        <v>0.22958130290325873</v>
      </c>
      <c r="O580" s="2">
        <f ca="1"/>
        <v>-1.303262882945633</v>
      </c>
      <c r="X580" s="2">
        <f ca="1"/>
        <v>35.934028489533219</v>
      </c>
      <c r="AG580" s="2">
        <f ca="1"/>
        <v>0.61320003533450484</v>
      </c>
      <c r="AH580" s="2" t="str">
        <f ca="1"/>
        <v>Bad</v>
      </c>
    </row>
    <row r="581" spans="2:34" x14ac:dyDescent="0.2">
      <c r="B581" s="2">
        <f ca="1"/>
        <v>0.37277166629433411</v>
      </c>
      <c r="O581" s="2">
        <f ca="1"/>
        <v>0.61826876452658552</v>
      </c>
      <c r="X581" s="2">
        <f ca="1"/>
        <v>31.536780259201073</v>
      </c>
      <c r="AG581" s="2">
        <f ca="1"/>
        <v>0.75010879849725765</v>
      </c>
      <c r="AH581" s="2" t="str">
        <f ca="1"/>
        <v>Bad</v>
      </c>
    </row>
    <row r="582" spans="2:34" x14ac:dyDescent="0.2">
      <c r="B582" s="2">
        <f ca="1"/>
        <v>0.59850056780994709</v>
      </c>
      <c r="O582" s="2">
        <f ca="1"/>
        <v>2.5057400603002895</v>
      </c>
      <c r="X582" s="2">
        <f ca="1"/>
        <v>52.770005166469467</v>
      </c>
      <c r="AG582" s="2">
        <f ca="1"/>
        <v>0.53300144852841291</v>
      </c>
      <c r="AH582" s="2" t="str">
        <f ca="1"/>
        <v>Bad</v>
      </c>
    </row>
    <row r="583" spans="2:34" x14ac:dyDescent="0.2">
      <c r="B583" s="2">
        <f ca="1"/>
        <v>0.83473098849363048</v>
      </c>
      <c r="O583" s="2">
        <f ca="1"/>
        <v>-0.16480884718775199</v>
      </c>
      <c r="X583" s="2">
        <f ca="1"/>
        <v>31.083838351394242</v>
      </c>
      <c r="AG583" s="2">
        <f ca="1"/>
        <v>0.52221013558146034</v>
      </c>
      <c r="AH583" s="2" t="str">
        <f ca="1"/>
        <v>Bad</v>
      </c>
    </row>
    <row r="584" spans="2:34" x14ac:dyDescent="0.2">
      <c r="B584" s="2">
        <f ca="1"/>
        <v>0.25263437287975443</v>
      </c>
      <c r="O584" s="2">
        <f ca="1"/>
        <v>1.8548530643871146</v>
      </c>
      <c r="X584" s="2">
        <f ca="1"/>
        <v>80.122150033469495</v>
      </c>
      <c r="AG584" s="2">
        <f ca="1"/>
        <v>0.36769674418050036</v>
      </c>
      <c r="AH584" s="2" t="str">
        <f ca="1"/>
        <v>OK</v>
      </c>
    </row>
    <row r="585" spans="2:34" x14ac:dyDescent="0.2">
      <c r="B585" s="2">
        <f ca="1"/>
        <v>0.22482850783024788</v>
      </c>
      <c r="O585" s="2">
        <f ca="1"/>
        <v>-0.39830377535859962</v>
      </c>
      <c r="X585" s="2">
        <f ca="1"/>
        <v>72.126120850744698</v>
      </c>
      <c r="AG585" s="2">
        <f ca="1"/>
        <v>0.93927805525322805</v>
      </c>
      <c r="AH585" s="2" t="str">
        <f ca="1"/>
        <v>Bad</v>
      </c>
    </row>
    <row r="586" spans="2:34" x14ac:dyDescent="0.2">
      <c r="B586" s="2">
        <f ca="1"/>
        <v>0.88758979586665032</v>
      </c>
      <c r="O586" s="2">
        <f ca="1"/>
        <v>-0.6197767811579461</v>
      </c>
      <c r="X586" s="2">
        <f ca="1"/>
        <v>70.420361880104721</v>
      </c>
      <c r="AG586" s="2">
        <f ca="1"/>
        <v>0.67246442578180776</v>
      </c>
      <c r="AH586" s="2" t="str">
        <f ca="1"/>
        <v>Bad</v>
      </c>
    </row>
    <row r="587" spans="2:34" x14ac:dyDescent="0.2">
      <c r="B587" s="2">
        <f ca="1"/>
        <v>2.4632335762914348E-2</v>
      </c>
      <c r="O587" s="2">
        <f ca="1"/>
        <v>-0.33569438099606258</v>
      </c>
      <c r="X587" s="2">
        <f ca="1"/>
        <v>62.757630225874827</v>
      </c>
      <c r="AG587" s="2">
        <f ca="1"/>
        <v>0.28764750277480755</v>
      </c>
      <c r="AH587" s="2" t="str">
        <f ca="1"/>
        <v>OK</v>
      </c>
    </row>
    <row r="588" spans="2:34" x14ac:dyDescent="0.2">
      <c r="B588" s="2">
        <f ca="1"/>
        <v>0.55138558249232239</v>
      </c>
      <c r="O588" s="2">
        <f ca="1"/>
        <v>-2.6144579245399582</v>
      </c>
      <c r="X588" s="2">
        <f ca="1"/>
        <v>33.907464212893309</v>
      </c>
      <c r="AG588" s="2">
        <f ca="1"/>
        <v>9.1527056160062514E-2</v>
      </c>
      <c r="AH588" s="2" t="str">
        <f ca="1"/>
        <v>OK</v>
      </c>
    </row>
    <row r="589" spans="2:34" x14ac:dyDescent="0.2">
      <c r="B589" s="2">
        <f ca="1"/>
        <v>0.2196015573928487</v>
      </c>
      <c r="O589" s="2">
        <f ca="1"/>
        <v>-0.80150475221233752</v>
      </c>
      <c r="X589" s="2">
        <f ca="1"/>
        <v>48.734714086665598</v>
      </c>
      <c r="AG589" s="2">
        <f ca="1"/>
        <v>0.62484179211949042</v>
      </c>
      <c r="AH589" s="2" t="str">
        <f ca="1"/>
        <v>Bad</v>
      </c>
    </row>
    <row r="590" spans="2:34" x14ac:dyDescent="0.2">
      <c r="B590" s="2">
        <f ca="1"/>
        <v>0.90978841031514146</v>
      </c>
      <c r="O590" s="2">
        <f ca="1"/>
        <v>-0.53080551019812527</v>
      </c>
      <c r="X590" s="2">
        <f ca="1"/>
        <v>56.657310462523043</v>
      </c>
      <c r="AG590" s="2">
        <f ca="1"/>
        <v>0.79347286208406143</v>
      </c>
      <c r="AH590" s="2" t="str">
        <f ca="1"/>
        <v>Bad</v>
      </c>
    </row>
    <row r="591" spans="2:34" x14ac:dyDescent="0.2">
      <c r="B591" s="2">
        <f ca="1"/>
        <v>0.20825192552963379</v>
      </c>
      <c r="O591" s="2">
        <f ca="1"/>
        <v>-1.1332139649230788</v>
      </c>
      <c r="X591" s="2">
        <f ca="1"/>
        <v>82.532517671236491</v>
      </c>
      <c r="AG591" s="2">
        <f ca="1"/>
        <v>0.78785056805747011</v>
      </c>
      <c r="AH591" s="2" t="str">
        <f ca="1"/>
        <v>Bad</v>
      </c>
    </row>
    <row r="592" spans="2:34" x14ac:dyDescent="0.2">
      <c r="B592" s="2">
        <f ca="1"/>
        <v>0.49352869176206071</v>
      </c>
      <c r="O592" s="2">
        <f ca="1"/>
        <v>0.77745754989840743</v>
      </c>
      <c r="X592" s="2">
        <f ca="1"/>
        <v>53.980069119981088</v>
      </c>
      <c r="AG592" s="2">
        <f ca="1"/>
        <v>0.43938143817677711</v>
      </c>
      <c r="AH592" s="2" t="str">
        <f ca="1"/>
        <v>Bad</v>
      </c>
    </row>
    <row r="593" spans="2:34" x14ac:dyDescent="0.2">
      <c r="B593" s="2">
        <f ca="1"/>
        <v>3.441678634995049E-2</v>
      </c>
      <c r="O593" s="2">
        <f ca="1"/>
        <v>0.94919302701125441</v>
      </c>
      <c r="X593" s="2">
        <f ca="1"/>
        <v>53.548843850257519</v>
      </c>
      <c r="AG593" s="2">
        <f ca="1"/>
        <v>0.98260722929764666</v>
      </c>
      <c r="AH593" s="2" t="str">
        <f ca="1"/>
        <v>Bad</v>
      </c>
    </row>
    <row r="594" spans="2:34" x14ac:dyDescent="0.2">
      <c r="B594" s="2">
        <f ca="1"/>
        <v>0.15944897866538632</v>
      </c>
      <c r="O594" s="2">
        <f ca="1"/>
        <v>-1.6409770491150728</v>
      </c>
      <c r="X594" s="2">
        <f ca="1"/>
        <v>57.277459738571395</v>
      </c>
      <c r="AG594" s="2">
        <f ca="1"/>
        <v>0.19101491805722248</v>
      </c>
      <c r="AH594" s="2" t="str">
        <f ca="1"/>
        <v>OK</v>
      </c>
    </row>
    <row r="595" spans="2:34" x14ac:dyDescent="0.2">
      <c r="B595" s="2">
        <f ca="1"/>
        <v>0.94438997706212224</v>
      </c>
      <c r="O595" s="2">
        <f ca="1"/>
        <v>-1.0199238659766983</v>
      </c>
      <c r="X595" s="2">
        <f ca="1"/>
        <v>39.606175988091096</v>
      </c>
      <c r="AG595" s="2">
        <f ca="1"/>
        <v>0.36271461752840994</v>
      </c>
      <c r="AH595" s="2" t="str">
        <f ca="1"/>
        <v>OK</v>
      </c>
    </row>
    <row r="596" spans="2:34" x14ac:dyDescent="0.2">
      <c r="B596" s="2">
        <f ca="1"/>
        <v>0.3937569178305409</v>
      </c>
      <c r="O596" s="2">
        <f ca="1"/>
        <v>0.27516336962902915</v>
      </c>
      <c r="X596" s="2">
        <f ca="1"/>
        <v>52.184122904626626</v>
      </c>
      <c r="AG596" s="2">
        <f ca="1"/>
        <v>0.1767871728134498</v>
      </c>
      <c r="AH596" s="2" t="str">
        <f ca="1"/>
        <v>OK</v>
      </c>
    </row>
    <row r="597" spans="2:34" x14ac:dyDescent="0.2">
      <c r="B597" s="2">
        <f ca="1"/>
        <v>0.37817034421241758</v>
      </c>
      <c r="O597" s="2">
        <f ca="1"/>
        <v>-0.13674310948900312</v>
      </c>
      <c r="X597" s="2">
        <f ca="1"/>
        <v>49.601424450967428</v>
      </c>
      <c r="AG597" s="2">
        <f ca="1"/>
        <v>0.60548595145039452</v>
      </c>
      <c r="AH597" s="2" t="str">
        <f ca="1"/>
        <v>Bad</v>
      </c>
    </row>
    <row r="598" spans="2:34" x14ac:dyDescent="0.2">
      <c r="B598" s="2">
        <f ca="1"/>
        <v>5.7546390099005862E-4</v>
      </c>
      <c r="O598" s="2">
        <f ca="1"/>
        <v>1.4188769653537243</v>
      </c>
      <c r="X598" s="2">
        <f ca="1"/>
        <v>47.723413533601686</v>
      </c>
      <c r="AG598" s="2">
        <f ca="1"/>
        <v>0.12880008998920722</v>
      </c>
      <c r="AH598" s="2" t="str">
        <f ca="1"/>
        <v>OK</v>
      </c>
    </row>
    <row r="599" spans="2:34" x14ac:dyDescent="0.2">
      <c r="B599" s="2">
        <f ca="1"/>
        <v>6.744967725001727E-2</v>
      </c>
      <c r="O599" s="2">
        <f ca="1"/>
        <v>-1.511873317468676</v>
      </c>
      <c r="X599" s="2">
        <f ca="1"/>
        <v>78.618694243267015</v>
      </c>
      <c r="AG599" s="2">
        <f ca="1"/>
        <v>0.9234983579189131</v>
      </c>
      <c r="AH599" s="2" t="str">
        <f ca="1"/>
        <v>Bad</v>
      </c>
    </row>
    <row r="600" spans="2:34" x14ac:dyDescent="0.2">
      <c r="B600" s="2">
        <f ca="1"/>
        <v>4.6036172507007533E-2</v>
      </c>
      <c r="O600" s="2">
        <f ca="1"/>
        <v>1.5353165337810291</v>
      </c>
      <c r="X600" s="2">
        <f ca="1"/>
        <v>35.259026603849357</v>
      </c>
      <c r="AG600" s="2">
        <f ca="1"/>
        <v>0.70005272483636727</v>
      </c>
      <c r="AH600" s="2" t="str">
        <f ca="1"/>
        <v>Bad</v>
      </c>
    </row>
    <row r="601" spans="2:34" x14ac:dyDescent="0.2">
      <c r="B601" s="2">
        <f ca="1"/>
        <v>0.80978780325257094</v>
      </c>
      <c r="O601" s="2">
        <f ca="1"/>
        <v>2.093022625272261</v>
      </c>
      <c r="X601" s="2">
        <f ca="1"/>
        <v>72.243228240881422</v>
      </c>
      <c r="AG601" s="2">
        <f ca="1"/>
        <v>0.4590176430970816</v>
      </c>
      <c r="AH601" s="2" t="str">
        <f ca="1"/>
        <v>Bad</v>
      </c>
    </row>
    <row r="602" spans="2:34" x14ac:dyDescent="0.2">
      <c r="B602" s="2">
        <f ca="1"/>
        <v>4.8047231491205489E-2</v>
      </c>
      <c r="O602" s="2">
        <f ca="1"/>
        <v>0.77657899134148456</v>
      </c>
      <c r="X602" s="2">
        <f ca="1"/>
        <v>26.56112422355006</v>
      </c>
      <c r="AG602" s="2">
        <f ca="1"/>
        <v>0.84183546536996667</v>
      </c>
      <c r="AH602" s="2" t="str">
        <f ca="1"/>
        <v>Bad</v>
      </c>
    </row>
    <row r="603" spans="2:34" x14ac:dyDescent="0.2">
      <c r="B603" s="2">
        <f ca="1"/>
        <v>0.59293413675489726</v>
      </c>
      <c r="O603" s="2">
        <f ca="1"/>
        <v>1.2837789944839431</v>
      </c>
      <c r="X603" s="2">
        <f ca="1"/>
        <v>56.796591761824601</v>
      </c>
      <c r="AG603" s="2">
        <f ca="1"/>
        <v>0.63039649928876051</v>
      </c>
      <c r="AH603" s="2" t="str">
        <f ca="1"/>
        <v>Bad</v>
      </c>
    </row>
    <row r="604" spans="2:34" x14ac:dyDescent="0.2">
      <c r="B604" s="2">
        <f ca="1"/>
        <v>0.3034624179089247</v>
      </c>
      <c r="O604" s="2">
        <f ca="1"/>
        <v>-1.1425267560522647</v>
      </c>
      <c r="X604" s="2">
        <f ca="1"/>
        <v>40.281852278634503</v>
      </c>
      <c r="AG604" s="2">
        <f ca="1"/>
        <v>0.39109090618066</v>
      </c>
      <c r="AH604" s="2" t="str">
        <f ca="1"/>
        <v>OK</v>
      </c>
    </row>
    <row r="605" spans="2:34" x14ac:dyDescent="0.2">
      <c r="B605" s="2">
        <f ca="1"/>
        <v>0.57381730674412812</v>
      </c>
      <c r="O605" s="2">
        <f ca="1"/>
        <v>-0.56998180013272826</v>
      </c>
      <c r="X605" s="2">
        <f ca="1"/>
        <v>46.308843631248038</v>
      </c>
      <c r="AG605" s="2">
        <f ca="1"/>
        <v>0.58903456932656462</v>
      </c>
      <c r="AH605" s="2" t="str">
        <f ca="1"/>
        <v>Bad</v>
      </c>
    </row>
    <row r="606" spans="2:34" x14ac:dyDescent="0.2">
      <c r="B606" s="2">
        <f ca="1"/>
        <v>0.11817819944732411</v>
      </c>
      <c r="O606" s="2">
        <f ca="1"/>
        <v>9.490318883681767E-2</v>
      </c>
      <c r="X606" s="2">
        <f ca="1"/>
        <v>46.357627833555668</v>
      </c>
      <c r="AG606" s="2">
        <f ca="1"/>
        <v>0.15777229630466083</v>
      </c>
      <c r="AH606" s="2" t="str">
        <f ca="1"/>
        <v>OK</v>
      </c>
    </row>
    <row r="607" spans="2:34" x14ac:dyDescent="0.2">
      <c r="B607" s="2">
        <f ca="1"/>
        <v>0.48628543019919324</v>
      </c>
      <c r="O607" s="2">
        <f ca="1"/>
        <v>0.25639669700841833</v>
      </c>
      <c r="X607" s="2">
        <f ca="1"/>
        <v>41.10658938852454</v>
      </c>
      <c r="AG607" s="2">
        <f ca="1"/>
        <v>6.8022757567143266E-3</v>
      </c>
      <c r="AH607" s="2" t="str">
        <f ca="1"/>
        <v>Good</v>
      </c>
    </row>
    <row r="608" spans="2:34" x14ac:dyDescent="0.2">
      <c r="B608" s="2">
        <f ca="1"/>
        <v>0.60654305863814839</v>
      </c>
      <c r="O608" s="2">
        <f ca="1"/>
        <v>-0.49209401384011847</v>
      </c>
      <c r="X608" s="2">
        <f ca="1"/>
        <v>38.895764234226078</v>
      </c>
      <c r="AG608" s="2">
        <f ca="1"/>
        <v>0.23180851209804909</v>
      </c>
      <c r="AH608" s="2" t="str">
        <f ca="1"/>
        <v>OK</v>
      </c>
    </row>
    <row r="609" spans="2:34" x14ac:dyDescent="0.2">
      <c r="B609" s="2">
        <f ca="1"/>
        <v>6.1473622029150521E-2</v>
      </c>
      <c r="O609" s="2">
        <f ca="1"/>
        <v>0.73852633706825066</v>
      </c>
      <c r="X609" s="2">
        <f ca="1"/>
        <v>88.211019450211097</v>
      </c>
      <c r="AG609" s="2">
        <f ca="1"/>
        <v>0.70720561392490366</v>
      </c>
      <c r="AH609" s="2" t="str">
        <f ca="1"/>
        <v>Bad</v>
      </c>
    </row>
    <row r="610" spans="2:34" x14ac:dyDescent="0.2">
      <c r="B610" s="2">
        <f ca="1"/>
        <v>0.8515627486725974</v>
      </c>
      <c r="O610" s="2">
        <f ca="1"/>
        <v>1.8227393748174541</v>
      </c>
      <c r="X610" s="2">
        <f ca="1"/>
        <v>55.170006706171151</v>
      </c>
      <c r="AG610" s="2">
        <f ca="1"/>
        <v>0.24012635184702491</v>
      </c>
      <c r="AH610" s="2" t="str">
        <f ca="1"/>
        <v>OK</v>
      </c>
    </row>
    <row r="611" spans="2:34" x14ac:dyDescent="0.2">
      <c r="B611" s="2">
        <f ca="1"/>
        <v>0.35704604604725176</v>
      </c>
      <c r="O611" s="2">
        <f ca="1"/>
        <v>1.26027693472054</v>
      </c>
      <c r="X611" s="2">
        <f ca="1"/>
        <v>42.413699228599988</v>
      </c>
      <c r="AG611" s="2">
        <f ca="1"/>
        <v>0.88172190259477512</v>
      </c>
      <c r="AH611" s="2" t="str">
        <f ca="1"/>
        <v>Bad</v>
      </c>
    </row>
    <row r="612" spans="2:34" x14ac:dyDescent="0.2">
      <c r="B612" s="2">
        <f ca="1"/>
        <v>0.25822625380568898</v>
      </c>
      <c r="O612" s="2">
        <f ca="1"/>
        <v>0.410523850883518</v>
      </c>
      <c r="X612" s="2">
        <f ca="1"/>
        <v>62.633530941350344</v>
      </c>
      <c r="AG612" s="2">
        <f ca="1"/>
        <v>0.63224315504997897</v>
      </c>
      <c r="AH612" s="2" t="str">
        <f ca="1"/>
        <v>Bad</v>
      </c>
    </row>
    <row r="613" spans="2:34" x14ac:dyDescent="0.2">
      <c r="B613" s="2">
        <f ca="1"/>
        <v>0.14854904000021407</v>
      </c>
      <c r="O613" s="2">
        <f ca="1"/>
        <v>-0.19371496559996729</v>
      </c>
      <c r="X613" s="2">
        <f ca="1"/>
        <v>46.619595294785334</v>
      </c>
      <c r="AG613" s="2">
        <f ca="1"/>
        <v>0.92556377517300903</v>
      </c>
      <c r="AH613" s="2" t="str">
        <f ca="1"/>
        <v>Bad</v>
      </c>
    </row>
    <row r="614" spans="2:34" x14ac:dyDescent="0.2">
      <c r="B614" s="2">
        <f ca="1"/>
        <v>0.52330180729856068</v>
      </c>
      <c r="O614" s="2">
        <f ca="1"/>
        <v>-0.23604674834296466</v>
      </c>
      <c r="X614" s="2">
        <f ca="1"/>
        <v>66.87041490965828</v>
      </c>
      <c r="AG614" s="2">
        <f ca="1"/>
        <v>0.11228192421199545</v>
      </c>
      <c r="AH614" s="2" t="str">
        <f ca="1"/>
        <v>OK</v>
      </c>
    </row>
    <row r="615" spans="2:34" x14ac:dyDescent="0.2">
      <c r="B615" s="2">
        <f ca="1"/>
        <v>0.13301241416078624</v>
      </c>
      <c r="O615" s="2">
        <f ca="1"/>
        <v>0.25123847617904244</v>
      </c>
      <c r="X615" s="2">
        <f ca="1"/>
        <v>48.665446866463583</v>
      </c>
      <c r="AG615" s="2">
        <f ca="1"/>
        <v>3.7207497688421798E-2</v>
      </c>
      <c r="AH615" s="2" t="str">
        <f ca="1"/>
        <v>Good</v>
      </c>
    </row>
    <row r="616" spans="2:34" x14ac:dyDescent="0.2">
      <c r="B616" s="2">
        <f ca="1"/>
        <v>0.17270527659690527</v>
      </c>
      <c r="O616" s="2">
        <f ca="1"/>
        <v>1.2768120020451703</v>
      </c>
      <c r="X616" s="2">
        <f ca="1"/>
        <v>70.121412268802729</v>
      </c>
      <c r="AG616" s="2">
        <f ca="1"/>
        <v>0.17382922985802485</v>
      </c>
      <c r="AH616" s="2" t="str">
        <f ca="1"/>
        <v>OK</v>
      </c>
    </row>
    <row r="617" spans="2:34" x14ac:dyDescent="0.2">
      <c r="B617" s="2">
        <f ca="1"/>
        <v>3.6428754340111613E-2</v>
      </c>
      <c r="O617" s="2">
        <f ca="1"/>
        <v>-0.71008056976111722</v>
      </c>
      <c r="X617" s="2">
        <f ca="1"/>
        <v>36.774480880889165</v>
      </c>
      <c r="AG617" s="2">
        <f ca="1"/>
        <v>0.66716161348770564</v>
      </c>
      <c r="AH617" s="2" t="str">
        <f ca="1"/>
        <v>Bad</v>
      </c>
    </row>
    <row r="618" spans="2:34" x14ac:dyDescent="0.2">
      <c r="B618" s="2">
        <f ca="1"/>
        <v>0.45632858929411091</v>
      </c>
      <c r="O618" s="2">
        <f ca="1"/>
        <v>-0.70476535909211169</v>
      </c>
      <c r="X618" s="2">
        <f ca="1"/>
        <v>36.241300941222192</v>
      </c>
      <c r="AG618" s="2">
        <f ca="1"/>
        <v>0.37453686284473631</v>
      </c>
      <c r="AH618" s="2" t="str">
        <f ca="1"/>
        <v>OK</v>
      </c>
    </row>
    <row r="619" spans="2:34" x14ac:dyDescent="0.2">
      <c r="B619" s="2">
        <f ca="1"/>
        <v>0.63373551217676249</v>
      </c>
      <c r="O619" s="2">
        <f ca="1"/>
        <v>0.96736635880582977</v>
      </c>
      <c r="X619" s="2">
        <f ca="1"/>
        <v>45.828923035081317</v>
      </c>
      <c r="AG619" s="2">
        <f ca="1"/>
        <v>0.83147468822856352</v>
      </c>
      <c r="AH619" s="2" t="str">
        <f ca="1"/>
        <v>Bad</v>
      </c>
    </row>
    <row r="620" spans="2:34" x14ac:dyDescent="0.2">
      <c r="B620" s="2">
        <f ca="1"/>
        <v>0.95722546295299749</v>
      </c>
      <c r="O620" s="2">
        <f ca="1"/>
        <v>0.88269613285045301</v>
      </c>
      <c r="X620" s="2">
        <f ca="1"/>
        <v>52.128031360159206</v>
      </c>
      <c r="AG620" s="2">
        <f ca="1"/>
        <v>0.15606561984487333</v>
      </c>
      <c r="AH620" s="2" t="str">
        <f ca="1"/>
        <v>OK</v>
      </c>
    </row>
    <row r="621" spans="2:34" x14ac:dyDescent="0.2">
      <c r="B621" s="2">
        <f ca="1"/>
        <v>0.91213307946184408</v>
      </c>
      <c r="O621" s="2">
        <f ca="1"/>
        <v>1.1192625286133731</v>
      </c>
      <c r="X621" s="2">
        <f ca="1"/>
        <v>45.016690704433621</v>
      </c>
      <c r="AG621" s="2">
        <f ca="1"/>
        <v>0.42636843139281821</v>
      </c>
      <c r="AH621" s="2" t="str">
        <f ca="1"/>
        <v>Bad</v>
      </c>
    </row>
    <row r="622" spans="2:34" x14ac:dyDescent="0.2">
      <c r="B622" s="2">
        <f ca="1"/>
        <v>0.9162091115700044</v>
      </c>
      <c r="O622" s="2">
        <f ca="1"/>
        <v>-2.2150151074105118</v>
      </c>
      <c r="X622" s="2">
        <f ca="1"/>
        <v>59.020889801159356</v>
      </c>
      <c r="AG622" s="2">
        <f ca="1"/>
        <v>0.25647197681096645</v>
      </c>
      <c r="AH622" s="2" t="str">
        <f ca="1"/>
        <v>OK</v>
      </c>
    </row>
    <row r="623" spans="2:34" x14ac:dyDescent="0.2">
      <c r="B623" s="2">
        <f ca="1"/>
        <v>0.98907397609138537</v>
      </c>
      <c r="O623" s="2">
        <f ca="1"/>
        <v>6.6452996513648679E-2</v>
      </c>
      <c r="X623" s="2">
        <f ca="1"/>
        <v>67.839722761909968</v>
      </c>
      <c r="AG623" s="2">
        <f ca="1"/>
        <v>0.35028185072751961</v>
      </c>
      <c r="AH623" s="2" t="str">
        <f ca="1"/>
        <v>OK</v>
      </c>
    </row>
    <row r="624" spans="2:34" x14ac:dyDescent="0.2">
      <c r="B624" s="2">
        <f ca="1"/>
        <v>0.76281898904302881</v>
      </c>
      <c r="O624" s="2">
        <f ca="1"/>
        <v>1.2537480024951027</v>
      </c>
      <c r="X624" s="2">
        <f ca="1"/>
        <v>60.140912090895959</v>
      </c>
      <c r="AG624" s="2">
        <f ca="1"/>
        <v>0.47781900568311042</v>
      </c>
      <c r="AH624" s="2" t="str">
        <f ca="1"/>
        <v>Bad</v>
      </c>
    </row>
    <row r="625" spans="2:34" x14ac:dyDescent="0.2">
      <c r="B625" s="2">
        <f ca="1"/>
        <v>0.32658770950753468</v>
      </c>
      <c r="O625" s="2">
        <f ca="1"/>
        <v>-2.137917853772981</v>
      </c>
      <c r="X625" s="2">
        <f ca="1"/>
        <v>45.909530524101818</v>
      </c>
      <c r="AG625" s="2">
        <f ca="1"/>
        <v>0.60508837265834692</v>
      </c>
      <c r="AH625" s="2" t="str">
        <f ca="1"/>
        <v>Bad</v>
      </c>
    </row>
    <row r="626" spans="2:34" x14ac:dyDescent="0.2">
      <c r="B626" s="2">
        <f ca="1"/>
        <v>0.79815775267999789</v>
      </c>
      <c r="O626" s="2">
        <f ca="1"/>
        <v>0.50158237813795525</v>
      </c>
      <c r="X626" s="2">
        <f ca="1"/>
        <v>44.351665250989576</v>
      </c>
      <c r="AG626" s="2">
        <f ca="1"/>
        <v>0.60056284378491487</v>
      </c>
      <c r="AH626" s="2" t="str">
        <f ca="1"/>
        <v>Bad</v>
      </c>
    </row>
    <row r="627" spans="2:34" x14ac:dyDescent="0.2">
      <c r="B627" s="2">
        <f ca="1"/>
        <v>0.91480502568002242</v>
      </c>
      <c r="O627" s="2">
        <f ca="1"/>
        <v>-0.56869790527855946</v>
      </c>
      <c r="X627" s="2">
        <f ca="1"/>
        <v>88.635713820447975</v>
      </c>
      <c r="AG627" s="2">
        <f ca="1"/>
        <v>3.3437808226767229E-2</v>
      </c>
      <c r="AH627" s="2" t="str">
        <f ca="1"/>
        <v>Good</v>
      </c>
    </row>
    <row r="628" spans="2:34" x14ac:dyDescent="0.2">
      <c r="B628" s="2">
        <f ca="1"/>
        <v>0.70483264484274688</v>
      </c>
      <c r="O628" s="2">
        <f ca="1"/>
        <v>0.9803542805284915</v>
      </c>
      <c r="X628" s="2">
        <f ca="1"/>
        <v>45.79568106475417</v>
      </c>
      <c r="AG628" s="2">
        <f ca="1"/>
        <v>0.10042199243940408</v>
      </c>
      <c r="AH628" s="2" t="str">
        <f ca="1"/>
        <v>OK</v>
      </c>
    </row>
    <row r="629" spans="2:34" x14ac:dyDescent="0.2">
      <c r="B629" s="2">
        <f ca="1"/>
        <v>0.40637643472426865</v>
      </c>
      <c r="O629" s="2">
        <f ca="1"/>
        <v>0.25788092489947773</v>
      </c>
      <c r="X629" s="2">
        <f ca="1"/>
        <v>60.562922952747044</v>
      </c>
      <c r="AG629" s="2">
        <f ca="1"/>
        <v>0.94727116081617679</v>
      </c>
      <c r="AH629" s="2" t="str">
        <f ca="1"/>
        <v>Bad</v>
      </c>
    </row>
    <row r="630" spans="2:34" x14ac:dyDescent="0.2">
      <c r="B630" s="2">
        <f ca="1"/>
        <v>0.19804512268633423</v>
      </c>
      <c r="O630" s="2">
        <f ca="1"/>
        <v>5.5704917115677405E-2</v>
      </c>
      <c r="X630" s="2">
        <f ca="1"/>
        <v>28.286753298203038</v>
      </c>
      <c r="AG630" s="2">
        <f ca="1"/>
        <v>0.709994344085495</v>
      </c>
      <c r="AH630" s="2" t="str">
        <f ca="1"/>
        <v>Bad</v>
      </c>
    </row>
    <row r="631" spans="2:34" x14ac:dyDescent="0.2">
      <c r="B631" s="2">
        <f ca="1"/>
        <v>7.5041533640109126E-2</v>
      </c>
      <c r="O631" s="2">
        <f ca="1"/>
        <v>-0.47678579535232729</v>
      </c>
      <c r="X631" s="2">
        <f ca="1"/>
        <v>68.682335131287758</v>
      </c>
      <c r="AG631" s="2">
        <f ca="1"/>
        <v>0.87391095676347552</v>
      </c>
      <c r="AH631" s="2" t="str">
        <f ca="1"/>
        <v>Bad</v>
      </c>
    </row>
    <row r="632" spans="2:34" x14ac:dyDescent="0.2">
      <c r="B632" s="2">
        <f ca="1"/>
        <v>5.8344101547145311E-3</v>
      </c>
      <c r="O632" s="2">
        <f ca="1"/>
        <v>-0.82965598827137332</v>
      </c>
      <c r="X632" s="2">
        <f ca="1"/>
        <v>37.559815378223917</v>
      </c>
      <c r="AG632" s="2">
        <f ca="1"/>
        <v>0.58348010637092651</v>
      </c>
      <c r="AH632" s="2" t="str">
        <f ca="1"/>
        <v>Bad</v>
      </c>
    </row>
    <row r="633" spans="2:34" x14ac:dyDescent="0.2">
      <c r="B633" s="2">
        <f ca="1"/>
        <v>0.88503212617854188</v>
      </c>
      <c r="O633" s="2">
        <f ca="1"/>
        <v>-1.9722114447854333</v>
      </c>
      <c r="X633" s="2">
        <f ca="1"/>
        <v>32.183697154511329</v>
      </c>
      <c r="AG633" s="2">
        <f ca="1"/>
        <v>0.81999755813063424</v>
      </c>
      <c r="AH633" s="2" t="str">
        <f ca="1"/>
        <v>Bad</v>
      </c>
    </row>
    <row r="634" spans="2:34" x14ac:dyDescent="0.2">
      <c r="B634" s="2">
        <f ca="1"/>
        <v>0.88967970810303831</v>
      </c>
      <c r="O634" s="2">
        <f ca="1"/>
        <v>0.16994931279048919</v>
      </c>
      <c r="X634" s="2">
        <f ca="1"/>
        <v>47.710768240430134</v>
      </c>
      <c r="AG634" s="2">
        <f ca="1"/>
        <v>0.60949847687973935</v>
      </c>
      <c r="AH634" s="2" t="str">
        <f ca="1"/>
        <v>Bad</v>
      </c>
    </row>
    <row r="635" spans="2:34" x14ac:dyDescent="0.2">
      <c r="B635" s="2">
        <f ca="1"/>
        <v>0.57617800470541169</v>
      </c>
      <c r="O635" s="2">
        <f ca="1"/>
        <v>1.4695654497584563</v>
      </c>
      <c r="X635" s="2">
        <f ca="1"/>
        <v>74.792689761466761</v>
      </c>
      <c r="AG635" s="2">
        <f ca="1"/>
        <v>0.30901478052736975</v>
      </c>
      <c r="AH635" s="2" t="str">
        <f ca="1"/>
        <v>OK</v>
      </c>
    </row>
    <row r="636" spans="2:34" x14ac:dyDescent="0.2">
      <c r="B636" s="2">
        <f ca="1"/>
        <v>0.33105957093042604</v>
      </c>
      <c r="O636" s="2">
        <f ca="1"/>
        <v>-1.18261110354413</v>
      </c>
      <c r="X636" s="2">
        <f ca="1"/>
        <v>77.420256544122736</v>
      </c>
      <c r="AG636" s="2">
        <f ca="1"/>
        <v>0.26295537573298944</v>
      </c>
      <c r="AH636" s="2" t="str">
        <f ca="1"/>
        <v>OK</v>
      </c>
    </row>
    <row r="637" spans="2:34" x14ac:dyDescent="0.2">
      <c r="B637" s="2">
        <f ca="1"/>
        <v>0.76211933714056879</v>
      </c>
      <c r="O637" s="2">
        <f ca="1"/>
        <v>-1.3139209623104575</v>
      </c>
      <c r="X637" s="2">
        <f ca="1"/>
        <v>71.377796805570085</v>
      </c>
      <c r="AG637" s="2">
        <f ca="1"/>
        <v>0.18569002667107259</v>
      </c>
      <c r="AH637" s="2" t="str">
        <f ca="1"/>
        <v>OK</v>
      </c>
    </row>
    <row r="638" spans="2:34" x14ac:dyDescent="0.2">
      <c r="B638" s="2">
        <f ca="1"/>
        <v>0.57784536367070305</v>
      </c>
      <c r="O638" s="2">
        <f ca="1"/>
        <v>0.72850462536907989</v>
      </c>
      <c r="X638" s="2">
        <f ca="1"/>
        <v>49.941958193890066</v>
      </c>
      <c r="AG638" s="2">
        <f ca="1"/>
        <v>0.53281924430905581</v>
      </c>
      <c r="AH638" s="2" t="str">
        <f ca="1"/>
        <v>Bad</v>
      </c>
    </row>
    <row r="639" spans="2:34" x14ac:dyDescent="0.2">
      <c r="B639" s="2">
        <f ca="1"/>
        <v>0.11650555146956432</v>
      </c>
      <c r="O639" s="2">
        <f ca="1"/>
        <v>1.3109358449522854</v>
      </c>
      <c r="X639" s="2">
        <f ca="1"/>
        <v>20.33334493383958</v>
      </c>
      <c r="AG639" s="2">
        <f ca="1"/>
        <v>0.89883024235673314</v>
      </c>
      <c r="AH639" s="2" t="str">
        <f ca="1"/>
        <v>Bad</v>
      </c>
    </row>
    <row r="640" spans="2:34" x14ac:dyDescent="0.2">
      <c r="B640" s="2">
        <f ca="1"/>
        <v>0.39909226907160122</v>
      </c>
      <c r="O640" s="2">
        <f ca="1"/>
        <v>-1.73794313032718</v>
      </c>
      <c r="X640" s="2">
        <f ca="1"/>
        <v>93.733585351843885</v>
      </c>
      <c r="AG640" s="2">
        <f ca="1"/>
        <v>2.0863284557094408E-2</v>
      </c>
      <c r="AH640" s="2" t="str">
        <f ca="1"/>
        <v>Good</v>
      </c>
    </row>
    <row r="641" spans="2:34" x14ac:dyDescent="0.2">
      <c r="B641" s="2">
        <f ca="1"/>
        <v>0.36380157793047374</v>
      </c>
      <c r="O641" s="2">
        <f ca="1"/>
        <v>-0.34454831613359227</v>
      </c>
      <c r="X641" s="2">
        <f ca="1"/>
        <v>82.589520912462092</v>
      </c>
      <c r="AG641" s="2">
        <f ca="1"/>
        <v>0.36792447885734836</v>
      </c>
      <c r="AH641" s="2" t="str">
        <f ca="1"/>
        <v>OK</v>
      </c>
    </row>
    <row r="642" spans="2:34" x14ac:dyDescent="0.2">
      <c r="B642" s="2">
        <f ca="1"/>
        <v>0.10731528531711798</v>
      </c>
      <c r="O642" s="2">
        <f ca="1"/>
        <v>1.1501678447132286</v>
      </c>
      <c r="X642" s="2">
        <f ca="1"/>
        <v>53.966740857740312</v>
      </c>
      <c r="AG642" s="2">
        <f ca="1"/>
        <v>0.1885891465471119</v>
      </c>
      <c r="AH642" s="2" t="str">
        <f ca="1"/>
        <v>OK</v>
      </c>
    </row>
    <row r="643" spans="2:34" x14ac:dyDescent="0.2">
      <c r="B643" s="2">
        <f ca="1"/>
        <v>0.35389046000517799</v>
      </c>
      <c r="O643" s="2">
        <f ca="1"/>
        <v>1.8182012865752291</v>
      </c>
      <c r="X643" s="2">
        <f ca="1"/>
        <v>26.577166092495069</v>
      </c>
      <c r="AG643" s="2">
        <f ca="1"/>
        <v>0.80464775118863341</v>
      </c>
      <c r="AH643" s="2" t="str">
        <f ca="1"/>
        <v>Bad</v>
      </c>
    </row>
    <row r="644" spans="2:34" x14ac:dyDescent="0.2">
      <c r="B644" s="2">
        <f ca="1"/>
        <v>0.37578771594353011</v>
      </c>
      <c r="O644" s="2">
        <f ca="1"/>
        <v>-0.24934158298614509</v>
      </c>
      <c r="X644" s="2">
        <f ca="1"/>
        <v>25.194376529951874</v>
      </c>
      <c r="AG644" s="2">
        <f ca="1"/>
        <v>0.59212797202437195</v>
      </c>
      <c r="AH644" s="2" t="str">
        <f ca="1"/>
        <v>Bad</v>
      </c>
    </row>
    <row r="645" spans="2:34" x14ac:dyDescent="0.2">
      <c r="B645" s="2">
        <f ca="1"/>
        <v>0.47897345643773326</v>
      </c>
      <c r="O645" s="2">
        <f ca="1"/>
        <v>-0.30014655970112097</v>
      </c>
      <c r="X645" s="2">
        <f ca="1"/>
        <v>96.35294331935512</v>
      </c>
      <c r="AG645" s="2">
        <f ca="1"/>
        <v>0.88268435936377654</v>
      </c>
      <c r="AH645" s="2" t="str">
        <f ca="1"/>
        <v>Bad</v>
      </c>
    </row>
    <row r="646" spans="2:34" x14ac:dyDescent="0.2">
      <c r="B646" s="2">
        <f ca="1"/>
        <v>0.28640694482123807</v>
      </c>
      <c r="O646" s="2">
        <f ca="1"/>
        <v>0.12589194107794505</v>
      </c>
      <c r="X646" s="2">
        <f ca="1"/>
        <v>78.151313987834484</v>
      </c>
      <c r="AG646" s="2">
        <f ca="1"/>
        <v>0.86144330947502934</v>
      </c>
      <c r="AH646" s="2" t="str">
        <f ca="1"/>
        <v>Bad</v>
      </c>
    </row>
    <row r="647" spans="2:34" x14ac:dyDescent="0.2">
      <c r="B647" s="2">
        <f ca="1"/>
        <v>0.37144849917034928</v>
      </c>
      <c r="O647" s="2">
        <f ca="1"/>
        <v>-0.38293876379679559</v>
      </c>
      <c r="X647" s="2">
        <f ca="1"/>
        <v>35.917704514958594</v>
      </c>
      <c r="AG647" s="2">
        <f ca="1"/>
        <v>0.94084157293361925</v>
      </c>
      <c r="AH647" s="2" t="str">
        <f ca="1"/>
        <v>Bad</v>
      </c>
    </row>
    <row r="648" spans="2:34" x14ac:dyDescent="0.2">
      <c r="B648" s="2">
        <f ca="1"/>
        <v>0.5197837656721418</v>
      </c>
      <c r="O648" s="2">
        <f ca="1"/>
        <v>-1.9048525482690926</v>
      </c>
      <c r="X648" s="2">
        <f ca="1"/>
        <v>59.356645475002779</v>
      </c>
      <c r="AG648" s="2">
        <f ca="1"/>
        <v>5.5552488693194846E-2</v>
      </c>
      <c r="AH648" s="2" t="str">
        <f ca="1"/>
        <v>OK</v>
      </c>
    </row>
    <row r="649" spans="2:34" x14ac:dyDescent="0.2">
      <c r="B649" s="2">
        <f ca="1"/>
        <v>0.27849148807673685</v>
      </c>
      <c r="O649" s="2">
        <f ca="1"/>
        <v>0.21993346906909148</v>
      </c>
      <c r="X649" s="2">
        <f ca="1"/>
        <v>95.566912073140799</v>
      </c>
      <c r="AG649" s="2">
        <f ca="1"/>
        <v>0.66001815997044133</v>
      </c>
      <c r="AH649" s="2" t="str">
        <f ca="1"/>
        <v>Bad</v>
      </c>
    </row>
    <row r="650" spans="2:34" x14ac:dyDescent="0.2">
      <c r="B650" s="2">
        <f ca="1"/>
        <v>0.20814061307965459</v>
      </c>
      <c r="O650" s="2">
        <f ca="1"/>
        <v>-0.33451090719235455</v>
      </c>
      <c r="X650" s="2">
        <f ca="1"/>
        <v>44.179349595518254</v>
      </c>
      <c r="AG650" s="2">
        <f ca="1"/>
        <v>0.95458086442863221</v>
      </c>
      <c r="AH650" s="2" t="str">
        <f ca="1"/>
        <v>Bad</v>
      </c>
    </row>
    <row r="651" spans="2:34" x14ac:dyDescent="0.2">
      <c r="B651" s="2">
        <f ca="1"/>
        <v>0.7721196135039472</v>
      </c>
      <c r="O651" s="2">
        <f ca="1"/>
        <v>-0.20936260236978321</v>
      </c>
      <c r="X651" s="2">
        <f ca="1"/>
        <v>68.26402774528492</v>
      </c>
      <c r="AG651" s="2">
        <f ca="1"/>
        <v>0.83497255060316866</v>
      </c>
      <c r="AH651" s="2" t="str">
        <f ca="1"/>
        <v>Bad</v>
      </c>
    </row>
    <row r="652" spans="2:34" x14ac:dyDescent="0.2">
      <c r="B652" s="2">
        <f ca="1"/>
        <v>0.74852912589044807</v>
      </c>
      <c r="O652" s="2">
        <f ca="1"/>
        <v>1.708994797217777</v>
      </c>
      <c r="X652" s="2">
        <f ca="1"/>
        <v>71.263411279507096</v>
      </c>
      <c r="AG652" s="2">
        <f ca="1"/>
        <v>8.5438732157936403E-3</v>
      </c>
      <c r="AH652" s="2" t="str">
        <f ca="1"/>
        <v>Good</v>
      </c>
    </row>
    <row r="653" spans="2:34" x14ac:dyDescent="0.2">
      <c r="B653" s="2">
        <f ca="1"/>
        <v>0.36280264330827339</v>
      </c>
      <c r="O653" s="2">
        <f ca="1"/>
        <v>-1.3727967380114079</v>
      </c>
      <c r="X653" s="2">
        <f ca="1"/>
        <v>55.707491857919806</v>
      </c>
      <c r="AG653" s="2">
        <f ca="1"/>
        <v>0.10142859175506502</v>
      </c>
      <c r="AH653" s="2" t="str">
        <f ca="1"/>
        <v>OK</v>
      </c>
    </row>
    <row r="654" spans="2:34" x14ac:dyDescent="0.2">
      <c r="B654" s="2">
        <f ca="1"/>
        <v>0.2850126090915035</v>
      </c>
      <c r="O654" s="2">
        <f ca="1"/>
        <v>2.5919362155287016</v>
      </c>
      <c r="X654" s="2">
        <f ca="1"/>
        <v>34.279718821420765</v>
      </c>
      <c r="AG654" s="2">
        <f ca="1"/>
        <v>0.97779531610159687</v>
      </c>
      <c r="AH654" s="2" t="str">
        <f ca="1"/>
        <v>Bad</v>
      </c>
    </row>
    <row r="655" spans="2:34" x14ac:dyDescent="0.2">
      <c r="B655" s="2">
        <f ca="1"/>
        <v>0.48596355017419013</v>
      </c>
      <c r="O655" s="2">
        <f ca="1"/>
        <v>-0.22458529776349972</v>
      </c>
      <c r="X655" s="2">
        <f ca="1"/>
        <v>40.89163121532372</v>
      </c>
      <c r="AG655" s="2">
        <f ca="1"/>
        <v>0.60187994234532693</v>
      </c>
      <c r="AH655" s="2" t="str">
        <f ca="1"/>
        <v>Bad</v>
      </c>
    </row>
    <row r="656" spans="2:34" x14ac:dyDescent="0.2">
      <c r="B656" s="2">
        <f ca="1"/>
        <v>0.939486549027573</v>
      </c>
      <c r="O656" s="2">
        <f ca="1"/>
        <v>0.78647858153395045</v>
      </c>
      <c r="X656" s="2">
        <f ca="1"/>
        <v>50.685682360638381</v>
      </c>
      <c r="AG656" s="2">
        <f ca="1"/>
        <v>0.27566429941967097</v>
      </c>
      <c r="AH656" s="2" t="str">
        <f ca="1"/>
        <v>OK</v>
      </c>
    </row>
    <row r="657" spans="2:34" x14ac:dyDescent="0.2">
      <c r="B657" s="2">
        <f ca="1"/>
        <v>0.77353977605436963</v>
      </c>
      <c r="O657" s="2">
        <f ca="1"/>
        <v>1.038926940473957</v>
      </c>
      <c r="X657" s="2">
        <f ca="1"/>
        <v>40.568418186823962</v>
      </c>
      <c r="AG657" s="2">
        <f ca="1"/>
        <v>0.94811800217115616</v>
      </c>
      <c r="AH657" s="2" t="str">
        <f ca="1"/>
        <v>Bad</v>
      </c>
    </row>
    <row r="658" spans="2:34" x14ac:dyDescent="0.2">
      <c r="B658" s="2">
        <f ca="1"/>
        <v>0.36001184652559526</v>
      </c>
      <c r="O658" s="2">
        <f ca="1"/>
        <v>7.0734201589476983E-3</v>
      </c>
      <c r="X658" s="2">
        <f ca="1"/>
        <v>64.415831614893349</v>
      </c>
      <c r="AG658" s="2">
        <f ca="1"/>
        <v>0.37331881711949877</v>
      </c>
      <c r="AH658" s="2" t="str">
        <f ca="1"/>
        <v>OK</v>
      </c>
    </row>
    <row r="659" spans="2:34" x14ac:dyDescent="0.2">
      <c r="B659" s="2">
        <f ca="1"/>
        <v>0.7991424703132648</v>
      </c>
      <c r="O659" s="2">
        <f ca="1"/>
        <v>1.9120726932633503</v>
      </c>
      <c r="X659" s="2">
        <f ca="1"/>
        <v>68.206416372096015</v>
      </c>
      <c r="AG659" s="2">
        <f ca="1"/>
        <v>3.305651418519906E-3</v>
      </c>
      <c r="AH659" s="2" t="str">
        <f ca="1"/>
        <v>Good</v>
      </c>
    </row>
    <row r="660" spans="2:34" x14ac:dyDescent="0.2">
      <c r="B660" s="2">
        <f ca="1"/>
        <v>0.2997121040182964</v>
      </c>
      <c r="O660" s="2">
        <f ca="1"/>
        <v>0.76445809043607582</v>
      </c>
      <c r="X660" s="2">
        <f ca="1"/>
        <v>41.119381143637696</v>
      </c>
      <c r="AG660" s="2">
        <f ca="1"/>
        <v>6.408453668765568E-2</v>
      </c>
      <c r="AH660" s="2" t="str">
        <f ca="1"/>
        <v>OK</v>
      </c>
    </row>
    <row r="661" spans="2:34" x14ac:dyDescent="0.2">
      <c r="B661" s="2">
        <f ca="1"/>
        <v>0.76383271210163217</v>
      </c>
      <c r="O661" s="2">
        <f ca="1"/>
        <v>-0.86548588378038471</v>
      </c>
      <c r="X661" s="2">
        <f ca="1"/>
        <v>62.805049375826059</v>
      </c>
      <c r="AG661" s="2">
        <f ca="1"/>
        <v>0.72857237767113059</v>
      </c>
      <c r="AH661" s="2" t="str">
        <f ca="1"/>
        <v>Bad</v>
      </c>
    </row>
    <row r="662" spans="2:34" x14ac:dyDescent="0.2">
      <c r="B662" s="2">
        <f ca="1"/>
        <v>0.78919072461631901</v>
      </c>
      <c r="O662" s="2">
        <f ca="1"/>
        <v>1.0845889250709859</v>
      </c>
      <c r="X662" s="2">
        <f ca="1"/>
        <v>41.010820489317972</v>
      </c>
      <c r="AG662" s="2">
        <f ca="1"/>
        <v>0.62584731753201472</v>
      </c>
      <c r="AH662" s="2" t="str">
        <f ca="1"/>
        <v>Bad</v>
      </c>
    </row>
    <row r="663" spans="2:34" x14ac:dyDescent="0.2">
      <c r="B663" s="2">
        <f ca="1"/>
        <v>0.4272014478327637</v>
      </c>
      <c r="O663" s="2">
        <f ca="1"/>
        <v>1.9152164891827816</v>
      </c>
      <c r="X663" s="2">
        <f ca="1"/>
        <v>45.159980338019921</v>
      </c>
      <c r="AG663" s="2">
        <f ca="1"/>
        <v>0.94895458896055462</v>
      </c>
      <c r="AH663" s="2" t="str">
        <f ca="1"/>
        <v>Bad</v>
      </c>
    </row>
    <row r="664" spans="2:34" x14ac:dyDescent="0.2">
      <c r="B664" s="2">
        <f ca="1"/>
        <v>0.94334870235687873</v>
      </c>
      <c r="O664" s="2">
        <f ca="1"/>
        <v>1.2153366588132255</v>
      </c>
      <c r="X664" s="2">
        <f ca="1"/>
        <v>62.968229172318786</v>
      </c>
      <c r="AG664" s="2">
        <f ca="1"/>
        <v>0.33056546092587125</v>
      </c>
      <c r="AH664" s="2" t="str">
        <f ca="1"/>
        <v>OK</v>
      </c>
    </row>
    <row r="665" spans="2:34" x14ac:dyDescent="0.2">
      <c r="B665" s="2">
        <f ca="1"/>
        <v>0.92034270258135797</v>
      </c>
      <c r="O665" s="2">
        <f ca="1"/>
        <v>0.2107831725554403</v>
      </c>
      <c r="X665" s="2">
        <f ca="1"/>
        <v>62.970723439983061</v>
      </c>
      <c r="AG665" s="2">
        <f ca="1"/>
        <v>6.064334319881648E-2</v>
      </c>
      <c r="AH665" s="2" t="str">
        <f ca="1"/>
        <v>OK</v>
      </c>
    </row>
    <row r="666" spans="2:34" x14ac:dyDescent="0.2">
      <c r="B666" s="2">
        <f ca="1"/>
        <v>0.29547920363681812</v>
      </c>
      <c r="O666" s="2">
        <f ca="1"/>
        <v>1.3347170567431632</v>
      </c>
      <c r="X666" s="2">
        <f ca="1"/>
        <v>72.646505597841795</v>
      </c>
      <c r="AG666" s="2">
        <f ca="1"/>
        <v>0.82982835619889772</v>
      </c>
      <c r="AH666" s="2" t="str">
        <f ca="1"/>
        <v>Bad</v>
      </c>
    </row>
    <row r="667" spans="2:34" x14ac:dyDescent="0.2">
      <c r="B667" s="2">
        <f ca="1"/>
        <v>0.55196426554001099</v>
      </c>
      <c r="O667" s="2">
        <f ca="1"/>
        <v>0.40876121451838959</v>
      </c>
      <c r="X667" s="2">
        <f ca="1"/>
        <v>42.695962645885182</v>
      </c>
      <c r="AG667" s="2">
        <f ca="1"/>
        <v>0.72995687259890585</v>
      </c>
      <c r="AH667" s="2" t="str">
        <f ca="1"/>
        <v>Bad</v>
      </c>
    </row>
    <row r="668" spans="2:34" x14ac:dyDescent="0.2">
      <c r="B668" s="2">
        <f ca="1"/>
        <v>0.52466437292028933</v>
      </c>
      <c r="O668" s="2">
        <f ca="1"/>
        <v>-0.51639990900677024</v>
      </c>
      <c r="X668" s="2">
        <f ca="1"/>
        <v>31.12227009288646</v>
      </c>
      <c r="AG668" s="2">
        <f ca="1"/>
        <v>0.25729121069821814</v>
      </c>
      <c r="AH668" s="2" t="str">
        <f ca="1"/>
        <v>OK</v>
      </c>
    </row>
    <row r="669" spans="2:34" x14ac:dyDescent="0.2">
      <c r="B669" s="2">
        <f ca="1"/>
        <v>0.32527041270894186</v>
      </c>
      <c r="O669" s="2">
        <f ca="1"/>
        <v>-0.93160827366858612</v>
      </c>
      <c r="X669" s="2">
        <f ca="1"/>
        <v>62.003253308437266</v>
      </c>
      <c r="AG669" s="2">
        <f ca="1"/>
        <v>0.45229744374774072</v>
      </c>
      <c r="AH669" s="2" t="str">
        <f ca="1"/>
        <v>Bad</v>
      </c>
    </row>
    <row r="670" spans="2:34" x14ac:dyDescent="0.2">
      <c r="B670" s="2">
        <f ca="1"/>
        <v>0.34780187382856464</v>
      </c>
      <c r="O670" s="2">
        <f ca="1"/>
        <v>-2.0936583748142881</v>
      </c>
      <c r="X670" s="2">
        <f ca="1"/>
        <v>27.233711258953175</v>
      </c>
      <c r="AG670" s="2">
        <f ca="1"/>
        <v>0.14279950104752714</v>
      </c>
      <c r="AH670" s="2" t="str">
        <f ca="1"/>
        <v>OK</v>
      </c>
    </row>
    <row r="671" spans="2:34" x14ac:dyDescent="0.2">
      <c r="B671" s="2">
        <f ca="1"/>
        <v>0.85178452095937307</v>
      </c>
      <c r="O671" s="2">
        <f ca="1"/>
        <v>-0.37554123771449055</v>
      </c>
      <c r="X671" s="2">
        <f ca="1"/>
        <v>80.700953606789341</v>
      </c>
      <c r="AG671" s="2">
        <f ca="1"/>
        <v>0.61854732567581272</v>
      </c>
      <c r="AH671" s="2" t="str">
        <f ca="1"/>
        <v>Bad</v>
      </c>
    </row>
    <row r="672" spans="2:34" x14ac:dyDescent="0.2">
      <c r="B672" s="2">
        <f ca="1"/>
        <v>1.1733393610531717E-2</v>
      </c>
      <c r="O672" s="2">
        <f ca="1"/>
        <v>-0.50551245146023616</v>
      </c>
      <c r="X672" s="2">
        <f ca="1"/>
        <v>45.84182038068348</v>
      </c>
      <c r="AG672" s="2">
        <f ca="1"/>
        <v>0.47676584242728648</v>
      </c>
      <c r="AH672" s="2" t="str">
        <f ca="1"/>
        <v>Bad</v>
      </c>
    </row>
    <row r="673" spans="2:34" x14ac:dyDescent="0.2">
      <c r="B673" s="2">
        <f ca="1"/>
        <v>0.83663884761109442</v>
      </c>
      <c r="O673" s="2">
        <f ca="1"/>
        <v>-5.40659733801227E-3</v>
      </c>
      <c r="X673" s="2">
        <f ca="1"/>
        <v>56.969780786163184</v>
      </c>
      <c r="AG673" s="2">
        <f ca="1"/>
        <v>0.44345539792792454</v>
      </c>
      <c r="AH673" s="2" t="str">
        <f ca="1"/>
        <v>Bad</v>
      </c>
    </row>
    <row r="674" spans="2:34" x14ac:dyDescent="0.2">
      <c r="B674" s="2">
        <f ca="1"/>
        <v>0.27293949010572782</v>
      </c>
      <c r="O674" s="2">
        <f ca="1"/>
        <v>1.1295474154742267</v>
      </c>
      <c r="X674" s="2">
        <f ca="1"/>
        <v>60.976498230633148</v>
      </c>
      <c r="AG674" s="2">
        <f ca="1"/>
        <v>0.39424272382003456</v>
      </c>
      <c r="AH674" s="2" t="str">
        <f ca="1"/>
        <v>OK</v>
      </c>
    </row>
    <row r="675" spans="2:34" x14ac:dyDescent="0.2">
      <c r="B675" s="2">
        <f ca="1"/>
        <v>0.48514861907054518</v>
      </c>
      <c r="O675" s="2">
        <f ca="1"/>
        <v>0.75722159255194155</v>
      </c>
      <c r="X675" s="2">
        <f ca="1"/>
        <v>64.27828719835594</v>
      </c>
      <c r="AG675" s="2">
        <f ca="1"/>
        <v>3.8934789748545917E-4</v>
      </c>
      <c r="AH675" s="2" t="str">
        <f ca="1"/>
        <v>Good</v>
      </c>
    </row>
    <row r="676" spans="2:34" x14ac:dyDescent="0.2">
      <c r="B676" s="2">
        <f ca="1"/>
        <v>0.24430974287108009</v>
      </c>
      <c r="O676" s="2">
        <f ca="1"/>
        <v>1.0640439484562212</v>
      </c>
      <c r="X676" s="2">
        <f ca="1"/>
        <v>42.889340030168043</v>
      </c>
      <c r="AG676" s="2">
        <f ca="1"/>
        <v>0.36706254341255806</v>
      </c>
      <c r="AH676" s="2" t="str">
        <f ca="1"/>
        <v>OK</v>
      </c>
    </row>
    <row r="677" spans="2:34" x14ac:dyDescent="0.2">
      <c r="B677" s="2">
        <f ca="1"/>
        <v>0.71556336877534221</v>
      </c>
      <c r="O677" s="2">
        <f ca="1"/>
        <v>1.5114963073147973</v>
      </c>
      <c r="X677" s="2">
        <f ca="1"/>
        <v>43.047578523140615</v>
      </c>
      <c r="AG677" s="2">
        <f ca="1"/>
        <v>0.43779593919640281</v>
      </c>
      <c r="AH677" s="2" t="str">
        <f ca="1"/>
        <v>Bad</v>
      </c>
    </row>
    <row r="678" spans="2:34" x14ac:dyDescent="0.2">
      <c r="B678" s="2">
        <f ca="1"/>
        <v>0.73503340453362442</v>
      </c>
      <c r="O678" s="2">
        <f ca="1"/>
        <v>0.1941372491419561</v>
      </c>
      <c r="X678" s="2">
        <f ca="1"/>
        <v>55.201029829896186</v>
      </c>
      <c r="AG678" s="2">
        <f ca="1"/>
        <v>9.1020119079271655E-2</v>
      </c>
      <c r="AH678" s="2" t="str">
        <f ca="1"/>
        <v>OK</v>
      </c>
    </row>
    <row r="679" spans="2:34" x14ac:dyDescent="0.2">
      <c r="B679" s="2">
        <f ca="1"/>
        <v>8.1416050517311822E-2</v>
      </c>
      <c r="O679" s="2">
        <f ca="1"/>
        <v>-0.67520595819930118</v>
      </c>
      <c r="X679" s="2">
        <f ca="1"/>
        <v>34.387688805121741</v>
      </c>
      <c r="AG679" s="2">
        <f ca="1"/>
        <v>0.54887889740343776</v>
      </c>
      <c r="AH679" s="2" t="str">
        <f ca="1"/>
        <v>Bad</v>
      </c>
    </row>
    <row r="680" spans="2:34" x14ac:dyDescent="0.2">
      <c r="B680" s="2">
        <f ca="1"/>
        <v>0.29125557292044824</v>
      </c>
      <c r="O680" s="2">
        <f ca="1"/>
        <v>1.963700046183106</v>
      </c>
      <c r="X680" s="2">
        <f ca="1"/>
        <v>82.661872950129705</v>
      </c>
      <c r="AG680" s="2">
        <f ca="1"/>
        <v>0.5118449232956559</v>
      </c>
      <c r="AH680" s="2" t="str">
        <f ca="1"/>
        <v>Bad</v>
      </c>
    </row>
    <row r="681" spans="2:34" x14ac:dyDescent="0.2">
      <c r="B681" s="2">
        <f ca="1"/>
        <v>3.5103417223840028E-2</v>
      </c>
      <c r="O681" s="2">
        <f ca="1"/>
        <v>-1.2142899694827229</v>
      </c>
      <c r="X681" s="2">
        <f ca="1"/>
        <v>44.065013757372775</v>
      </c>
      <c r="AG681" s="2">
        <f ca="1"/>
        <v>0.74422674005320744</v>
      </c>
      <c r="AH681" s="2" t="str">
        <f ca="1"/>
        <v>Bad</v>
      </c>
    </row>
    <row r="682" spans="2:34" x14ac:dyDescent="0.2">
      <c r="B682" s="2">
        <f ca="1"/>
        <v>0.89709462438467247</v>
      </c>
      <c r="O682" s="2">
        <f ca="1"/>
        <v>-1.0621375476136619</v>
      </c>
      <c r="X682" s="2">
        <f ca="1"/>
        <v>55.942063785511074</v>
      </c>
      <c r="AG682" s="2">
        <f ca="1"/>
        <v>0.28313151422634109</v>
      </c>
      <c r="AH682" s="2" t="str">
        <f ca="1"/>
        <v>OK</v>
      </c>
    </row>
    <row r="683" spans="2:34" x14ac:dyDescent="0.2">
      <c r="B683" s="2">
        <f ca="1"/>
        <v>0.25864244357841693</v>
      </c>
      <c r="O683" s="2">
        <f ca="1"/>
        <v>0.78045316286186028</v>
      </c>
      <c r="X683" s="2">
        <f ca="1"/>
        <v>76.001271793065371</v>
      </c>
      <c r="AG683" s="2">
        <f ca="1"/>
        <v>0.28165124752840831</v>
      </c>
      <c r="AH683" s="2" t="str">
        <f ca="1"/>
        <v>OK</v>
      </c>
    </row>
    <row r="684" spans="2:34" x14ac:dyDescent="0.2">
      <c r="B684" s="2">
        <f ca="1"/>
        <v>0.20299585020408073</v>
      </c>
      <c r="O684" s="2">
        <f ca="1"/>
        <v>-0.73628410718438164</v>
      </c>
      <c r="X684" s="2">
        <f ca="1"/>
        <v>26.865740165424356</v>
      </c>
      <c r="AG684" s="2">
        <f ca="1"/>
        <v>5.9986863727402806E-2</v>
      </c>
      <c r="AH684" s="2" t="str">
        <f ca="1"/>
        <v>OK</v>
      </c>
    </row>
    <row r="685" spans="2:34" x14ac:dyDescent="0.2">
      <c r="B685" s="2">
        <f ca="1"/>
        <v>0.56143909175720674</v>
      </c>
      <c r="O685" s="2">
        <f ca="1"/>
        <v>-4.7134892377996597E-2</v>
      </c>
      <c r="X685" s="2">
        <f ca="1"/>
        <v>54.204155719114375</v>
      </c>
      <c r="AG685" s="2">
        <f ca="1"/>
        <v>0.6343719843604616</v>
      </c>
      <c r="AH685" s="2" t="str">
        <f ca="1"/>
        <v>Bad</v>
      </c>
    </row>
    <row r="686" spans="2:34" x14ac:dyDescent="0.2">
      <c r="B686" s="2">
        <f ca="1"/>
        <v>0.12136068400589206</v>
      </c>
      <c r="O686" s="2">
        <f ca="1"/>
        <v>0.44553875690677169</v>
      </c>
      <c r="X686" s="2">
        <f ca="1"/>
        <v>42.517451998875885</v>
      </c>
      <c r="AG686" s="2">
        <f ca="1"/>
        <v>0.57889993289833352</v>
      </c>
      <c r="AH686" s="2" t="str">
        <f ca="1"/>
        <v>Bad</v>
      </c>
    </row>
    <row r="687" spans="2:34" x14ac:dyDescent="0.2">
      <c r="B687" s="2">
        <f ca="1"/>
        <v>0.18595297444591141</v>
      </c>
      <c r="O687" s="2">
        <f ca="1"/>
        <v>1.2467673539930908</v>
      </c>
      <c r="X687" s="2">
        <f ca="1"/>
        <v>33.553523359936001</v>
      </c>
      <c r="AG687" s="2">
        <f ca="1"/>
        <v>0.76341767403750738</v>
      </c>
      <c r="AH687" s="2" t="str">
        <f ca="1"/>
        <v>Bad</v>
      </c>
    </row>
    <row r="688" spans="2:34" x14ac:dyDescent="0.2">
      <c r="B688" s="2">
        <f ca="1"/>
        <v>0.18594929205872246</v>
      </c>
      <c r="O688" s="2">
        <f ca="1"/>
        <v>0.27764363135049269</v>
      </c>
      <c r="X688" s="2">
        <f ca="1"/>
        <v>56.107618267094509</v>
      </c>
      <c r="AG688" s="2">
        <f ca="1"/>
        <v>0.10604102574097563</v>
      </c>
      <c r="AH688" s="2" t="str">
        <f ca="1"/>
        <v>OK</v>
      </c>
    </row>
    <row r="689" spans="2:34" x14ac:dyDescent="0.2">
      <c r="B689" s="2">
        <f ca="1"/>
        <v>0.23694919737668063</v>
      </c>
      <c r="O689" s="2">
        <f ca="1"/>
        <v>-0.91112647749968501</v>
      </c>
      <c r="X689" s="2">
        <f ca="1"/>
        <v>41.234581570519381</v>
      </c>
      <c r="AG689" s="2">
        <f ca="1"/>
        <v>0.9232887076239904</v>
      </c>
      <c r="AH689" s="2" t="str">
        <f ca="1"/>
        <v>Bad</v>
      </c>
    </row>
    <row r="690" spans="2:34" x14ac:dyDescent="0.2">
      <c r="B690" s="2">
        <f ca="1"/>
        <v>0.75019550593665008</v>
      </c>
      <c r="O690" s="2">
        <f ca="1"/>
        <v>2.2364539044122838</v>
      </c>
      <c r="X690" s="2">
        <f ca="1"/>
        <v>34.043763102190589</v>
      </c>
      <c r="AG690" s="2">
        <f ca="1"/>
        <v>5.4607447359668493E-2</v>
      </c>
      <c r="AH690" s="2" t="str">
        <f ca="1"/>
        <v>OK</v>
      </c>
    </row>
    <row r="691" spans="2:34" x14ac:dyDescent="0.2">
      <c r="B691" s="2">
        <f ca="1"/>
        <v>0.69041476822974968</v>
      </c>
      <c r="O691" s="2">
        <f ca="1"/>
        <v>-0.26931014317315677</v>
      </c>
      <c r="X691" s="2">
        <f ca="1"/>
        <v>39.741402005802961</v>
      </c>
      <c r="AG691" s="2">
        <f ca="1"/>
        <v>0.24699439177552929</v>
      </c>
      <c r="AH691" s="2" t="str">
        <f ca="1"/>
        <v>OK</v>
      </c>
    </row>
    <row r="692" spans="2:34" x14ac:dyDescent="0.2">
      <c r="B692" s="2">
        <f ca="1"/>
        <v>0.72048917582273142</v>
      </c>
      <c r="O692" s="2">
        <f ca="1"/>
        <v>-4.0760520010573228E-3</v>
      </c>
      <c r="X692" s="2">
        <f ca="1"/>
        <v>35.145390161314339</v>
      </c>
      <c r="AG692" s="2">
        <f ca="1"/>
        <v>0.96530242557099788</v>
      </c>
      <c r="AH692" s="2" t="str">
        <f ca="1"/>
        <v>Bad</v>
      </c>
    </row>
    <row r="693" spans="2:34" x14ac:dyDescent="0.2">
      <c r="B693" s="2">
        <f ca="1"/>
        <v>0.19023887455696498</v>
      </c>
      <c r="O693" s="2">
        <f ca="1"/>
        <v>2.5859265940242846</v>
      </c>
      <c r="X693" s="2">
        <f ca="1"/>
        <v>62.228998602844982</v>
      </c>
      <c r="AG693" s="2">
        <f ca="1"/>
        <v>0.49571765266343415</v>
      </c>
      <c r="AH693" s="2" t="str">
        <f ca="1"/>
        <v>Bad</v>
      </c>
    </row>
    <row r="694" spans="2:34" x14ac:dyDescent="0.2">
      <c r="B694" s="2">
        <f ca="1"/>
        <v>0.49174760206098922</v>
      </c>
      <c r="O694" s="2">
        <f ca="1"/>
        <v>1.6687508134025304</v>
      </c>
      <c r="X694" s="2">
        <f ca="1"/>
        <v>47.702470375959436</v>
      </c>
      <c r="AG694" s="2">
        <f ca="1"/>
        <v>9.1760594279958196E-2</v>
      </c>
      <c r="AH694" s="2" t="str">
        <f ca="1"/>
        <v>OK</v>
      </c>
    </row>
    <row r="695" spans="2:34" x14ac:dyDescent="0.2">
      <c r="B695" s="2">
        <f ca="1"/>
        <v>0.98961712904618349</v>
      </c>
      <c r="O695" s="2">
        <f ca="1"/>
        <v>0.87729353683024669</v>
      </c>
      <c r="X695" s="2">
        <f ca="1"/>
        <v>68.089750465022036</v>
      </c>
      <c r="AG695" s="2">
        <f ca="1"/>
        <v>0.24565652582209663</v>
      </c>
      <c r="AH695" s="2" t="str">
        <f ca="1"/>
        <v>OK</v>
      </c>
    </row>
    <row r="696" spans="2:34" x14ac:dyDescent="0.2">
      <c r="B696" s="2">
        <f ca="1"/>
        <v>0.83514401969738228</v>
      </c>
      <c r="O696" s="2">
        <f ca="1"/>
        <v>1.292072468652385</v>
      </c>
      <c r="X696" s="2">
        <f ca="1"/>
        <v>42.922890308653137</v>
      </c>
      <c r="AG696" s="2">
        <f ca="1"/>
        <v>0.18619162471373985</v>
      </c>
      <c r="AH696" s="2" t="str">
        <f ca="1"/>
        <v>OK</v>
      </c>
    </row>
    <row r="697" spans="2:34" x14ac:dyDescent="0.2">
      <c r="B697" s="2">
        <f ca="1"/>
        <v>0.59341195240920719</v>
      </c>
      <c r="O697" s="2">
        <f ca="1"/>
        <v>1.0738896598921399</v>
      </c>
      <c r="X697" s="2">
        <f ca="1"/>
        <v>46.117458375881277</v>
      </c>
      <c r="AG697" s="2">
        <f ca="1"/>
        <v>0.21459202861924509</v>
      </c>
      <c r="AH697" s="2" t="str">
        <f ca="1"/>
        <v>OK</v>
      </c>
    </row>
    <row r="698" spans="2:34" x14ac:dyDescent="0.2">
      <c r="B698" s="2">
        <f ca="1"/>
        <v>5.9063932039856271E-2</v>
      </c>
      <c r="O698" s="2">
        <f ca="1"/>
        <v>0.55673532557895444</v>
      </c>
      <c r="X698" s="2">
        <f ca="1"/>
        <v>58.820336434064274</v>
      </c>
      <c r="AG698" s="2">
        <f ca="1"/>
        <v>0.63457790908720546</v>
      </c>
      <c r="AH698" s="2" t="str">
        <f ca="1"/>
        <v>Bad</v>
      </c>
    </row>
    <row r="699" spans="2:34" x14ac:dyDescent="0.2">
      <c r="B699" s="2">
        <f ca="1"/>
        <v>0.90845333258113925</v>
      </c>
      <c r="O699" s="2">
        <f ca="1"/>
        <v>1.5250013343413553</v>
      </c>
      <c r="X699" s="2">
        <f ca="1"/>
        <v>61.492483572981314</v>
      </c>
      <c r="AG699" s="2">
        <f ca="1"/>
        <v>0.53316942049110083</v>
      </c>
      <c r="AH699" s="2" t="str">
        <f ca="1"/>
        <v>Bad</v>
      </c>
    </row>
    <row r="700" spans="2:34" x14ac:dyDescent="0.2">
      <c r="B700" s="2">
        <f ca="1"/>
        <v>0.29397125489793852</v>
      </c>
      <c r="O700" s="2">
        <f ca="1"/>
        <v>-1.8799439360174481</v>
      </c>
      <c r="X700" s="2">
        <f ca="1"/>
        <v>30.185785315685941</v>
      </c>
      <c r="AG700" s="2">
        <f ca="1"/>
        <v>6.9236255420195958E-2</v>
      </c>
      <c r="AH700" s="2" t="str">
        <f ca="1"/>
        <v>OK</v>
      </c>
    </row>
    <row r="701" spans="2:34" x14ac:dyDescent="0.2">
      <c r="B701" s="2">
        <f ca="1"/>
        <v>0.15435477478426418</v>
      </c>
      <c r="O701" s="2">
        <f ca="1"/>
        <v>2.4273443632215736E-3</v>
      </c>
      <c r="X701" s="2">
        <f ca="1"/>
        <v>62.262390501030175</v>
      </c>
      <c r="AG701" s="2">
        <f ca="1"/>
        <v>0.84186021293725055</v>
      </c>
      <c r="AH701" s="2" t="str">
        <f ca="1"/>
        <v>Bad</v>
      </c>
    </row>
    <row r="702" spans="2:34" x14ac:dyDescent="0.2">
      <c r="B702" s="2">
        <f ca="1"/>
        <v>0.94414005767561071</v>
      </c>
      <c r="O702" s="2">
        <f ca="1"/>
        <v>-0.64064066362021821</v>
      </c>
      <c r="X702" s="2">
        <f ca="1"/>
        <v>33.696087744410242</v>
      </c>
      <c r="AG702" s="2">
        <f ca="1"/>
        <v>0.73937982637311417</v>
      </c>
      <c r="AH702" s="2" t="str">
        <f ca="1"/>
        <v>Bad</v>
      </c>
    </row>
    <row r="703" spans="2:34" x14ac:dyDescent="0.2">
      <c r="B703" s="2">
        <f ca="1"/>
        <v>0.9548583772792687</v>
      </c>
      <c r="O703" s="2">
        <f ca="1"/>
        <v>0.28639131718702687</v>
      </c>
      <c r="X703" s="2">
        <f ca="1"/>
        <v>61.472611781557106</v>
      </c>
      <c r="AG703" s="2">
        <f ca="1"/>
        <v>0.11196461854066797</v>
      </c>
      <c r="AH703" s="2" t="str">
        <f ca="1"/>
        <v>OK</v>
      </c>
    </row>
    <row r="704" spans="2:34" x14ac:dyDescent="0.2">
      <c r="B704" s="2">
        <f ca="1"/>
        <v>0.63043118731134218</v>
      </c>
      <c r="O704" s="2">
        <f ca="1"/>
        <v>1.3260975159261181</v>
      </c>
      <c r="X704" s="2">
        <f ca="1"/>
        <v>52.066064181246389</v>
      </c>
      <c r="AG704" s="2">
        <f ca="1"/>
        <v>0.32262852392497621</v>
      </c>
      <c r="AH704" s="2" t="str">
        <f ca="1"/>
        <v>OK</v>
      </c>
    </row>
    <row r="705" spans="2:34" x14ac:dyDescent="0.2">
      <c r="B705" s="2">
        <f ca="1"/>
        <v>0.78797224906742103</v>
      </c>
      <c r="O705" s="2">
        <f ca="1"/>
        <v>0.11398344590862966</v>
      </c>
      <c r="X705" s="2">
        <f ca="1"/>
        <v>71.927830608954991</v>
      </c>
      <c r="AG705" s="2">
        <f ca="1"/>
        <v>0.63849507868256228</v>
      </c>
      <c r="AH705" s="2" t="str">
        <f ca="1"/>
        <v>Bad</v>
      </c>
    </row>
    <row r="706" spans="2:34" x14ac:dyDescent="0.2">
      <c r="B706" s="2">
        <f ca="1"/>
        <v>0.13088082487030328</v>
      </c>
      <c r="O706" s="2">
        <f ca="1"/>
        <v>1.2228351491193206</v>
      </c>
      <c r="X706" s="2">
        <f ca="1"/>
        <v>31.345703097126083</v>
      </c>
      <c r="AG706" s="2">
        <f ca="1"/>
        <v>0.85652045822981959</v>
      </c>
      <c r="AH706" s="2" t="str">
        <f ca="1"/>
        <v>Bad</v>
      </c>
    </row>
    <row r="707" spans="2:34" x14ac:dyDescent="0.2">
      <c r="B707" s="2">
        <f ca="1"/>
        <v>0.68384321680066606</v>
      </c>
      <c r="O707" s="2">
        <f ca="1"/>
        <v>1.0360945058710009</v>
      </c>
      <c r="X707" s="2">
        <f ca="1"/>
        <v>46.262211751971492</v>
      </c>
      <c r="AG707" s="2">
        <f ca="1"/>
        <v>0.24483317015479145</v>
      </c>
      <c r="AH707" s="2" t="str">
        <f ca="1"/>
        <v>OK</v>
      </c>
    </row>
    <row r="708" spans="2:34" x14ac:dyDescent="0.2">
      <c r="B708" s="2">
        <f ca="1"/>
        <v>0.28169718193817839</v>
      </c>
      <c r="O708" s="2">
        <f ca="1"/>
        <v>-1.293128717524517</v>
      </c>
      <c r="X708" s="2">
        <f ca="1"/>
        <v>52.86155110993451</v>
      </c>
      <c r="AG708" s="2">
        <f ca="1"/>
        <v>0.55937498742750491</v>
      </c>
      <c r="AH708" s="2" t="str">
        <f ca="1"/>
        <v>Bad</v>
      </c>
    </row>
    <row r="709" spans="2:34" x14ac:dyDescent="0.2">
      <c r="B709" s="2">
        <f ca="1"/>
        <v>0.17739369353204459</v>
      </c>
      <c r="O709" s="2">
        <f ca="1"/>
        <v>1.8299970276397457</v>
      </c>
      <c r="X709" s="2">
        <f ca="1"/>
        <v>47.278007182016154</v>
      </c>
      <c r="AG709" s="2">
        <f ca="1"/>
        <v>0.4382184768826598</v>
      </c>
      <c r="AH709" s="2" t="str">
        <f ca="1"/>
        <v>Bad</v>
      </c>
    </row>
    <row r="710" spans="2:34" x14ac:dyDescent="0.2">
      <c r="B710" s="2">
        <f ca="1"/>
        <v>0.43588962727495217</v>
      </c>
      <c r="O710" s="2">
        <f ca="1"/>
        <v>-0.69373871405018417</v>
      </c>
      <c r="X710" s="2">
        <f ca="1"/>
        <v>63.051808126882996</v>
      </c>
      <c r="AG710" s="2">
        <f ca="1"/>
        <v>0.84452499931796754</v>
      </c>
      <c r="AH710" s="2" t="str">
        <f ca="1"/>
        <v>Bad</v>
      </c>
    </row>
    <row r="711" spans="2:34" x14ac:dyDescent="0.2">
      <c r="B711" s="2">
        <f ca="1"/>
        <v>0.34810576321500752</v>
      </c>
      <c r="O711" s="2">
        <f ca="1"/>
        <v>-8.6727049734425951E-2</v>
      </c>
      <c r="X711" s="2">
        <f ca="1"/>
        <v>42.456755060735517</v>
      </c>
      <c r="AG711" s="2">
        <f ca="1"/>
        <v>0.14484319789146305</v>
      </c>
      <c r="AH711" s="2" t="str">
        <f ca="1"/>
        <v>OK</v>
      </c>
    </row>
    <row r="712" spans="2:34" x14ac:dyDescent="0.2">
      <c r="B712" s="2">
        <f ca="1"/>
        <v>0.44006083855093814</v>
      </c>
      <c r="O712" s="2">
        <f ca="1"/>
        <v>-0.24880764810509753</v>
      </c>
      <c r="X712" s="2">
        <f ca="1"/>
        <v>42.119730235217752</v>
      </c>
      <c r="AG712" s="2">
        <f ca="1"/>
        <v>9.8690507321182785E-2</v>
      </c>
      <c r="AH712" s="2" t="str">
        <f ca="1"/>
        <v>OK</v>
      </c>
    </row>
    <row r="713" spans="2:34" x14ac:dyDescent="0.2">
      <c r="B713" s="2">
        <f ca="1"/>
        <v>0.90808417659794993</v>
      </c>
      <c r="O713" s="2">
        <f ca="1"/>
        <v>0.1264020706507214</v>
      </c>
      <c r="X713" s="2">
        <f ca="1"/>
        <v>104.33807382205168</v>
      </c>
      <c r="AG713" s="2">
        <f ca="1"/>
        <v>0.94734098493149599</v>
      </c>
      <c r="AH713" s="2" t="str">
        <f ca="1"/>
        <v>Bad</v>
      </c>
    </row>
    <row r="714" spans="2:34" x14ac:dyDescent="0.2">
      <c r="B714" s="2">
        <f ca="1"/>
        <v>0.65857556323832833</v>
      </c>
      <c r="O714" s="2">
        <f ca="1"/>
        <v>0.33415702580989504</v>
      </c>
      <c r="X714" s="2">
        <f ca="1"/>
        <v>71.4304394804537</v>
      </c>
      <c r="AG714" s="2">
        <f ca="1"/>
        <v>0.17897606321944215</v>
      </c>
      <c r="AH714" s="2" t="str">
        <f ca="1"/>
        <v>OK</v>
      </c>
    </row>
    <row r="715" spans="2:34" x14ac:dyDescent="0.2">
      <c r="B715" s="2">
        <f ca="1"/>
        <v>0.57398310593516633</v>
      </c>
      <c r="O715" s="2">
        <f ca="1"/>
        <v>0.70622009572659361</v>
      </c>
      <c r="X715" s="2">
        <f ca="1"/>
        <v>45.051805563134678</v>
      </c>
      <c r="AG715" s="2">
        <f ca="1"/>
        <v>0.26034066734341033</v>
      </c>
      <c r="AH715" s="2" t="str">
        <f ca="1"/>
        <v>OK</v>
      </c>
    </row>
    <row r="716" spans="2:34" x14ac:dyDescent="0.2">
      <c r="B716" s="2">
        <f ca="1"/>
        <v>0.29208479713669733</v>
      </c>
      <c r="O716" s="2">
        <f ca="1"/>
        <v>0.28326676109927518</v>
      </c>
      <c r="X716" s="2">
        <f ca="1"/>
        <v>44.310968840269851</v>
      </c>
      <c r="AG716" s="2">
        <f ca="1"/>
        <v>0.16402307525271409</v>
      </c>
      <c r="AH716" s="2" t="str">
        <f ca="1"/>
        <v>OK</v>
      </c>
    </row>
    <row r="717" spans="2:34" x14ac:dyDescent="0.2">
      <c r="B717" s="2">
        <f ca="1"/>
        <v>0.46228972874888186</v>
      </c>
      <c r="O717" s="2">
        <f ca="1"/>
        <v>-0.3437346235726586</v>
      </c>
      <c r="X717" s="2">
        <f ca="1"/>
        <v>60.05342208838735</v>
      </c>
      <c r="AG717" s="2">
        <f ca="1"/>
        <v>0.5323847176108234</v>
      </c>
      <c r="AH717" s="2" t="str">
        <f ca="1"/>
        <v>Bad</v>
      </c>
    </row>
    <row r="718" spans="2:34" x14ac:dyDescent="0.2">
      <c r="B718" s="2">
        <f ca="1"/>
        <v>0.23925741141523593</v>
      </c>
      <c r="O718" s="2">
        <f ca="1"/>
        <v>-0.34785527722465215</v>
      </c>
      <c r="X718" s="2">
        <f ca="1"/>
        <v>33.295537923390498</v>
      </c>
      <c r="AG718" s="2">
        <f ca="1"/>
        <v>0.85388866234117655</v>
      </c>
      <c r="AH718" s="2" t="str">
        <f ca="1"/>
        <v>Bad</v>
      </c>
    </row>
    <row r="719" spans="2:34" x14ac:dyDescent="0.2">
      <c r="B719" s="2">
        <f ca="1"/>
        <v>0.86475835315027538</v>
      </c>
      <c r="O719" s="2">
        <f ca="1"/>
        <v>1.0901014768020461</v>
      </c>
      <c r="X719" s="2">
        <f ca="1"/>
        <v>34.252561121124387</v>
      </c>
      <c r="AG719" s="2">
        <f ca="1"/>
        <v>0.16158536642735855</v>
      </c>
      <c r="AH719" s="2" t="str">
        <f ca="1"/>
        <v>OK</v>
      </c>
    </row>
    <row r="720" spans="2:34" x14ac:dyDescent="0.2">
      <c r="B720" s="2">
        <f ca="1"/>
        <v>0.25230870078294987</v>
      </c>
      <c r="O720" s="2">
        <f ca="1"/>
        <v>1.1668998303697768</v>
      </c>
      <c r="X720" s="2">
        <f ca="1"/>
        <v>48.071773642708145</v>
      </c>
      <c r="AG720" s="2">
        <f ca="1"/>
        <v>0.60325641205574487</v>
      </c>
      <c r="AH720" s="2" t="str">
        <f ca="1"/>
        <v>Bad</v>
      </c>
    </row>
    <row r="721" spans="2:34" x14ac:dyDescent="0.2">
      <c r="B721" s="2">
        <f ca="1"/>
        <v>0.28403661834512484</v>
      </c>
      <c r="O721" s="2">
        <f ca="1"/>
        <v>0.32027963096760259</v>
      </c>
      <c r="X721" s="2">
        <f ca="1"/>
        <v>44.305239045918896</v>
      </c>
      <c r="AG721" s="2">
        <f ca="1"/>
        <v>0.51931269457411444</v>
      </c>
      <c r="AH721" s="2" t="str">
        <f ca="1"/>
        <v>Bad</v>
      </c>
    </row>
    <row r="722" spans="2:34" x14ac:dyDescent="0.2">
      <c r="B722" s="2">
        <f ca="1"/>
        <v>0.95069970854902452</v>
      </c>
      <c r="O722" s="2">
        <f ca="1"/>
        <v>0.56523106946044666</v>
      </c>
      <c r="X722" s="2">
        <f ca="1"/>
        <v>55.391515153542358</v>
      </c>
      <c r="AG722" s="2">
        <f ca="1"/>
        <v>0.83371606015969602</v>
      </c>
      <c r="AH722" s="2" t="str">
        <f ca="1"/>
        <v>Bad</v>
      </c>
    </row>
    <row r="723" spans="2:34" x14ac:dyDescent="0.2">
      <c r="B723" s="2">
        <f ca="1"/>
        <v>7.5658397777264907E-2</v>
      </c>
      <c r="O723" s="2">
        <f ca="1"/>
        <v>0.43020189303244805</v>
      </c>
      <c r="X723" s="2">
        <f ca="1"/>
        <v>51.090068446676291</v>
      </c>
      <c r="AG723" s="2">
        <f ca="1"/>
        <v>0.51025576339696976</v>
      </c>
      <c r="AH723" s="2" t="str">
        <f ca="1"/>
        <v>Bad</v>
      </c>
    </row>
    <row r="724" spans="2:34" x14ac:dyDescent="0.2">
      <c r="B724" s="2">
        <f ca="1"/>
        <v>0.18184027628279931</v>
      </c>
      <c r="O724" s="2">
        <f ca="1"/>
        <v>-1.6700586801841526</v>
      </c>
      <c r="X724" s="2">
        <f ca="1"/>
        <v>43.341389631001718</v>
      </c>
      <c r="AG724" s="2">
        <f ca="1"/>
        <v>0.4732936816566935</v>
      </c>
      <c r="AH724" s="2" t="str">
        <f ca="1"/>
        <v>Bad</v>
      </c>
    </row>
    <row r="725" spans="2:34" x14ac:dyDescent="0.2">
      <c r="B725" s="2">
        <f ca="1"/>
        <v>0.19662055806681544</v>
      </c>
      <c r="O725" s="2">
        <f ca="1"/>
        <v>-0.93290195962041866</v>
      </c>
      <c r="X725" s="2">
        <f ca="1"/>
        <v>55.217380696168362</v>
      </c>
      <c r="AG725" s="2">
        <f ca="1"/>
        <v>8.3545220092344552E-2</v>
      </c>
      <c r="AH725" s="2" t="str">
        <f ca="1"/>
        <v>OK</v>
      </c>
    </row>
    <row r="726" spans="2:34" x14ac:dyDescent="0.2">
      <c r="B726" s="2">
        <f ca="1"/>
        <v>0.42032743236019021</v>
      </c>
      <c r="O726" s="2">
        <f ca="1"/>
        <v>-0.27885583930674457</v>
      </c>
      <c r="X726" s="2">
        <f ca="1"/>
        <v>58.900755832005423</v>
      </c>
      <c r="AG726" s="2">
        <f ca="1"/>
        <v>9.2701385414834414E-2</v>
      </c>
      <c r="AH726" s="2" t="str">
        <f ca="1"/>
        <v>OK</v>
      </c>
    </row>
    <row r="727" spans="2:34" x14ac:dyDescent="0.2">
      <c r="B727" s="2">
        <f ca="1"/>
        <v>4.8718267374847191E-2</v>
      </c>
      <c r="O727" s="2">
        <f ca="1"/>
        <v>-0.51693012474333389</v>
      </c>
      <c r="X727" s="2">
        <f ca="1"/>
        <v>42.601357173830642</v>
      </c>
      <c r="AG727" s="2">
        <f ca="1"/>
        <v>0.9192047190152981</v>
      </c>
      <c r="AH727" s="2" t="str">
        <f ca="1"/>
        <v>Bad</v>
      </c>
    </row>
    <row r="728" spans="2:34" x14ac:dyDescent="0.2">
      <c r="B728" s="2">
        <f ca="1"/>
        <v>0.6484990233032808</v>
      </c>
      <c r="O728" s="2">
        <f ca="1"/>
        <v>-0.58338637309500496</v>
      </c>
      <c r="X728" s="2">
        <f ca="1"/>
        <v>94.473503737432694</v>
      </c>
      <c r="AG728" s="2">
        <f ca="1"/>
        <v>0.33996652160010665</v>
      </c>
      <c r="AH728" s="2" t="str">
        <f ca="1"/>
        <v>OK</v>
      </c>
    </row>
    <row r="729" spans="2:34" x14ac:dyDescent="0.2">
      <c r="B729" s="2">
        <f ca="1"/>
        <v>0.23463912272154386</v>
      </c>
      <c r="O729" s="2">
        <f ca="1"/>
        <v>8.331489030515388E-3</v>
      </c>
      <c r="X729" s="2">
        <f ca="1"/>
        <v>54.138833176240908</v>
      </c>
      <c r="AG729" s="2">
        <f ca="1"/>
        <v>0.39539112412860278</v>
      </c>
      <c r="AH729" s="2" t="str">
        <f ca="1"/>
        <v>OK</v>
      </c>
    </row>
    <row r="730" spans="2:34" x14ac:dyDescent="0.2">
      <c r="B730" s="2">
        <f ca="1"/>
        <v>0.29609851764634043</v>
      </c>
      <c r="O730" s="2">
        <f ca="1"/>
        <v>0.92106909962376149</v>
      </c>
      <c r="X730" s="2">
        <f ca="1"/>
        <v>36.116388437240516</v>
      </c>
      <c r="AG730" s="2">
        <f ca="1"/>
        <v>0.2620924368136166</v>
      </c>
      <c r="AH730" s="2" t="str">
        <f ca="1"/>
        <v>OK</v>
      </c>
    </row>
    <row r="731" spans="2:34" x14ac:dyDescent="0.2">
      <c r="B731" s="2">
        <f ca="1"/>
        <v>0.66376007722259844</v>
      </c>
      <c r="O731" s="2">
        <f ca="1"/>
        <v>-0.42779199882841229</v>
      </c>
      <c r="X731" s="2">
        <f ca="1"/>
        <v>27.747478172950167</v>
      </c>
      <c r="AG731" s="2">
        <f ca="1"/>
        <v>0.46135612346002808</v>
      </c>
      <c r="AH731" s="2" t="str">
        <f ca="1"/>
        <v>Bad</v>
      </c>
    </row>
    <row r="732" spans="2:34" x14ac:dyDescent="0.2">
      <c r="B732" s="2">
        <f ca="1"/>
        <v>0.51925565024653442</v>
      </c>
      <c r="O732" s="2">
        <f ca="1"/>
        <v>-0.30538569213206279</v>
      </c>
      <c r="X732" s="2">
        <f ca="1"/>
        <v>47.435288521223072</v>
      </c>
      <c r="AG732" s="2">
        <f ca="1"/>
        <v>0.79195719330563397</v>
      </c>
      <c r="AH732" s="2" t="str">
        <f ca="1"/>
        <v>Bad</v>
      </c>
    </row>
    <row r="733" spans="2:34" x14ac:dyDescent="0.2">
      <c r="B733" s="2">
        <f ca="1"/>
        <v>0.69211541492904982</v>
      </c>
      <c r="O733" s="2">
        <f ca="1"/>
        <v>-4.9580387620409283E-2</v>
      </c>
      <c r="X733" s="2">
        <f ca="1"/>
        <v>53.850287511052635</v>
      </c>
      <c r="AG733" s="2">
        <f ca="1"/>
        <v>0.46990795017487486</v>
      </c>
      <c r="AH733" s="2" t="str">
        <f ca="1"/>
        <v>Bad</v>
      </c>
    </row>
    <row r="734" spans="2:34" x14ac:dyDescent="0.2">
      <c r="B734" s="2">
        <f ca="1"/>
        <v>0.35931144945600546</v>
      </c>
      <c r="O734" s="2">
        <f ca="1"/>
        <v>1.544913526086056</v>
      </c>
      <c r="X734" s="2">
        <f ca="1"/>
        <v>46.474956784822076</v>
      </c>
      <c r="AG734" s="2">
        <f ca="1"/>
        <v>0.21176757458413387</v>
      </c>
      <c r="AH734" s="2" t="str">
        <f ca="1"/>
        <v>OK</v>
      </c>
    </row>
    <row r="735" spans="2:34" x14ac:dyDescent="0.2">
      <c r="B735" s="2">
        <f ca="1"/>
        <v>0.62559687513937057</v>
      </c>
      <c r="O735" s="2">
        <f ca="1"/>
        <v>-0.30667047036099315</v>
      </c>
      <c r="X735" s="2">
        <f ca="1"/>
        <v>45.276233152423586</v>
      </c>
      <c r="AG735" s="2">
        <f ca="1"/>
        <v>0.46241022799064546</v>
      </c>
      <c r="AH735" s="2" t="str">
        <f ca="1"/>
        <v>Bad</v>
      </c>
    </row>
    <row r="736" spans="2:34" x14ac:dyDescent="0.2">
      <c r="B736" s="2">
        <f ca="1"/>
        <v>6.8150727904212616E-2</v>
      </c>
      <c r="O736" s="2">
        <f ca="1"/>
        <v>-1.4251368348048932</v>
      </c>
      <c r="X736" s="2">
        <f ca="1"/>
        <v>55.919393879259729</v>
      </c>
      <c r="AG736" s="2">
        <f ca="1"/>
        <v>0.89512492790043741</v>
      </c>
      <c r="AH736" s="2" t="str">
        <f ca="1"/>
        <v>Bad</v>
      </c>
    </row>
    <row r="737" spans="2:34" x14ac:dyDescent="0.2">
      <c r="B737" s="2">
        <f ca="1"/>
        <v>0.49538160712307189</v>
      </c>
      <c r="O737" s="2">
        <f ca="1"/>
        <v>-2.1670644627425228</v>
      </c>
      <c r="X737" s="2">
        <f ca="1"/>
        <v>44.395026045794658</v>
      </c>
      <c r="AG737" s="2">
        <f ca="1"/>
        <v>0.92149435641985789</v>
      </c>
      <c r="AH737" s="2" t="str">
        <f ca="1"/>
        <v>Bad</v>
      </c>
    </row>
    <row r="738" spans="2:34" x14ac:dyDescent="0.2">
      <c r="B738" s="2">
        <f ca="1"/>
        <v>0.89428260689161077</v>
      </c>
      <c r="O738" s="2">
        <f ca="1"/>
        <v>-0.99541001440633059</v>
      </c>
      <c r="X738" s="2">
        <f ca="1"/>
        <v>34.442559309242839</v>
      </c>
      <c r="AG738" s="2">
        <f ca="1"/>
        <v>0.43658513060400539</v>
      </c>
      <c r="AH738" s="2" t="str">
        <f ca="1"/>
        <v>Bad</v>
      </c>
    </row>
    <row r="739" spans="2:34" x14ac:dyDescent="0.2">
      <c r="B739" s="2">
        <f ca="1"/>
        <v>0.25264372760146947</v>
      </c>
      <c r="O739" s="2">
        <f ca="1"/>
        <v>1.1411794979807826</v>
      </c>
      <c r="X739" s="2">
        <f ca="1"/>
        <v>36.137851665079985</v>
      </c>
      <c r="AG739" s="2">
        <f ca="1"/>
        <v>7.1410771076955593E-2</v>
      </c>
      <c r="AH739" s="2" t="str">
        <f ca="1"/>
        <v>OK</v>
      </c>
    </row>
    <row r="740" spans="2:34" x14ac:dyDescent="0.2">
      <c r="B740" s="2">
        <f ca="1"/>
        <v>0.11431687843304594</v>
      </c>
      <c r="O740" s="2">
        <f ca="1"/>
        <v>-0.65791261055090633</v>
      </c>
      <c r="X740" s="2">
        <f ca="1"/>
        <v>69.161831907322096</v>
      </c>
      <c r="AG740" s="2">
        <f ca="1"/>
        <v>0.90036260067845131</v>
      </c>
      <c r="AH740" s="2" t="str">
        <f ca="1"/>
        <v>Bad</v>
      </c>
    </row>
    <row r="741" spans="2:34" x14ac:dyDescent="0.2">
      <c r="B741" s="2">
        <f ca="1"/>
        <v>0.43832457550599679</v>
      </c>
      <c r="O741" s="2">
        <f ca="1"/>
        <v>0.33565870237889606</v>
      </c>
      <c r="X741" s="2">
        <f ca="1"/>
        <v>70.249352897741474</v>
      </c>
      <c r="AG741" s="2">
        <f ca="1"/>
        <v>0.36202586186195473</v>
      </c>
      <c r="AH741" s="2" t="str">
        <f ca="1"/>
        <v>OK</v>
      </c>
    </row>
    <row r="742" spans="2:34" x14ac:dyDescent="0.2">
      <c r="B742" s="2">
        <f ca="1"/>
        <v>7.8231738435217801E-2</v>
      </c>
      <c r="O742" s="2">
        <f ca="1"/>
        <v>2.2783410506505635</v>
      </c>
      <c r="X742" s="2">
        <f ca="1"/>
        <v>79.899051776047514</v>
      </c>
      <c r="AG742" s="2">
        <f ca="1"/>
        <v>0.46733666675922825</v>
      </c>
      <c r="AH742" s="2" t="str">
        <f ca="1"/>
        <v>Bad</v>
      </c>
    </row>
    <row r="743" spans="2:34" x14ac:dyDescent="0.2">
      <c r="B743" s="2">
        <f ca="1"/>
        <v>0.25875773549940062</v>
      </c>
      <c r="O743" s="2">
        <f ca="1"/>
        <v>-0.34284060073329581</v>
      </c>
      <c r="X743" s="2">
        <f ca="1"/>
        <v>34.189507567005109</v>
      </c>
      <c r="AG743" s="2">
        <f ca="1"/>
        <v>0.80253734308924551</v>
      </c>
      <c r="AH743" s="2" t="str">
        <f ca="1"/>
        <v>Bad</v>
      </c>
    </row>
    <row r="744" spans="2:34" x14ac:dyDescent="0.2">
      <c r="B744" s="2">
        <f ca="1"/>
        <v>0.52326926793642303</v>
      </c>
      <c r="O744" s="2">
        <f ca="1"/>
        <v>-0.11341337770743289</v>
      </c>
      <c r="X744" s="2">
        <f ca="1"/>
        <v>46.836884345418767</v>
      </c>
      <c r="AG744" s="2">
        <f ca="1"/>
        <v>0.19470718084583116</v>
      </c>
      <c r="AH744" s="2" t="str">
        <f ca="1"/>
        <v>OK</v>
      </c>
    </row>
    <row r="745" spans="2:34" x14ac:dyDescent="0.2">
      <c r="B745" s="2">
        <f ca="1"/>
        <v>0.19122925375672506</v>
      </c>
      <c r="O745" s="2">
        <f ca="1"/>
        <v>1.6540283166532097</v>
      </c>
      <c r="X745" s="2">
        <f ca="1"/>
        <v>44.57254768102441</v>
      </c>
      <c r="AG745" s="2">
        <f ca="1"/>
        <v>0.51150863911669875</v>
      </c>
      <c r="AH745" s="2" t="str">
        <f ca="1"/>
        <v>Bad</v>
      </c>
    </row>
    <row r="746" spans="2:34" x14ac:dyDescent="0.2">
      <c r="B746" s="2">
        <f ca="1"/>
        <v>0.35338677872463231</v>
      </c>
      <c r="O746" s="2">
        <f ca="1"/>
        <v>1.4943400734439094</v>
      </c>
      <c r="X746" s="2">
        <f ca="1"/>
        <v>47.340425246732998</v>
      </c>
      <c r="AG746" s="2">
        <f ca="1"/>
        <v>0.80556032433972402</v>
      </c>
      <c r="AH746" s="2" t="str">
        <f ca="1"/>
        <v>Bad</v>
      </c>
    </row>
    <row r="747" spans="2:34" x14ac:dyDescent="0.2">
      <c r="B747" s="2">
        <f ca="1"/>
        <v>0.63375897788932201</v>
      </c>
      <c r="O747" s="2">
        <f ca="1"/>
        <v>-1.3232925860962816</v>
      </c>
      <c r="X747" s="2">
        <f ca="1"/>
        <v>45.764921181427155</v>
      </c>
      <c r="AG747" s="2">
        <f ca="1"/>
        <v>0.88826310316123491</v>
      </c>
      <c r="AH747" s="2" t="str">
        <f ca="1"/>
        <v>Bad</v>
      </c>
    </row>
    <row r="748" spans="2:34" x14ac:dyDescent="0.2">
      <c r="B748" s="2">
        <f ca="1"/>
        <v>0.65311322519376169</v>
      </c>
      <c r="O748" s="2">
        <f ca="1"/>
        <v>2.4689231137166479</v>
      </c>
      <c r="X748" s="2">
        <f ca="1"/>
        <v>55.772107518488319</v>
      </c>
      <c r="AG748" s="2">
        <f ca="1"/>
        <v>0.31022964248294427</v>
      </c>
      <c r="AH748" s="2" t="str">
        <f ca="1"/>
        <v>OK</v>
      </c>
    </row>
    <row r="749" spans="2:34" x14ac:dyDescent="0.2">
      <c r="B749" s="2">
        <f ca="1"/>
        <v>0.21703361978802738</v>
      </c>
      <c r="O749" s="2">
        <f ca="1"/>
        <v>-0.79925503570977763</v>
      </c>
      <c r="X749" s="2">
        <f ca="1"/>
        <v>47.86217473394268</v>
      </c>
      <c r="AG749" s="2">
        <f ca="1"/>
        <v>0.63361255084398671</v>
      </c>
      <c r="AH749" s="2" t="str">
        <f ca="1"/>
        <v>Bad</v>
      </c>
    </row>
    <row r="750" spans="2:34" x14ac:dyDescent="0.2">
      <c r="B750" s="2">
        <f ca="1"/>
        <v>0.7254343535467922</v>
      </c>
      <c r="O750" s="2">
        <f ca="1"/>
        <v>0.50210955785069034</v>
      </c>
      <c r="X750" s="2">
        <f ca="1"/>
        <v>28.85502726186532</v>
      </c>
      <c r="AG750" s="2">
        <f ca="1"/>
        <v>0.42110895788508373</v>
      </c>
      <c r="AH750" s="2" t="str">
        <f ca="1"/>
        <v>Bad</v>
      </c>
    </row>
    <row r="751" spans="2:34" x14ac:dyDescent="0.2">
      <c r="B751" s="2">
        <f ca="1"/>
        <v>0.73896109447318148</v>
      </c>
      <c r="O751" s="2">
        <f ca="1"/>
        <v>0.61790834575510334</v>
      </c>
      <c r="X751" s="2">
        <f ca="1"/>
        <v>55.947155596121874</v>
      </c>
      <c r="AG751" s="2">
        <f ca="1"/>
        <v>0.52023937767983641</v>
      </c>
      <c r="AH751" s="2" t="str">
        <f ca="1"/>
        <v>Bad</v>
      </c>
    </row>
    <row r="752" spans="2:34" x14ac:dyDescent="0.2">
      <c r="B752" s="2">
        <f ca="1"/>
        <v>0.26977859334620735</v>
      </c>
      <c r="O752" s="2">
        <f ca="1"/>
        <v>-0.6068339567503851</v>
      </c>
      <c r="X752" s="2">
        <f ca="1"/>
        <v>55.575678843976831</v>
      </c>
      <c r="AG752" s="2">
        <f ca="1"/>
        <v>0.76166800257624478</v>
      </c>
      <c r="AH752" s="2" t="str">
        <f ca="1"/>
        <v>Bad</v>
      </c>
    </row>
    <row r="753" spans="2:34" x14ac:dyDescent="0.2">
      <c r="B753" s="2">
        <f ca="1"/>
        <v>0.96449728430629356</v>
      </c>
      <c r="O753" s="2">
        <f ca="1"/>
        <v>0.10578583037819482</v>
      </c>
      <c r="X753" s="2">
        <f ca="1"/>
        <v>49.444837775341924</v>
      </c>
      <c r="AG753" s="2">
        <f ca="1"/>
        <v>0.22767677033934253</v>
      </c>
      <c r="AH753" s="2" t="str">
        <f ca="1"/>
        <v>OK</v>
      </c>
    </row>
    <row r="754" spans="2:34" x14ac:dyDescent="0.2">
      <c r="B754" s="2">
        <f ca="1"/>
        <v>0.36670116121838348</v>
      </c>
      <c r="O754" s="2">
        <f ca="1"/>
        <v>-0.16417055897286176</v>
      </c>
      <c r="X754" s="2">
        <f ca="1"/>
        <v>43.307754518452093</v>
      </c>
      <c r="AG754" s="2">
        <f ca="1"/>
        <v>0.86096083105724408</v>
      </c>
      <c r="AH754" s="2" t="str">
        <f ca="1"/>
        <v>Bad</v>
      </c>
    </row>
    <row r="755" spans="2:34" x14ac:dyDescent="0.2">
      <c r="B755" s="2">
        <f ca="1"/>
        <v>0.44680119298096166</v>
      </c>
      <c r="O755" s="2">
        <f ca="1"/>
        <v>1.2926716596026211</v>
      </c>
      <c r="X755" s="2">
        <f ca="1"/>
        <v>50.436432941382023</v>
      </c>
      <c r="AG755" s="2">
        <f ca="1"/>
        <v>0.98739911489290755</v>
      </c>
      <c r="AH755" s="2" t="str">
        <f ca="1"/>
        <v>Bad</v>
      </c>
    </row>
    <row r="756" spans="2:34" x14ac:dyDescent="0.2">
      <c r="B756" s="2">
        <f ca="1"/>
        <v>0.49844255060141762</v>
      </c>
      <c r="O756" s="2">
        <f ca="1"/>
        <v>-1.5396236345695944</v>
      </c>
      <c r="X756" s="2">
        <f ca="1"/>
        <v>88.060282891462094</v>
      </c>
      <c r="AG756" s="2">
        <f ca="1"/>
        <v>0.33819430268821415</v>
      </c>
      <c r="AH756" s="2" t="str">
        <f ca="1"/>
        <v>OK</v>
      </c>
    </row>
    <row r="757" spans="2:34" x14ac:dyDescent="0.2">
      <c r="B757" s="2">
        <f ca="1"/>
        <v>0.2738341926662502</v>
      </c>
      <c r="O757" s="2">
        <f ca="1"/>
        <v>0.41543352795374416</v>
      </c>
      <c r="X757" s="2">
        <f ca="1"/>
        <v>54.236496215608483</v>
      </c>
      <c r="AG757" s="2">
        <f ca="1"/>
        <v>2.4590593613002643E-2</v>
      </c>
      <c r="AH757" s="2" t="str">
        <f ca="1"/>
        <v>Good</v>
      </c>
    </row>
    <row r="758" spans="2:34" x14ac:dyDescent="0.2">
      <c r="B758" s="2">
        <f ca="1"/>
        <v>0.27267090075668432</v>
      </c>
      <c r="O758" s="2">
        <f ca="1"/>
        <v>-0.35027569344933579</v>
      </c>
      <c r="X758" s="2">
        <f ca="1"/>
        <v>38.863851105672097</v>
      </c>
      <c r="AG758" s="2">
        <f ca="1"/>
        <v>0.15122090737874272</v>
      </c>
      <c r="AH758" s="2" t="str">
        <f ca="1"/>
        <v>OK</v>
      </c>
    </row>
    <row r="759" spans="2:34" x14ac:dyDescent="0.2">
      <c r="B759" s="2">
        <f ca="1"/>
        <v>0.24289536336610285</v>
      </c>
      <c r="O759" s="2">
        <f ca="1"/>
        <v>-2.606069948249778</v>
      </c>
      <c r="X759" s="2">
        <f ca="1"/>
        <v>62.935023254556853</v>
      </c>
      <c r="AG759" s="2">
        <f ca="1"/>
        <v>0.29536919023345831</v>
      </c>
      <c r="AH759" s="2" t="str">
        <f ca="1"/>
        <v>OK</v>
      </c>
    </row>
    <row r="760" spans="2:34" x14ac:dyDescent="0.2">
      <c r="B760" s="2">
        <f ca="1"/>
        <v>0.94178057855052044</v>
      </c>
      <c r="O760" s="2">
        <f ca="1"/>
        <v>0.62671857753578297</v>
      </c>
      <c r="X760" s="2">
        <f ca="1"/>
        <v>52.386399646356843</v>
      </c>
      <c r="AG760" s="2">
        <f ca="1"/>
        <v>6.9632795671019432E-2</v>
      </c>
      <c r="AH760" s="2" t="str">
        <f ca="1"/>
        <v>OK</v>
      </c>
    </row>
    <row r="761" spans="2:34" x14ac:dyDescent="0.2">
      <c r="B761" s="2">
        <f ca="1"/>
        <v>0.60322279213989605</v>
      </c>
      <c r="O761" s="2">
        <f ca="1"/>
        <v>1.4472254057304246</v>
      </c>
      <c r="X761" s="2">
        <f ca="1"/>
        <v>40.210162540274005</v>
      </c>
      <c r="AG761" s="2">
        <f ca="1"/>
        <v>0.22884201704838536</v>
      </c>
      <c r="AH761" s="2" t="str">
        <f ca="1"/>
        <v>OK</v>
      </c>
    </row>
    <row r="762" spans="2:34" x14ac:dyDescent="0.2">
      <c r="B762" s="2">
        <f ca="1"/>
        <v>0.1564278013061573</v>
      </c>
      <c r="O762" s="2">
        <f ca="1"/>
        <v>-0.20471260910173517</v>
      </c>
      <c r="X762" s="2">
        <f ca="1"/>
        <v>54.699619495321599</v>
      </c>
      <c r="AG762" s="2">
        <f ca="1"/>
        <v>0.44094655294121798</v>
      </c>
      <c r="AH762" s="2" t="str">
        <f ca="1"/>
        <v>Bad</v>
      </c>
    </row>
    <row r="763" spans="2:34" x14ac:dyDescent="0.2">
      <c r="B763" s="2">
        <f ca="1"/>
        <v>0.73885559461547756</v>
      </c>
      <c r="O763" s="2">
        <f ca="1"/>
        <v>-4.3010089204529055E-2</v>
      </c>
      <c r="X763" s="2">
        <f ca="1"/>
        <v>47.539550114791624</v>
      </c>
      <c r="AG763" s="2">
        <f ca="1"/>
        <v>0.28266234195447892</v>
      </c>
      <c r="AH763" s="2" t="str">
        <f ca="1"/>
        <v>OK</v>
      </c>
    </row>
    <row r="764" spans="2:34" x14ac:dyDescent="0.2">
      <c r="B764" s="2">
        <f ca="1"/>
        <v>0.42734107685595957</v>
      </c>
      <c r="O764" s="2">
        <f ca="1"/>
        <v>-0.3296832197357662</v>
      </c>
      <c r="X764" s="2">
        <f ca="1"/>
        <v>47.930895253070716</v>
      </c>
      <c r="AG764" s="2">
        <f ca="1"/>
        <v>0.88257348651338674</v>
      </c>
      <c r="AH764" s="2" t="str">
        <f ca="1"/>
        <v>Bad</v>
      </c>
    </row>
    <row r="765" spans="2:34" x14ac:dyDescent="0.2">
      <c r="B765" s="2">
        <f ca="1"/>
        <v>0.21374987698944814</v>
      </c>
      <c r="O765" s="2">
        <f ca="1"/>
        <v>-0.68958951066621188</v>
      </c>
      <c r="X765" s="2">
        <f ca="1"/>
        <v>39.786082362468576</v>
      </c>
      <c r="AG765" s="2">
        <f ca="1"/>
        <v>0.35266428094163005</v>
      </c>
      <c r="AH765" s="2" t="str">
        <f ca="1"/>
        <v>OK</v>
      </c>
    </row>
    <row r="766" spans="2:34" x14ac:dyDescent="0.2">
      <c r="B766" s="2">
        <f ca="1"/>
        <v>0.63710496561197583</v>
      </c>
      <c r="O766" s="2">
        <f ca="1"/>
        <v>-1.4919254411765648</v>
      </c>
      <c r="X766" s="2">
        <f ca="1"/>
        <v>82.004256754004231</v>
      </c>
      <c r="AG766" s="2">
        <f ca="1"/>
        <v>7.5858695198383064E-3</v>
      </c>
      <c r="AH766" s="2" t="str">
        <f ca="1"/>
        <v>Good</v>
      </c>
    </row>
    <row r="767" spans="2:34" x14ac:dyDescent="0.2">
      <c r="B767" s="2">
        <f ca="1"/>
        <v>0.26779827997129946</v>
      </c>
      <c r="O767" s="2">
        <f ca="1"/>
        <v>-0.58892219251103728</v>
      </c>
      <c r="X767" s="2">
        <f ca="1"/>
        <v>49.54703788911155</v>
      </c>
      <c r="AG767" s="2">
        <f ca="1"/>
        <v>0.34273265704382849</v>
      </c>
      <c r="AH767" s="2" t="str">
        <f ca="1"/>
        <v>OK</v>
      </c>
    </row>
    <row r="768" spans="2:34" x14ac:dyDescent="0.2">
      <c r="B768" s="2">
        <f ca="1"/>
        <v>0.29111555406380663</v>
      </c>
      <c r="O768" s="2">
        <f ca="1"/>
        <v>-1.197414425196061</v>
      </c>
      <c r="X768" s="2">
        <f ca="1"/>
        <v>32.497507301382591</v>
      </c>
      <c r="AG768" s="2">
        <f ca="1"/>
        <v>0.52387107386606568</v>
      </c>
      <c r="AH768" s="2" t="str">
        <f ca="1"/>
        <v>Bad</v>
      </c>
    </row>
    <row r="769" spans="2:34" x14ac:dyDescent="0.2">
      <c r="B769" s="2">
        <f ca="1"/>
        <v>4.8956388289604025E-2</v>
      </c>
      <c r="O769" s="2">
        <f ca="1"/>
        <v>0.87939683011360681</v>
      </c>
      <c r="X769" s="2">
        <f ca="1"/>
        <v>43.945478638354047</v>
      </c>
      <c r="AG769" s="2">
        <f ca="1"/>
        <v>0.11672911842173916</v>
      </c>
      <c r="AH769" s="2" t="str">
        <f ca="1"/>
        <v>OK</v>
      </c>
    </row>
    <row r="770" spans="2:34" x14ac:dyDescent="0.2">
      <c r="B770" s="2">
        <f ca="1"/>
        <v>0.12466582979143914</v>
      </c>
      <c r="O770" s="2">
        <f ca="1"/>
        <v>-0.84264790453217653</v>
      </c>
      <c r="X770" s="2">
        <f ca="1"/>
        <v>26.705640750174872</v>
      </c>
      <c r="AG770" s="2">
        <f ca="1"/>
        <v>0.13114219882418809</v>
      </c>
      <c r="AH770" s="2" t="str">
        <f ca="1"/>
        <v>OK</v>
      </c>
    </row>
    <row r="771" spans="2:34" x14ac:dyDescent="0.2">
      <c r="B771" s="2">
        <f ca="1"/>
        <v>0.45107709349674519</v>
      </c>
      <c r="O771" s="2">
        <f ca="1"/>
        <v>-0.19369280396636085</v>
      </c>
      <c r="X771" s="2">
        <f ca="1"/>
        <v>26.32617554516672</v>
      </c>
      <c r="AG771" s="2">
        <f ca="1"/>
        <v>0.29562139219874051</v>
      </c>
      <c r="AH771" s="2" t="str">
        <f ca="1"/>
        <v>OK</v>
      </c>
    </row>
    <row r="772" spans="2:34" x14ac:dyDescent="0.2">
      <c r="B772" s="2">
        <f ca="1"/>
        <v>0.88046274618499298</v>
      </c>
      <c r="O772" s="2">
        <f ca="1"/>
        <v>0.5563174464836449</v>
      </c>
      <c r="X772" s="2">
        <f ca="1"/>
        <v>63.206701943949653</v>
      </c>
      <c r="AG772" s="2">
        <f ca="1"/>
        <v>0.81622513640202432</v>
      </c>
      <c r="AH772" s="2" t="str">
        <f ca="1"/>
        <v>Bad</v>
      </c>
    </row>
    <row r="773" spans="2:34" x14ac:dyDescent="0.2">
      <c r="B773" s="2">
        <f ca="1"/>
        <v>0.7401225698220677</v>
      </c>
      <c r="O773" s="2">
        <f ca="1"/>
        <v>0.17101279902083097</v>
      </c>
      <c r="X773" s="2">
        <f ca="1"/>
        <v>39.758444224749248</v>
      </c>
      <c r="AG773" s="2">
        <f ca="1"/>
        <v>0.76930370330793552</v>
      </c>
      <c r="AH773" s="2" t="str">
        <f ca="1"/>
        <v>Bad</v>
      </c>
    </row>
    <row r="774" spans="2:34" x14ac:dyDescent="0.2">
      <c r="B774" s="2">
        <f ca="1"/>
        <v>4.1717616618348607E-3</v>
      </c>
      <c r="O774" s="2">
        <f ca="1"/>
        <v>-0.86361363425960713</v>
      </c>
      <c r="X774" s="2">
        <f ca="1"/>
        <v>62.285415865931164</v>
      </c>
      <c r="AG774" s="2">
        <f ca="1"/>
        <v>0.43963737542179193</v>
      </c>
      <c r="AH774" s="2" t="str">
        <f ca="1"/>
        <v>Bad</v>
      </c>
    </row>
    <row r="775" spans="2:34" x14ac:dyDescent="0.2">
      <c r="B775" s="2">
        <f ca="1"/>
        <v>0.7497819068840641</v>
      </c>
      <c r="O775" s="2">
        <f ca="1"/>
        <v>-0.24748515218392131</v>
      </c>
      <c r="X775" s="2">
        <f ca="1"/>
        <v>45.330703747314416</v>
      </c>
      <c r="AG775" s="2">
        <f ca="1"/>
        <v>0.94128004240868823</v>
      </c>
      <c r="AH775" s="2" t="str">
        <f ca="1"/>
        <v>Bad</v>
      </c>
    </row>
    <row r="776" spans="2:34" x14ac:dyDescent="0.2">
      <c r="B776" s="2">
        <f ca="1"/>
        <v>0.77763171333842518</v>
      </c>
      <c r="O776" s="2">
        <f ca="1"/>
        <v>1.0083336086265278</v>
      </c>
      <c r="X776" s="2">
        <f ca="1"/>
        <v>41.342882568382521</v>
      </c>
      <c r="AG776" s="2">
        <f ca="1"/>
        <v>0.57666572635332214</v>
      </c>
      <c r="AH776" s="2" t="str">
        <f ca="1"/>
        <v>Bad</v>
      </c>
    </row>
    <row r="777" spans="2:34" x14ac:dyDescent="0.2">
      <c r="B777" s="2">
        <f ca="1"/>
        <v>0.95413469254944783</v>
      </c>
      <c r="O777" s="2">
        <f ca="1"/>
        <v>1.7441738036944474</v>
      </c>
      <c r="X777" s="2">
        <f ca="1"/>
        <v>34.979659524349515</v>
      </c>
      <c r="AG777" s="2">
        <f ca="1"/>
        <v>0.63946674345573595</v>
      </c>
      <c r="AH777" s="2" t="str">
        <f ca="1"/>
        <v>Bad</v>
      </c>
    </row>
    <row r="778" spans="2:34" x14ac:dyDescent="0.2">
      <c r="B778" s="2">
        <f ca="1"/>
        <v>0.50562561129961181</v>
      </c>
      <c r="O778" s="2">
        <f ca="1"/>
        <v>-1.9746351738956949</v>
      </c>
      <c r="X778" s="2">
        <f ca="1"/>
        <v>37.507127594809674</v>
      </c>
      <c r="AG778" s="2">
        <f ca="1"/>
        <v>0.9880012959389064</v>
      </c>
      <c r="AH778" s="2" t="str">
        <f ca="1"/>
        <v>Bad</v>
      </c>
    </row>
    <row r="779" spans="2:34" x14ac:dyDescent="0.2">
      <c r="B779" s="2">
        <f ca="1"/>
        <v>2.0179427870152367E-2</v>
      </c>
      <c r="O779" s="2">
        <f ca="1"/>
        <v>0.57552544709837528</v>
      </c>
      <c r="X779" s="2">
        <f ca="1"/>
        <v>81.090894749601418</v>
      </c>
      <c r="AG779" s="2">
        <f ca="1"/>
        <v>0.654931110625945</v>
      </c>
      <c r="AH779" s="2" t="str">
        <f ca="1"/>
        <v>Bad</v>
      </c>
    </row>
    <row r="780" spans="2:34" x14ac:dyDescent="0.2">
      <c r="B780" s="2">
        <f ca="1"/>
        <v>0.16784620692464136</v>
      </c>
      <c r="O780" s="2">
        <f ca="1"/>
        <v>-0.22362420464870691</v>
      </c>
      <c r="X780" s="2">
        <f ca="1"/>
        <v>33.239907629696354</v>
      </c>
      <c r="AG780" s="2">
        <f ca="1"/>
        <v>0.14102293899211915</v>
      </c>
      <c r="AH780" s="2" t="str">
        <f ca="1"/>
        <v>OK</v>
      </c>
    </row>
    <row r="781" spans="2:34" x14ac:dyDescent="0.2">
      <c r="B781" s="2">
        <f ca="1"/>
        <v>5.3342084168624959E-2</v>
      </c>
      <c r="O781" s="2">
        <f ca="1"/>
        <v>-1.0917762576373111</v>
      </c>
      <c r="X781" s="2">
        <f ca="1"/>
        <v>38.685291380831785</v>
      </c>
      <c r="AG781" s="2">
        <f ca="1"/>
        <v>0.80403837426141811</v>
      </c>
      <c r="AH781" s="2" t="str">
        <f ca="1"/>
        <v>Bad</v>
      </c>
    </row>
    <row r="782" spans="2:34" x14ac:dyDescent="0.2">
      <c r="B782" s="2">
        <f ca="1"/>
        <v>0.55738739188598174</v>
      </c>
      <c r="O782" s="2">
        <f ca="1"/>
        <v>-0.21928133582450227</v>
      </c>
      <c r="X782" s="2">
        <f ca="1"/>
        <v>36.148834557969202</v>
      </c>
      <c r="AG782" s="2">
        <f ca="1"/>
        <v>3.2796619246851177E-2</v>
      </c>
      <c r="AH782" s="2" t="str">
        <f ca="1"/>
        <v>Good</v>
      </c>
    </row>
    <row r="783" spans="2:34" x14ac:dyDescent="0.2">
      <c r="B783" s="2">
        <f ca="1"/>
        <v>7.3935030653476508E-2</v>
      </c>
      <c r="O783" s="2">
        <f ca="1"/>
        <v>-0.87455060258071093</v>
      </c>
      <c r="X783" s="2">
        <f ca="1"/>
        <v>97.077708083684229</v>
      </c>
      <c r="AG783" s="2">
        <f ca="1"/>
        <v>0.11916073183477005</v>
      </c>
      <c r="AH783" s="2" t="str">
        <f ca="1"/>
        <v>OK</v>
      </c>
    </row>
    <row r="784" spans="2:34" x14ac:dyDescent="0.2">
      <c r="B784" s="2">
        <f ca="1"/>
        <v>0.44149091762628112</v>
      </c>
      <c r="O784" s="2">
        <f ca="1"/>
        <v>0.22584707498486667</v>
      </c>
      <c r="X784" s="2">
        <f ca="1"/>
        <v>58.319293966866219</v>
      </c>
      <c r="AG784" s="2">
        <f ca="1"/>
        <v>9.1585170642682456E-2</v>
      </c>
      <c r="AH784" s="2" t="str">
        <f ca="1"/>
        <v>OK</v>
      </c>
    </row>
    <row r="785" spans="2:34" x14ac:dyDescent="0.2">
      <c r="B785" s="2">
        <f ca="1"/>
        <v>0.93904768183328047</v>
      </c>
      <c r="O785" s="2">
        <f ca="1"/>
        <v>0.56701582666538419</v>
      </c>
      <c r="X785" s="2">
        <f ca="1"/>
        <v>24.415520764754305</v>
      </c>
      <c r="AG785" s="2">
        <f ca="1"/>
        <v>0.29686808417325361</v>
      </c>
      <c r="AH785" s="2" t="str">
        <f ca="1"/>
        <v>OK</v>
      </c>
    </row>
    <row r="786" spans="2:34" x14ac:dyDescent="0.2">
      <c r="B786" s="2">
        <f ca="1"/>
        <v>0.30721200021074968</v>
      </c>
      <c r="O786" s="2">
        <f ca="1"/>
        <v>0.7318525431042967</v>
      </c>
      <c r="X786" s="2">
        <f ca="1"/>
        <v>38.672817795172762</v>
      </c>
      <c r="AG786" s="2">
        <f ca="1"/>
        <v>0.42353036031573477</v>
      </c>
      <c r="AH786" s="2" t="str">
        <f ca="1"/>
        <v>Bad</v>
      </c>
    </row>
    <row r="787" spans="2:34" x14ac:dyDescent="0.2">
      <c r="B787" s="2">
        <f ca="1"/>
        <v>2.5034112928733698E-2</v>
      </c>
      <c r="O787" s="2">
        <f ca="1"/>
        <v>-0.12296301696330694</v>
      </c>
      <c r="X787" s="2">
        <f ca="1"/>
        <v>53.382957659844365</v>
      </c>
      <c r="AG787" s="2">
        <f ca="1"/>
        <v>0.25566669130956399</v>
      </c>
      <c r="AH787" s="2" t="str">
        <f ca="1"/>
        <v>OK</v>
      </c>
    </row>
    <row r="788" spans="2:34" x14ac:dyDescent="0.2">
      <c r="B788" s="2">
        <f ca="1"/>
        <v>0.8102091906584401</v>
      </c>
      <c r="O788" s="2">
        <f ca="1"/>
        <v>-0.14921687535188094</v>
      </c>
      <c r="X788" s="2">
        <f ca="1"/>
        <v>44.53244276218345</v>
      </c>
      <c r="AG788" s="2">
        <f ca="1"/>
        <v>0.25282273849748949</v>
      </c>
      <c r="AH788" s="2" t="str">
        <f ca="1"/>
        <v>OK</v>
      </c>
    </row>
    <row r="789" spans="2:34" x14ac:dyDescent="0.2">
      <c r="B789" s="2">
        <f ca="1"/>
        <v>0.56910220526918498</v>
      </c>
      <c r="O789" s="2">
        <f ca="1"/>
        <v>-0.73964691563361717</v>
      </c>
      <c r="X789" s="2">
        <f ca="1"/>
        <v>45.130971702817853</v>
      </c>
      <c r="AG789" s="2">
        <f ca="1"/>
        <v>0.71222166277522425</v>
      </c>
      <c r="AH789" s="2" t="str">
        <f ca="1"/>
        <v>Bad</v>
      </c>
    </row>
    <row r="790" spans="2:34" x14ac:dyDescent="0.2">
      <c r="B790" s="2">
        <f ca="1"/>
        <v>0.67128767228980379</v>
      </c>
      <c r="O790" s="2">
        <f ca="1"/>
        <v>0.21426396421664912</v>
      </c>
      <c r="X790" s="2">
        <f ca="1"/>
        <v>38.581291555369617</v>
      </c>
      <c r="AG790" s="2">
        <f ca="1"/>
        <v>0.32543649263321939</v>
      </c>
      <c r="AH790" s="2" t="str">
        <f ca="1"/>
        <v>OK</v>
      </c>
    </row>
    <row r="791" spans="2:34" x14ac:dyDescent="0.2">
      <c r="B791" s="2">
        <f ca="1"/>
        <v>0.68366908013683925</v>
      </c>
      <c r="O791" s="2">
        <f ca="1"/>
        <v>0.48967410843551268</v>
      </c>
      <c r="X791" s="2">
        <f ca="1"/>
        <v>42.216287569588488</v>
      </c>
      <c r="AG791" s="2">
        <f ca="1"/>
        <v>0.97519742604395421</v>
      </c>
      <c r="AH791" s="2" t="str">
        <f ca="1"/>
        <v>Bad</v>
      </c>
    </row>
    <row r="792" spans="2:34" x14ac:dyDescent="0.2">
      <c r="B792" s="2">
        <f ca="1"/>
        <v>0.46965246254203885</v>
      </c>
      <c r="O792" s="2">
        <f ca="1"/>
        <v>6.3596407866616418E-3</v>
      </c>
      <c r="X792" s="2">
        <f ca="1"/>
        <v>44.950244284166232</v>
      </c>
      <c r="AG792" s="2">
        <f ca="1"/>
        <v>0.29896481163406419</v>
      </c>
      <c r="AH792" s="2" t="str">
        <f ca="1"/>
        <v>OK</v>
      </c>
    </row>
    <row r="793" spans="2:34" x14ac:dyDescent="0.2">
      <c r="B793" s="2">
        <f ca="1"/>
        <v>0.69888138704007785</v>
      </c>
      <c r="O793" s="2">
        <f ca="1"/>
        <v>0.168117163869793</v>
      </c>
      <c r="X793" s="2">
        <f ca="1"/>
        <v>78.163355944549707</v>
      </c>
      <c r="AG793" s="2">
        <f ca="1"/>
        <v>0.42470125018182214</v>
      </c>
      <c r="AH793" s="2" t="str">
        <f ca="1"/>
        <v>Bad</v>
      </c>
    </row>
    <row r="794" spans="2:34" x14ac:dyDescent="0.2">
      <c r="B794" s="2">
        <f ca="1"/>
        <v>0.41681852769486794</v>
      </c>
      <c r="O794" s="2">
        <f ca="1"/>
        <v>-0.41781533929305353</v>
      </c>
      <c r="X794" s="2">
        <f ca="1"/>
        <v>56.925782634760452</v>
      </c>
      <c r="AG794" s="2">
        <f ca="1"/>
        <v>0.48301603667532844</v>
      </c>
      <c r="AH794" s="2" t="str">
        <f ca="1"/>
        <v>Bad</v>
      </c>
    </row>
    <row r="795" spans="2:34" x14ac:dyDescent="0.2">
      <c r="B795" s="2">
        <f ca="1"/>
        <v>0.29485433750444856</v>
      </c>
      <c r="O795" s="2">
        <f ca="1"/>
        <v>8.3428911378681678E-2</v>
      </c>
      <c r="X795" s="2">
        <f ca="1"/>
        <v>44.466634247145947</v>
      </c>
      <c r="AG795" s="2">
        <f ca="1"/>
        <v>0.42060812359829169</v>
      </c>
      <c r="AH795" s="2" t="str">
        <f ca="1"/>
        <v>Bad</v>
      </c>
    </row>
    <row r="796" spans="2:34" x14ac:dyDescent="0.2">
      <c r="B796" s="2">
        <f ca="1"/>
        <v>0.90811942291632053</v>
      </c>
      <c r="O796" s="2">
        <f ca="1"/>
        <v>1.760655965758152</v>
      </c>
      <c r="X796" s="2">
        <f ca="1"/>
        <v>25.687509261191796</v>
      </c>
      <c r="AG796" s="2">
        <f ca="1"/>
        <v>0.59828977191950838</v>
      </c>
      <c r="AH796" s="2" t="str">
        <f ca="1"/>
        <v>Bad</v>
      </c>
    </row>
    <row r="797" spans="2:34" x14ac:dyDescent="0.2">
      <c r="B797" s="2">
        <f ca="1"/>
        <v>0.75419697246370787</v>
      </c>
      <c r="O797" s="2">
        <f ca="1"/>
        <v>0.1368972073941328</v>
      </c>
      <c r="X797" s="2">
        <f ca="1"/>
        <v>53.717914886900971</v>
      </c>
      <c r="AG797" s="2">
        <f ca="1"/>
        <v>0.78254754817494621</v>
      </c>
      <c r="AH797" s="2" t="str">
        <f ca="1"/>
        <v>Bad</v>
      </c>
    </row>
    <row r="798" spans="2:34" x14ac:dyDescent="0.2">
      <c r="B798" s="2">
        <f ca="1"/>
        <v>0.83300939676580832</v>
      </c>
      <c r="O798" s="2">
        <f ca="1"/>
        <v>0.20666888904891947</v>
      </c>
      <c r="X798" s="2">
        <f ca="1"/>
        <v>50.604163876110206</v>
      </c>
      <c r="AG798" s="2">
        <f ca="1"/>
        <v>0.92432977149855389</v>
      </c>
      <c r="AH798" s="2" t="str">
        <f ca="1"/>
        <v>Bad</v>
      </c>
    </row>
    <row r="799" spans="2:34" x14ac:dyDescent="0.2">
      <c r="B799" s="2">
        <f ca="1"/>
        <v>7.5076235568425798E-2</v>
      </c>
      <c r="O799" s="2">
        <f ca="1"/>
        <v>1.8638368820290756</v>
      </c>
      <c r="X799" s="2">
        <f ca="1"/>
        <v>53.822295959841355</v>
      </c>
      <c r="AG799" s="2">
        <f ca="1"/>
        <v>0.49792671156784674</v>
      </c>
      <c r="AH799" s="2" t="str">
        <f ca="1"/>
        <v>Bad</v>
      </c>
    </row>
    <row r="800" spans="2:34" x14ac:dyDescent="0.2">
      <c r="B800" s="2">
        <f ca="1"/>
        <v>8.0887414129697577E-2</v>
      </c>
      <c r="O800" s="2">
        <f ca="1"/>
        <v>-0.50404145211799911</v>
      </c>
      <c r="X800" s="2">
        <f ca="1"/>
        <v>25.870671959832862</v>
      </c>
      <c r="AG800" s="2">
        <f ca="1"/>
        <v>0.12662577047445467</v>
      </c>
      <c r="AH800" s="2" t="str">
        <f ca="1"/>
        <v>OK</v>
      </c>
    </row>
    <row r="801" spans="2:34" x14ac:dyDescent="0.2">
      <c r="B801" s="2">
        <f ca="1"/>
        <v>7.3071987160319596E-2</v>
      </c>
      <c r="O801" s="2">
        <f ca="1"/>
        <v>2.6161619690194586E-2</v>
      </c>
      <c r="X801" s="2">
        <f ca="1"/>
        <v>49.1859263678042</v>
      </c>
      <c r="AG801" s="2">
        <f ca="1"/>
        <v>6.5884164068024997E-2</v>
      </c>
      <c r="AH801" s="2" t="str">
        <f ca="1"/>
        <v>OK</v>
      </c>
    </row>
    <row r="802" spans="2:34" x14ac:dyDescent="0.2">
      <c r="B802" s="2">
        <f ca="1"/>
        <v>0.97798098489268748</v>
      </c>
      <c r="O802" s="2">
        <f ca="1"/>
        <v>-4.9512351128459094E-2</v>
      </c>
      <c r="X802" s="2">
        <f ca="1"/>
        <v>49.270883332474597</v>
      </c>
      <c r="AG802" s="2">
        <f ca="1"/>
        <v>0.12749978092184677</v>
      </c>
      <c r="AH802" s="2" t="str">
        <f ca="1"/>
        <v>OK</v>
      </c>
    </row>
    <row r="803" spans="2:34" x14ac:dyDescent="0.2">
      <c r="B803" s="2">
        <f ca="1"/>
        <v>5.7328134170888223E-2</v>
      </c>
      <c r="O803" s="2">
        <f ca="1"/>
        <v>-0.9575659417047605</v>
      </c>
      <c r="X803" s="2">
        <f ca="1"/>
        <v>38.097246425134152</v>
      </c>
      <c r="AG803" s="2">
        <f ca="1"/>
        <v>0.63657906503760597</v>
      </c>
      <c r="AH803" s="2" t="str">
        <f ca="1"/>
        <v>Bad</v>
      </c>
    </row>
    <row r="804" spans="2:34" x14ac:dyDescent="0.2">
      <c r="B804" s="2">
        <f ca="1"/>
        <v>0.71244531352908713</v>
      </c>
      <c r="O804" s="2">
        <f ca="1"/>
        <v>2.7525902253396355</v>
      </c>
      <c r="X804" s="2">
        <f ca="1"/>
        <v>78.628988583081551</v>
      </c>
      <c r="AG804" s="2">
        <f ca="1"/>
        <v>0.60462987997380946</v>
      </c>
      <c r="AH804" s="2" t="str">
        <f ca="1"/>
        <v>Bad</v>
      </c>
    </row>
    <row r="805" spans="2:34" x14ac:dyDescent="0.2">
      <c r="B805" s="2">
        <f ca="1"/>
        <v>3.2491690642572957E-2</v>
      </c>
      <c r="O805" s="2">
        <f ca="1"/>
        <v>0.962496449475022</v>
      </c>
      <c r="X805" s="2">
        <f ca="1"/>
        <v>30.540327069168157</v>
      </c>
      <c r="AG805" s="2">
        <f ca="1"/>
        <v>0.28288977656609937</v>
      </c>
      <c r="AH805" s="2" t="str">
        <f ca="1"/>
        <v>OK</v>
      </c>
    </row>
    <row r="806" spans="2:34" x14ac:dyDescent="0.2">
      <c r="B806" s="2">
        <f ca="1"/>
        <v>0.58106354568430296</v>
      </c>
      <c r="O806" s="2">
        <f ca="1"/>
        <v>0.35969888840220049</v>
      </c>
      <c r="X806" s="2">
        <f ca="1"/>
        <v>57.073849092891955</v>
      </c>
      <c r="AG806" s="2">
        <f ca="1"/>
        <v>0.83256528222115556</v>
      </c>
      <c r="AH806" s="2" t="str">
        <f ca="1"/>
        <v>Bad</v>
      </c>
    </row>
    <row r="807" spans="2:34" x14ac:dyDescent="0.2">
      <c r="B807" s="2">
        <f ca="1"/>
        <v>0.58720981128489447</v>
      </c>
      <c r="O807" s="2">
        <f ca="1"/>
        <v>0.64040489570309123</v>
      </c>
      <c r="X807" s="2">
        <f ca="1"/>
        <v>55.745164058086644</v>
      </c>
      <c r="AG807" s="2">
        <f ca="1"/>
        <v>0.66461489752548109</v>
      </c>
      <c r="AH807" s="2" t="str">
        <f ca="1"/>
        <v>Bad</v>
      </c>
    </row>
    <row r="808" spans="2:34" x14ac:dyDescent="0.2">
      <c r="B808" s="2">
        <f ca="1"/>
        <v>0.37470253746922144</v>
      </c>
      <c r="O808" s="2">
        <f ca="1"/>
        <v>-0.64164951872174492</v>
      </c>
      <c r="X808" s="2">
        <f ca="1"/>
        <v>59.74140473884357</v>
      </c>
      <c r="AG808" s="2">
        <f ca="1"/>
        <v>0.69515425531109187</v>
      </c>
      <c r="AH808" s="2" t="str">
        <f ca="1"/>
        <v>Bad</v>
      </c>
    </row>
    <row r="809" spans="2:34" x14ac:dyDescent="0.2">
      <c r="B809" s="2">
        <f ca="1"/>
        <v>0.85269203620449319</v>
      </c>
      <c r="O809" s="2">
        <f ca="1"/>
        <v>-0.2139029281940967</v>
      </c>
      <c r="X809" s="2">
        <f ca="1"/>
        <v>65.927263464758411</v>
      </c>
      <c r="AG809" s="2">
        <f ca="1"/>
        <v>0.80139917010662276</v>
      </c>
      <c r="AH809" s="2" t="str">
        <f ca="1"/>
        <v>Bad</v>
      </c>
    </row>
    <row r="810" spans="2:34" x14ac:dyDescent="0.2">
      <c r="B810" s="2">
        <f ca="1"/>
        <v>0.62574746354411781</v>
      </c>
      <c r="O810" s="2">
        <f ca="1"/>
        <v>0.35745683057691136</v>
      </c>
      <c r="X810" s="2">
        <f ca="1"/>
        <v>69.258447370114297</v>
      </c>
      <c r="AG810" s="2">
        <f ca="1"/>
        <v>0.74464471296351875</v>
      </c>
      <c r="AH810" s="2" t="str">
        <f ca="1"/>
        <v>Bad</v>
      </c>
    </row>
    <row r="811" spans="2:34" x14ac:dyDescent="0.2">
      <c r="B811" s="2">
        <f ca="1"/>
        <v>0.89334695032995026</v>
      </c>
      <c r="O811" s="2">
        <f ca="1"/>
        <v>-1.0545487398087283</v>
      </c>
      <c r="X811" s="2">
        <f ca="1"/>
        <v>55.335388491411422</v>
      </c>
      <c r="AG811" s="2">
        <f ca="1"/>
        <v>0.88069723762824115</v>
      </c>
      <c r="AH811" s="2" t="str">
        <f ca="1"/>
        <v>Bad</v>
      </c>
    </row>
    <row r="812" spans="2:34" x14ac:dyDescent="0.2">
      <c r="B812" s="2">
        <f ca="1"/>
        <v>0.8853856113706593</v>
      </c>
      <c r="O812" s="2">
        <f ca="1"/>
        <v>-1.7201395268652842</v>
      </c>
      <c r="X812" s="2">
        <f ca="1"/>
        <v>21.624838318174437</v>
      </c>
      <c r="AG812" s="2">
        <f ca="1"/>
        <v>0.71326965063361958</v>
      </c>
      <c r="AH812" s="2" t="str">
        <f ca="1"/>
        <v>Bad</v>
      </c>
    </row>
    <row r="813" spans="2:34" x14ac:dyDescent="0.2">
      <c r="B813" s="2">
        <f ca="1"/>
        <v>0.52015356461342832</v>
      </c>
      <c r="O813" s="2">
        <f ca="1"/>
        <v>0.47348850983512147</v>
      </c>
      <c r="X813" s="2">
        <f ca="1"/>
        <v>67.464882726177308</v>
      </c>
      <c r="AG813" s="2">
        <f ca="1"/>
        <v>0.91510857623272868</v>
      </c>
      <c r="AH813" s="2" t="str">
        <f ca="1"/>
        <v>Bad</v>
      </c>
    </row>
    <row r="814" spans="2:34" x14ac:dyDescent="0.2">
      <c r="B814" s="2">
        <f ca="1"/>
        <v>0.6055810112938973</v>
      </c>
      <c r="O814" s="2">
        <f ca="1"/>
        <v>-0.35032840245915314</v>
      </c>
      <c r="X814" s="2">
        <f ca="1"/>
        <v>48.6656840045979</v>
      </c>
      <c r="AG814" s="2">
        <f ca="1"/>
        <v>0.31094510555390187</v>
      </c>
      <c r="AH814" s="2" t="str">
        <f ca="1"/>
        <v>OK</v>
      </c>
    </row>
    <row r="815" spans="2:34" x14ac:dyDescent="0.2">
      <c r="B815" s="2">
        <f ca="1"/>
        <v>0.28437659765570733</v>
      </c>
      <c r="O815" s="2">
        <f ca="1"/>
        <v>2.4385020373053181</v>
      </c>
      <c r="X815" s="2">
        <f ca="1"/>
        <v>84.191519477395076</v>
      </c>
      <c r="AG815" s="2">
        <f ca="1"/>
        <v>3.4007517022884404E-2</v>
      </c>
      <c r="AH815" s="2" t="str">
        <f ca="1"/>
        <v>Good</v>
      </c>
    </row>
    <row r="816" spans="2:34" x14ac:dyDescent="0.2">
      <c r="B816" s="2">
        <f ca="1"/>
        <v>0.99202383099282532</v>
      </c>
      <c r="O816" s="2">
        <f ca="1"/>
        <v>-0.10894290414171499</v>
      </c>
      <c r="X816" s="2">
        <f ca="1"/>
        <v>51.480913730277393</v>
      </c>
      <c r="AG816" s="2">
        <f ca="1"/>
        <v>0.93634370158858293</v>
      </c>
      <c r="AH816" s="2" t="str">
        <f ca="1"/>
        <v>Bad</v>
      </c>
    </row>
    <row r="817" spans="2:34" x14ac:dyDescent="0.2">
      <c r="B817" s="2">
        <f ca="1"/>
        <v>1.1352641778159533E-2</v>
      </c>
      <c r="O817" s="2">
        <f ca="1"/>
        <v>-9.350911141594298E-2</v>
      </c>
      <c r="X817" s="2">
        <f ca="1"/>
        <v>30.181663313392356</v>
      </c>
      <c r="AG817" s="2">
        <f ca="1"/>
        <v>0.59995255432356887</v>
      </c>
      <c r="AH817" s="2" t="str">
        <f ca="1"/>
        <v>Bad</v>
      </c>
    </row>
    <row r="818" spans="2:34" x14ac:dyDescent="0.2">
      <c r="B818" s="2">
        <f ca="1"/>
        <v>0.28545255822231597</v>
      </c>
      <c r="O818" s="2">
        <f ca="1"/>
        <v>-1.3758832375999244</v>
      </c>
      <c r="X818" s="2">
        <f ca="1"/>
        <v>45.625904522271384</v>
      </c>
      <c r="AG818" s="2">
        <f ca="1"/>
        <v>0.73189008196824878</v>
      </c>
      <c r="AH818" s="2" t="str">
        <f ca="1"/>
        <v>Bad</v>
      </c>
    </row>
    <row r="819" spans="2:34" x14ac:dyDescent="0.2">
      <c r="B819" s="2">
        <f ca="1"/>
        <v>0.57515697606808636</v>
      </c>
      <c r="O819" s="2">
        <f ca="1"/>
        <v>-1.1286774960276866</v>
      </c>
      <c r="X819" s="2">
        <f ca="1"/>
        <v>51.823653763874738</v>
      </c>
      <c r="AG819" s="2">
        <f ca="1"/>
        <v>0.14057967680563421</v>
      </c>
      <c r="AH819" s="2" t="str">
        <f ca="1"/>
        <v>OK</v>
      </c>
    </row>
    <row r="820" spans="2:34" x14ac:dyDescent="0.2">
      <c r="B820" s="2">
        <f ca="1"/>
        <v>0.65260215111963649</v>
      </c>
      <c r="O820" s="2">
        <f ca="1"/>
        <v>0.52190205462086425</v>
      </c>
      <c r="X820" s="2">
        <f ca="1"/>
        <v>76.77465699773029</v>
      </c>
      <c r="AG820" s="2">
        <f ca="1"/>
        <v>0.72732554606798638</v>
      </c>
      <c r="AH820" s="2" t="str">
        <f ca="1"/>
        <v>Bad</v>
      </c>
    </row>
    <row r="821" spans="2:34" x14ac:dyDescent="0.2">
      <c r="B821" s="2">
        <f ca="1"/>
        <v>0.55434199719658439</v>
      </c>
      <c r="O821" s="2">
        <f ca="1"/>
        <v>-0.10633622404637935</v>
      </c>
      <c r="X821" s="2">
        <f ca="1"/>
        <v>38.673830018032447</v>
      </c>
      <c r="AG821" s="2">
        <f ca="1"/>
        <v>0.30498693839737934</v>
      </c>
      <c r="AH821" s="2" t="str">
        <f ca="1"/>
        <v>OK</v>
      </c>
    </row>
    <row r="822" spans="2:34" x14ac:dyDescent="0.2">
      <c r="B822" s="2">
        <f ca="1"/>
        <v>0.96607759854055519</v>
      </c>
      <c r="O822" s="2">
        <f ca="1"/>
        <v>0.18389742425367947</v>
      </c>
      <c r="X822" s="2">
        <f ca="1"/>
        <v>31.756464423337249</v>
      </c>
      <c r="AG822" s="2">
        <f ca="1"/>
        <v>5.4312578060294436E-2</v>
      </c>
      <c r="AH822" s="2" t="str">
        <f ca="1"/>
        <v>OK</v>
      </c>
    </row>
    <row r="823" spans="2:34" x14ac:dyDescent="0.2">
      <c r="B823" s="2">
        <f ca="1"/>
        <v>0.39202849166562759</v>
      </c>
      <c r="O823" s="2">
        <f ca="1"/>
        <v>-2.41158596023039</v>
      </c>
      <c r="X823" s="2">
        <f ca="1"/>
        <v>48.18198163989895</v>
      </c>
      <c r="AG823" s="2">
        <f ca="1"/>
        <v>0.50770617101356663</v>
      </c>
      <c r="AH823" s="2" t="str">
        <f ca="1"/>
        <v>Bad</v>
      </c>
    </row>
    <row r="824" spans="2:34" x14ac:dyDescent="0.2">
      <c r="B824" s="2">
        <f ca="1"/>
        <v>0.85926197976142027</v>
      </c>
      <c r="O824" s="2">
        <f ca="1"/>
        <v>1.1546261999936502</v>
      </c>
      <c r="X824" s="2">
        <f ca="1"/>
        <v>73.265216468872453</v>
      </c>
      <c r="AG824" s="2">
        <f ca="1"/>
        <v>0.48633612736760923</v>
      </c>
      <c r="AH824" s="2" t="str">
        <f ca="1"/>
        <v>Bad</v>
      </c>
    </row>
    <row r="825" spans="2:34" x14ac:dyDescent="0.2">
      <c r="B825" s="2">
        <f ca="1"/>
        <v>3.2927078073466731E-2</v>
      </c>
      <c r="O825" s="2">
        <f ca="1"/>
        <v>-0.94601877662683875</v>
      </c>
      <c r="X825" s="2">
        <f ca="1"/>
        <v>41.831210768753763</v>
      </c>
      <c r="AG825" s="2">
        <f ca="1"/>
        <v>0.41620861422651956</v>
      </c>
      <c r="AH825" s="2" t="str">
        <f ca="1"/>
        <v>Bad</v>
      </c>
    </row>
    <row r="826" spans="2:34" x14ac:dyDescent="0.2">
      <c r="B826" s="2">
        <f ca="1"/>
        <v>5.1608325226111917E-2</v>
      </c>
      <c r="O826" s="2">
        <f ca="1"/>
        <v>2.5403277226638297</v>
      </c>
      <c r="X826" s="2">
        <f ca="1"/>
        <v>44.281338575728782</v>
      </c>
      <c r="AG826" s="2">
        <f ca="1"/>
        <v>0.30172700886665349</v>
      </c>
      <c r="AH826" s="2" t="str">
        <f ca="1"/>
        <v>OK</v>
      </c>
    </row>
    <row r="827" spans="2:34" x14ac:dyDescent="0.2">
      <c r="B827" s="2">
        <f ca="1"/>
        <v>0.63512093358965216</v>
      </c>
      <c r="O827" s="2">
        <f ca="1"/>
        <v>1.1344702974519236</v>
      </c>
      <c r="X827" s="2">
        <f ca="1"/>
        <v>45.431058950088207</v>
      </c>
      <c r="AG827" s="2">
        <f ca="1"/>
        <v>0.65696549649489278</v>
      </c>
      <c r="AH827" s="2" t="str">
        <f ca="1"/>
        <v>Bad</v>
      </c>
    </row>
    <row r="828" spans="2:34" x14ac:dyDescent="0.2">
      <c r="B828" s="2">
        <f ca="1"/>
        <v>0.12487176150839518</v>
      </c>
      <c r="O828" s="2">
        <f ca="1"/>
        <v>-1.0335579483053947</v>
      </c>
      <c r="X828" s="2">
        <f ca="1"/>
        <v>42.655691929648462</v>
      </c>
      <c r="AG828" s="2">
        <f ca="1"/>
        <v>0.45625161849909968</v>
      </c>
      <c r="AH828" s="2" t="str">
        <f ca="1"/>
        <v>Bad</v>
      </c>
    </row>
    <row r="829" spans="2:34" x14ac:dyDescent="0.2">
      <c r="B829" s="2">
        <f ca="1"/>
        <v>6.0273271696938302E-2</v>
      </c>
      <c r="O829" s="2">
        <f ca="1"/>
        <v>-0.67730065661288319</v>
      </c>
      <c r="X829" s="2">
        <f ca="1"/>
        <v>45.508998031913883</v>
      </c>
      <c r="AG829" s="2">
        <f ca="1"/>
        <v>0.44736776453307892</v>
      </c>
      <c r="AH829" s="2" t="str">
        <f ca="1"/>
        <v>Bad</v>
      </c>
    </row>
    <row r="830" spans="2:34" x14ac:dyDescent="0.2">
      <c r="B830" s="2">
        <f ca="1"/>
        <v>0.45388610018185105</v>
      </c>
      <c r="O830" s="2">
        <f ca="1"/>
        <v>1.4065442734789351</v>
      </c>
      <c r="X830" s="2">
        <f ca="1"/>
        <v>52.641581903357604</v>
      </c>
      <c r="AG830" s="2">
        <f ca="1"/>
        <v>0.72223865673569199</v>
      </c>
      <c r="AH830" s="2" t="str">
        <f ca="1"/>
        <v>Bad</v>
      </c>
    </row>
    <row r="831" spans="2:34" x14ac:dyDescent="0.2">
      <c r="B831" s="2">
        <f ca="1"/>
        <v>0.25250592103288616</v>
      </c>
      <c r="O831" s="2">
        <f ca="1"/>
        <v>-0.29966492680345547</v>
      </c>
      <c r="X831" s="2">
        <f ca="1"/>
        <v>33.059298212803938</v>
      </c>
      <c r="AG831" s="2">
        <f ca="1"/>
        <v>0.42804348350197774</v>
      </c>
      <c r="AH831" s="2" t="str">
        <f ca="1"/>
        <v>Bad</v>
      </c>
    </row>
    <row r="832" spans="2:34" x14ac:dyDescent="0.2">
      <c r="B832" s="2">
        <f ca="1"/>
        <v>0.1343057118703963</v>
      </c>
      <c r="O832" s="2">
        <f ca="1"/>
        <v>0.46528574766577818</v>
      </c>
      <c r="X832" s="2">
        <f ca="1"/>
        <v>22.146546517667186</v>
      </c>
      <c r="AG832" s="2">
        <f ca="1"/>
        <v>0.15631569853573635</v>
      </c>
      <c r="AH832" s="2" t="str">
        <f ca="1"/>
        <v>OK</v>
      </c>
    </row>
    <row r="833" spans="2:34" x14ac:dyDescent="0.2">
      <c r="B833" s="2">
        <f ca="1"/>
        <v>0.99342376688770151</v>
      </c>
      <c r="O833" s="2">
        <f ca="1"/>
        <v>-1.2771337354686367</v>
      </c>
      <c r="X833" s="2">
        <f ca="1"/>
        <v>30.312055037321581</v>
      </c>
      <c r="AG833" s="2">
        <f ca="1"/>
        <v>0.9777230667773853</v>
      </c>
      <c r="AH833" s="2" t="str">
        <f ca="1"/>
        <v>Bad</v>
      </c>
    </row>
    <row r="834" spans="2:34" x14ac:dyDescent="0.2">
      <c r="B834" s="2">
        <f ca="1"/>
        <v>0.34037288257350329</v>
      </c>
      <c r="O834" s="2">
        <f ca="1"/>
        <v>-1.403610722034186</v>
      </c>
      <c r="X834" s="2">
        <f ca="1"/>
        <v>80.781124538147978</v>
      </c>
      <c r="AG834" s="2">
        <f ca="1"/>
        <v>0.71164190925537119</v>
      </c>
      <c r="AH834" s="2" t="str">
        <f ca="1"/>
        <v>Bad</v>
      </c>
    </row>
    <row r="835" spans="2:34" x14ac:dyDescent="0.2">
      <c r="B835" s="2">
        <f ca="1"/>
        <v>0.22311783446009192</v>
      </c>
      <c r="O835" s="2">
        <f ca="1"/>
        <v>-0.50568504130437575</v>
      </c>
      <c r="X835" s="2">
        <f ca="1"/>
        <v>59.303548940651154</v>
      </c>
      <c r="AG835" s="2">
        <f ca="1"/>
        <v>1.2572706713912307E-2</v>
      </c>
      <c r="AH835" s="2" t="str">
        <f ca="1"/>
        <v>Good</v>
      </c>
    </row>
    <row r="836" spans="2:34" x14ac:dyDescent="0.2">
      <c r="B836" s="2">
        <f ca="1"/>
        <v>0.79931813859468237</v>
      </c>
      <c r="O836" s="2">
        <f ca="1"/>
        <v>0.77693628080159161</v>
      </c>
      <c r="X836" s="2">
        <f ca="1"/>
        <v>51.645850352416105</v>
      </c>
      <c r="AG836" s="2">
        <f ca="1"/>
        <v>0.42010691923893773</v>
      </c>
      <c r="AH836" s="2" t="str">
        <f ca="1"/>
        <v>Bad</v>
      </c>
    </row>
    <row r="837" spans="2:34" x14ac:dyDescent="0.2">
      <c r="B837" s="2">
        <f ca="1"/>
        <v>0.55750655063695698</v>
      </c>
      <c r="O837" s="2">
        <f ca="1"/>
        <v>-0.69299255009508054</v>
      </c>
      <c r="X837" s="2">
        <f ca="1"/>
        <v>64.338593434529528</v>
      </c>
      <c r="AG837" s="2">
        <f ca="1"/>
        <v>0.56081296257841684</v>
      </c>
      <c r="AH837" s="2" t="str">
        <f ca="1"/>
        <v>Bad</v>
      </c>
    </row>
    <row r="838" spans="2:34" x14ac:dyDescent="0.2">
      <c r="B838" s="2">
        <f ca="1"/>
        <v>0.4628964937399993</v>
      </c>
      <c r="O838" s="2">
        <f ca="1"/>
        <v>-0.15865024635477051</v>
      </c>
      <c r="X838" s="2">
        <f ca="1"/>
        <v>46.721948971728182</v>
      </c>
      <c r="AG838" s="2">
        <f ca="1"/>
        <v>0.31182565011749519</v>
      </c>
      <c r="AH838" s="2" t="str">
        <f ca="1"/>
        <v>OK</v>
      </c>
    </row>
    <row r="839" spans="2:34" x14ac:dyDescent="0.2">
      <c r="B839" s="2">
        <f ca="1"/>
        <v>0.98377481405575273</v>
      </c>
      <c r="O839" s="2">
        <f ca="1"/>
        <v>-0.34275665089326057</v>
      </c>
      <c r="X839" s="2">
        <f ca="1"/>
        <v>43.886335261647176</v>
      </c>
      <c r="AG839" s="2">
        <f ca="1"/>
        <v>0.98406992099101354</v>
      </c>
      <c r="AH839" s="2" t="str">
        <f ca="1"/>
        <v>Bad</v>
      </c>
    </row>
    <row r="840" spans="2:34" x14ac:dyDescent="0.2">
      <c r="B840" s="2">
        <f ca="1"/>
        <v>0.40692078373784146</v>
      </c>
      <c r="O840" s="2">
        <f ca="1"/>
        <v>0.31780133479247119</v>
      </c>
      <c r="X840" s="2">
        <f ca="1"/>
        <v>66.424196508852148</v>
      </c>
      <c r="AG840" s="2">
        <f ca="1"/>
        <v>0.60876765810654443</v>
      </c>
      <c r="AH840" s="2" t="str">
        <f ca="1"/>
        <v>Bad</v>
      </c>
    </row>
    <row r="841" spans="2:34" x14ac:dyDescent="0.2">
      <c r="B841" s="2">
        <f ca="1"/>
        <v>0.63492431786790959</v>
      </c>
      <c r="O841" s="2">
        <f ca="1"/>
        <v>0.75278782640186614</v>
      </c>
      <c r="X841" s="2">
        <f ca="1"/>
        <v>51.95049795459235</v>
      </c>
      <c r="AG841" s="2">
        <f ca="1"/>
        <v>0.48767116502079277</v>
      </c>
      <c r="AH841" s="2" t="str">
        <f ca="1"/>
        <v>Bad</v>
      </c>
    </row>
    <row r="842" spans="2:34" x14ac:dyDescent="0.2">
      <c r="B842" s="2">
        <f ca="1"/>
        <v>0.76503498823008131</v>
      </c>
      <c r="O842" s="2">
        <f ca="1"/>
        <v>-2.2577441057134009</v>
      </c>
      <c r="X842" s="2">
        <f ca="1"/>
        <v>66.575159584948182</v>
      </c>
      <c r="AG842" s="2">
        <f ca="1"/>
        <v>1.3503862933978317E-2</v>
      </c>
      <c r="AH842" s="2" t="str">
        <f ca="1"/>
        <v>Good</v>
      </c>
    </row>
    <row r="843" spans="2:34" x14ac:dyDescent="0.2">
      <c r="B843" s="2">
        <f ca="1"/>
        <v>0.33287379811295725</v>
      </c>
      <c r="O843" s="2">
        <f ca="1"/>
        <v>3.8665298354746799E-3</v>
      </c>
      <c r="X843" s="2">
        <f ca="1"/>
        <v>58.376778218001782</v>
      </c>
      <c r="AG843" s="2">
        <f ca="1"/>
        <v>2.6828332328314941E-2</v>
      </c>
      <c r="AH843" s="2" t="str">
        <f ca="1"/>
        <v>Good</v>
      </c>
    </row>
    <row r="844" spans="2:34" x14ac:dyDescent="0.2">
      <c r="B844" s="2">
        <f ca="1"/>
        <v>0.91712901919706669</v>
      </c>
      <c r="O844" s="2">
        <f ca="1"/>
        <v>-1.285069109680165</v>
      </c>
      <c r="X844" s="2">
        <f ca="1"/>
        <v>41.013183060754876</v>
      </c>
      <c r="AG844" s="2">
        <f ca="1"/>
        <v>0.87159439751359402</v>
      </c>
      <c r="AH844" s="2" t="str">
        <f ca="1"/>
        <v>Bad</v>
      </c>
    </row>
    <row r="845" spans="2:34" x14ac:dyDescent="0.2">
      <c r="B845" s="2">
        <f ca="1"/>
        <v>5.0437402710315826E-2</v>
      </c>
      <c r="O845" s="2">
        <f ca="1"/>
        <v>0.2089521454282241</v>
      </c>
      <c r="X845" s="2">
        <f ca="1"/>
        <v>42.011332996417522</v>
      </c>
      <c r="AG845" s="2">
        <f ca="1"/>
        <v>0.40417449621168577</v>
      </c>
      <c r="AH845" s="2" t="str">
        <f ca="1"/>
        <v>Bad</v>
      </c>
    </row>
    <row r="846" spans="2:34" x14ac:dyDescent="0.2">
      <c r="B846" s="2">
        <f ca="1"/>
        <v>0.98372284216489447</v>
      </c>
      <c r="O846" s="2">
        <f ca="1"/>
        <v>1.5660387021272413</v>
      </c>
      <c r="X846" s="2">
        <f ca="1"/>
        <v>62.244364415001868</v>
      </c>
      <c r="AG846" s="2">
        <f ca="1"/>
        <v>9.0562286779211965E-2</v>
      </c>
      <c r="AH846" s="2" t="str">
        <f ca="1"/>
        <v>OK</v>
      </c>
    </row>
    <row r="847" spans="2:34" x14ac:dyDescent="0.2">
      <c r="B847" s="2">
        <f ca="1"/>
        <v>0.74899425804920905</v>
      </c>
      <c r="O847" s="2">
        <f ca="1"/>
        <v>0.54003374026766682</v>
      </c>
      <c r="X847" s="2">
        <f ca="1"/>
        <v>41.094281333347425</v>
      </c>
      <c r="AG847" s="2">
        <f ca="1"/>
        <v>0.33192464426352619</v>
      </c>
      <c r="AH847" s="2" t="str">
        <f ca="1"/>
        <v>OK</v>
      </c>
    </row>
    <row r="848" spans="2:34" x14ac:dyDescent="0.2">
      <c r="B848" s="2">
        <f ca="1"/>
        <v>0.18687589037948893</v>
      </c>
      <c r="O848" s="2">
        <f ca="1"/>
        <v>-1.0569506093812673</v>
      </c>
      <c r="X848" s="2">
        <f ca="1"/>
        <v>44.261235137797918</v>
      </c>
      <c r="AG848" s="2">
        <f ca="1"/>
        <v>0.40141973893904725</v>
      </c>
      <c r="AH848" s="2" t="str">
        <f ca="1"/>
        <v>Bad</v>
      </c>
    </row>
    <row r="849" spans="2:34" x14ac:dyDescent="0.2">
      <c r="B849" s="2">
        <f ca="1"/>
        <v>0.11632631336192678</v>
      </c>
      <c r="O849" s="2">
        <f ca="1"/>
        <v>-4.993997459168055E-2</v>
      </c>
      <c r="X849" s="2">
        <f ca="1"/>
        <v>71.568112425352027</v>
      </c>
      <c r="AG849" s="2">
        <f ca="1"/>
        <v>0.46613936580167459</v>
      </c>
      <c r="AH849" s="2" t="str">
        <f ca="1"/>
        <v>Bad</v>
      </c>
    </row>
    <row r="850" spans="2:34" x14ac:dyDescent="0.2">
      <c r="B850" s="2">
        <f ca="1"/>
        <v>0.32991248928119687</v>
      </c>
      <c r="O850" s="2">
        <f ca="1"/>
        <v>-1.3365558692389587</v>
      </c>
      <c r="X850" s="2">
        <f ca="1"/>
        <v>61.839552725194757</v>
      </c>
      <c r="AG850" s="2">
        <f ca="1"/>
        <v>0.50318164051072145</v>
      </c>
      <c r="AH850" s="2" t="str">
        <f ca="1"/>
        <v>Bad</v>
      </c>
    </row>
    <row r="851" spans="2:34" x14ac:dyDescent="0.2">
      <c r="B851" s="2">
        <f ca="1"/>
        <v>0.14781516642969739</v>
      </c>
      <c r="O851" s="2">
        <f ca="1"/>
        <v>1.2964398432115078</v>
      </c>
      <c r="X851" s="2">
        <f ca="1"/>
        <v>35.33225692475196</v>
      </c>
      <c r="AG851" s="2">
        <f ca="1"/>
        <v>0.89632209275264207</v>
      </c>
      <c r="AH851" s="2" t="str">
        <f ca="1"/>
        <v>Bad</v>
      </c>
    </row>
    <row r="852" spans="2:34" x14ac:dyDescent="0.2">
      <c r="B852" s="2">
        <f ca="1"/>
        <v>0.97546825623728739</v>
      </c>
      <c r="O852" s="2">
        <f ca="1"/>
        <v>-0.98335508578170383</v>
      </c>
      <c r="X852" s="2">
        <f ca="1"/>
        <v>61.22496217458017</v>
      </c>
      <c r="AG852" s="2">
        <f ca="1"/>
        <v>0.66456222393748576</v>
      </c>
      <c r="AH852" s="2" t="str">
        <f ca="1"/>
        <v>Bad</v>
      </c>
    </row>
    <row r="853" spans="2:34" x14ac:dyDescent="0.2">
      <c r="B853" s="2">
        <f ca="1"/>
        <v>0.221533832170828</v>
      </c>
      <c r="O853" s="2">
        <f ca="1"/>
        <v>1.4730356534940463</v>
      </c>
      <c r="X853" s="2">
        <f ca="1"/>
        <v>35.332758246774155</v>
      </c>
      <c r="AG853" s="2">
        <f ca="1"/>
        <v>0.15535941976861212</v>
      </c>
      <c r="AH853" s="2" t="str">
        <f ca="1"/>
        <v>OK</v>
      </c>
    </row>
    <row r="854" spans="2:34" x14ac:dyDescent="0.2">
      <c r="B854" s="2">
        <f ca="1"/>
        <v>0.33851897813987564</v>
      </c>
      <c r="O854" s="2">
        <f ca="1"/>
        <v>-0.36026663200993897</v>
      </c>
      <c r="X854" s="2">
        <f ca="1"/>
        <v>82.5904911909264</v>
      </c>
      <c r="AG854" s="2">
        <f ca="1"/>
        <v>0.70583573240693154</v>
      </c>
      <c r="AH854" s="2" t="str">
        <f ca="1"/>
        <v>Bad</v>
      </c>
    </row>
    <row r="855" spans="2:34" x14ac:dyDescent="0.2">
      <c r="B855" s="2">
        <f ca="1"/>
        <v>7.9431995912391917E-2</v>
      </c>
      <c r="O855" s="2">
        <f ca="1"/>
        <v>1.5891735351373428</v>
      </c>
      <c r="X855" s="2">
        <f ca="1"/>
        <v>58.135611145239849</v>
      </c>
      <c r="AG855" s="2">
        <f ca="1"/>
        <v>0.17910161231754684</v>
      </c>
      <c r="AH855" s="2" t="str">
        <f ca="1"/>
        <v>OK</v>
      </c>
    </row>
    <row r="856" spans="2:34" x14ac:dyDescent="0.2">
      <c r="B856" s="2">
        <f ca="1"/>
        <v>0.39544520378882897</v>
      </c>
      <c r="O856" s="2">
        <f ca="1"/>
        <v>-1.1355265412669697</v>
      </c>
      <c r="X856" s="2">
        <f ca="1"/>
        <v>33.915761853438646</v>
      </c>
      <c r="AG856" s="2">
        <f ca="1"/>
        <v>0.97247823223916141</v>
      </c>
      <c r="AH856" s="2" t="str">
        <f ca="1"/>
        <v>Bad</v>
      </c>
    </row>
    <row r="857" spans="2:34" x14ac:dyDescent="0.2">
      <c r="B857" s="2">
        <f ca="1"/>
        <v>0.26185688329174517</v>
      </c>
      <c r="O857" s="2">
        <f ca="1"/>
        <v>1.6184421889006524</v>
      </c>
      <c r="X857" s="2">
        <f ca="1"/>
        <v>66.889595522164228</v>
      </c>
      <c r="AG857" s="2">
        <f ca="1"/>
        <v>0.53563187561577408</v>
      </c>
      <c r="AH857" s="2" t="str">
        <f ca="1"/>
        <v>Bad</v>
      </c>
    </row>
    <row r="858" spans="2:34" x14ac:dyDescent="0.2">
      <c r="B858" s="2">
        <f ca="1"/>
        <v>0.30789031953153789</v>
      </c>
      <c r="O858" s="2">
        <f ca="1"/>
        <v>-0.59610542375106279</v>
      </c>
      <c r="X858" s="2">
        <f ca="1"/>
        <v>44.299153764948834</v>
      </c>
      <c r="AG858" s="2">
        <f ca="1"/>
        <v>0.79445596515957106</v>
      </c>
      <c r="AH858" s="2" t="str">
        <f ca="1"/>
        <v>Bad</v>
      </c>
    </row>
    <row r="859" spans="2:34" x14ac:dyDescent="0.2">
      <c r="B859" s="2">
        <f ca="1"/>
        <v>0.19894013942449762</v>
      </c>
      <c r="O859" s="2">
        <f ca="1"/>
        <v>-0.11037526892142341</v>
      </c>
      <c r="X859" s="2">
        <f ca="1"/>
        <v>49.658291377342259</v>
      </c>
      <c r="AG859" s="2">
        <f ca="1"/>
        <v>2.8461674999969544E-2</v>
      </c>
      <c r="AH859" s="2" t="str">
        <f ca="1"/>
        <v>Good</v>
      </c>
    </row>
    <row r="860" spans="2:34" x14ac:dyDescent="0.2">
      <c r="B860" s="2">
        <f ca="1"/>
        <v>0.85222035244840599</v>
      </c>
      <c r="O860" s="2">
        <f ca="1"/>
        <v>-1.3244534774961243</v>
      </c>
      <c r="X860" s="2">
        <f ca="1"/>
        <v>56.220133348626788</v>
      </c>
      <c r="AG860" s="2">
        <f ca="1"/>
        <v>0.70936737266368599</v>
      </c>
      <c r="AH860" s="2" t="str">
        <f ca="1"/>
        <v>Bad</v>
      </c>
    </row>
    <row r="861" spans="2:34" x14ac:dyDescent="0.2">
      <c r="B861" s="2">
        <f ca="1"/>
        <v>0.46315640826992044</v>
      </c>
      <c r="O861" s="2">
        <f ca="1"/>
        <v>-1.6314248474599906</v>
      </c>
      <c r="X861" s="2">
        <f ca="1"/>
        <v>29.441139189993425</v>
      </c>
      <c r="AG861" s="2">
        <f ca="1"/>
        <v>0.62032132501862636</v>
      </c>
      <c r="AH861" s="2" t="str">
        <f ca="1"/>
        <v>Bad</v>
      </c>
    </row>
    <row r="862" spans="2:34" x14ac:dyDescent="0.2">
      <c r="B862" s="2">
        <f ca="1"/>
        <v>0.80302609155131677</v>
      </c>
      <c r="O862" s="2">
        <f ca="1"/>
        <v>0.78557876336416232</v>
      </c>
      <c r="X862" s="2">
        <f ca="1"/>
        <v>34.923324664999129</v>
      </c>
      <c r="AG862" s="2">
        <f ca="1"/>
        <v>0.85700813310065893</v>
      </c>
      <c r="AH862" s="2" t="str">
        <f ca="1"/>
        <v>Bad</v>
      </c>
    </row>
    <row r="863" spans="2:34" x14ac:dyDescent="0.2">
      <c r="B863" s="2">
        <f ca="1"/>
        <v>0.11108335477182862</v>
      </c>
      <c r="O863" s="2">
        <f ca="1"/>
        <v>-0.21048627855889798</v>
      </c>
      <c r="X863" s="2">
        <f ca="1"/>
        <v>53.528564313670302</v>
      </c>
      <c r="AG863" s="2">
        <f ca="1"/>
        <v>0.67799275408635618</v>
      </c>
      <c r="AH863" s="2" t="str">
        <f ca="1"/>
        <v>Bad</v>
      </c>
    </row>
    <row r="864" spans="2:34" x14ac:dyDescent="0.2">
      <c r="B864" s="2">
        <f ca="1"/>
        <v>0.16663674993014754</v>
      </c>
      <c r="O864" s="2">
        <f ca="1"/>
        <v>1.096916550904804</v>
      </c>
      <c r="X864" s="2">
        <f ca="1"/>
        <v>39.111058764530554</v>
      </c>
      <c r="AG864" s="2">
        <f ca="1"/>
        <v>0.70118706495590222</v>
      </c>
      <c r="AH864" s="2" t="str">
        <f ca="1"/>
        <v>Bad</v>
      </c>
    </row>
    <row r="865" spans="2:34" x14ac:dyDescent="0.2">
      <c r="B865" s="2">
        <f ca="1"/>
        <v>0.2020250729445483</v>
      </c>
      <c r="O865" s="2">
        <f ca="1"/>
        <v>-1.15419513719436</v>
      </c>
      <c r="X865" s="2">
        <f ca="1"/>
        <v>59.892358407426642</v>
      </c>
      <c r="AG865" s="2">
        <f ca="1"/>
        <v>7.9090797166631255E-2</v>
      </c>
      <c r="AH865" s="2" t="str">
        <f ca="1"/>
        <v>OK</v>
      </c>
    </row>
    <row r="866" spans="2:34" x14ac:dyDescent="0.2">
      <c r="B866" s="2">
        <f ca="1"/>
        <v>0.67686363252445814</v>
      </c>
      <c r="O866" s="2">
        <f ca="1"/>
        <v>0.81179592511851095</v>
      </c>
      <c r="X866" s="2">
        <f ca="1"/>
        <v>68.40961302438059</v>
      </c>
      <c r="AG866" s="2">
        <f ca="1"/>
        <v>0.23032820415306121</v>
      </c>
      <c r="AH866" s="2" t="str">
        <f ca="1"/>
        <v>OK</v>
      </c>
    </row>
    <row r="867" spans="2:34" x14ac:dyDescent="0.2">
      <c r="B867" s="2">
        <f ca="1"/>
        <v>0.31880043485214604</v>
      </c>
      <c r="O867" s="2">
        <f ca="1"/>
        <v>-0.5906311005158108</v>
      </c>
      <c r="X867" s="2">
        <f ca="1"/>
        <v>31.676356310155363</v>
      </c>
      <c r="AG867" s="2">
        <f ca="1"/>
        <v>0.21369996852809958</v>
      </c>
      <c r="AH867" s="2" t="str">
        <f ca="1"/>
        <v>OK</v>
      </c>
    </row>
    <row r="868" spans="2:34" x14ac:dyDescent="0.2">
      <c r="B868" s="2">
        <f ca="1"/>
        <v>0.70299200641634663</v>
      </c>
      <c r="O868" s="2">
        <f ca="1"/>
        <v>7.3918483109797345E-2</v>
      </c>
      <c r="X868" s="2">
        <f ca="1"/>
        <v>60.555403394239555</v>
      </c>
      <c r="AG868" s="2">
        <f ca="1"/>
        <v>0.56503133521083759</v>
      </c>
      <c r="AH868" s="2" t="str">
        <f ca="1"/>
        <v>Bad</v>
      </c>
    </row>
    <row r="869" spans="2:34" x14ac:dyDescent="0.2">
      <c r="B869" s="2">
        <f ca="1"/>
        <v>0.4916943928243247</v>
      </c>
      <c r="O869" s="2">
        <f ca="1"/>
        <v>0.55995319531042809</v>
      </c>
      <c r="X869" s="2">
        <f ca="1"/>
        <v>26.518728827799865</v>
      </c>
      <c r="AG869" s="2">
        <f ca="1"/>
        <v>0.41750585856515388</v>
      </c>
      <c r="AH869" s="2" t="str">
        <f ca="1"/>
        <v>Bad</v>
      </c>
    </row>
    <row r="870" spans="2:34" x14ac:dyDescent="0.2">
      <c r="B870" s="2">
        <f ca="1"/>
        <v>0.57269988559198115</v>
      </c>
      <c r="O870" s="2">
        <f ca="1"/>
        <v>-0.34505694003690635</v>
      </c>
      <c r="X870" s="2">
        <f ca="1"/>
        <v>20.9635817609051</v>
      </c>
      <c r="AG870" s="2">
        <f ca="1"/>
        <v>8.1584998113762186E-2</v>
      </c>
      <c r="AH870" s="2" t="str">
        <f ca="1"/>
        <v>OK</v>
      </c>
    </row>
    <row r="871" spans="2:34" x14ac:dyDescent="0.2">
      <c r="B871" s="2">
        <f ca="1"/>
        <v>0.23619626794524962</v>
      </c>
      <c r="O871" s="2">
        <f ca="1"/>
        <v>-0.70469300172440075</v>
      </c>
      <c r="X871" s="2">
        <f ca="1"/>
        <v>49.614256987743524</v>
      </c>
      <c r="AG871" s="2">
        <f ca="1"/>
        <v>0.59681905749424469</v>
      </c>
      <c r="AH871" s="2" t="str">
        <f ca="1"/>
        <v>Bad</v>
      </c>
    </row>
    <row r="872" spans="2:34" x14ac:dyDescent="0.2">
      <c r="B872" s="2">
        <f ca="1"/>
        <v>5.2822704128554276E-2</v>
      </c>
      <c r="O872" s="2">
        <f ca="1"/>
        <v>0.69122465613975859</v>
      </c>
      <c r="X872" s="2">
        <f ca="1"/>
        <v>37.882071539187386</v>
      </c>
      <c r="AG872" s="2">
        <f ca="1"/>
        <v>0.31322762596591125</v>
      </c>
      <c r="AH872" s="2" t="str">
        <f ca="1"/>
        <v>OK</v>
      </c>
    </row>
    <row r="873" spans="2:34" x14ac:dyDescent="0.2">
      <c r="B873" s="2">
        <f ca="1"/>
        <v>0.68498964091414893</v>
      </c>
      <c r="O873" s="2">
        <f ca="1"/>
        <v>0.31407755866232645</v>
      </c>
      <c r="X873" s="2">
        <f ca="1"/>
        <v>53.535054884424078</v>
      </c>
      <c r="AG873" s="2">
        <f ca="1"/>
        <v>0.96406506995473462</v>
      </c>
      <c r="AH873" s="2" t="str">
        <f ca="1"/>
        <v>Bad</v>
      </c>
    </row>
    <row r="874" spans="2:34" x14ac:dyDescent="0.2">
      <c r="B874" s="2">
        <f ca="1"/>
        <v>0.26220727163476254</v>
      </c>
      <c r="O874" s="2">
        <f ca="1"/>
        <v>-2.3421222748170121</v>
      </c>
      <c r="X874" s="2">
        <f ca="1"/>
        <v>60.687937143632638</v>
      </c>
      <c r="AG874" s="2">
        <f ca="1"/>
        <v>0.96636362139523158</v>
      </c>
      <c r="AH874" s="2" t="str">
        <f ca="1"/>
        <v>Bad</v>
      </c>
    </row>
    <row r="875" spans="2:34" x14ac:dyDescent="0.2">
      <c r="B875" s="2">
        <f ca="1"/>
        <v>0.97974510782059343</v>
      </c>
      <c r="O875" s="2">
        <f ca="1"/>
        <v>0.40028377821463007</v>
      </c>
      <c r="X875" s="2">
        <f ca="1"/>
        <v>36.040847854397782</v>
      </c>
      <c r="AG875" s="2">
        <f ca="1"/>
        <v>0.70741405972057847</v>
      </c>
      <c r="AH875" s="2" t="str">
        <f ca="1"/>
        <v>Bad</v>
      </c>
    </row>
    <row r="876" spans="2:34" x14ac:dyDescent="0.2">
      <c r="B876" s="2">
        <f ca="1"/>
        <v>0.99136149243356742</v>
      </c>
      <c r="O876" s="2">
        <f ca="1"/>
        <v>1.2842447998452031</v>
      </c>
      <c r="X876" s="2">
        <f ca="1"/>
        <v>45.943963402020742</v>
      </c>
      <c r="AG876" s="2">
        <f ca="1"/>
        <v>0.76626507786346543</v>
      </c>
      <c r="AH876" s="2" t="str">
        <f ca="1"/>
        <v>Bad</v>
      </c>
    </row>
    <row r="877" spans="2:34" x14ac:dyDescent="0.2">
      <c r="B877" s="2">
        <f ca="1"/>
        <v>0.41754595145440887</v>
      </c>
      <c r="O877" s="2">
        <f ca="1"/>
        <v>0.38114190823745309</v>
      </c>
      <c r="X877" s="2">
        <f ca="1"/>
        <v>67.765158179806264</v>
      </c>
      <c r="AG877" s="2">
        <f ca="1"/>
        <v>0.29652013392646337</v>
      </c>
      <c r="AH877" s="2" t="str">
        <f ca="1"/>
        <v>OK</v>
      </c>
    </row>
    <row r="878" spans="2:34" x14ac:dyDescent="0.2">
      <c r="B878" s="2">
        <f ca="1"/>
        <v>5.894927121753013E-2</v>
      </c>
      <c r="O878" s="2">
        <f ca="1"/>
        <v>1.2407411458073785</v>
      </c>
      <c r="X878" s="2">
        <f ca="1"/>
        <v>38.206932652061418</v>
      </c>
      <c r="AG878" s="2">
        <f ca="1"/>
        <v>0.86205290411959057</v>
      </c>
      <c r="AH878" s="2" t="str">
        <f ca="1"/>
        <v>Bad</v>
      </c>
    </row>
    <row r="879" spans="2:34" x14ac:dyDescent="0.2">
      <c r="B879" s="2">
        <f ca="1"/>
        <v>0.31393028224188635</v>
      </c>
      <c r="O879" s="2">
        <f ca="1"/>
        <v>0.53257362559186094</v>
      </c>
      <c r="X879" s="2">
        <f ca="1"/>
        <v>31.251891829905713</v>
      </c>
      <c r="AG879" s="2">
        <f ca="1"/>
        <v>2.8223010768696266E-2</v>
      </c>
      <c r="AH879" s="2" t="str">
        <f ca="1"/>
        <v>Good</v>
      </c>
    </row>
    <row r="880" spans="2:34" x14ac:dyDescent="0.2">
      <c r="B880" s="2">
        <f ca="1"/>
        <v>0.4743491136749578</v>
      </c>
      <c r="O880" s="2">
        <f ca="1"/>
        <v>0.42276522593658733</v>
      </c>
      <c r="X880" s="2">
        <f ca="1"/>
        <v>19.233158397173852</v>
      </c>
      <c r="AG880" s="2">
        <f ca="1"/>
        <v>4.0860108727366118E-2</v>
      </c>
      <c r="AH880" s="2" t="str">
        <f ca="1"/>
        <v>Good</v>
      </c>
    </row>
    <row r="881" spans="2:34" x14ac:dyDescent="0.2">
      <c r="B881" s="2">
        <f ca="1"/>
        <v>0.81837280069640483</v>
      </c>
      <c r="O881" s="2">
        <f ca="1"/>
        <v>0.10617913606658795</v>
      </c>
      <c r="X881" s="2">
        <f ca="1"/>
        <v>69.937465287255137</v>
      </c>
      <c r="AG881" s="2">
        <f ca="1"/>
        <v>0.95023185519619635</v>
      </c>
      <c r="AH881" s="2" t="str">
        <f ca="1"/>
        <v>Bad</v>
      </c>
    </row>
    <row r="882" spans="2:34" x14ac:dyDescent="0.2">
      <c r="B882" s="2">
        <f ca="1"/>
        <v>0.87418462258316643</v>
      </c>
      <c r="O882" s="2">
        <f ca="1"/>
        <v>0.2124017215793807</v>
      </c>
      <c r="X882" s="2">
        <f ca="1"/>
        <v>62.178992784998186</v>
      </c>
      <c r="AG882" s="2">
        <f ca="1"/>
        <v>0.31354061284021784</v>
      </c>
      <c r="AH882" s="2" t="str">
        <f ca="1"/>
        <v>OK</v>
      </c>
    </row>
    <row r="883" spans="2:34" x14ac:dyDescent="0.2">
      <c r="B883" s="2">
        <f ca="1"/>
        <v>0.51179141191748156</v>
      </c>
      <c r="O883" s="2">
        <f ca="1"/>
        <v>-2.2051405132241939</v>
      </c>
      <c r="X883" s="2">
        <f ca="1"/>
        <v>38.64648757246308</v>
      </c>
      <c r="AG883" s="2">
        <f ca="1"/>
        <v>0.58634076178779582</v>
      </c>
      <c r="AH883" s="2" t="str">
        <f ca="1"/>
        <v>Bad</v>
      </c>
    </row>
    <row r="884" spans="2:34" x14ac:dyDescent="0.2">
      <c r="B884" s="2">
        <f ca="1"/>
        <v>0.52632920288274732</v>
      </c>
      <c r="O884" s="2">
        <f ca="1"/>
        <v>-0.28139727872493647</v>
      </c>
      <c r="X884" s="2">
        <f ca="1"/>
        <v>52.621998352658181</v>
      </c>
      <c r="AG884" s="2">
        <f ca="1"/>
        <v>0.86056340951788624</v>
      </c>
      <c r="AH884" s="2" t="str">
        <f ca="1"/>
        <v>Bad</v>
      </c>
    </row>
    <row r="885" spans="2:34" x14ac:dyDescent="0.2">
      <c r="B885" s="2">
        <f ca="1"/>
        <v>0.70835584561385478</v>
      </c>
      <c r="O885" s="2">
        <f ca="1"/>
        <v>0.96874182251387075</v>
      </c>
      <c r="X885" s="2">
        <f ca="1"/>
        <v>45.108395938822873</v>
      </c>
      <c r="AG885" s="2">
        <f ca="1"/>
        <v>0.41417654140869509</v>
      </c>
      <c r="AH885" s="2" t="str">
        <f ca="1"/>
        <v>Bad</v>
      </c>
    </row>
    <row r="886" spans="2:34" x14ac:dyDescent="0.2">
      <c r="B886" s="2">
        <f ca="1"/>
        <v>0.26310446471547566</v>
      </c>
      <c r="O886" s="2">
        <f ca="1"/>
        <v>-9.8895229966155851E-2</v>
      </c>
      <c r="X886" s="2">
        <f ca="1"/>
        <v>83.484363867453212</v>
      </c>
      <c r="AG886" s="2">
        <f ca="1"/>
        <v>0.70688797739415543</v>
      </c>
      <c r="AH886" s="2" t="str">
        <f ca="1"/>
        <v>Bad</v>
      </c>
    </row>
    <row r="887" spans="2:34" x14ac:dyDescent="0.2">
      <c r="B887" s="2">
        <f ca="1"/>
        <v>0.62746373197792416</v>
      </c>
      <c r="O887" s="2">
        <f ca="1"/>
        <v>-0.25522294223418157</v>
      </c>
      <c r="X887" s="2">
        <f ca="1"/>
        <v>39.458599548076087</v>
      </c>
      <c r="AG887" s="2">
        <f ca="1"/>
        <v>0.72816817320259197</v>
      </c>
      <c r="AH887" s="2" t="str">
        <f ca="1"/>
        <v>Bad</v>
      </c>
    </row>
    <row r="888" spans="2:34" x14ac:dyDescent="0.2">
      <c r="B888" s="2">
        <f ca="1"/>
        <v>0.27899647249274584</v>
      </c>
      <c r="O888" s="2">
        <f ca="1"/>
        <v>-0.28224392509242008</v>
      </c>
      <c r="X888" s="2">
        <f ca="1"/>
        <v>77.684809088406226</v>
      </c>
      <c r="AG888" s="2">
        <f ca="1"/>
        <v>0.12634347510380817</v>
      </c>
      <c r="AH888" s="2" t="str">
        <f ca="1"/>
        <v>OK</v>
      </c>
    </row>
    <row r="889" spans="2:34" x14ac:dyDescent="0.2">
      <c r="B889" s="2">
        <f ca="1"/>
        <v>0.51620251551851526</v>
      </c>
      <c r="O889" s="2">
        <f ca="1"/>
        <v>-0.57023334265885406</v>
      </c>
      <c r="X889" s="2">
        <f ca="1"/>
        <v>57.571192157038453</v>
      </c>
      <c r="AG889" s="2">
        <f ca="1"/>
        <v>0.67863167946855252</v>
      </c>
      <c r="AH889" s="2" t="str">
        <f ca="1"/>
        <v>Bad</v>
      </c>
    </row>
    <row r="890" spans="2:34" x14ac:dyDescent="0.2">
      <c r="B890" s="2">
        <f ca="1"/>
        <v>0.38126130455246821</v>
      </c>
      <c r="O890" s="2">
        <f ca="1"/>
        <v>0.27088285450612432</v>
      </c>
      <c r="X890" s="2">
        <f ca="1"/>
        <v>37.383517473942952</v>
      </c>
      <c r="AG890" s="2">
        <f ca="1"/>
        <v>0.86447260873138898</v>
      </c>
      <c r="AH890" s="2" t="str">
        <f ca="1"/>
        <v>Bad</v>
      </c>
    </row>
    <row r="891" spans="2:34" x14ac:dyDescent="0.2">
      <c r="B891" s="2">
        <f ca="1"/>
        <v>3.4738119844539339E-2</v>
      </c>
      <c r="O891" s="2">
        <f ca="1"/>
        <v>-0.99805206926818135</v>
      </c>
      <c r="X891" s="2">
        <f ca="1"/>
        <v>42.540192888002096</v>
      </c>
      <c r="AG891" s="2">
        <f ca="1"/>
        <v>0.84155289963868984</v>
      </c>
      <c r="AH891" s="2" t="str">
        <f ca="1"/>
        <v>Bad</v>
      </c>
    </row>
    <row r="892" spans="2:34" x14ac:dyDescent="0.2">
      <c r="B892" s="2">
        <f ca="1"/>
        <v>0.22739551928656909</v>
      </c>
      <c r="O892" s="2">
        <f ca="1"/>
        <v>-1.0954708222543152</v>
      </c>
      <c r="X892" s="2">
        <f ca="1"/>
        <v>63.766453669155197</v>
      </c>
      <c r="AG892" s="2">
        <f ca="1"/>
        <v>0.47413051326333422</v>
      </c>
      <c r="AH892" s="2" t="str">
        <f ca="1"/>
        <v>Bad</v>
      </c>
    </row>
    <row r="893" spans="2:34" x14ac:dyDescent="0.2">
      <c r="B893" s="2">
        <f ca="1"/>
        <v>0.57269702514241572</v>
      </c>
      <c r="O893" s="2">
        <f ca="1"/>
        <v>-0.93919489636418918</v>
      </c>
      <c r="X893" s="2">
        <f ca="1"/>
        <v>36.798837284251348</v>
      </c>
      <c r="AG893" s="2">
        <f ca="1"/>
        <v>0.62726919611740839</v>
      </c>
      <c r="AH893" s="2" t="str">
        <f ca="1"/>
        <v>Bad</v>
      </c>
    </row>
    <row r="894" spans="2:34" x14ac:dyDescent="0.2">
      <c r="B894" s="2">
        <f ca="1"/>
        <v>0.50051765180243879</v>
      </c>
      <c r="O894" s="2">
        <f ca="1"/>
        <v>-1.1468182047489965</v>
      </c>
      <c r="X894" s="2">
        <f ca="1"/>
        <v>49.758457595796877</v>
      </c>
      <c r="AG894" s="2">
        <f ca="1"/>
        <v>0.85026358092461485</v>
      </c>
      <c r="AH894" s="2" t="str">
        <f ca="1"/>
        <v>Bad</v>
      </c>
    </row>
    <row r="895" spans="2:34" x14ac:dyDescent="0.2">
      <c r="B895" s="2">
        <f ca="1"/>
        <v>0.10722218860426613</v>
      </c>
      <c r="O895" s="2">
        <f ca="1"/>
        <v>0.17932694060500265</v>
      </c>
      <c r="X895" s="2">
        <f ca="1"/>
        <v>67.36201048517205</v>
      </c>
      <c r="AG895" s="2">
        <f ca="1"/>
        <v>0.58972774949413043</v>
      </c>
      <c r="AH895" s="2" t="str">
        <f ca="1"/>
        <v>Bad</v>
      </c>
    </row>
    <row r="896" spans="2:34" x14ac:dyDescent="0.2">
      <c r="B896" s="2">
        <f ca="1"/>
        <v>0.63765280731815133</v>
      </c>
      <c r="O896" s="2">
        <f ca="1"/>
        <v>-0.89498063566116381</v>
      </c>
      <c r="X896" s="2">
        <f ca="1"/>
        <v>35.075219515118064</v>
      </c>
      <c r="AG896" s="2">
        <f ca="1"/>
        <v>0.82372685405194979</v>
      </c>
      <c r="AH896" s="2" t="str">
        <f ca="1"/>
        <v>Bad</v>
      </c>
    </row>
    <row r="897" spans="2:34" x14ac:dyDescent="0.2">
      <c r="B897" s="2">
        <f ca="1"/>
        <v>0.95841200579989416</v>
      </c>
      <c r="O897" s="2">
        <f ca="1"/>
        <v>0.29753978288602506</v>
      </c>
      <c r="X897" s="2">
        <f ca="1"/>
        <v>42.745948388225273</v>
      </c>
      <c r="AG897" s="2">
        <f ca="1"/>
        <v>0.78479508097293738</v>
      </c>
      <c r="AH897" s="2" t="str">
        <f ca="1"/>
        <v>Bad</v>
      </c>
    </row>
    <row r="898" spans="2:34" x14ac:dyDescent="0.2">
      <c r="B898" s="2">
        <f ca="1"/>
        <v>5.0280996423240021E-2</v>
      </c>
      <c r="O898" s="2">
        <f ca="1"/>
        <v>-1.2664758621053065</v>
      </c>
      <c r="X898" s="2">
        <f ca="1"/>
        <v>51.220662205940414</v>
      </c>
      <c r="AG898" s="2">
        <f ca="1"/>
        <v>0.80894309425693733</v>
      </c>
      <c r="AH898" s="2" t="str">
        <f ca="1"/>
        <v>Bad</v>
      </c>
    </row>
    <row r="899" spans="2:34" x14ac:dyDescent="0.2">
      <c r="B899" s="2">
        <f ca="1"/>
        <v>0.71126773673476884</v>
      </c>
      <c r="O899" s="2">
        <f ca="1"/>
        <v>-1.0697076505643304</v>
      </c>
      <c r="X899" s="2">
        <f ca="1"/>
        <v>54.523029177961931</v>
      </c>
      <c r="AG899" s="2">
        <f ca="1"/>
        <v>0.13009257394375062</v>
      </c>
      <c r="AH899" s="2" t="str">
        <f ca="1"/>
        <v>OK</v>
      </c>
    </row>
    <row r="900" spans="2:34" x14ac:dyDescent="0.2">
      <c r="B900" s="2">
        <f ca="1"/>
        <v>0.3520664511761773</v>
      </c>
      <c r="O900" s="2">
        <f ca="1"/>
        <v>-1.8749943894042631</v>
      </c>
      <c r="X900" s="2">
        <f ca="1"/>
        <v>38.055605790809437</v>
      </c>
      <c r="AG900" s="2">
        <f ca="1"/>
        <v>0.76152637097768561</v>
      </c>
      <c r="AH900" s="2" t="str">
        <f ca="1"/>
        <v>Bad</v>
      </c>
    </row>
    <row r="901" spans="2:34" x14ac:dyDescent="0.2">
      <c r="B901" s="2">
        <f ca="1"/>
        <v>0.98056788270340345</v>
      </c>
      <c r="O901" s="2">
        <f ca="1"/>
        <v>-0.91256185390207356</v>
      </c>
      <c r="X901" s="2">
        <f ca="1"/>
        <v>36.747978708374646</v>
      </c>
      <c r="AG901" s="2">
        <f ca="1"/>
        <v>0.72226365202748166</v>
      </c>
      <c r="AH901" s="2" t="str">
        <f ca="1"/>
        <v>Bad</v>
      </c>
    </row>
    <row r="902" spans="2:34" x14ac:dyDescent="0.2">
      <c r="B902" s="2">
        <f ca="1"/>
        <v>0.55743473976766511</v>
      </c>
      <c r="O902" s="2">
        <f ca="1"/>
        <v>0.2659630699250588</v>
      </c>
      <c r="X902" s="2">
        <f ca="1"/>
        <v>77.069747641974232</v>
      </c>
      <c r="AG902" s="2">
        <f ca="1"/>
        <v>0.13165489247302919</v>
      </c>
      <c r="AH902" s="2" t="str">
        <f ca="1"/>
        <v>OK</v>
      </c>
    </row>
    <row r="903" spans="2:34" x14ac:dyDescent="0.2">
      <c r="B903" s="2">
        <f ca="1"/>
        <v>0.56734586058463976</v>
      </c>
      <c r="O903" s="2">
        <f ca="1"/>
        <v>0.4716226588592497</v>
      </c>
      <c r="X903" s="2">
        <f ca="1"/>
        <v>50.463254013541643</v>
      </c>
      <c r="AG903" s="2">
        <f ca="1"/>
        <v>8.3597113367339215E-2</v>
      </c>
      <c r="AH903" s="2" t="str">
        <f ca="1"/>
        <v>OK</v>
      </c>
    </row>
    <row r="904" spans="2:34" x14ac:dyDescent="0.2">
      <c r="B904" s="2">
        <f ca="1"/>
        <v>0.37276422685543009</v>
      </c>
      <c r="O904" s="2">
        <f ca="1"/>
        <v>-0.50015546627592533</v>
      </c>
      <c r="X904" s="2">
        <f ca="1"/>
        <v>75.408018210620014</v>
      </c>
      <c r="AG904" s="2">
        <f ca="1"/>
        <v>0.5373209784194366</v>
      </c>
      <c r="AH904" s="2" t="str">
        <f ca="1"/>
        <v>Bad</v>
      </c>
    </row>
    <row r="905" spans="2:34" x14ac:dyDescent="0.2">
      <c r="B905" s="2">
        <f ca="1"/>
        <v>0.39950051170527545</v>
      </c>
      <c r="O905" s="2">
        <f ca="1"/>
        <v>0.97029771910137275</v>
      </c>
      <c r="X905" s="2">
        <f ca="1"/>
        <v>30.726956280537443</v>
      </c>
      <c r="AG905" s="2">
        <f ca="1"/>
        <v>0.29955458606986385</v>
      </c>
      <c r="AH905" s="2" t="str">
        <f ca="1"/>
        <v>OK</v>
      </c>
    </row>
    <row r="906" spans="2:34" x14ac:dyDescent="0.2">
      <c r="B906" s="2">
        <f ca="1"/>
        <v>0.62544232117054754</v>
      </c>
      <c r="O906" s="2">
        <f ca="1"/>
        <v>0.7324752506306641</v>
      </c>
      <c r="X906" s="2">
        <f ca="1"/>
        <v>25.692707883784379</v>
      </c>
      <c r="AG906" s="2">
        <f ca="1"/>
        <v>1.4817932791386434E-2</v>
      </c>
      <c r="AH906" s="2" t="str">
        <f ca="1"/>
        <v>Good</v>
      </c>
    </row>
    <row r="907" spans="2:34" x14ac:dyDescent="0.2">
      <c r="B907" s="2">
        <f ca="1"/>
        <v>0.65572700916680882</v>
      </c>
      <c r="O907" s="2">
        <f ca="1"/>
        <v>-0.59450706184635649</v>
      </c>
      <c r="X907" s="2">
        <f ca="1"/>
        <v>48.107057382450648</v>
      </c>
      <c r="AG907" s="2">
        <f ca="1"/>
        <v>8.6424266133472871E-2</v>
      </c>
      <c r="AH907" s="2" t="str">
        <f ca="1"/>
        <v>OK</v>
      </c>
    </row>
    <row r="908" spans="2:34" x14ac:dyDescent="0.2">
      <c r="B908" s="2">
        <f ca="1"/>
        <v>0.1635818143538621</v>
      </c>
      <c r="O908" s="2">
        <f ca="1"/>
        <v>0.14335404127865753</v>
      </c>
      <c r="X908" s="2">
        <f ca="1"/>
        <v>70.228826304999345</v>
      </c>
      <c r="AG908" s="2">
        <f ca="1"/>
        <v>0.91425813840642722</v>
      </c>
      <c r="AH908" s="2" t="str">
        <f ca="1"/>
        <v>Bad</v>
      </c>
    </row>
    <row r="909" spans="2:34" x14ac:dyDescent="0.2">
      <c r="B909" s="2">
        <f ca="1"/>
        <v>0.10691792354110419</v>
      </c>
      <c r="O909" s="2">
        <f ca="1"/>
        <v>-0.4016178410413026</v>
      </c>
      <c r="X909" s="2">
        <f ca="1"/>
        <v>44.743336890051033</v>
      </c>
      <c r="AG909" s="2">
        <f ca="1"/>
        <v>0.92458547393685353</v>
      </c>
      <c r="AH909" s="2" t="str">
        <f ca="1"/>
        <v>Bad</v>
      </c>
    </row>
    <row r="910" spans="2:34" x14ac:dyDescent="0.2">
      <c r="B910" s="2">
        <f ca="1"/>
        <v>0.53996719272782112</v>
      </c>
      <c r="O910" s="2">
        <f ca="1"/>
        <v>0.49009716782527118</v>
      </c>
      <c r="X910" s="2">
        <f ca="1"/>
        <v>57.060258133488105</v>
      </c>
      <c r="AG910" s="2">
        <f ca="1"/>
        <v>0.22567321943248997</v>
      </c>
      <c r="AH910" s="2" t="str">
        <f ca="1"/>
        <v>OK</v>
      </c>
    </row>
    <row r="911" spans="2:34" x14ac:dyDescent="0.2">
      <c r="B911" s="2">
        <f ca="1"/>
        <v>0.59628451717229347</v>
      </c>
      <c r="O911" s="2">
        <f ca="1"/>
        <v>-0.30763079653610292</v>
      </c>
      <c r="X911" s="2">
        <f ca="1"/>
        <v>78.855305242324846</v>
      </c>
      <c r="AG911" s="2">
        <f ca="1"/>
        <v>2.094564506001162E-2</v>
      </c>
      <c r="AH911" s="2" t="str">
        <f ca="1"/>
        <v>Good</v>
      </c>
    </row>
    <row r="912" spans="2:34" x14ac:dyDescent="0.2">
      <c r="B912" s="2">
        <f ca="1"/>
        <v>0.22261230626694606</v>
      </c>
      <c r="O912" s="2">
        <f ca="1"/>
        <v>1.0460220117204271</v>
      </c>
      <c r="X912" s="2">
        <f ca="1"/>
        <v>48.028130935840068</v>
      </c>
      <c r="AG912" s="2">
        <f ca="1"/>
        <v>0.68337547822700628</v>
      </c>
      <c r="AH912" s="2" t="str">
        <f ca="1"/>
        <v>Bad</v>
      </c>
    </row>
    <row r="913" spans="2:34" x14ac:dyDescent="0.2">
      <c r="B913" s="2">
        <f ca="1"/>
        <v>0.35103089932343412</v>
      </c>
      <c r="O913" s="2">
        <f ca="1"/>
        <v>7.2760147644066894E-2</v>
      </c>
      <c r="X913" s="2">
        <f ca="1"/>
        <v>29.035066578971481</v>
      </c>
      <c r="AG913" s="2">
        <f ca="1"/>
        <v>0.36822223919492347</v>
      </c>
      <c r="AH913" s="2" t="str">
        <f ca="1"/>
        <v>OK</v>
      </c>
    </row>
    <row r="914" spans="2:34" x14ac:dyDescent="0.2">
      <c r="B914" s="2">
        <f ca="1"/>
        <v>0.90109135279290054</v>
      </c>
      <c r="O914" s="2">
        <f ca="1"/>
        <v>0.45408313573937359</v>
      </c>
      <c r="X914" s="2">
        <f ca="1"/>
        <v>45.030049178601018</v>
      </c>
      <c r="AG914" s="2">
        <f ca="1"/>
        <v>0.45284247163360392</v>
      </c>
      <c r="AH914" s="2" t="str">
        <f ca="1"/>
        <v>Bad</v>
      </c>
    </row>
    <row r="915" spans="2:34" x14ac:dyDescent="0.2">
      <c r="B915" s="2">
        <f ca="1"/>
        <v>0.83714133149665337</v>
      </c>
      <c r="O915" s="2">
        <f ca="1"/>
        <v>0.28869753828933586</v>
      </c>
      <c r="X915" s="2">
        <f ca="1"/>
        <v>32.827037238127843</v>
      </c>
      <c r="AG915" s="2">
        <f ca="1"/>
        <v>0.27862529540687819</v>
      </c>
      <c r="AH915" s="2" t="str">
        <f ca="1"/>
        <v>OK</v>
      </c>
    </row>
    <row r="916" spans="2:34" x14ac:dyDescent="0.2">
      <c r="B916" s="2">
        <f ca="1"/>
        <v>0.12059118976909411</v>
      </c>
      <c r="O916" s="2">
        <f ca="1"/>
        <v>0.1189864072047023</v>
      </c>
      <c r="X916" s="2">
        <f ca="1"/>
        <v>42.017441993580292</v>
      </c>
      <c r="AG916" s="2">
        <f ca="1"/>
        <v>0.70342714650882465</v>
      </c>
      <c r="AH916" s="2" t="str">
        <f ca="1"/>
        <v>Bad</v>
      </c>
    </row>
    <row r="917" spans="2:34" x14ac:dyDescent="0.2">
      <c r="B917" s="2">
        <f ca="1"/>
        <v>0.94744124370144522</v>
      </c>
      <c r="O917" s="2">
        <f ca="1"/>
        <v>-0.42204792944716557</v>
      </c>
      <c r="X917" s="2">
        <f ca="1"/>
        <v>54.18124478258747</v>
      </c>
      <c r="AG917" s="2">
        <f ca="1"/>
        <v>0.55048264685985249</v>
      </c>
      <c r="AH917" s="2" t="str">
        <f ca="1"/>
        <v>Bad</v>
      </c>
    </row>
    <row r="918" spans="2:34" x14ac:dyDescent="0.2">
      <c r="B918" s="2">
        <f ca="1"/>
        <v>0.29319657840767244</v>
      </c>
      <c r="O918" s="2">
        <f ca="1"/>
        <v>2.328854497027022</v>
      </c>
      <c r="X918" s="2">
        <f ca="1"/>
        <v>58.243115524324622</v>
      </c>
      <c r="AG918" s="2">
        <f ca="1"/>
        <v>0.95296995624698133</v>
      </c>
      <c r="AH918" s="2" t="str">
        <f ca="1"/>
        <v>Bad</v>
      </c>
    </row>
    <row r="919" spans="2:34" x14ac:dyDescent="0.2">
      <c r="B919" s="2">
        <f ca="1"/>
        <v>0.41665979384927998</v>
      </c>
      <c r="O919" s="2">
        <f ca="1"/>
        <v>9.1109526524489282E-2</v>
      </c>
      <c r="X919" s="2">
        <f ca="1"/>
        <v>17.847028188776289</v>
      </c>
      <c r="AG919" s="2">
        <f ca="1"/>
        <v>0.39629742437410065</v>
      </c>
      <c r="AH919" s="2" t="str">
        <f ca="1"/>
        <v>OK</v>
      </c>
    </row>
    <row r="920" spans="2:34" x14ac:dyDescent="0.2">
      <c r="B920" s="2">
        <f ca="1"/>
        <v>0.26311279054389991</v>
      </c>
      <c r="O920" s="2">
        <f ca="1"/>
        <v>1.5007425425906997</v>
      </c>
      <c r="X920" s="2">
        <f ca="1"/>
        <v>64.512165199341581</v>
      </c>
      <c r="AG920" s="2">
        <f ca="1"/>
        <v>0.12696193243597187</v>
      </c>
      <c r="AH920" s="2" t="str">
        <f ca="1"/>
        <v>OK</v>
      </c>
    </row>
    <row r="921" spans="2:34" x14ac:dyDescent="0.2">
      <c r="B921" s="2">
        <f ca="1"/>
        <v>0.18458292177808144</v>
      </c>
      <c r="O921" s="2">
        <f ca="1"/>
        <v>1.4405552373986013</v>
      </c>
      <c r="X921" s="2">
        <f ca="1"/>
        <v>29.847625535495538</v>
      </c>
      <c r="AG921" s="2">
        <f ca="1"/>
        <v>0.71716856966689346</v>
      </c>
      <c r="AH921" s="2" t="str">
        <f ca="1"/>
        <v>Bad</v>
      </c>
    </row>
    <row r="922" spans="2:34" x14ac:dyDescent="0.2">
      <c r="B922" s="2">
        <f ca="1"/>
        <v>0.17010262979859703</v>
      </c>
      <c r="O922" s="2">
        <f ca="1"/>
        <v>-0.94599320717888757</v>
      </c>
      <c r="X922" s="2">
        <f ca="1"/>
        <v>47.273415450081743</v>
      </c>
      <c r="AG922" s="2">
        <f ca="1"/>
        <v>0.4989144914427337</v>
      </c>
      <c r="AH922" s="2" t="str">
        <f ca="1"/>
        <v>Bad</v>
      </c>
    </row>
    <row r="923" spans="2:34" x14ac:dyDescent="0.2">
      <c r="B923" s="2">
        <f ca="1"/>
        <v>5.3843043587253892E-2</v>
      </c>
      <c r="O923" s="2">
        <f ca="1"/>
        <v>0.27636297323147713</v>
      </c>
      <c r="X923" s="2">
        <f ca="1"/>
        <v>40.052849858938309</v>
      </c>
      <c r="AG923" s="2">
        <f ca="1"/>
        <v>0.69455580145018936</v>
      </c>
      <c r="AH923" s="2" t="str">
        <f ca="1"/>
        <v>Bad</v>
      </c>
    </row>
    <row r="924" spans="2:34" x14ac:dyDescent="0.2">
      <c r="B924" s="2">
        <f ca="1"/>
        <v>0.91312868151579107</v>
      </c>
      <c r="O924" s="2">
        <f ca="1"/>
        <v>0.12507645918469462</v>
      </c>
      <c r="X924" s="2">
        <f ca="1"/>
        <v>54.603170900239782</v>
      </c>
      <c r="AG924" s="2">
        <f ca="1"/>
        <v>0.87823468832452911</v>
      </c>
      <c r="AH924" s="2" t="str">
        <f ca="1"/>
        <v>Bad</v>
      </c>
    </row>
    <row r="925" spans="2:34" x14ac:dyDescent="0.2">
      <c r="B925" s="2">
        <f ca="1"/>
        <v>0.28908318288266899</v>
      </c>
      <c r="O925" s="2">
        <f ca="1"/>
        <v>-0.11892130656155508</v>
      </c>
      <c r="X925" s="2">
        <f ca="1"/>
        <v>29.872779936538226</v>
      </c>
      <c r="AG925" s="2">
        <f ca="1"/>
        <v>8.7367767889837689E-2</v>
      </c>
      <c r="AH925" s="2" t="str">
        <f ca="1"/>
        <v>OK</v>
      </c>
    </row>
    <row r="926" spans="2:34" x14ac:dyDescent="0.2">
      <c r="B926" s="2">
        <f ca="1"/>
        <v>2.8636571010405065E-2</v>
      </c>
      <c r="O926" s="2">
        <f ca="1"/>
        <v>-0.19453600559382325</v>
      </c>
      <c r="X926" s="2">
        <f ca="1"/>
        <v>40.707116871438593</v>
      </c>
      <c r="AG926" s="2">
        <f ca="1"/>
        <v>0.72203107404023914</v>
      </c>
      <c r="AH926" s="2" t="str">
        <f ca="1"/>
        <v>Bad</v>
      </c>
    </row>
    <row r="927" spans="2:34" x14ac:dyDescent="0.2">
      <c r="B927" s="2">
        <f ca="1"/>
        <v>4.6636557391376066E-2</v>
      </c>
      <c r="O927" s="2">
        <f ca="1"/>
        <v>-2.605375024163302</v>
      </c>
      <c r="X927" s="2">
        <f ca="1"/>
        <v>42.441849224101496</v>
      </c>
      <c r="AG927" s="2">
        <f ca="1"/>
        <v>0.16722480160274578</v>
      </c>
      <c r="AH927" s="2" t="str">
        <f ca="1"/>
        <v>OK</v>
      </c>
    </row>
    <row r="928" spans="2:34" x14ac:dyDescent="0.2">
      <c r="B928" s="2">
        <f ca="1"/>
        <v>0.40722483120206232</v>
      </c>
      <c r="O928" s="2">
        <f ca="1"/>
        <v>0.65459785213667054</v>
      </c>
      <c r="X928" s="2">
        <f ca="1"/>
        <v>66.238198722698002</v>
      </c>
      <c r="AG928" s="2">
        <f ca="1"/>
        <v>0.74966123067381774</v>
      </c>
      <c r="AH928" s="2" t="str">
        <f ca="1"/>
        <v>Bad</v>
      </c>
    </row>
    <row r="929" spans="2:34" x14ac:dyDescent="0.2">
      <c r="B929" s="2">
        <f ca="1"/>
        <v>0.46306838727902333</v>
      </c>
      <c r="O929" s="2">
        <f ca="1"/>
        <v>0.60364859307115959</v>
      </c>
      <c r="X929" s="2">
        <f ca="1"/>
        <v>42.449948847234616</v>
      </c>
      <c r="AG929" s="2">
        <f ca="1"/>
        <v>0.92766456420185173</v>
      </c>
      <c r="AH929" s="2" t="str">
        <f ca="1"/>
        <v>Bad</v>
      </c>
    </row>
    <row r="930" spans="2:34" x14ac:dyDescent="0.2">
      <c r="B930" s="2">
        <f ca="1"/>
        <v>0.76959272687702218</v>
      </c>
      <c r="O930" s="2">
        <f ca="1"/>
        <v>-1.8994689964938621E-2</v>
      </c>
      <c r="X930" s="2">
        <f ca="1"/>
        <v>64.303835258810039</v>
      </c>
      <c r="AG930" s="2">
        <f ca="1"/>
        <v>0.6528801320232489</v>
      </c>
      <c r="AH930" s="2" t="str">
        <f ca="1"/>
        <v>Bad</v>
      </c>
    </row>
    <row r="931" spans="2:34" x14ac:dyDescent="0.2">
      <c r="B931" s="2">
        <f ca="1"/>
        <v>0.28956156641064856</v>
      </c>
      <c r="O931" s="2">
        <f ca="1"/>
        <v>1.1436142212414373</v>
      </c>
      <c r="X931" s="2">
        <f ca="1"/>
        <v>41.401309038602989</v>
      </c>
      <c r="AG931" s="2">
        <f ca="1"/>
        <v>0.32832068083820665</v>
      </c>
      <c r="AH931" s="2" t="str">
        <f ca="1"/>
        <v>OK</v>
      </c>
    </row>
    <row r="932" spans="2:34" x14ac:dyDescent="0.2">
      <c r="B932" s="2">
        <f ca="1"/>
        <v>9.3758508692905806E-2</v>
      </c>
      <c r="O932" s="2">
        <f ca="1"/>
        <v>9.1374750467200949E-2</v>
      </c>
      <c r="X932" s="2">
        <f ca="1"/>
        <v>48.53874483686144</v>
      </c>
      <c r="AG932" s="2">
        <f ca="1"/>
        <v>0.50534463473543645</v>
      </c>
      <c r="AH932" s="2" t="str">
        <f ca="1"/>
        <v>Bad</v>
      </c>
    </row>
    <row r="933" spans="2:34" x14ac:dyDescent="0.2">
      <c r="B933" s="2">
        <f ca="1"/>
        <v>0.21425645101823809</v>
      </c>
      <c r="O933" s="2">
        <f ca="1"/>
        <v>-1.1403162190757257</v>
      </c>
      <c r="X933" s="2">
        <f ca="1"/>
        <v>78.916422671237726</v>
      </c>
      <c r="AG933" s="2">
        <f ca="1"/>
        <v>0.62445635631954977</v>
      </c>
      <c r="AH933" s="2" t="str">
        <f ca="1"/>
        <v>Bad</v>
      </c>
    </row>
    <row r="934" spans="2:34" x14ac:dyDescent="0.2">
      <c r="B934" s="2">
        <f ca="1"/>
        <v>0.45340363891168201</v>
      </c>
      <c r="O934" s="2">
        <f ca="1"/>
        <v>-1.3171919382444408</v>
      </c>
      <c r="X934" s="2">
        <f ca="1"/>
        <v>61.356724059059559</v>
      </c>
      <c r="AG934" s="2">
        <f ca="1"/>
        <v>0.2622725023395005</v>
      </c>
      <c r="AH934" s="2" t="str">
        <f ca="1"/>
        <v>OK</v>
      </c>
    </row>
    <row r="935" spans="2:34" x14ac:dyDescent="0.2">
      <c r="B935" s="2">
        <f ca="1"/>
        <v>0.63231189448029657</v>
      </c>
      <c r="O935" s="2">
        <f ca="1"/>
        <v>-0.60437722710472197</v>
      </c>
      <c r="X935" s="2">
        <f ca="1"/>
        <v>64.044674797957256</v>
      </c>
      <c r="AG935" s="2">
        <f ca="1"/>
        <v>0.61485765458550956</v>
      </c>
      <c r="AH935" s="2" t="str">
        <f ca="1"/>
        <v>Bad</v>
      </c>
    </row>
    <row r="936" spans="2:34" x14ac:dyDescent="0.2">
      <c r="B936" s="2">
        <f ca="1"/>
        <v>0.73942160941293533</v>
      </c>
      <c r="O936" s="2">
        <f ca="1"/>
        <v>1.7887203152188444</v>
      </c>
      <c r="X936" s="2">
        <f ca="1"/>
        <v>66.976932886064759</v>
      </c>
      <c r="AG936" s="2">
        <f ca="1"/>
        <v>0.99333155187304767</v>
      </c>
      <c r="AH936" s="2" t="str">
        <f ca="1"/>
        <v>Bad</v>
      </c>
    </row>
    <row r="937" spans="2:34" x14ac:dyDescent="0.2">
      <c r="B937" s="2">
        <f ca="1"/>
        <v>0.28802685873235201</v>
      </c>
      <c r="O937" s="2">
        <f ca="1"/>
        <v>1.1307768257545987</v>
      </c>
      <c r="X937" s="2">
        <f ca="1"/>
        <v>34.811346685317886</v>
      </c>
      <c r="AG937" s="2">
        <f ca="1"/>
        <v>0.5859481445717909</v>
      </c>
      <c r="AH937" s="2" t="str">
        <f ca="1"/>
        <v>Bad</v>
      </c>
    </row>
    <row r="938" spans="2:34" x14ac:dyDescent="0.2">
      <c r="B938" s="2">
        <f ca="1"/>
        <v>0.50098610769303509</v>
      </c>
      <c r="O938" s="2">
        <f ca="1"/>
        <v>-9.6582819513515116E-4</v>
      </c>
      <c r="X938" s="2">
        <f ca="1"/>
        <v>57.385342004243057</v>
      </c>
      <c r="AG938" s="2">
        <f ca="1"/>
        <v>0.15005954009448397</v>
      </c>
      <c r="AH938" s="2" t="str">
        <f ca="1"/>
        <v>OK</v>
      </c>
    </row>
    <row r="939" spans="2:34" x14ac:dyDescent="0.2">
      <c r="B939" s="2">
        <f ca="1"/>
        <v>0.39751332463640487</v>
      </c>
      <c r="O939" s="2">
        <f ca="1"/>
        <v>-0.29808300993858566</v>
      </c>
      <c r="X939" s="2">
        <f ca="1"/>
        <v>79.383261139393625</v>
      </c>
      <c r="AG939" s="2">
        <f ca="1"/>
        <v>0.62931059110693832</v>
      </c>
      <c r="AH939" s="2" t="str">
        <f ca="1"/>
        <v>Bad</v>
      </c>
    </row>
    <row r="940" spans="2:34" x14ac:dyDescent="0.2">
      <c r="B940" s="2">
        <f ca="1"/>
        <v>0.7497051156365353</v>
      </c>
      <c r="O940" s="2">
        <f ca="1"/>
        <v>-0.96911191146267517</v>
      </c>
      <c r="X940" s="2">
        <f ca="1"/>
        <v>42.969684175582834</v>
      </c>
      <c r="AG940" s="2">
        <f ca="1"/>
        <v>0.57095623194379264</v>
      </c>
      <c r="AH940" s="2" t="str">
        <f ca="1"/>
        <v>Bad</v>
      </c>
    </row>
    <row r="941" spans="2:34" x14ac:dyDescent="0.2">
      <c r="B941" s="2">
        <f ca="1"/>
        <v>0.29310227422745649</v>
      </c>
      <c r="O941" s="2">
        <f ca="1"/>
        <v>0.76497225752805242</v>
      </c>
      <c r="X941" s="2">
        <f ca="1"/>
        <v>67.180717960380974</v>
      </c>
      <c r="AG941" s="2">
        <f ca="1"/>
        <v>0.68670901519237471</v>
      </c>
      <c r="AH941" s="2" t="str">
        <f ca="1"/>
        <v>Bad</v>
      </c>
    </row>
    <row r="942" spans="2:34" x14ac:dyDescent="0.2">
      <c r="B942" s="2">
        <f ca="1"/>
        <v>0.68198147087736194</v>
      </c>
      <c r="O942" s="2">
        <f ca="1"/>
        <v>-0.34818884984927151</v>
      </c>
      <c r="X942" s="2">
        <f ca="1"/>
        <v>61.843424010359797</v>
      </c>
      <c r="AG942" s="2">
        <f ca="1"/>
        <v>0.17265496614691767</v>
      </c>
      <c r="AH942" s="2" t="str">
        <f ca="1"/>
        <v>OK</v>
      </c>
    </row>
    <row r="943" spans="2:34" x14ac:dyDescent="0.2">
      <c r="B943" s="2">
        <f ca="1"/>
        <v>0.99924812112484251</v>
      </c>
      <c r="O943" s="2">
        <f ca="1"/>
        <v>-1.1533013448666978</v>
      </c>
      <c r="X943" s="2">
        <f ca="1"/>
        <v>47.926858365998058</v>
      </c>
      <c r="AG943" s="2">
        <f ca="1"/>
        <v>0.2915995720315574</v>
      </c>
      <c r="AH943" s="2" t="str">
        <f ca="1"/>
        <v>OK</v>
      </c>
    </row>
    <row r="944" spans="2:34" x14ac:dyDescent="0.2">
      <c r="B944" s="2">
        <f ca="1"/>
        <v>0.96679237889283542</v>
      </c>
      <c r="O944" s="2">
        <f ca="1"/>
        <v>0.94903035142961456</v>
      </c>
      <c r="X944" s="2">
        <f ca="1"/>
        <v>35.39348581767954</v>
      </c>
      <c r="AG944" s="2">
        <f ca="1"/>
        <v>0.64024084205786669</v>
      </c>
      <c r="AH944" s="2" t="str">
        <f ca="1"/>
        <v>Bad</v>
      </c>
    </row>
    <row r="945" spans="2:34" x14ac:dyDescent="0.2">
      <c r="B945" s="2">
        <f ca="1"/>
        <v>0.18829425477696438</v>
      </c>
      <c r="O945" s="2">
        <f ca="1"/>
        <v>-0.42060635251582668</v>
      </c>
      <c r="X945" s="2">
        <f ca="1"/>
        <v>52.057466027613408</v>
      </c>
      <c r="AG945" s="2">
        <f ca="1"/>
        <v>0.83043414892026068</v>
      </c>
      <c r="AH945" s="2" t="str">
        <f ca="1"/>
        <v>Bad</v>
      </c>
    </row>
    <row r="946" spans="2:34" x14ac:dyDescent="0.2">
      <c r="B946" s="2">
        <f ca="1"/>
        <v>0.19559118100025819</v>
      </c>
      <c r="O946" s="2">
        <f ca="1"/>
        <v>2.9715598019827802</v>
      </c>
      <c r="X946" s="2">
        <f ca="1"/>
        <v>74.302630746077824</v>
      </c>
      <c r="AG946" s="2">
        <f ca="1"/>
        <v>0.99648129225189064</v>
      </c>
      <c r="AH946" s="2" t="str">
        <f ca="1"/>
        <v>Bad</v>
      </c>
    </row>
    <row r="947" spans="2:34" x14ac:dyDescent="0.2">
      <c r="B947" s="2">
        <f ca="1"/>
        <v>0.27682968752387116</v>
      </c>
      <c r="O947" s="2">
        <f ca="1"/>
        <v>0.5032013781612642</v>
      </c>
      <c r="X947" s="2">
        <f ca="1"/>
        <v>27.308465525156116</v>
      </c>
      <c r="AG947" s="2">
        <f ca="1"/>
        <v>0.21012962848208949</v>
      </c>
      <c r="AH947" s="2" t="str">
        <f ca="1"/>
        <v>OK</v>
      </c>
    </row>
    <row r="948" spans="2:34" x14ac:dyDescent="0.2">
      <c r="B948" s="2">
        <f ca="1"/>
        <v>0.40407427928486395</v>
      </c>
      <c r="O948" s="2">
        <f ca="1"/>
        <v>-0.29960923362622299</v>
      </c>
      <c r="X948" s="2">
        <f ca="1"/>
        <v>43.565192351261231</v>
      </c>
      <c r="AG948" s="2">
        <f ca="1"/>
        <v>0.47908132142284532</v>
      </c>
      <c r="AH948" s="2" t="str">
        <f ca="1"/>
        <v>Bad</v>
      </c>
    </row>
    <row r="949" spans="2:34" x14ac:dyDescent="0.2">
      <c r="B949" s="2">
        <f ca="1"/>
        <v>0.51909864384689874</v>
      </c>
      <c r="O949" s="2">
        <f ca="1"/>
        <v>-0.77526913502135131</v>
      </c>
      <c r="X949" s="2">
        <f ca="1"/>
        <v>44.317381660738747</v>
      </c>
      <c r="AG949" s="2">
        <f ca="1"/>
        <v>0.84803983020215146</v>
      </c>
      <c r="AH949" s="2" t="str">
        <f ca="1"/>
        <v>Bad</v>
      </c>
    </row>
    <row r="950" spans="2:34" x14ac:dyDescent="0.2">
      <c r="B950" s="2">
        <f ca="1"/>
        <v>0.76869252323273751</v>
      </c>
      <c r="O950" s="2">
        <f ca="1"/>
        <v>0.27918386763674202</v>
      </c>
      <c r="X950" s="2">
        <f ca="1"/>
        <v>50.034943115372272</v>
      </c>
      <c r="AG950" s="2">
        <f ca="1"/>
        <v>0.31318466503260245</v>
      </c>
      <c r="AH950" s="2" t="str">
        <f ca="1"/>
        <v>OK</v>
      </c>
    </row>
    <row r="951" spans="2:34" x14ac:dyDescent="0.2">
      <c r="B951" s="2">
        <f ca="1"/>
        <v>0.6883676324099417</v>
      </c>
      <c r="O951" s="2">
        <f ca="1"/>
        <v>0.30894027680361918</v>
      </c>
      <c r="X951" s="2">
        <f ca="1"/>
        <v>39.530172345599411</v>
      </c>
      <c r="AG951" s="2">
        <f ca="1"/>
        <v>9.1378027963410657E-2</v>
      </c>
      <c r="AH951" s="2" t="str">
        <f ca="1"/>
        <v>OK</v>
      </c>
    </row>
    <row r="952" spans="2:34" x14ac:dyDescent="0.2">
      <c r="B952" s="2">
        <f ca="1"/>
        <v>0.68899938992646126</v>
      </c>
      <c r="O952" s="2">
        <f ca="1"/>
        <v>-0.88971579290302094</v>
      </c>
      <c r="X952" s="2">
        <f ca="1"/>
        <v>34.389029938578844</v>
      </c>
      <c r="AG952" s="2">
        <f ca="1"/>
        <v>0.55546210830109777</v>
      </c>
      <c r="AH952" s="2" t="str">
        <f ca="1"/>
        <v>Bad</v>
      </c>
    </row>
    <row r="953" spans="2:34" x14ac:dyDescent="0.2">
      <c r="B953" s="2">
        <f ca="1"/>
        <v>0.68970425978295458</v>
      </c>
      <c r="O953" s="2">
        <f ca="1"/>
        <v>0.62325219346130933</v>
      </c>
      <c r="X953" s="2">
        <f ca="1"/>
        <v>48.529373885615172</v>
      </c>
      <c r="AG953" s="2">
        <f ca="1"/>
        <v>0.2126935858037855</v>
      </c>
      <c r="AH953" s="2" t="str">
        <f ca="1"/>
        <v>OK</v>
      </c>
    </row>
    <row r="954" spans="2:34" x14ac:dyDescent="0.2">
      <c r="B954" s="2">
        <f ca="1"/>
        <v>0.42921860749982366</v>
      </c>
      <c r="O954" s="2">
        <f ca="1"/>
        <v>-1.2777701663951786</v>
      </c>
      <c r="X954" s="2">
        <f ca="1"/>
        <v>26.531520531801217</v>
      </c>
      <c r="AG954" s="2">
        <f ca="1"/>
        <v>0.35759792662375411</v>
      </c>
      <c r="AH954" s="2" t="str">
        <f ca="1"/>
        <v>OK</v>
      </c>
    </row>
    <row r="955" spans="2:34" x14ac:dyDescent="0.2">
      <c r="B955" s="2">
        <f ca="1"/>
        <v>9.3027138348724892E-2</v>
      </c>
      <c r="O955" s="2">
        <f ca="1"/>
        <v>1.9663774585848421</v>
      </c>
      <c r="X955" s="2">
        <f ca="1"/>
        <v>54.351170523613703</v>
      </c>
      <c r="AG955" s="2">
        <f ca="1"/>
        <v>0.28140524630477493</v>
      </c>
      <c r="AH955" s="2" t="str">
        <f ca="1"/>
        <v>OK</v>
      </c>
    </row>
    <row r="956" spans="2:34" x14ac:dyDescent="0.2">
      <c r="B956" s="2">
        <f ca="1"/>
        <v>0.83631956498956095</v>
      </c>
      <c r="O956" s="2">
        <f ca="1"/>
        <v>-0.52108775681027741</v>
      </c>
      <c r="X956" s="2">
        <f ca="1"/>
        <v>35.113686532858416</v>
      </c>
      <c r="AG956" s="2">
        <f ca="1"/>
        <v>0.91865088558811769</v>
      </c>
      <c r="AH956" s="2" t="str">
        <f ca="1"/>
        <v>Bad</v>
      </c>
    </row>
    <row r="957" spans="2:34" x14ac:dyDescent="0.2">
      <c r="B957" s="2">
        <f ca="1"/>
        <v>0.16709782146308139</v>
      </c>
      <c r="O957" s="2">
        <f ca="1"/>
        <v>1.0436426064777307</v>
      </c>
      <c r="X957" s="2">
        <f ca="1"/>
        <v>48.277688786556482</v>
      </c>
      <c r="AG957" s="2">
        <f ca="1"/>
        <v>0.84875134690855858</v>
      </c>
      <c r="AH957" s="2" t="str">
        <f ca="1"/>
        <v>Bad</v>
      </c>
    </row>
    <row r="958" spans="2:34" x14ac:dyDescent="0.2">
      <c r="B958" s="2">
        <f ca="1"/>
        <v>0.43118534403448683</v>
      </c>
      <c r="O958" s="2">
        <f ca="1"/>
        <v>1.2159607244086694</v>
      </c>
      <c r="X958" s="2">
        <f ca="1"/>
        <v>45.36714678059991</v>
      </c>
      <c r="AG958" s="2">
        <f ca="1"/>
        <v>5.4797072377821721E-2</v>
      </c>
      <c r="AH958" s="2" t="str">
        <f ca="1"/>
        <v>OK</v>
      </c>
    </row>
    <row r="959" spans="2:34" x14ac:dyDescent="0.2">
      <c r="B959" s="2">
        <f ca="1"/>
        <v>0.80052404011910383</v>
      </c>
      <c r="O959" s="2">
        <f ca="1"/>
        <v>0.70031773830571897</v>
      </c>
      <c r="X959" s="2">
        <f ca="1"/>
        <v>54.572983616138927</v>
      </c>
      <c r="AG959" s="2">
        <f ca="1"/>
        <v>0.53623333641572279</v>
      </c>
      <c r="AH959" s="2" t="str">
        <f ca="1"/>
        <v>Bad</v>
      </c>
    </row>
    <row r="960" spans="2:34" x14ac:dyDescent="0.2">
      <c r="B960" s="2">
        <f ca="1"/>
        <v>7.3760198571038771E-2</v>
      </c>
      <c r="O960" s="2">
        <f ca="1"/>
        <v>-0.69556014037901404</v>
      </c>
      <c r="X960" s="2">
        <f ca="1"/>
        <v>84.800533032054631</v>
      </c>
      <c r="AG960" s="2">
        <f ca="1"/>
        <v>0.70700253544812064</v>
      </c>
      <c r="AH960" s="2" t="str">
        <f ca="1"/>
        <v>Bad</v>
      </c>
    </row>
    <row r="961" spans="2:34" x14ac:dyDescent="0.2">
      <c r="B961" s="2">
        <f ca="1"/>
        <v>0.28266239595402731</v>
      </c>
      <c r="O961" s="2">
        <f ca="1"/>
        <v>0.14947039080065566</v>
      </c>
      <c r="X961" s="2">
        <f ca="1"/>
        <v>36.908601723953957</v>
      </c>
      <c r="AG961" s="2">
        <f ca="1"/>
        <v>0.73276719489205711</v>
      </c>
      <c r="AH961" s="2" t="str">
        <f ca="1"/>
        <v>Bad</v>
      </c>
    </row>
    <row r="962" spans="2:34" x14ac:dyDescent="0.2">
      <c r="B962" s="2">
        <f ca="1"/>
        <v>5.5597120940804601E-2</v>
      </c>
      <c r="O962" s="2">
        <f ca="1"/>
        <v>1.4956290074833636</v>
      </c>
      <c r="X962" s="2">
        <f ca="1"/>
        <v>51.47788617433558</v>
      </c>
      <c r="AG962" s="2">
        <f ca="1"/>
        <v>0.19503378402188387</v>
      </c>
      <c r="AH962" s="2" t="str">
        <f ca="1"/>
        <v>OK</v>
      </c>
    </row>
    <row r="963" spans="2:34" x14ac:dyDescent="0.2">
      <c r="B963" s="2">
        <f ca="1"/>
        <v>0.29953389712782186</v>
      </c>
      <c r="O963" s="2">
        <f ca="1"/>
        <v>-1.1198882994582782</v>
      </c>
      <c r="X963" s="2">
        <f ca="1"/>
        <v>87.298793163690362</v>
      </c>
      <c r="AG963" s="2">
        <f ca="1"/>
        <v>0.56970995130992774</v>
      </c>
      <c r="AH963" s="2" t="str">
        <f ca="1"/>
        <v>Bad</v>
      </c>
    </row>
    <row r="964" spans="2:34" x14ac:dyDescent="0.2">
      <c r="B964" s="2">
        <f ca="1"/>
        <v>0.67239667407541304</v>
      </c>
      <c r="O964" s="2">
        <f ca="1"/>
        <v>0.37268655117163813</v>
      </c>
      <c r="X964" s="2">
        <f ca="1"/>
        <v>61.030292324404542</v>
      </c>
      <c r="AG964" s="2">
        <f ca="1"/>
        <v>0.3631817247483089</v>
      </c>
      <c r="AH964" s="2" t="str">
        <f ca="1"/>
        <v>OK</v>
      </c>
    </row>
    <row r="965" spans="2:34" x14ac:dyDescent="0.2">
      <c r="B965" s="2">
        <f ca="1"/>
        <v>0.26475436260306728</v>
      </c>
      <c r="O965" s="2">
        <f ca="1"/>
        <v>-0.7192692602009898</v>
      </c>
      <c r="X965" s="2">
        <f ca="1"/>
        <v>40.083737490307129</v>
      </c>
      <c r="AG965" s="2">
        <f ca="1"/>
        <v>2.035594823163267E-2</v>
      </c>
      <c r="AH965" s="2" t="str">
        <f ca="1"/>
        <v>Good</v>
      </c>
    </row>
    <row r="966" spans="2:34" x14ac:dyDescent="0.2">
      <c r="B966" s="2">
        <f ca="1"/>
        <v>0.60321535209833721</v>
      </c>
      <c r="O966" s="2">
        <f ca="1"/>
        <v>1.031908066392943</v>
      </c>
      <c r="X966" s="2">
        <f ca="1"/>
        <v>57.636068534636934</v>
      </c>
      <c r="AG966" s="2">
        <f ca="1"/>
        <v>0.65307773945973824</v>
      </c>
      <c r="AH966" s="2" t="str">
        <f ca="1"/>
        <v>Bad</v>
      </c>
    </row>
    <row r="967" spans="2:34" x14ac:dyDescent="0.2">
      <c r="B967" s="2">
        <f ca="1"/>
        <v>0.56759714404793216</v>
      </c>
      <c r="O967" s="2">
        <f ca="1"/>
        <v>1.0858244428137303</v>
      </c>
      <c r="X967" s="2">
        <f ca="1"/>
        <v>48.434833880435804</v>
      </c>
      <c r="AG967" s="2">
        <f ca="1"/>
        <v>0.80208188302722938</v>
      </c>
      <c r="AH967" s="2" t="str">
        <f ca="1"/>
        <v>Bad</v>
      </c>
    </row>
    <row r="968" spans="2:34" x14ac:dyDescent="0.2">
      <c r="B968" s="2">
        <f ca="1"/>
        <v>0.11433649799232248</v>
      </c>
      <c r="O968" s="2">
        <f ca="1"/>
        <v>1.4756557970850084</v>
      </c>
      <c r="X968" s="2">
        <f ca="1"/>
        <v>58.071163704958757</v>
      </c>
      <c r="AG968" s="2">
        <f ca="1"/>
        <v>0.803247956446282</v>
      </c>
      <c r="AH968" s="2" t="str">
        <f ca="1"/>
        <v>Bad</v>
      </c>
    </row>
    <row r="969" spans="2:34" x14ac:dyDescent="0.2">
      <c r="B969" s="2">
        <f ca="1"/>
        <v>0.7990561590656724</v>
      </c>
      <c r="O969" s="2">
        <f ca="1"/>
        <v>1.0328189787296054</v>
      </c>
      <c r="X969" s="2">
        <f ca="1"/>
        <v>47.15241813849218</v>
      </c>
      <c r="AG969" s="2">
        <f ca="1"/>
        <v>0.51291173167147086</v>
      </c>
      <c r="AH969" s="2" t="str">
        <f ca="1"/>
        <v>Bad</v>
      </c>
    </row>
    <row r="970" spans="2:34" x14ac:dyDescent="0.2">
      <c r="B970" s="2">
        <f ca="1"/>
        <v>0.23697485511976901</v>
      </c>
      <c r="O970" s="2">
        <f ca="1"/>
        <v>0.60029674635351049</v>
      </c>
      <c r="X970" s="2">
        <f ca="1"/>
        <v>49.107654951881401</v>
      </c>
      <c r="AG970" s="2">
        <f ca="1"/>
        <v>0.35188518944174718</v>
      </c>
      <c r="AH970" s="2" t="str">
        <f ca="1"/>
        <v>OK</v>
      </c>
    </row>
    <row r="971" spans="2:34" x14ac:dyDescent="0.2">
      <c r="B971" s="2">
        <f ca="1"/>
        <v>1.4057459082260415E-2</v>
      </c>
      <c r="O971" s="2">
        <f ca="1"/>
        <v>1.1706740983197543</v>
      </c>
      <c r="X971" s="2">
        <f ca="1"/>
        <v>66.119375597243391</v>
      </c>
      <c r="AG971" s="2">
        <f ca="1"/>
        <v>0.93090111350150018</v>
      </c>
      <c r="AH971" s="2" t="str">
        <f ca="1"/>
        <v>Bad</v>
      </c>
    </row>
    <row r="972" spans="2:34" x14ac:dyDescent="0.2">
      <c r="B972" s="2">
        <f ca="1"/>
        <v>0.37039632872881123</v>
      </c>
      <c r="O972" s="2">
        <f ca="1"/>
        <v>0.71704748453161449</v>
      </c>
      <c r="X972" s="2">
        <f ca="1"/>
        <v>35.156451860669542</v>
      </c>
      <c r="AG972" s="2">
        <f ca="1"/>
        <v>0.28221960649215183</v>
      </c>
      <c r="AH972" s="2" t="str">
        <f ca="1"/>
        <v>OK</v>
      </c>
    </row>
    <row r="973" spans="2:34" x14ac:dyDescent="0.2">
      <c r="B973" s="2">
        <f ca="1"/>
        <v>0.48026385016637896</v>
      </c>
      <c r="O973" s="2">
        <f ca="1"/>
        <v>-1.4179585812267137</v>
      </c>
      <c r="X973" s="2">
        <f ca="1"/>
        <v>54.917304744722408</v>
      </c>
      <c r="AG973" s="2">
        <f ca="1"/>
        <v>0.98639255147663585</v>
      </c>
      <c r="AH973" s="2" t="str">
        <f ca="1"/>
        <v>Bad</v>
      </c>
    </row>
    <row r="974" spans="2:34" x14ac:dyDescent="0.2">
      <c r="B974" s="2">
        <f ca="1"/>
        <v>0.49584218673287173</v>
      </c>
      <c r="O974" s="2">
        <f ca="1"/>
        <v>-0.65764979615475816</v>
      </c>
      <c r="X974" s="2">
        <f ca="1"/>
        <v>55.649990823916731</v>
      </c>
      <c r="AG974" s="2">
        <f ca="1"/>
        <v>2.7576186324932195E-2</v>
      </c>
      <c r="AH974" s="2" t="str">
        <f ca="1"/>
        <v>Good</v>
      </c>
    </row>
    <row r="975" spans="2:34" x14ac:dyDescent="0.2">
      <c r="B975" s="2">
        <f ca="1"/>
        <v>7.937468808642123E-2</v>
      </c>
      <c r="O975" s="2">
        <f ca="1"/>
        <v>-1.2897121725934182</v>
      </c>
      <c r="X975" s="2">
        <f ca="1"/>
        <v>51.733555832566353</v>
      </c>
      <c r="AG975" s="2">
        <f ca="1"/>
        <v>0.49326861968034597</v>
      </c>
      <c r="AH975" s="2" t="str">
        <f ca="1"/>
        <v>Bad</v>
      </c>
    </row>
    <row r="976" spans="2:34" x14ac:dyDescent="0.2">
      <c r="B976" s="2">
        <f ca="1"/>
        <v>0.54297867274639322</v>
      </c>
      <c r="O976" s="2">
        <f ca="1"/>
        <v>-0.96899938356697368</v>
      </c>
      <c r="X976" s="2">
        <f ca="1"/>
        <v>45.111953070319089</v>
      </c>
      <c r="AG976" s="2">
        <f ca="1"/>
        <v>0.435565071878246</v>
      </c>
      <c r="AH976" s="2" t="str">
        <f ca="1"/>
        <v>Bad</v>
      </c>
    </row>
    <row r="977" spans="2:34" x14ac:dyDescent="0.2">
      <c r="B977" s="2">
        <f ca="1"/>
        <v>0.84935468417924476</v>
      </c>
      <c r="O977" s="2">
        <f ca="1"/>
        <v>-0.44811162481797318</v>
      </c>
      <c r="X977" s="2">
        <f ca="1"/>
        <v>42.58262425523359</v>
      </c>
      <c r="AG977" s="2">
        <f ca="1"/>
        <v>2.7731026284738336E-2</v>
      </c>
      <c r="AH977" s="2" t="str">
        <f ca="1"/>
        <v>Good</v>
      </c>
    </row>
    <row r="978" spans="2:34" x14ac:dyDescent="0.2">
      <c r="B978" s="2">
        <f ca="1"/>
        <v>0.64997078615525417</v>
      </c>
      <c r="O978" s="2">
        <f ca="1"/>
        <v>0.85720245453269184</v>
      </c>
      <c r="X978" s="2">
        <f ca="1"/>
        <v>39.059293123379547</v>
      </c>
      <c r="AG978" s="2">
        <f ca="1"/>
        <v>0.47625904076405545</v>
      </c>
      <c r="AH978" s="2" t="str">
        <f ca="1"/>
        <v>Bad</v>
      </c>
    </row>
    <row r="979" spans="2:34" x14ac:dyDescent="0.2">
      <c r="B979" s="2">
        <f ca="1"/>
        <v>0.23889623247865521</v>
      </c>
      <c r="O979" s="2">
        <f ca="1"/>
        <v>-2.1554408074052769</v>
      </c>
      <c r="X979" s="2">
        <f ca="1"/>
        <v>37.628796144109906</v>
      </c>
      <c r="AG979" s="2">
        <f ca="1"/>
        <v>0.80614221647721407</v>
      </c>
      <c r="AH979" s="2" t="str">
        <f ca="1"/>
        <v>Bad</v>
      </c>
    </row>
    <row r="980" spans="2:34" x14ac:dyDescent="0.2">
      <c r="B980" s="2">
        <f ca="1"/>
        <v>0.20787060604709584</v>
      </c>
      <c r="O980" s="2">
        <f ca="1"/>
        <v>0.97468542209140918</v>
      </c>
      <c r="X980" s="2">
        <f ca="1"/>
        <v>33.981746186772547</v>
      </c>
      <c r="AG980" s="2">
        <f ca="1"/>
        <v>0.13765231873549832</v>
      </c>
      <c r="AH980" s="2" t="str">
        <f ca="1"/>
        <v>OK</v>
      </c>
    </row>
    <row r="981" spans="2:34" x14ac:dyDescent="0.2">
      <c r="B981" s="2">
        <f ca="1"/>
        <v>0.38127466247616559</v>
      </c>
      <c r="O981" s="2">
        <f ca="1"/>
        <v>1.2691170738313049</v>
      </c>
      <c r="X981" s="2">
        <f ca="1"/>
        <v>42.498554593957905</v>
      </c>
      <c r="AG981" s="2">
        <f ca="1"/>
        <v>0.84752097002675564</v>
      </c>
      <c r="AH981" s="2" t="str">
        <f ca="1"/>
        <v>Bad</v>
      </c>
    </row>
    <row r="982" spans="2:34" x14ac:dyDescent="0.2">
      <c r="B982" s="2">
        <f ca="1"/>
        <v>0.49956368893984981</v>
      </c>
      <c r="O982" s="2">
        <f ca="1"/>
        <v>-0.66205682832227775</v>
      </c>
      <c r="X982" s="2">
        <f ca="1"/>
        <v>46.819627367329907</v>
      </c>
      <c r="AG982" s="2">
        <f ca="1"/>
        <v>0.7742499300145631</v>
      </c>
      <c r="AH982" s="2" t="str">
        <f ca="1"/>
        <v>Bad</v>
      </c>
    </row>
    <row r="983" spans="2:34" x14ac:dyDescent="0.2">
      <c r="B983" s="2">
        <f ca="1"/>
        <v>0.39039393193472849</v>
      </c>
      <c r="O983" s="2">
        <f ca="1"/>
        <v>-1.3453816800232712</v>
      </c>
      <c r="X983" s="2">
        <f ca="1"/>
        <v>56.145570174475942</v>
      </c>
      <c r="AG983" s="2">
        <f ca="1"/>
        <v>0.17542056736887557</v>
      </c>
      <c r="AH983" s="2" t="str">
        <f ca="1"/>
        <v>OK</v>
      </c>
    </row>
    <row r="984" spans="2:34" x14ac:dyDescent="0.2">
      <c r="B984" s="2">
        <f ca="1"/>
        <v>0.23211061823155665</v>
      </c>
      <c r="O984" s="2">
        <f ca="1"/>
        <v>-1.9033793077735863</v>
      </c>
      <c r="X984" s="2">
        <f ca="1"/>
        <v>71.797819487218561</v>
      </c>
      <c r="AG984" s="2">
        <f ca="1"/>
        <v>0.24164737206922404</v>
      </c>
      <c r="AH984" s="2" t="str">
        <f ca="1"/>
        <v>OK</v>
      </c>
    </row>
    <row r="985" spans="2:34" x14ac:dyDescent="0.2">
      <c r="B985" s="2">
        <f ca="1"/>
        <v>0.14158821711482239</v>
      </c>
      <c r="O985" s="2">
        <f ca="1"/>
        <v>0.5474142869339137</v>
      </c>
      <c r="X985" s="2">
        <f ca="1"/>
        <v>35.914255329154713</v>
      </c>
      <c r="AG985" s="2">
        <f ca="1"/>
        <v>0.64070111139355501</v>
      </c>
      <c r="AH985" s="2" t="str">
        <f ca="1"/>
        <v>Bad</v>
      </c>
    </row>
    <row r="986" spans="2:34" x14ac:dyDescent="0.2">
      <c r="B986" s="2">
        <f ca="1"/>
        <v>0.63270185456094907</v>
      </c>
      <c r="O986" s="2">
        <f ca="1"/>
        <v>1.4689561534583819</v>
      </c>
      <c r="X986" s="2">
        <f ca="1"/>
        <v>54.078642211194541</v>
      </c>
      <c r="AG986" s="2">
        <f ca="1"/>
        <v>0.20775624780266821</v>
      </c>
      <c r="AH986" s="2" t="str">
        <f ca="1"/>
        <v>OK</v>
      </c>
    </row>
    <row r="987" spans="2:34" x14ac:dyDescent="0.2">
      <c r="B987" s="2">
        <f ca="1"/>
        <v>0.63056933033641727</v>
      </c>
      <c r="O987" s="2">
        <f ca="1"/>
        <v>0.85880746731349855</v>
      </c>
      <c r="X987" s="2">
        <f ca="1"/>
        <v>89.260779257971294</v>
      </c>
      <c r="AG987" s="2">
        <f ca="1"/>
        <v>0.79566977667909167</v>
      </c>
      <c r="AH987" s="2" t="str">
        <f ca="1"/>
        <v>Bad</v>
      </c>
    </row>
    <row r="988" spans="2:34" x14ac:dyDescent="0.2">
      <c r="B988" s="2">
        <f ca="1"/>
        <v>0.62291141253182403</v>
      </c>
      <c r="O988" s="2">
        <f ca="1"/>
        <v>-5.9850606628215813E-2</v>
      </c>
      <c r="X988" s="2">
        <f ca="1"/>
        <v>46.789658543846961</v>
      </c>
      <c r="AG988" s="2">
        <f ca="1"/>
        <v>0.29995217761034643</v>
      </c>
      <c r="AH988" s="2" t="str">
        <f ca="1"/>
        <v>OK</v>
      </c>
    </row>
    <row r="989" spans="2:34" x14ac:dyDescent="0.2">
      <c r="B989" s="2">
        <f ca="1"/>
        <v>0.93434342723326402</v>
      </c>
      <c r="O989" s="2">
        <f ca="1"/>
        <v>-0.31970522189760309</v>
      </c>
      <c r="X989" s="2">
        <f ca="1"/>
        <v>63.470782129232035</v>
      </c>
      <c r="AG989" s="2">
        <f ca="1"/>
        <v>0.59589931770632987</v>
      </c>
      <c r="AH989" s="2" t="str">
        <f ca="1"/>
        <v>Bad</v>
      </c>
    </row>
    <row r="990" spans="2:34" x14ac:dyDescent="0.2">
      <c r="B990" s="2">
        <f ca="1"/>
        <v>0.78715801842391153</v>
      </c>
      <c r="O990" s="2">
        <f ca="1"/>
        <v>-0.14898160497112356</v>
      </c>
      <c r="X990" s="2">
        <f ca="1"/>
        <v>46.928011902768205</v>
      </c>
      <c r="AG990" s="2">
        <f ca="1"/>
        <v>0.39347296529606779</v>
      </c>
      <c r="AH990" s="2" t="str">
        <f ca="1"/>
        <v>OK</v>
      </c>
    </row>
    <row r="991" spans="2:34" x14ac:dyDescent="0.2">
      <c r="B991" s="2">
        <f ca="1"/>
        <v>0.79011488560076137</v>
      </c>
      <c r="O991" s="2">
        <f ca="1"/>
        <v>-0.96887914459369695</v>
      </c>
      <c r="X991" s="2">
        <f ca="1"/>
        <v>38.648751838542495</v>
      </c>
      <c r="AG991" s="2">
        <f ca="1"/>
        <v>0.47750840815428752</v>
      </c>
      <c r="AH991" s="2" t="str">
        <f ca="1"/>
        <v>Bad</v>
      </c>
    </row>
    <row r="992" spans="2:34" x14ac:dyDescent="0.2">
      <c r="B992" s="2">
        <f ca="1"/>
        <v>0.85283648234631571</v>
      </c>
      <c r="O992" s="2">
        <f ca="1"/>
        <v>-0.9126611922977993</v>
      </c>
      <c r="X992" s="2">
        <f ca="1"/>
        <v>90.448871903211042</v>
      </c>
      <c r="AG992" s="2">
        <f ca="1"/>
        <v>0.27925653246037396</v>
      </c>
      <c r="AH992" s="2" t="str">
        <f ca="1"/>
        <v>OK</v>
      </c>
    </row>
    <row r="993" spans="2:34" x14ac:dyDescent="0.2">
      <c r="B993" s="2">
        <f ca="1"/>
        <v>0.16957944496193078</v>
      </c>
      <c r="O993" s="2">
        <f ca="1"/>
        <v>0.46256380497308858</v>
      </c>
      <c r="X993" s="2">
        <f ca="1"/>
        <v>63.306079697039877</v>
      </c>
      <c r="AG993" s="2">
        <f ca="1"/>
        <v>0.24114143280197342</v>
      </c>
      <c r="AH993" s="2" t="str">
        <f ca="1"/>
        <v>OK</v>
      </c>
    </row>
    <row r="994" spans="2:34" x14ac:dyDescent="0.2">
      <c r="B994" s="2">
        <f ca="1"/>
        <v>0.71396244087589378</v>
      </c>
      <c r="O994" s="2">
        <f ca="1"/>
        <v>-0.63304889459504798</v>
      </c>
      <c r="X994" s="2">
        <f ca="1"/>
        <v>60.530010510362054</v>
      </c>
      <c r="AG994" s="2">
        <f ca="1"/>
        <v>0.20091986946947471</v>
      </c>
      <c r="AH994" s="2" t="str">
        <f ca="1"/>
        <v>OK</v>
      </c>
    </row>
    <row r="995" spans="2:34" x14ac:dyDescent="0.2">
      <c r="B995" s="2">
        <f ca="1"/>
        <v>0.85352537816187013</v>
      </c>
      <c r="O995" s="2">
        <f ca="1"/>
        <v>1.4168518124868632E-3</v>
      </c>
      <c r="X995" s="2">
        <f ca="1"/>
        <v>45.206062143497732</v>
      </c>
      <c r="AG995" s="2">
        <f ca="1"/>
        <v>0.98197836831774521</v>
      </c>
      <c r="AH995" s="2" t="str">
        <f ca="1"/>
        <v>Bad</v>
      </c>
    </row>
    <row r="996" spans="2:34" x14ac:dyDescent="0.2">
      <c r="B996" s="2">
        <f ca="1"/>
        <v>0.26118698796790096</v>
      </c>
      <c r="O996" s="2">
        <f ca="1"/>
        <v>0.20836051394415986</v>
      </c>
      <c r="X996" s="2">
        <f ca="1"/>
        <v>57.402641468056871</v>
      </c>
      <c r="AG996" s="2">
        <f ca="1"/>
        <v>0.11047577277702691</v>
      </c>
      <c r="AH996" s="2" t="str">
        <f ca="1"/>
        <v>OK</v>
      </c>
    </row>
    <row r="997" spans="2:34" x14ac:dyDescent="0.2">
      <c r="B997" s="2">
        <f ca="1"/>
        <v>0.17080346373602007</v>
      </c>
      <c r="O997" s="2">
        <f ca="1"/>
        <v>-1.0851672881010739</v>
      </c>
      <c r="X997" s="2">
        <f ca="1"/>
        <v>37.348857785790706</v>
      </c>
      <c r="AG997" s="2">
        <f ca="1"/>
        <v>1.1209006472419292E-2</v>
      </c>
      <c r="AH997" s="2" t="str">
        <f ca="1"/>
        <v>Good</v>
      </c>
    </row>
    <row r="998" spans="2:34" x14ac:dyDescent="0.2">
      <c r="B998" s="2">
        <f ca="1"/>
        <v>0.28650020779476804</v>
      </c>
      <c r="O998" s="2">
        <f ca="1"/>
        <v>-0.51472620207220232</v>
      </c>
      <c r="X998" s="2">
        <f ca="1"/>
        <v>53.394671039811541</v>
      </c>
      <c r="AG998" s="2">
        <f ca="1"/>
        <v>0.1270974313120441</v>
      </c>
      <c r="AH998" s="2" t="str">
        <f ca="1"/>
        <v>OK</v>
      </c>
    </row>
    <row r="999" spans="2:34" x14ac:dyDescent="0.2">
      <c r="B999" s="2">
        <f ca="1"/>
        <v>0.59681197979788081</v>
      </c>
      <c r="O999" s="2">
        <f ca="1"/>
        <v>-0.67328286429275996</v>
      </c>
      <c r="X999" s="2">
        <f ca="1"/>
        <v>30.008195580938704</v>
      </c>
      <c r="AG999" s="2">
        <f ca="1"/>
        <v>0.20623600931082042</v>
      </c>
      <c r="AH999" s="2" t="str">
        <f ca="1"/>
        <v>OK</v>
      </c>
    </row>
    <row r="1000" spans="2:34" x14ac:dyDescent="0.2">
      <c r="B1000" s="2">
        <f ca="1"/>
        <v>0.49854285580570079</v>
      </c>
      <c r="O1000" s="2">
        <f ca="1"/>
        <v>1.7055196882729446</v>
      </c>
      <c r="X1000" s="2">
        <f ca="1"/>
        <v>54.609668160120862</v>
      </c>
      <c r="AG1000" s="2">
        <f ca="1"/>
        <v>0.1973305110112733</v>
      </c>
      <c r="AH1000" s="2" t="str">
        <f ca="1"/>
        <v>OK</v>
      </c>
    </row>
    <row r="1001" spans="2:34" x14ac:dyDescent="0.2">
      <c r="B1001" s="2">
        <f ca="1"/>
        <v>0.36483923291309228</v>
      </c>
      <c r="O1001" s="2">
        <f ca="1"/>
        <v>0.76595556491977457</v>
      </c>
      <c r="X1001" s="2">
        <f ca="1"/>
        <v>33.947473681607079</v>
      </c>
      <c r="AG1001" s="2">
        <f ca="1"/>
        <v>0.87035512206852772</v>
      </c>
      <c r="AH1001" s="2" t="str">
        <f ca="1"/>
        <v>Bad</v>
      </c>
    </row>
    <row r="1002" spans="2:34" x14ac:dyDescent="0.2">
      <c r="B1002" s="2">
        <f ca="1"/>
        <v>0.68168175401650588</v>
      </c>
      <c r="O1002" s="2">
        <f ca="1"/>
        <v>0.39458374987509498</v>
      </c>
      <c r="X1002" s="2">
        <f ca="1"/>
        <v>49.193930265166671</v>
      </c>
      <c r="AG1002" s="2">
        <f ca="1"/>
        <v>4.7893550305522448E-2</v>
      </c>
      <c r="AH1002" s="2" t="str">
        <f ca="1"/>
        <v>Good</v>
      </c>
    </row>
    <row r="1003" spans="2:34" x14ac:dyDescent="0.2">
      <c r="B1003" s="2">
        <f ca="1"/>
        <v>0.50038683754664692</v>
      </c>
      <c r="O1003" s="2">
        <f ca="1"/>
        <v>-1.8272300206825218</v>
      </c>
      <c r="X1003" s="2">
        <f ca="1"/>
        <v>82.062166938029236</v>
      </c>
      <c r="AG1003" s="2">
        <f ca="1"/>
        <v>0.67964379276287223</v>
      </c>
      <c r="AH1003" s="2" t="str">
        <f ca="1"/>
        <v>Bad</v>
      </c>
    </row>
    <row r="1004" spans="2:34" x14ac:dyDescent="0.2">
      <c r="B1004" s="2">
        <f ca="1"/>
        <v>0.60840937883581692</v>
      </c>
      <c r="O1004" s="2">
        <f ca="1"/>
        <v>2.4294462796124381</v>
      </c>
      <c r="X1004" s="2">
        <f ca="1"/>
        <v>55.761813755940963</v>
      </c>
      <c r="AG1004" s="2">
        <f ca="1"/>
        <v>0.30899715002343053</v>
      </c>
      <c r="AH1004" s="2" t="str">
        <f ca="1"/>
        <v>OK</v>
      </c>
    </row>
    <row r="1005" spans="2:34" x14ac:dyDescent="0.2">
      <c r="B1005" s="2">
        <f ca="1"/>
        <v>2.1370335442990607E-2</v>
      </c>
      <c r="O1005" s="2">
        <f ca="1"/>
        <v>-1.4705022239555894</v>
      </c>
      <c r="X1005" s="2">
        <f ca="1"/>
        <v>24.115584092798375</v>
      </c>
      <c r="AG1005" s="2">
        <f ca="1"/>
        <v>5.6125294806041781E-2</v>
      </c>
      <c r="AH1005" s="2" t="str">
        <f ca="1"/>
        <v>OK</v>
      </c>
    </row>
    <row r="1006" spans="2:34" x14ac:dyDescent="0.2">
      <c r="B1006" s="2">
        <f ca="1"/>
        <v>0.3988437688188724</v>
      </c>
      <c r="O1006" s="2">
        <f ca="1"/>
        <v>0.3349193747326431</v>
      </c>
      <c r="X1006" s="2">
        <f ca="1"/>
        <v>30.096229978111278</v>
      </c>
      <c r="AG1006" s="2">
        <f ca="1"/>
        <v>0.93915785737137902</v>
      </c>
      <c r="AH1006" s="2" t="str">
        <f ca="1"/>
        <v>Bad</v>
      </c>
    </row>
    <row r="1007" spans="2:34" x14ac:dyDescent="0.2">
      <c r="B1007" s="2">
        <f ca="1"/>
        <v>0.62925750005132386</v>
      </c>
      <c r="O1007" s="2">
        <f ca="1"/>
        <v>0.64756522507680503</v>
      </c>
      <c r="X1007" s="2">
        <f ca="1"/>
        <v>44.641337883157604</v>
      </c>
      <c r="AG1007" s="2">
        <f ca="1"/>
        <v>0.26567367129714237</v>
      </c>
      <c r="AH1007" s="2" t="str">
        <f ca="1"/>
        <v>OK</v>
      </c>
    </row>
    <row r="1008" spans="2:34" x14ac:dyDescent="0.2">
      <c r="B1008" s="2">
        <f ca="1"/>
        <v>0.8492017268419001</v>
      </c>
      <c r="O1008" s="2">
        <f ca="1"/>
        <v>-0.74808953016543955</v>
      </c>
      <c r="X1008" s="2">
        <f ca="1"/>
        <v>45.296421592538522</v>
      </c>
      <c r="AG1008" s="2">
        <f ca="1"/>
        <v>0.64587797715682083</v>
      </c>
      <c r="AH1008" s="2" t="str">
        <f ca="1"/>
        <v>Bad</v>
      </c>
    </row>
    <row r="1009" spans="2:34" x14ac:dyDescent="0.2">
      <c r="B1009" s="2">
        <f ca="1"/>
        <v>0.18683379566244129</v>
      </c>
      <c r="O1009" s="2">
        <f ca="1"/>
        <v>0.22157157613253367</v>
      </c>
      <c r="X1009" s="2">
        <f ca="1"/>
        <v>51.496885591431038</v>
      </c>
      <c r="AG1009" s="2">
        <f ca="1"/>
        <v>0.90826323728112546</v>
      </c>
      <c r="AH1009" s="2" t="str">
        <f ca="1"/>
        <v>Bad</v>
      </c>
    </row>
    <row r="1010" spans="2:34" x14ac:dyDescent="0.2">
      <c r="B1010" s="2">
        <f ca="1"/>
        <v>0.50947723429446534</v>
      </c>
      <c r="O1010" s="2">
        <f ca="1"/>
        <v>1.204149299905956</v>
      </c>
      <c r="X1010" s="2">
        <f ca="1"/>
        <v>73.712502466324636</v>
      </c>
      <c r="AG1010" s="2">
        <f ca="1"/>
        <v>0.29058597521206964</v>
      </c>
      <c r="AH1010" s="2" t="str">
        <f ca="1"/>
        <v>OK</v>
      </c>
    </row>
    <row r="1011" spans="2:34" x14ac:dyDescent="0.2">
      <c r="B1011" s="2">
        <f ca="1"/>
        <v>0.92490880770563577</v>
      </c>
      <c r="O1011" s="2">
        <f ca="1"/>
        <v>-4.7169491760908795E-2</v>
      </c>
      <c r="X1011" s="2">
        <f ca="1"/>
        <v>49.392736295588236</v>
      </c>
      <c r="AG1011" s="2">
        <f ca="1"/>
        <v>0.5838785545650218</v>
      </c>
      <c r="AH1011" s="2" t="str">
        <f ca="1"/>
        <v>Bad</v>
      </c>
    </row>
    <row r="1012" spans="2:34" x14ac:dyDescent="0.2">
      <c r="B1012" s="2">
        <f ca="1"/>
        <v>0.95478579356652338</v>
      </c>
      <c r="O1012" s="2">
        <f ca="1"/>
        <v>-1.5229145228749472</v>
      </c>
      <c r="X1012" s="2">
        <f ca="1"/>
        <v>38.261542389112442</v>
      </c>
      <c r="AG1012" s="2">
        <f ca="1"/>
        <v>9.8326257890986035E-3</v>
      </c>
      <c r="AH1012" s="2" t="str">
        <f ca="1"/>
        <v>Good</v>
      </c>
    </row>
    <row r="1013" spans="2:34" x14ac:dyDescent="0.2">
      <c r="B1013" s="2">
        <f ca="1"/>
        <v>2.5795270255652092E-2</v>
      </c>
      <c r="O1013" s="2">
        <f ca="1"/>
        <v>1.2105976631780089</v>
      </c>
      <c r="X1013" s="2">
        <f ca="1"/>
        <v>23.247394512515154</v>
      </c>
      <c r="AG1013" s="2">
        <f ca="1"/>
        <v>0.11353718470518492</v>
      </c>
      <c r="AH1013" s="2" t="str">
        <f ca="1"/>
        <v>OK</v>
      </c>
    </row>
    <row r="1014" spans="2:34" x14ac:dyDescent="0.2">
      <c r="B1014" s="2">
        <f ca="1"/>
        <v>9.0447248746762909E-2</v>
      </c>
      <c r="O1014" s="2">
        <f ca="1"/>
        <v>1.5893651923332566</v>
      </c>
      <c r="X1014" s="2">
        <f ca="1"/>
        <v>44.864683402563898</v>
      </c>
      <c r="AG1014" s="2">
        <f ca="1"/>
        <v>0.80898409327799281</v>
      </c>
      <c r="AH1014" s="2" t="str">
        <f ca="1"/>
        <v>Bad</v>
      </c>
    </row>
    <row r="1015" spans="2:34" x14ac:dyDescent="0.2">
      <c r="B1015" s="2">
        <f ca="1"/>
        <v>0.25903498768425637</v>
      </c>
      <c r="O1015" s="2">
        <f ca="1"/>
        <v>-0.73556609385024108</v>
      </c>
      <c r="X1015" s="2">
        <f ca="1"/>
        <v>38.554556092344463</v>
      </c>
      <c r="AG1015" s="2">
        <f ca="1"/>
        <v>0.46444391188329726</v>
      </c>
      <c r="AH1015" s="2" t="str">
        <f ca="1"/>
        <v>Bad</v>
      </c>
    </row>
    <row r="1016" spans="2:34" x14ac:dyDescent="0.2">
      <c r="B1016" s="2">
        <f ca="1"/>
        <v>0.844191938975972</v>
      </c>
      <c r="O1016" s="2">
        <f ca="1"/>
        <v>0.30276399371006779</v>
      </c>
      <c r="X1016" s="2">
        <f ca="1"/>
        <v>42.296172940814543</v>
      </c>
      <c r="AG1016" s="2">
        <f ca="1"/>
        <v>0.68030722414855482</v>
      </c>
      <c r="AH1016" s="2" t="str">
        <f ca="1"/>
        <v>Bad</v>
      </c>
    </row>
    <row r="1017" spans="2:34" x14ac:dyDescent="0.2">
      <c r="B1017" s="2">
        <f ca="1"/>
        <v>0.45626807944772052</v>
      </c>
      <c r="O1017" s="2">
        <f ca="1"/>
        <v>-2.3002831695915452E-2</v>
      </c>
      <c r="X1017" s="2">
        <f ca="1"/>
        <v>48.313207892213242</v>
      </c>
      <c r="AG1017" s="2">
        <f ca="1"/>
        <v>0.53975211783240828</v>
      </c>
      <c r="AH1017" s="2" t="str">
        <f ca="1"/>
        <v>Bad</v>
      </c>
    </row>
    <row r="1018" spans="2:34" x14ac:dyDescent="0.2">
      <c r="B1018" s="2">
        <f ca="1"/>
        <v>0.19600362249080217</v>
      </c>
      <c r="O1018" s="2">
        <f ca="1"/>
        <v>0.8247270405444953</v>
      </c>
      <c r="X1018" s="2">
        <f ca="1"/>
        <v>44.17327654376826</v>
      </c>
      <c r="AG1018" s="2">
        <f ca="1"/>
        <v>0.6955094458042248</v>
      </c>
      <c r="AH1018" s="2" t="str">
        <f ca="1"/>
        <v>Bad</v>
      </c>
    </row>
    <row r="1019" spans="2:34" x14ac:dyDescent="0.2">
      <c r="B1019" s="2">
        <f ca="1"/>
        <v>0.26677744098668921</v>
      </c>
      <c r="O1019" s="2">
        <f ca="1"/>
        <v>-0.73408613170735526</v>
      </c>
      <c r="X1019" s="2">
        <f ca="1"/>
        <v>45.165240800187732</v>
      </c>
      <c r="AG1019" s="2">
        <f ca="1"/>
        <v>0.87843103979236825</v>
      </c>
      <c r="AH1019" s="2" t="str">
        <f ca="1"/>
        <v>Bad</v>
      </c>
    </row>
    <row r="1020" spans="2:34" x14ac:dyDescent="0.2">
      <c r="B1020" s="2">
        <f ca="1"/>
        <v>2.5687550497794254E-2</v>
      </c>
      <c r="O1020" s="2">
        <f ca="1"/>
        <v>0.14356577285960104</v>
      </c>
      <c r="X1020" s="2">
        <f ca="1"/>
        <v>32.455505882566278</v>
      </c>
      <c r="AG1020" s="2">
        <f ca="1"/>
        <v>0.9162888032056844</v>
      </c>
      <c r="AH1020" s="2" t="str">
        <f ca="1"/>
        <v>Bad</v>
      </c>
    </row>
    <row r="1021" spans="2:34" x14ac:dyDescent="0.2">
      <c r="B1021" s="2">
        <f ca="1"/>
        <v>0.17707635273363054</v>
      </c>
      <c r="O1021" s="2">
        <f ca="1"/>
        <v>-2.1965793054254741</v>
      </c>
      <c r="X1021" s="2">
        <f ca="1"/>
        <v>40.358580169210484</v>
      </c>
      <c r="AG1021" s="2">
        <f ca="1"/>
        <v>0.68554333020370239</v>
      </c>
      <c r="AH1021" s="2" t="str">
        <f ca="1"/>
        <v>Bad</v>
      </c>
    </row>
    <row r="1022" spans="2:34" x14ac:dyDescent="0.2">
      <c r="B1022" s="2">
        <f ca="1"/>
        <v>0.97278559437986623</v>
      </c>
      <c r="O1022" s="2">
        <f ca="1"/>
        <v>0.12409132643932924</v>
      </c>
      <c r="X1022" s="2">
        <f ca="1"/>
        <v>36.044753864309072</v>
      </c>
      <c r="AG1022" s="2">
        <f ca="1"/>
        <v>0.39513630146284973</v>
      </c>
      <c r="AH1022" s="2" t="str">
        <f ca="1"/>
        <v>OK</v>
      </c>
    </row>
    <row r="1023" spans="2:34" x14ac:dyDescent="0.2">
      <c r="B1023" s="2">
        <f ca="1"/>
        <v>0.17517938848550241</v>
      </c>
      <c r="O1023" s="2">
        <f ca="1"/>
        <v>-0.16091171660394696</v>
      </c>
      <c r="X1023" s="2">
        <f ca="1"/>
        <v>39.724428727347245</v>
      </c>
      <c r="AG1023" s="2">
        <f ca="1"/>
        <v>0.61303827235772856</v>
      </c>
      <c r="AH1023" s="2" t="str">
        <f ca="1"/>
        <v>Bad</v>
      </c>
    </row>
    <row r="1024" spans="2:34" x14ac:dyDescent="0.2">
      <c r="B1024" s="2">
        <f ca="1"/>
        <v>1.0891978824909332E-2</v>
      </c>
      <c r="O1024" s="2">
        <f ca="1"/>
        <v>0.11088994536365301</v>
      </c>
      <c r="X1024" s="2">
        <f ca="1"/>
        <v>50.477105849407153</v>
      </c>
      <c r="AG1024" s="2">
        <f ca="1"/>
        <v>0.19002778242280272</v>
      </c>
      <c r="AH1024" s="2" t="str">
        <f ca="1"/>
        <v>OK</v>
      </c>
    </row>
    <row r="1025" spans="2:34" x14ac:dyDescent="0.2">
      <c r="B1025" s="2">
        <f ca="1"/>
        <v>0.52143806467467013</v>
      </c>
      <c r="O1025" s="2">
        <f ca="1"/>
        <v>7.9061975387426944E-2</v>
      </c>
      <c r="X1025" s="2">
        <f ca="1"/>
        <v>81.932979051452435</v>
      </c>
      <c r="AG1025" s="2">
        <f ca="1"/>
        <v>0.6824598067645653</v>
      </c>
      <c r="AH1025" s="2" t="str">
        <f ca="1"/>
        <v>Bad</v>
      </c>
    </row>
    <row r="1026" spans="2:34" x14ac:dyDescent="0.2">
      <c r="B1026" s="2">
        <f ca="1"/>
        <v>0.4126723157922898</v>
      </c>
      <c r="O1026" s="2">
        <f ca="1"/>
        <v>0.8533909657454346</v>
      </c>
      <c r="X1026" s="2">
        <f ca="1"/>
        <v>47.68321785670625</v>
      </c>
      <c r="AG1026" s="2">
        <f ca="1"/>
        <v>0.14229529381873407</v>
      </c>
      <c r="AH1026" s="2" t="str">
        <f ca="1"/>
        <v>OK</v>
      </c>
    </row>
    <row r="1027" spans="2:34" x14ac:dyDescent="0.2">
      <c r="B1027" s="2">
        <f ca="1"/>
        <v>0.21148291396040375</v>
      </c>
      <c r="O1027" s="2">
        <f ca="1"/>
        <v>1.3189155242133546</v>
      </c>
      <c r="X1027" s="2">
        <f ca="1"/>
        <v>50.034714880015557</v>
      </c>
      <c r="AG1027" s="2">
        <f ca="1"/>
        <v>0.90557518848830876</v>
      </c>
      <c r="AH1027" s="2" t="str">
        <f ca="1"/>
        <v>Bad</v>
      </c>
    </row>
    <row r="1028" spans="2:34" x14ac:dyDescent="0.2">
      <c r="B1028" s="2">
        <f ca="1"/>
        <v>0.95875616062869673</v>
      </c>
      <c r="O1028" s="2">
        <f ca="1"/>
        <v>0.15235806009436267</v>
      </c>
      <c r="X1028" s="2">
        <f ca="1"/>
        <v>42.210567101565893</v>
      </c>
      <c r="AG1028" s="2">
        <f ca="1"/>
        <v>0.44339651381175771</v>
      </c>
      <c r="AH1028" s="2" t="str">
        <f ca="1"/>
        <v>Bad</v>
      </c>
    </row>
    <row r="1029" spans="2:34" x14ac:dyDescent="0.2">
      <c r="B1029" s="2">
        <f ca="1"/>
        <v>0.28827743260278993</v>
      </c>
      <c r="O1029" s="2">
        <f ca="1"/>
        <v>-1.2699941066942724</v>
      </c>
      <c r="X1029" s="2">
        <f ca="1"/>
        <v>49.181569503892476</v>
      </c>
      <c r="AG1029" s="2">
        <f ca="1"/>
        <v>0.43241475782040761</v>
      </c>
      <c r="AH1029" s="2" t="str">
        <f ca="1"/>
        <v>Bad</v>
      </c>
    </row>
    <row r="1030" spans="2:34" x14ac:dyDescent="0.2">
      <c r="B1030" s="2">
        <f ca="1"/>
        <v>0.85857622029030112</v>
      </c>
      <c r="O1030" s="2">
        <f ca="1"/>
        <v>0.20274320381904914</v>
      </c>
      <c r="X1030" s="2">
        <f ca="1"/>
        <v>60.601910440527249</v>
      </c>
      <c r="AG1030" s="2">
        <f ca="1"/>
        <v>0.65711575477489781</v>
      </c>
      <c r="AH1030" s="2" t="str">
        <f ca="1"/>
        <v>Bad</v>
      </c>
    </row>
    <row r="1031" spans="2:34" x14ac:dyDescent="0.2">
      <c r="B1031" s="2">
        <f ca="1"/>
        <v>0.50297133223828339</v>
      </c>
      <c r="O1031" s="2">
        <f ca="1"/>
        <v>-2.1697037114554658</v>
      </c>
      <c r="X1031" s="2">
        <f ca="1"/>
        <v>38.248314367255524</v>
      </c>
      <c r="AG1031" s="2">
        <f ca="1"/>
        <v>0.31597400317907165</v>
      </c>
      <c r="AH1031" s="2" t="str">
        <f ca="1"/>
        <v>OK</v>
      </c>
    </row>
    <row r="1032" spans="2:34" x14ac:dyDescent="0.2">
      <c r="B1032" s="2">
        <f ca="1"/>
        <v>0.30658760158799914</v>
      </c>
      <c r="O1032" s="2">
        <f ca="1"/>
        <v>0.32878375037259477</v>
      </c>
      <c r="X1032" s="2">
        <f ca="1"/>
        <v>42.30613821811459</v>
      </c>
      <c r="AG1032" s="2">
        <f ca="1"/>
        <v>2.043150696584628E-2</v>
      </c>
      <c r="AH1032" s="2" t="str">
        <f ca="1"/>
        <v>Good</v>
      </c>
    </row>
    <row r="1033" spans="2:34" x14ac:dyDescent="0.2">
      <c r="B1033" s="2">
        <f ca="1"/>
        <v>4.1985835704926977E-2</v>
      </c>
      <c r="O1033" s="2">
        <f ca="1"/>
        <v>-0.13214685210459298</v>
      </c>
      <c r="X1033" s="2">
        <f ca="1"/>
        <v>25.747569453982347</v>
      </c>
      <c r="AG1033" s="2">
        <f ca="1"/>
        <v>0.42155462372479913</v>
      </c>
      <c r="AH1033" s="2" t="str">
        <f ca="1"/>
        <v>Bad</v>
      </c>
    </row>
    <row r="1034" spans="2:34" x14ac:dyDescent="0.2">
      <c r="B1034" s="2">
        <f ca="1"/>
        <v>0.35506616302230154</v>
      </c>
      <c r="O1034" s="2">
        <f ca="1"/>
        <v>-0.57469498646205908</v>
      </c>
      <c r="X1034" s="2">
        <f ca="1"/>
        <v>45.652135752236163</v>
      </c>
      <c r="AG1034" s="2">
        <f ca="1"/>
        <v>0.72869040419142417</v>
      </c>
      <c r="AH1034" s="2" t="str">
        <f ca="1"/>
        <v>Bad</v>
      </c>
    </row>
    <row r="1035" spans="2:34" x14ac:dyDescent="0.2">
      <c r="B1035" s="2">
        <f ca="1"/>
        <v>0.65474445566642947</v>
      </c>
      <c r="O1035" s="2">
        <f ca="1"/>
        <v>-2.5308477744820243E-2</v>
      </c>
      <c r="X1035" s="2">
        <f ca="1"/>
        <v>30.549029432505499</v>
      </c>
      <c r="AG1035" s="2">
        <f ca="1"/>
        <v>0.73599259094534775</v>
      </c>
      <c r="AH1035" s="2" t="str">
        <f ca="1"/>
        <v>Bad</v>
      </c>
    </row>
    <row r="1036" spans="2:34" x14ac:dyDescent="0.2">
      <c r="B1036" s="2">
        <f ca="1"/>
        <v>0.63129988835011064</v>
      </c>
      <c r="O1036" s="2">
        <f ca="1"/>
        <v>-0.61648764677475476</v>
      </c>
      <c r="X1036" s="2">
        <f ca="1"/>
        <v>24.606429652167371</v>
      </c>
      <c r="AG1036" s="2">
        <f ca="1"/>
        <v>0.80118670501061473</v>
      </c>
      <c r="AH1036" s="2" t="str">
        <f ca="1"/>
        <v>Bad</v>
      </c>
    </row>
    <row r="1037" spans="2:34" x14ac:dyDescent="0.2">
      <c r="B1037" s="2">
        <f ca="1"/>
        <v>0.83706971863664514</v>
      </c>
      <c r="O1037" s="2">
        <f ca="1"/>
        <v>0.70962715413432997</v>
      </c>
      <c r="X1037" s="2">
        <f ca="1"/>
        <v>36.748982224037675</v>
      </c>
      <c r="AG1037" s="2">
        <f ca="1"/>
        <v>0.23705990563569013</v>
      </c>
      <c r="AH1037" s="2" t="str">
        <f ca="1"/>
        <v>OK</v>
      </c>
    </row>
    <row r="1038" spans="2:34" x14ac:dyDescent="0.2">
      <c r="B1038" s="2">
        <f ca="1"/>
        <v>0.21819625948493315</v>
      </c>
      <c r="O1038" s="2">
        <f ca="1"/>
        <v>-1.1579549806212093</v>
      </c>
      <c r="X1038" s="2">
        <f ca="1"/>
        <v>53.54757359713102</v>
      </c>
      <c r="AG1038" s="2">
        <f ca="1"/>
        <v>0.9220172386801655</v>
      </c>
      <c r="AH1038" s="2" t="str">
        <f ca="1"/>
        <v>Bad</v>
      </c>
    </row>
    <row r="1039" spans="2:34" x14ac:dyDescent="0.2">
      <c r="B1039" s="2">
        <f ca="1"/>
        <v>0.77270172282489513</v>
      </c>
      <c r="O1039" s="2">
        <f ca="1"/>
        <v>1.1214919124014779</v>
      </c>
      <c r="X1039" s="2">
        <f ca="1"/>
        <v>69.028793730582521</v>
      </c>
      <c r="AG1039" s="2">
        <f ca="1"/>
        <v>0.10639718333671833</v>
      </c>
      <c r="AH1039" s="2" t="str">
        <f ca="1"/>
        <v>OK</v>
      </c>
    </row>
    <row r="1040" spans="2:34" x14ac:dyDescent="0.2">
      <c r="B1040" s="2">
        <f ca="1"/>
        <v>0.27043611995432526</v>
      </c>
      <c r="O1040" s="2">
        <f ca="1"/>
        <v>-1.2246641012267889</v>
      </c>
      <c r="X1040" s="2">
        <f ca="1"/>
        <v>78.251503517127304</v>
      </c>
      <c r="AG1040" s="2">
        <f ca="1"/>
        <v>0.77999240435776018</v>
      </c>
      <c r="AH1040" s="2" t="str">
        <f ca="1"/>
        <v>Bad</v>
      </c>
    </row>
    <row r="1041" spans="2:34" x14ac:dyDescent="0.2">
      <c r="B1041" s="2">
        <f ca="1"/>
        <v>0.30567282142699548</v>
      </c>
      <c r="O1041" s="2">
        <f ca="1"/>
        <v>0.78579394674867087</v>
      </c>
      <c r="X1041" s="2">
        <f ca="1"/>
        <v>54.09334514278612</v>
      </c>
      <c r="AG1041" s="2">
        <f ca="1"/>
        <v>0.19040809401761161</v>
      </c>
      <c r="AH1041" s="2" t="str">
        <f ca="1"/>
        <v>OK</v>
      </c>
    </row>
    <row r="1042" spans="2:34" x14ac:dyDescent="0.2">
      <c r="B1042" s="2">
        <f ca="1"/>
        <v>0.17692502904479479</v>
      </c>
      <c r="O1042" s="2">
        <f ca="1"/>
        <v>-8.2468923116150269E-2</v>
      </c>
      <c r="X1042" s="2">
        <f ca="1"/>
        <v>27.992750829080993</v>
      </c>
      <c r="AG1042" s="2">
        <f ca="1"/>
        <v>0.49301977938347386</v>
      </c>
      <c r="AH1042" s="2" t="str">
        <f ca="1"/>
        <v>Bad</v>
      </c>
    </row>
    <row r="1043" spans="2:34" x14ac:dyDescent="0.2">
      <c r="B1043" s="2">
        <f ca="1"/>
        <v>0.30346252053453471</v>
      </c>
      <c r="O1043" s="2">
        <f ca="1"/>
        <v>-1.134561383274892</v>
      </c>
      <c r="X1043" s="2">
        <f ca="1"/>
        <v>39.1630323654718</v>
      </c>
      <c r="AG1043" s="2">
        <f ca="1"/>
        <v>0.30715567745862793</v>
      </c>
      <c r="AH1043" s="2" t="str">
        <f ca="1"/>
        <v>OK</v>
      </c>
    </row>
    <row r="1044" spans="2:34" x14ac:dyDescent="0.2">
      <c r="B1044" s="2">
        <f ca="1"/>
        <v>0.29127396461368726</v>
      </c>
      <c r="O1044" s="2">
        <f ca="1"/>
        <v>-1.4886945201423172</v>
      </c>
      <c r="X1044" s="2">
        <f ca="1"/>
        <v>31.596021667817102</v>
      </c>
      <c r="AG1044" s="2">
        <f ca="1"/>
        <v>0.13007482528870762</v>
      </c>
      <c r="AH1044" s="2" t="str">
        <f ca="1"/>
        <v>OK</v>
      </c>
    </row>
    <row r="1045" spans="2:34" x14ac:dyDescent="0.2">
      <c r="B1045" s="2">
        <f ca="1"/>
        <v>0.42167623697850565</v>
      </c>
      <c r="O1045" s="2">
        <f ca="1"/>
        <v>0.10874079867869148</v>
      </c>
      <c r="X1045" s="2">
        <f ca="1"/>
        <v>43.163116261143102</v>
      </c>
      <c r="AG1045" s="2">
        <f ca="1"/>
        <v>0.78849629470437343</v>
      </c>
      <c r="AH1045" s="2" t="str">
        <f ca="1"/>
        <v>Bad</v>
      </c>
    </row>
    <row r="1046" spans="2:34" x14ac:dyDescent="0.2">
      <c r="B1046" s="2">
        <f ca="1"/>
        <v>0.1166993722017855</v>
      </c>
      <c r="O1046" s="2">
        <f ca="1"/>
        <v>2.8999753231615744</v>
      </c>
      <c r="X1046" s="2">
        <f ca="1"/>
        <v>51.84242522089118</v>
      </c>
      <c r="AG1046" s="2">
        <f ca="1"/>
        <v>0.1564017890216578</v>
      </c>
      <c r="AH1046" s="2" t="str">
        <f ca="1"/>
        <v>OK</v>
      </c>
    </row>
    <row r="1047" spans="2:34" x14ac:dyDescent="0.2">
      <c r="B1047" s="2">
        <f ca="1"/>
        <v>0.96043651478530512</v>
      </c>
      <c r="O1047" s="2">
        <f ca="1"/>
        <v>-0.50288328729183496</v>
      </c>
      <c r="X1047" s="2">
        <f ca="1"/>
        <v>46.311565996572142</v>
      </c>
      <c r="AG1047" s="2">
        <f ca="1"/>
        <v>0.75130608139236021</v>
      </c>
      <c r="AH1047" s="2" t="str">
        <f ca="1"/>
        <v>Bad</v>
      </c>
    </row>
    <row r="1048" spans="2:34" x14ac:dyDescent="0.2">
      <c r="B1048" s="2">
        <f ca="1"/>
        <v>0.40655940462686568</v>
      </c>
      <c r="O1048" s="2">
        <f ca="1"/>
        <v>-0.98070664790723039</v>
      </c>
      <c r="X1048" s="2">
        <f ca="1"/>
        <v>43.795906912567716</v>
      </c>
      <c r="AG1048" s="2">
        <f ca="1"/>
        <v>4.74175713344136E-2</v>
      </c>
      <c r="AH1048" s="2" t="str">
        <f ca="1"/>
        <v>Good</v>
      </c>
    </row>
    <row r="1049" spans="2:34" x14ac:dyDescent="0.2">
      <c r="B1049" s="2">
        <f ca="1"/>
        <v>0.84520557977387378</v>
      </c>
      <c r="O1049" s="2">
        <f ca="1"/>
        <v>1.2083402006294357</v>
      </c>
      <c r="X1049" s="2">
        <f ca="1"/>
        <v>32.826657762800671</v>
      </c>
      <c r="AG1049" s="2">
        <f ca="1"/>
        <v>0.4714323362573265</v>
      </c>
      <c r="AH1049" s="2" t="str">
        <f ca="1"/>
        <v>Bad</v>
      </c>
    </row>
    <row r="1050" spans="2:34" x14ac:dyDescent="0.2">
      <c r="B1050" s="2">
        <f ca="1"/>
        <v>0.28274946499160758</v>
      </c>
      <c r="O1050" s="2">
        <f ca="1"/>
        <v>1.6019730255224311</v>
      </c>
      <c r="X1050" s="2">
        <f ca="1"/>
        <v>37.172651480618597</v>
      </c>
      <c r="AG1050" s="2">
        <f ca="1"/>
        <v>0.15158664653616105</v>
      </c>
      <c r="AH1050" s="2" t="str">
        <f ca="1"/>
        <v>OK</v>
      </c>
    </row>
    <row r="1051" spans="2:34" x14ac:dyDescent="0.2">
      <c r="B1051" s="2">
        <f ca="1"/>
        <v>0.5347860229537702</v>
      </c>
      <c r="O1051" s="2">
        <f ca="1"/>
        <v>0.66717567950600642</v>
      </c>
      <c r="X1051" s="2">
        <f ca="1"/>
        <v>60.344339486915658</v>
      </c>
      <c r="AG1051" s="2">
        <f ca="1"/>
        <v>0.37835839266717652</v>
      </c>
      <c r="AH1051" s="2" t="str">
        <f ca="1"/>
        <v>OK</v>
      </c>
    </row>
    <row r="1052" spans="2:34" x14ac:dyDescent="0.2">
      <c r="B1052" s="2">
        <f ca="1"/>
        <v>0.15128723091981255</v>
      </c>
      <c r="O1052" s="2">
        <f ca="1"/>
        <v>0.84557049974063703</v>
      </c>
      <c r="X1052" s="2">
        <f ca="1"/>
        <v>69.006445025883465</v>
      </c>
      <c r="AG1052" s="2">
        <f ca="1"/>
        <v>0.56254796637027926</v>
      </c>
      <c r="AH1052" s="2" t="str">
        <f ca="1"/>
        <v>Bad</v>
      </c>
    </row>
    <row r="1053" spans="2:34" x14ac:dyDescent="0.2">
      <c r="B1053" s="2">
        <f ca="1"/>
        <v>0.7537661679290153</v>
      </c>
      <c r="O1053" s="2">
        <f ca="1"/>
        <v>0.52932664153949294</v>
      </c>
      <c r="X1053" s="2">
        <f ca="1"/>
        <v>74.096050619488068</v>
      </c>
      <c r="AG1053" s="2">
        <f ca="1"/>
        <v>0.22033793924319989</v>
      </c>
      <c r="AH1053" s="2" t="str">
        <f ca="1"/>
        <v>OK</v>
      </c>
    </row>
    <row r="1054" spans="2:34" x14ac:dyDescent="0.2">
      <c r="B1054" s="2">
        <f ca="1"/>
        <v>0.28580714373643468</v>
      </c>
      <c r="O1054" s="2">
        <f ca="1"/>
        <v>1.1512737673047613</v>
      </c>
      <c r="X1054" s="2">
        <f ca="1"/>
        <v>75.972120854233737</v>
      </c>
      <c r="AG1054" s="2">
        <f ca="1"/>
        <v>0.30857837335296057</v>
      </c>
      <c r="AH1054" s="2" t="str">
        <f ca="1"/>
        <v>OK</v>
      </c>
    </row>
    <row r="1055" spans="2:34" x14ac:dyDescent="0.2">
      <c r="B1055" s="2">
        <f ca="1"/>
        <v>0.13579302370977708</v>
      </c>
      <c r="O1055" s="2">
        <f ca="1"/>
        <v>1.0226794561544175</v>
      </c>
      <c r="X1055" s="2">
        <f ca="1"/>
        <v>56.351618152143928</v>
      </c>
      <c r="AG1055" s="2">
        <f ca="1"/>
        <v>2.2676809772024686E-2</v>
      </c>
      <c r="AH1055" s="2" t="str">
        <f ca="1"/>
        <v>Good</v>
      </c>
    </row>
    <row r="1056" spans="2:34" x14ac:dyDescent="0.2">
      <c r="B1056" s="2">
        <f ca="1"/>
        <v>0.15876803002851481</v>
      </c>
      <c r="O1056" s="2">
        <f ca="1"/>
        <v>0.30053742056812344</v>
      </c>
      <c r="X1056" s="2">
        <f ca="1"/>
        <v>84.01436964401698</v>
      </c>
      <c r="AG1056" s="2">
        <f ca="1"/>
        <v>0.95533838199135923</v>
      </c>
      <c r="AH1056" s="2" t="str">
        <f ca="1"/>
        <v>Bad</v>
      </c>
    </row>
    <row r="1057" spans="2:34" x14ac:dyDescent="0.2">
      <c r="B1057" s="2">
        <f ca="1"/>
        <v>0.9246423090518463</v>
      </c>
      <c r="O1057" s="2">
        <f ca="1"/>
        <v>-1.3927217869391206</v>
      </c>
      <c r="X1057" s="2">
        <f ca="1"/>
        <v>40.403597536367712</v>
      </c>
      <c r="AG1057" s="2">
        <f ca="1"/>
        <v>0.5600575510767849</v>
      </c>
      <c r="AH1057" s="2" t="str">
        <f ca="1"/>
        <v>Bad</v>
      </c>
    </row>
    <row r="1058" spans="2:34" x14ac:dyDescent="0.2">
      <c r="B1058" s="2">
        <f ca="1"/>
        <v>0.56760659254477885</v>
      </c>
      <c r="O1058" s="2">
        <f ca="1"/>
        <v>-0.60733396317338806</v>
      </c>
      <c r="X1058" s="2">
        <f ca="1"/>
        <v>22.207629783760723</v>
      </c>
      <c r="AG1058" s="2">
        <f ca="1"/>
        <v>0.53902727739781597</v>
      </c>
      <c r="AH1058" s="2" t="str">
        <f ca="1"/>
        <v>Bad</v>
      </c>
    </row>
    <row r="1059" spans="2:34" x14ac:dyDescent="0.2">
      <c r="B1059" s="2">
        <f ca="1"/>
        <v>0.54012491852216304</v>
      </c>
      <c r="O1059" s="2">
        <f ca="1"/>
        <v>0.97212687031857037</v>
      </c>
      <c r="X1059" s="2">
        <f ca="1"/>
        <v>51.175223394271121</v>
      </c>
      <c r="AG1059" s="2">
        <f ca="1"/>
        <v>0.60347102393629304</v>
      </c>
      <c r="AH1059" s="2" t="str">
        <f ca="1"/>
        <v>Bad</v>
      </c>
    </row>
    <row r="1060" spans="2:34" x14ac:dyDescent="0.2">
      <c r="B1060" s="2">
        <f ca="1"/>
        <v>0.81883069654950402</v>
      </c>
      <c r="O1060" s="2">
        <f ca="1"/>
        <v>0.79534809450749577</v>
      </c>
      <c r="X1060" s="2">
        <f ca="1"/>
        <v>95.761753016479929</v>
      </c>
      <c r="AG1060" s="2">
        <f ca="1"/>
        <v>0.1427908186666822</v>
      </c>
      <c r="AH1060" s="2" t="str">
        <f ca="1"/>
        <v>OK</v>
      </c>
    </row>
    <row r="1061" spans="2:34" x14ac:dyDescent="0.2">
      <c r="B1061" s="2">
        <f ca="1"/>
        <v>0.9279482762405602</v>
      </c>
      <c r="O1061" s="2">
        <f ca="1"/>
        <v>-1.8178030702724115</v>
      </c>
      <c r="X1061" s="2">
        <f ca="1"/>
        <v>29.161109667030189</v>
      </c>
      <c r="AG1061" s="2">
        <f ca="1"/>
        <v>6.5111076507519794E-2</v>
      </c>
      <c r="AH1061" s="2" t="str">
        <f ca="1"/>
        <v>OK</v>
      </c>
    </row>
    <row r="1062" spans="2:34" x14ac:dyDescent="0.2">
      <c r="B1062" s="2">
        <f ca="1"/>
        <v>0.20524861396872618</v>
      </c>
      <c r="O1062" s="2">
        <f ca="1"/>
        <v>-0.1333156750543123</v>
      </c>
      <c r="X1062" s="2">
        <f ca="1"/>
        <v>60.608470440149283</v>
      </c>
      <c r="AG1062" s="2">
        <f ca="1"/>
        <v>0.22944997537635836</v>
      </c>
      <c r="AH1062" s="2" t="str">
        <f ca="1"/>
        <v>OK</v>
      </c>
    </row>
    <row r="1063" spans="2:34" x14ac:dyDescent="0.2">
      <c r="B1063" s="2">
        <f ca="1"/>
        <v>2.2457740936765891E-2</v>
      </c>
      <c r="O1063" s="2">
        <f ca="1"/>
        <v>-1.6390545342162937</v>
      </c>
      <c r="X1063" s="2">
        <f ca="1"/>
        <v>45.459128954727682</v>
      </c>
      <c r="AG1063" s="2">
        <f ca="1"/>
        <v>0.44234586345499749</v>
      </c>
      <c r="AH1063" s="2" t="str">
        <f ca="1"/>
        <v>Bad</v>
      </c>
    </row>
    <row r="1064" spans="2:34" x14ac:dyDescent="0.2">
      <c r="B1064" s="2">
        <f ca="1"/>
        <v>0.8620423333780014</v>
      </c>
      <c r="O1064" s="2">
        <f ca="1"/>
        <v>1.8740530478704456</v>
      </c>
      <c r="X1064" s="2">
        <f ca="1"/>
        <v>33.325879870181041</v>
      </c>
      <c r="AG1064" s="2">
        <f ca="1"/>
        <v>0.83008217578627619</v>
      </c>
      <c r="AH1064" s="2" t="str">
        <f ca="1"/>
        <v>Bad</v>
      </c>
    </row>
    <row r="1065" spans="2:34" x14ac:dyDescent="0.2">
      <c r="B1065" s="2">
        <f ca="1"/>
        <v>1.1071385289560531E-3</v>
      </c>
      <c r="O1065" s="2">
        <f ca="1"/>
        <v>-0.4062602565318667</v>
      </c>
      <c r="X1065" s="2">
        <f ca="1"/>
        <v>23.673282383149964</v>
      </c>
      <c r="AG1065" s="2">
        <f ca="1"/>
        <v>0.27511703227009754</v>
      </c>
      <c r="AH1065" s="2" t="str">
        <f ca="1"/>
        <v>OK</v>
      </c>
    </row>
    <row r="1066" spans="2:34" x14ac:dyDescent="0.2">
      <c r="B1066" s="2">
        <f ca="1"/>
        <v>0.29394790714654251</v>
      </c>
      <c r="O1066" s="2">
        <f ca="1"/>
        <v>-0.55665435310123201</v>
      </c>
      <c r="X1066" s="2">
        <f ca="1"/>
        <v>76.523756745857682</v>
      </c>
      <c r="AG1066" s="2">
        <f ca="1"/>
        <v>8.3841879744183556E-2</v>
      </c>
      <c r="AH1066" s="2" t="str">
        <f ca="1"/>
        <v>OK</v>
      </c>
    </row>
    <row r="1067" spans="2:34" x14ac:dyDescent="0.2">
      <c r="B1067" s="2">
        <f ca="1"/>
        <v>0.22368088130669306</v>
      </c>
      <c r="O1067" s="2">
        <f ca="1"/>
        <v>0.57952400863197018</v>
      </c>
      <c r="X1067" s="2">
        <f ca="1"/>
        <v>54.990061526231969</v>
      </c>
      <c r="AG1067" s="2">
        <f ca="1"/>
        <v>0.88696534125965409</v>
      </c>
      <c r="AH1067" s="2" t="str">
        <f ca="1"/>
        <v>Bad</v>
      </c>
    </row>
    <row r="1068" spans="2:34" x14ac:dyDescent="0.2">
      <c r="B1068" s="2">
        <f ca="1"/>
        <v>0.73113292093211424</v>
      </c>
      <c r="O1068" s="2">
        <f ca="1"/>
        <v>0.20349063895245237</v>
      </c>
      <c r="X1068" s="2">
        <f ca="1"/>
        <v>42.415018125170711</v>
      </c>
      <c r="AG1068" s="2">
        <f ca="1"/>
        <v>0.80083207091259667</v>
      </c>
      <c r="AH1068" s="2" t="str">
        <f ca="1"/>
        <v>Bad</v>
      </c>
    </row>
    <row r="1069" spans="2:34" x14ac:dyDescent="0.2">
      <c r="B1069" s="2">
        <f ca="1"/>
        <v>8.1678111996317249E-2</v>
      </c>
      <c r="O1069" s="2">
        <f ca="1"/>
        <v>0.83692208529467382</v>
      </c>
      <c r="X1069" s="2">
        <f ca="1"/>
        <v>21.875044145059107</v>
      </c>
      <c r="AG1069" s="2">
        <f ca="1"/>
        <v>0.2764196898723239</v>
      </c>
      <c r="AH1069" s="2" t="str">
        <f ca="1"/>
        <v>OK</v>
      </c>
    </row>
    <row r="1070" spans="2:34" x14ac:dyDescent="0.2">
      <c r="B1070" s="2">
        <f ca="1"/>
        <v>0.42375429264480102</v>
      </c>
      <c r="O1070" s="2">
        <f ca="1"/>
        <v>-0.73380421063992229</v>
      </c>
      <c r="X1070" s="2">
        <f ca="1"/>
        <v>36.535414247000695</v>
      </c>
      <c r="AG1070" s="2">
        <f ca="1"/>
        <v>0.53620620856329282</v>
      </c>
      <c r="AH1070" s="2" t="str">
        <f ca="1"/>
        <v>Bad</v>
      </c>
    </row>
    <row r="1071" spans="2:34" x14ac:dyDescent="0.2">
      <c r="B1071" s="2">
        <f ca="1"/>
        <v>0.3571282724045477</v>
      </c>
      <c r="O1071" s="2">
        <f ca="1"/>
        <v>-1.1463557898401671</v>
      </c>
      <c r="X1071" s="2">
        <f ca="1"/>
        <v>33.734523380120585</v>
      </c>
      <c r="AG1071" s="2">
        <f ca="1"/>
        <v>0.71090834049383655</v>
      </c>
      <c r="AH1071" s="2" t="str">
        <f ca="1"/>
        <v>Bad</v>
      </c>
    </row>
    <row r="1072" spans="2:34" x14ac:dyDescent="0.2">
      <c r="B1072" s="2">
        <f ca="1"/>
        <v>0.35238096484771542</v>
      </c>
      <c r="O1072" s="2">
        <f ca="1"/>
        <v>0.98423927218233243</v>
      </c>
      <c r="X1072" s="2">
        <f ca="1"/>
        <v>39.406334375191932</v>
      </c>
      <c r="AG1072" s="2">
        <f ca="1"/>
        <v>0.12369593821265967</v>
      </c>
      <c r="AH1072" s="2" t="str">
        <f ca="1"/>
        <v>OK</v>
      </c>
    </row>
    <row r="1073" spans="2:34" x14ac:dyDescent="0.2">
      <c r="B1073" s="2">
        <f ca="1"/>
        <v>0.1804711774192389</v>
      </c>
      <c r="O1073" s="2">
        <f ca="1"/>
        <v>1.3482722865398449</v>
      </c>
      <c r="X1073" s="2">
        <f ca="1"/>
        <v>60.949655128886576</v>
      </c>
      <c r="AG1073" s="2">
        <f ca="1"/>
        <v>0.3055655399107291</v>
      </c>
      <c r="AH1073" s="2" t="str">
        <f ca="1"/>
        <v>OK</v>
      </c>
    </row>
    <row r="1074" spans="2:34" x14ac:dyDescent="0.2">
      <c r="B1074" s="2">
        <f ca="1"/>
        <v>9.4631625589369328E-2</v>
      </c>
      <c r="O1074" s="2">
        <f ca="1"/>
        <v>-0.40894047976776299</v>
      </c>
      <c r="X1074" s="2">
        <f ca="1"/>
        <v>44.704997804219232</v>
      </c>
      <c r="AG1074" s="2">
        <f ca="1"/>
        <v>0.82041846107011529</v>
      </c>
      <c r="AH1074" s="2" t="str">
        <f ca="1"/>
        <v>Bad</v>
      </c>
    </row>
    <row r="1075" spans="2:34" x14ac:dyDescent="0.2">
      <c r="B1075" s="2">
        <f ca="1"/>
        <v>0.11641465282999763</v>
      </c>
      <c r="O1075" s="2">
        <f ca="1"/>
        <v>-1.7541481802764038</v>
      </c>
      <c r="X1075" s="2">
        <f ca="1"/>
        <v>51.615215255505532</v>
      </c>
      <c r="AG1075" s="2">
        <f ca="1"/>
        <v>7.1595348110420787E-2</v>
      </c>
      <c r="AH1075" s="2" t="str">
        <f ca="1"/>
        <v>OK</v>
      </c>
    </row>
    <row r="1076" spans="2:34" x14ac:dyDescent="0.2">
      <c r="B1076" s="2">
        <f ca="1"/>
        <v>0.24952501593514742</v>
      </c>
      <c r="O1076" s="2">
        <f ca="1"/>
        <v>0.35503559473941393</v>
      </c>
      <c r="X1076" s="2">
        <f ca="1"/>
        <v>64.063870314950449</v>
      </c>
      <c r="AG1076" s="2">
        <f ca="1"/>
        <v>0.41687931464151462</v>
      </c>
      <c r="AH1076" s="2" t="str">
        <f ca="1"/>
        <v>Bad</v>
      </c>
    </row>
    <row r="1077" spans="2:34" x14ac:dyDescent="0.2">
      <c r="B1077" s="2">
        <f ca="1"/>
        <v>0.83602449559193603</v>
      </c>
      <c r="O1077" s="2">
        <f ca="1"/>
        <v>1.2689984057363526</v>
      </c>
      <c r="X1077" s="2">
        <f ca="1"/>
        <v>33.545674372605461</v>
      </c>
      <c r="AG1077" s="2">
        <f ca="1"/>
        <v>0.99792086208961872</v>
      </c>
      <c r="AH1077" s="2" t="str">
        <f ca="1"/>
        <v>Bad</v>
      </c>
    </row>
    <row r="1078" spans="2:34" x14ac:dyDescent="0.2">
      <c r="B1078" s="2">
        <f ca="1"/>
        <v>0.86110809051704762</v>
      </c>
      <c r="O1078" s="2">
        <f ca="1"/>
        <v>-0.27668623825471572</v>
      </c>
      <c r="X1078" s="2">
        <f ca="1"/>
        <v>43.440996971504653</v>
      </c>
      <c r="AG1078" s="2">
        <f ca="1"/>
        <v>0.92186709316904381</v>
      </c>
      <c r="AH1078" s="2" t="str">
        <f ca="1"/>
        <v>Bad</v>
      </c>
    </row>
    <row r="1079" spans="2:34" x14ac:dyDescent="0.2">
      <c r="B1079" s="2">
        <f ca="1"/>
        <v>0.15887147963537562</v>
      </c>
      <c r="O1079" s="2">
        <f ca="1"/>
        <v>-7.0420058084712633E-2</v>
      </c>
      <c r="X1079" s="2">
        <f ca="1"/>
        <v>61.644260889689527</v>
      </c>
      <c r="AG1079" s="2">
        <f ca="1"/>
        <v>0.52458707571618701</v>
      </c>
      <c r="AH1079" s="2" t="str">
        <f ca="1"/>
        <v>Bad</v>
      </c>
    </row>
    <row r="1080" spans="2:34" x14ac:dyDescent="0.2">
      <c r="B1080" s="2">
        <f ca="1"/>
        <v>0.19314105333504683</v>
      </c>
      <c r="O1080" s="2">
        <f ca="1"/>
        <v>0.46835543117717743</v>
      </c>
      <c r="X1080" s="2">
        <f ca="1"/>
        <v>45.158694176688343</v>
      </c>
      <c r="AG1080" s="2">
        <f ca="1"/>
        <v>0.92105284350266636</v>
      </c>
      <c r="AH1080" s="2" t="str">
        <f ca="1"/>
        <v>Bad</v>
      </c>
    </row>
    <row r="1081" spans="2:34" x14ac:dyDescent="0.2">
      <c r="B1081" s="2">
        <f ca="1"/>
        <v>0.57192889307265116</v>
      </c>
      <c r="O1081" s="2">
        <f ca="1"/>
        <v>-0.20048400211680256</v>
      </c>
      <c r="X1081" s="2">
        <f ca="1"/>
        <v>34.011898343342757</v>
      </c>
      <c r="AG1081" s="2">
        <f ca="1"/>
        <v>0.3742114790810569</v>
      </c>
      <c r="AH1081" s="2" t="str">
        <f ca="1"/>
        <v>OK</v>
      </c>
    </row>
    <row r="1082" spans="2:34" x14ac:dyDescent="0.2">
      <c r="B1082" s="2">
        <f ca="1"/>
        <v>0.69223538269091911</v>
      </c>
      <c r="O1082" s="2">
        <f ca="1"/>
        <v>0.40641448109959394</v>
      </c>
      <c r="X1082" s="2">
        <f ca="1"/>
        <v>58.44329006951412</v>
      </c>
      <c r="AG1082" s="2">
        <f ca="1"/>
        <v>0.43369247901038532</v>
      </c>
      <c r="AH1082" s="2" t="str">
        <f ca="1"/>
        <v>Bad</v>
      </c>
    </row>
    <row r="1083" spans="2:34" x14ac:dyDescent="0.2">
      <c r="B1083" s="2">
        <f ca="1"/>
        <v>0.53310856253056649</v>
      </c>
      <c r="O1083" s="2">
        <f ca="1"/>
        <v>2.6590374575601934</v>
      </c>
      <c r="X1083" s="2">
        <f ca="1"/>
        <v>55.493883161836315</v>
      </c>
      <c r="AG1083" s="2">
        <f ca="1"/>
        <v>0.35769140279696066</v>
      </c>
      <c r="AH1083" s="2" t="str">
        <f ca="1"/>
        <v>OK</v>
      </c>
    </row>
    <row r="1084" spans="2:34" x14ac:dyDescent="0.2">
      <c r="B1084" s="2">
        <f ca="1"/>
        <v>0.2267939645161765</v>
      </c>
      <c r="O1084" s="2">
        <f ca="1"/>
        <v>1.0576454389116534</v>
      </c>
      <c r="X1084" s="2">
        <f ca="1"/>
        <v>47.122448152820134</v>
      </c>
      <c r="AG1084" s="2">
        <f ca="1"/>
        <v>0.38955055863347821</v>
      </c>
      <c r="AH1084" s="2" t="str">
        <f ca="1"/>
        <v>OK</v>
      </c>
    </row>
    <row r="1085" spans="2:34" x14ac:dyDescent="0.2">
      <c r="B1085" s="2">
        <f ca="1"/>
        <v>0.60200555703772474</v>
      </c>
      <c r="O1085" s="2">
        <f ca="1"/>
        <v>-1.1296930196457251</v>
      </c>
      <c r="X1085" s="2">
        <f ca="1"/>
        <v>63.388347077590367</v>
      </c>
      <c r="AG1085" s="2">
        <f ca="1"/>
        <v>0.95642917049574638</v>
      </c>
      <c r="AH1085" s="2" t="str">
        <f ca="1"/>
        <v>Bad</v>
      </c>
    </row>
    <row r="1086" spans="2:34" x14ac:dyDescent="0.2">
      <c r="B1086" s="2">
        <f ca="1"/>
        <v>0.84395841723669629</v>
      </c>
      <c r="O1086" s="2">
        <f ca="1"/>
        <v>-0.24305231844594494</v>
      </c>
      <c r="X1086" s="2">
        <f ca="1"/>
        <v>66.0141898890666</v>
      </c>
      <c r="AG1086" s="2">
        <f ca="1"/>
        <v>3.7917236740864446E-2</v>
      </c>
      <c r="AH1086" s="2" t="str">
        <f ca="1"/>
        <v>Good</v>
      </c>
    </row>
    <row r="1087" spans="2:34" x14ac:dyDescent="0.2">
      <c r="B1087" s="2">
        <f ca="1"/>
        <v>0.46343199685923553</v>
      </c>
      <c r="O1087" s="2">
        <f ca="1"/>
        <v>-0.43674853396163876</v>
      </c>
      <c r="X1087" s="2">
        <f ca="1"/>
        <v>31.321323701280825</v>
      </c>
      <c r="AG1087" s="2">
        <f ca="1"/>
        <v>0.6263656019195345</v>
      </c>
      <c r="AH1087" s="2" t="str">
        <f ca="1"/>
        <v>Bad</v>
      </c>
    </row>
    <row r="1088" spans="2:34" x14ac:dyDescent="0.2">
      <c r="B1088" s="2">
        <f ca="1"/>
        <v>0.90456551544067865</v>
      </c>
      <c r="O1088" s="2">
        <f ca="1"/>
        <v>-0.4694959036573314</v>
      </c>
      <c r="X1088" s="2">
        <f ca="1"/>
        <v>50.697773411731106</v>
      </c>
      <c r="AG1088" s="2">
        <f ca="1"/>
        <v>0.51919366141484757</v>
      </c>
      <c r="AH1088" s="2" t="str">
        <f ca="1"/>
        <v>Bad</v>
      </c>
    </row>
    <row r="1089" spans="2:34" x14ac:dyDescent="0.2">
      <c r="B1089" s="2">
        <f ca="1"/>
        <v>0.41802967888604337</v>
      </c>
      <c r="O1089" s="2">
        <f ca="1"/>
        <v>0.85145060044602183</v>
      </c>
      <c r="X1089" s="2">
        <f ca="1"/>
        <v>33.754542126540564</v>
      </c>
      <c r="AG1089" s="2">
        <f ca="1"/>
        <v>0.73851543048137636</v>
      </c>
      <c r="AH1089" s="2" t="str">
        <f ca="1"/>
        <v>Bad</v>
      </c>
    </row>
    <row r="1090" spans="2:34" x14ac:dyDescent="0.2">
      <c r="B1090" s="2">
        <f ca="1"/>
        <v>0.51780580320199499</v>
      </c>
      <c r="O1090" s="2">
        <f ca="1"/>
        <v>-0.60265716406196523</v>
      </c>
      <c r="X1090" s="2">
        <f ca="1"/>
        <v>39.24114292779678</v>
      </c>
      <c r="AG1090" s="2">
        <f ca="1"/>
        <v>0.63903864445162917</v>
      </c>
      <c r="AH1090" s="2" t="str">
        <f ca="1"/>
        <v>Bad</v>
      </c>
    </row>
    <row r="1091" spans="2:34" x14ac:dyDescent="0.2">
      <c r="B1091" s="2">
        <f ca="1"/>
        <v>0.2611064145114006</v>
      </c>
      <c r="O1091" s="2">
        <f ca="1"/>
        <v>1.3138884907038673</v>
      </c>
      <c r="X1091" s="2">
        <f ca="1"/>
        <v>49.862266014421913</v>
      </c>
      <c r="AG1091" s="2">
        <f ca="1"/>
        <v>0.85821031761762789</v>
      </c>
      <c r="AH1091" s="2" t="str">
        <f ca="1"/>
        <v>Bad</v>
      </c>
    </row>
    <row r="1092" spans="2:34" x14ac:dyDescent="0.2">
      <c r="B1092" s="2">
        <f ca="1"/>
        <v>0.16486196971893552</v>
      </c>
      <c r="O1092" s="2">
        <f ca="1"/>
        <v>-0.26680230866730897</v>
      </c>
      <c r="X1092" s="2">
        <f ca="1"/>
        <v>61.726796694730098</v>
      </c>
      <c r="AG1092" s="2">
        <f ca="1"/>
        <v>0.4254214504955689</v>
      </c>
      <c r="AH1092" s="2" t="str">
        <f ca="1"/>
        <v>Bad</v>
      </c>
    </row>
    <row r="1093" spans="2:34" x14ac:dyDescent="0.2">
      <c r="B1093" s="2">
        <f ca="1"/>
        <v>0.98236663495993426</v>
      </c>
      <c r="O1093" s="2">
        <f ca="1"/>
        <v>0.35588440628640283</v>
      </c>
      <c r="X1093" s="2">
        <f ca="1"/>
        <v>73.387970478080774</v>
      </c>
      <c r="AG1093" s="2">
        <f ca="1"/>
        <v>0.8242630635923589</v>
      </c>
      <c r="AH1093" s="2" t="str">
        <f ca="1"/>
        <v>Bad</v>
      </c>
    </row>
    <row r="1094" spans="2:34" x14ac:dyDescent="0.2">
      <c r="B1094" s="2">
        <f ca="1"/>
        <v>0.27549747952589554</v>
      </c>
      <c r="O1094" s="2">
        <f ca="1"/>
        <v>-6.6233403657669762E-2</v>
      </c>
      <c r="X1094" s="2">
        <f ca="1"/>
        <v>64.916722197876297</v>
      </c>
      <c r="AG1094" s="2">
        <f ca="1"/>
        <v>0.54954340073727637</v>
      </c>
      <c r="AH1094" s="2" t="str">
        <f ca="1"/>
        <v>Bad</v>
      </c>
    </row>
    <row r="1095" spans="2:34" x14ac:dyDescent="0.2">
      <c r="B1095" s="2">
        <f ca="1"/>
        <v>0.30918487301702502</v>
      </c>
      <c r="O1095" s="2">
        <f ca="1"/>
        <v>7.172246296042617E-2</v>
      </c>
      <c r="X1095" s="2">
        <f ca="1"/>
        <v>43.497782547538513</v>
      </c>
      <c r="AG1095" s="2">
        <f ca="1"/>
        <v>4.3185273580601757E-2</v>
      </c>
      <c r="AH1095" s="2" t="str">
        <f ca="1"/>
        <v>Good</v>
      </c>
    </row>
    <row r="1096" spans="2:34" x14ac:dyDescent="0.2">
      <c r="B1096" s="2">
        <f ca="1"/>
        <v>0.50388813778410158</v>
      </c>
      <c r="O1096" s="2">
        <f ca="1"/>
        <v>1.2206178289305005</v>
      </c>
      <c r="X1096" s="2">
        <f ca="1"/>
        <v>77.802237624313491</v>
      </c>
      <c r="AG1096" s="2">
        <f ca="1"/>
        <v>0.10357637025197608</v>
      </c>
      <c r="AH1096" s="2" t="str">
        <f ca="1"/>
        <v>OK</v>
      </c>
    </row>
    <row r="1097" spans="2:34" x14ac:dyDescent="0.2">
      <c r="B1097" s="2">
        <f ca="1"/>
        <v>0.16628577533980482</v>
      </c>
      <c r="O1097" s="2">
        <f ca="1"/>
        <v>0.38517444055263123</v>
      </c>
      <c r="X1097" s="2">
        <f ca="1"/>
        <v>50.975580164547132</v>
      </c>
      <c r="AG1097" s="2">
        <f ca="1"/>
        <v>0.50398143693547315</v>
      </c>
      <c r="AH1097" s="2" t="str">
        <f ca="1"/>
        <v>Bad</v>
      </c>
    </row>
    <row r="1098" spans="2:34" x14ac:dyDescent="0.2">
      <c r="B1098" s="2">
        <f ca="1"/>
        <v>0.13613984983749416</v>
      </c>
      <c r="O1098" s="2">
        <f ca="1"/>
        <v>1.4478816010666362</v>
      </c>
      <c r="X1098" s="2">
        <f ca="1"/>
        <v>52.279009532122693</v>
      </c>
      <c r="AG1098" s="2">
        <f ca="1"/>
        <v>0.79078139576650619</v>
      </c>
      <c r="AH1098" s="2" t="str">
        <f ca="1"/>
        <v>Bad</v>
      </c>
    </row>
    <row r="1099" spans="2:34" x14ac:dyDescent="0.2">
      <c r="B1099" s="2">
        <f ca="1"/>
        <v>0.25329479848653591</v>
      </c>
      <c r="O1099" s="2">
        <f ca="1"/>
        <v>-0.4420484360479191</v>
      </c>
      <c r="X1099" s="2">
        <f ca="1"/>
        <v>40.804998499348414</v>
      </c>
      <c r="AG1099" s="2">
        <f ca="1"/>
        <v>0.80239096232446383</v>
      </c>
      <c r="AH1099" s="2" t="str">
        <f ca="1"/>
        <v>Bad</v>
      </c>
    </row>
    <row r="1100" spans="2:34" x14ac:dyDescent="0.2">
      <c r="B1100" s="2">
        <f ca="1"/>
        <v>0.11288020980229052</v>
      </c>
      <c r="O1100" s="2">
        <f ca="1"/>
        <v>-0.2760326740651014</v>
      </c>
      <c r="X1100" s="2">
        <f ca="1"/>
        <v>80.483697770089918</v>
      </c>
      <c r="AG1100" s="2">
        <f ca="1"/>
        <v>0.95531970213962203</v>
      </c>
      <c r="AH1100" s="2" t="str">
        <f ca="1"/>
        <v>Bad</v>
      </c>
    </row>
    <row r="1101" spans="2:34" x14ac:dyDescent="0.2">
      <c r="B1101" s="2">
        <f ca="1"/>
        <v>0.84948170242513243</v>
      </c>
      <c r="O1101" s="2">
        <f ca="1"/>
        <v>-1.1279511160397733</v>
      </c>
      <c r="X1101" s="2">
        <f ca="1"/>
        <v>55.295503266013455</v>
      </c>
      <c r="AG1101" s="2">
        <f ca="1"/>
        <v>0.17076990675952963</v>
      </c>
      <c r="AH1101" s="2" t="str">
        <f ca="1"/>
        <v>OK</v>
      </c>
    </row>
    <row r="1102" spans="2:34" x14ac:dyDescent="0.2">
      <c r="B1102" s="2">
        <f ca="1"/>
        <v>0.47751072910909298</v>
      </c>
      <c r="O1102" s="2">
        <f ca="1"/>
        <v>7.4404017128039221E-2</v>
      </c>
      <c r="X1102" s="2">
        <f ca="1"/>
        <v>62.933924070517051</v>
      </c>
      <c r="AG1102" s="2">
        <f ca="1"/>
        <v>0.40048772041654535</v>
      </c>
      <c r="AH1102" s="2" t="str">
        <f ca="1"/>
        <v>Bad</v>
      </c>
    </row>
    <row r="1103" spans="2:34" x14ac:dyDescent="0.2">
      <c r="B1103" s="2">
        <f ca="1"/>
        <v>0.91275420050043499</v>
      </c>
      <c r="O1103" s="2">
        <f ca="1"/>
        <v>-4.7269584783725845E-2</v>
      </c>
      <c r="X1103" s="2">
        <f ca="1"/>
        <v>64.477050603675266</v>
      </c>
      <c r="AG1103" s="2">
        <f ca="1"/>
        <v>0.4378465740460209</v>
      </c>
      <c r="AH1103" s="2" t="str">
        <f ca="1"/>
        <v>Bad</v>
      </c>
    </row>
    <row r="1104" spans="2:34" x14ac:dyDescent="0.2">
      <c r="B1104" s="2">
        <f ca="1"/>
        <v>4.4793890895097555E-2</v>
      </c>
      <c r="O1104" s="2">
        <f ca="1"/>
        <v>-0.83538127380160931</v>
      </c>
      <c r="X1104" s="2">
        <f ca="1"/>
        <v>78.003830109195562</v>
      </c>
      <c r="AG1104" s="2">
        <f ca="1"/>
        <v>9.1557290757818599E-2</v>
      </c>
      <c r="AH1104" s="2" t="str">
        <f ca="1"/>
        <v>OK</v>
      </c>
    </row>
    <row r="1105" spans="2:34" x14ac:dyDescent="0.2">
      <c r="B1105" s="2">
        <f ca="1"/>
        <v>0.51777556465643215</v>
      </c>
      <c r="O1105" s="2">
        <f ca="1"/>
        <v>-0.50065546714695808</v>
      </c>
      <c r="X1105" s="2">
        <f ca="1"/>
        <v>68.262683378282318</v>
      </c>
      <c r="AG1105" s="2">
        <f ca="1"/>
        <v>0.42914544437864888</v>
      </c>
      <c r="AH1105" s="2" t="str">
        <f ca="1"/>
        <v>Bad</v>
      </c>
    </row>
    <row r="1106" spans="2:34" x14ac:dyDescent="0.2">
      <c r="B1106" s="2">
        <f ca="1"/>
        <v>0.6529977773271709</v>
      </c>
      <c r="O1106" s="2">
        <f ca="1"/>
        <v>-0.2987071665264896</v>
      </c>
      <c r="X1106" s="2">
        <f ca="1"/>
        <v>25.178410075207985</v>
      </c>
      <c r="AG1106" s="2">
        <f ca="1"/>
        <v>0.25934672911194445</v>
      </c>
      <c r="AH1106" s="2" t="str">
        <f ca="1"/>
        <v>OK</v>
      </c>
    </row>
    <row r="1107" spans="2:34" x14ac:dyDescent="0.2">
      <c r="B1107" s="2">
        <f ca="1"/>
        <v>0.48814071009368454</v>
      </c>
      <c r="O1107" s="2">
        <f ca="1"/>
        <v>-0.30219702851554647</v>
      </c>
      <c r="X1107" s="2">
        <f ca="1"/>
        <v>64.549541680569519</v>
      </c>
      <c r="AG1107" s="2">
        <f ca="1"/>
        <v>0.93534507266257982</v>
      </c>
      <c r="AH1107" s="2" t="str">
        <f ca="1"/>
        <v>Bad</v>
      </c>
    </row>
    <row r="1108" spans="2:34" x14ac:dyDescent="0.2">
      <c r="B1108" s="2">
        <f ca="1"/>
        <v>3.806112567703579E-3</v>
      </c>
      <c r="O1108" s="2">
        <f ca="1"/>
        <v>0.88328301233646367</v>
      </c>
      <c r="X1108" s="2">
        <f ca="1"/>
        <v>39.005819975589617</v>
      </c>
      <c r="AG1108" s="2">
        <f ca="1"/>
        <v>0.48059336080785253</v>
      </c>
      <c r="AH1108" s="2" t="str">
        <f ca="1"/>
        <v>Bad</v>
      </c>
    </row>
    <row r="1109" spans="2:34" x14ac:dyDescent="0.2">
      <c r="B1109" s="2">
        <f ca="1"/>
        <v>0.15141404144637383</v>
      </c>
      <c r="O1109" s="2">
        <f ca="1"/>
        <v>0.13595741091686639</v>
      </c>
      <c r="X1109" s="2">
        <f ca="1"/>
        <v>30.83317900099189</v>
      </c>
      <c r="AG1109" s="2">
        <f ca="1"/>
        <v>0.55514608130930787</v>
      </c>
      <c r="AH1109" s="2" t="str">
        <f ca="1"/>
        <v>Bad</v>
      </c>
    </row>
    <row r="1110" spans="2:34" x14ac:dyDescent="0.2">
      <c r="B1110" s="2">
        <f ca="1"/>
        <v>0.22832401246066314</v>
      </c>
      <c r="O1110" s="2">
        <f ca="1"/>
        <v>-1.2772207654082754</v>
      </c>
      <c r="X1110" s="2">
        <f ca="1"/>
        <v>56.654190524298976</v>
      </c>
      <c r="AG1110" s="2">
        <f ca="1"/>
        <v>0.96486756972660714</v>
      </c>
      <c r="AH1110" s="2" t="str">
        <f ca="1"/>
        <v>Bad</v>
      </c>
    </row>
    <row r="1111" spans="2:34" x14ac:dyDescent="0.2">
      <c r="B1111" s="2">
        <f ca="1"/>
        <v>0.50950422388659566</v>
      </c>
      <c r="O1111" s="2">
        <f ca="1"/>
        <v>-0.63604846207001142</v>
      </c>
      <c r="X1111" s="2">
        <f ca="1"/>
        <v>32.412067908321177</v>
      </c>
      <c r="AG1111" s="2">
        <f ca="1"/>
        <v>0.6886048015916737</v>
      </c>
      <c r="AH1111" s="2" t="str">
        <f ca="1"/>
        <v>Bad</v>
      </c>
    </row>
    <row r="1112" spans="2:34" x14ac:dyDescent="0.2">
      <c r="B1112" s="2">
        <f ca="1"/>
        <v>0.61226081956544265</v>
      </c>
      <c r="O1112" s="2">
        <f ca="1"/>
        <v>0.39221700090744099</v>
      </c>
      <c r="X1112" s="2">
        <f ca="1"/>
        <v>43.148052016588316</v>
      </c>
      <c r="AG1112" s="2">
        <f ca="1"/>
        <v>0.26360408135431235</v>
      </c>
      <c r="AH1112" s="2" t="str">
        <f ca="1"/>
        <v>OK</v>
      </c>
    </row>
    <row r="1113" spans="2:34" x14ac:dyDescent="0.2">
      <c r="B1113" s="2">
        <f ca="1"/>
        <v>0.68213241440761951</v>
      </c>
      <c r="O1113" s="2">
        <f ca="1"/>
        <v>-7.5564944719728466E-2</v>
      </c>
      <c r="X1113" s="2">
        <f ca="1"/>
        <v>46.794744176652294</v>
      </c>
      <c r="AG1113" s="2">
        <f ca="1"/>
        <v>0.61998925527531368</v>
      </c>
      <c r="AH1113" s="2" t="str">
        <f ca="1"/>
        <v>Bad</v>
      </c>
    </row>
    <row r="1114" spans="2:34" x14ac:dyDescent="0.2">
      <c r="B1114" s="2">
        <f ca="1"/>
        <v>0.29671148570887018</v>
      </c>
      <c r="O1114" s="2">
        <f ca="1"/>
        <v>-0.4665358030390433</v>
      </c>
      <c r="X1114" s="2">
        <f ca="1"/>
        <v>48.036969444896933</v>
      </c>
      <c r="AG1114" s="2">
        <f ca="1"/>
        <v>1.519555358623137E-3</v>
      </c>
      <c r="AH1114" s="2" t="str">
        <f ca="1"/>
        <v>Good</v>
      </c>
    </row>
    <row r="1115" spans="2:34" x14ac:dyDescent="0.2">
      <c r="B1115" s="2">
        <f ca="1"/>
        <v>0.7493851950471484</v>
      </c>
      <c r="O1115" s="2">
        <f ca="1"/>
        <v>-1.5975288715786158</v>
      </c>
      <c r="X1115" s="2">
        <f ca="1"/>
        <v>57.444153868035841</v>
      </c>
      <c r="AG1115" s="2">
        <f ca="1"/>
        <v>0.34646603739497372</v>
      </c>
      <c r="AH1115" s="2" t="str">
        <f ca="1"/>
        <v>OK</v>
      </c>
    </row>
    <row r="1116" spans="2:34" x14ac:dyDescent="0.2">
      <c r="B1116" s="2">
        <f ca="1"/>
        <v>0.13740461721021879</v>
      </c>
      <c r="O1116" s="2">
        <f ca="1"/>
        <v>-1.2814497772831441</v>
      </c>
      <c r="X1116" s="2">
        <f ca="1"/>
        <v>44.491527488423259</v>
      </c>
      <c r="AG1116" s="2">
        <f ca="1"/>
        <v>0.37745451580594302</v>
      </c>
      <c r="AH1116" s="2" t="str">
        <f ca="1"/>
        <v>OK</v>
      </c>
    </row>
    <row r="1117" spans="2:34" x14ac:dyDescent="0.2">
      <c r="B1117" s="2">
        <f ca="1"/>
        <v>0.51322241100332788</v>
      </c>
      <c r="O1117" s="2">
        <f ca="1"/>
        <v>-0.62581061574937047</v>
      </c>
      <c r="X1117" s="2">
        <f ca="1"/>
        <v>50.708465572409118</v>
      </c>
      <c r="AG1117" s="2">
        <f ca="1"/>
        <v>0.38206613259045219</v>
      </c>
      <c r="AH1117" s="2" t="str">
        <f ca="1"/>
        <v>OK</v>
      </c>
    </row>
    <row r="1118" spans="2:34" x14ac:dyDescent="0.2">
      <c r="B1118" s="2">
        <f ca="1"/>
        <v>0.37865572387244084</v>
      </c>
      <c r="O1118" s="2">
        <f ca="1"/>
        <v>-2.4104420548770786</v>
      </c>
      <c r="X1118" s="2">
        <f ca="1"/>
        <v>24.527821783681247</v>
      </c>
      <c r="AG1118" s="2">
        <f ca="1"/>
        <v>6.8461368742239292E-2</v>
      </c>
      <c r="AH1118" s="2" t="str">
        <f ca="1"/>
        <v>OK</v>
      </c>
    </row>
    <row r="1119" spans="2:34" x14ac:dyDescent="0.2">
      <c r="B1119" s="2">
        <f ca="1"/>
        <v>6.7638864424607315E-2</v>
      </c>
      <c r="O1119" s="2">
        <f ca="1"/>
        <v>-0.67884818471188646</v>
      </c>
      <c r="X1119" s="2">
        <f ca="1"/>
        <v>50.966691104736924</v>
      </c>
      <c r="AG1119" s="2">
        <f ca="1"/>
        <v>0.19053786677767737</v>
      </c>
      <c r="AH1119" s="2" t="str">
        <f ca="1"/>
        <v>OK</v>
      </c>
    </row>
    <row r="1120" spans="2:34" x14ac:dyDescent="0.2">
      <c r="B1120" s="2">
        <f ca="1"/>
        <v>0.18046178077059327</v>
      </c>
      <c r="O1120" s="2">
        <f ca="1"/>
        <v>0.58968690965573767</v>
      </c>
      <c r="X1120" s="2">
        <f ca="1"/>
        <v>46.62224627537281</v>
      </c>
      <c r="AG1120" s="2">
        <f ca="1"/>
        <v>0.16656282122052524</v>
      </c>
      <c r="AH1120" s="2" t="str">
        <f ca="1"/>
        <v>OK</v>
      </c>
    </row>
    <row r="1121" spans="2:34" x14ac:dyDescent="0.2">
      <c r="B1121" s="2">
        <f ca="1"/>
        <v>0.32360543686781185</v>
      </c>
      <c r="O1121" s="2">
        <f ca="1"/>
        <v>4.7950286953914692E-2</v>
      </c>
      <c r="X1121" s="2">
        <f ca="1"/>
        <v>58.000657958260994</v>
      </c>
      <c r="AG1121" s="2">
        <f ca="1"/>
        <v>0.87893845228457157</v>
      </c>
      <c r="AH1121" s="2" t="str">
        <f ca="1"/>
        <v>Bad</v>
      </c>
    </row>
    <row r="1122" spans="2:34" x14ac:dyDescent="0.2">
      <c r="B1122" s="2">
        <f ca="1"/>
        <v>0.6035136866107369</v>
      </c>
      <c r="O1122" s="2">
        <f ca="1"/>
        <v>0.26457645734030755</v>
      </c>
      <c r="X1122" s="2">
        <f ca="1"/>
        <v>46.126961142349757</v>
      </c>
      <c r="AG1122" s="2">
        <f ca="1"/>
        <v>0.31077724974748078</v>
      </c>
      <c r="AH1122" s="2" t="str">
        <f ca="1"/>
        <v>OK</v>
      </c>
    </row>
    <row r="1123" spans="2:34" x14ac:dyDescent="0.2">
      <c r="B1123" s="2">
        <f ca="1"/>
        <v>0.66137592454010119</v>
      </c>
      <c r="O1123" s="2">
        <f ca="1"/>
        <v>0.38403533105300913</v>
      </c>
      <c r="X1123" s="2">
        <f ca="1"/>
        <v>64.211358879893737</v>
      </c>
      <c r="AG1123" s="2">
        <f ca="1"/>
        <v>0.85716039511110376</v>
      </c>
      <c r="AH1123" s="2" t="str">
        <f ca="1"/>
        <v>Bad</v>
      </c>
    </row>
    <row r="1124" spans="2:34" x14ac:dyDescent="0.2">
      <c r="B1124" s="2">
        <f ca="1"/>
        <v>0.63583785699328055</v>
      </c>
      <c r="O1124" s="2">
        <f ca="1"/>
        <v>0.53201124153395207</v>
      </c>
      <c r="X1124" s="2">
        <f ca="1"/>
        <v>49.110537770746078</v>
      </c>
      <c r="AG1124" s="2">
        <f ca="1"/>
        <v>0.28540230699544544</v>
      </c>
      <c r="AH1124" s="2" t="str">
        <f ca="1"/>
        <v>OK</v>
      </c>
    </row>
    <row r="1125" spans="2:34" x14ac:dyDescent="0.2">
      <c r="B1125" s="2">
        <f ca="1"/>
        <v>0.16209868419821216</v>
      </c>
      <c r="O1125" s="2">
        <f ca="1"/>
        <v>7.7777419657733507E-2</v>
      </c>
      <c r="X1125" s="2">
        <f ca="1"/>
        <v>67.129829897367685</v>
      </c>
      <c r="AG1125" s="2">
        <f ca="1"/>
        <v>0.65010364176281299</v>
      </c>
      <c r="AH1125" s="2" t="str">
        <f ca="1"/>
        <v>Bad</v>
      </c>
    </row>
    <row r="1126" spans="2:34" x14ac:dyDescent="0.2">
      <c r="B1126" s="2">
        <f ca="1"/>
        <v>0.86472090998247508</v>
      </c>
      <c r="O1126" s="2">
        <f ca="1"/>
        <v>-2.9202746298082731</v>
      </c>
      <c r="X1126" s="2">
        <f ca="1"/>
        <v>54.099764665730667</v>
      </c>
      <c r="AG1126" s="2">
        <f ca="1"/>
        <v>0.20605272359948201</v>
      </c>
      <c r="AH1126" s="2" t="str">
        <f ca="1"/>
        <v>OK</v>
      </c>
    </row>
    <row r="1127" spans="2:34" x14ac:dyDescent="0.2">
      <c r="B1127" s="2">
        <f ca="1"/>
        <v>3.7805821424637731E-2</v>
      </c>
      <c r="O1127" s="2">
        <f ca="1"/>
        <v>8.0697683181426214E-2</v>
      </c>
      <c r="X1127" s="2">
        <f ca="1"/>
        <v>45.676364792854699</v>
      </c>
      <c r="AG1127" s="2">
        <f ca="1"/>
        <v>0.1525485297699718</v>
      </c>
      <c r="AH1127" s="2" t="str">
        <f ca="1"/>
        <v>OK</v>
      </c>
    </row>
    <row r="1128" spans="2:34" x14ac:dyDescent="0.2">
      <c r="B1128" s="2">
        <f ca="1"/>
        <v>0.78710020057770547</v>
      </c>
      <c r="O1128" s="2">
        <f ca="1"/>
        <v>-0.49721932443079664</v>
      </c>
      <c r="X1128" s="2">
        <f ca="1"/>
        <v>46.202318814577737</v>
      </c>
      <c r="AG1128" s="2">
        <f ca="1"/>
        <v>7.0582023811864847E-2</v>
      </c>
      <c r="AH1128" s="2" t="str">
        <f ca="1"/>
        <v>OK</v>
      </c>
    </row>
    <row r="1129" spans="2:34" x14ac:dyDescent="0.2">
      <c r="B1129" s="2">
        <f ca="1"/>
        <v>0.73399313084511042</v>
      </c>
      <c r="O1129" s="2">
        <f ca="1"/>
        <v>-0.19930308079246351</v>
      </c>
      <c r="X1129" s="2">
        <f ca="1"/>
        <v>59.218958576398165</v>
      </c>
      <c r="AG1129" s="2">
        <f ca="1"/>
        <v>5.9539980930154668E-2</v>
      </c>
      <c r="AH1129" s="2" t="str">
        <f ca="1"/>
        <v>OK</v>
      </c>
    </row>
    <row r="1130" spans="2:34" x14ac:dyDescent="0.2">
      <c r="B1130" s="2">
        <f ca="1"/>
        <v>0.61322655134943682</v>
      </c>
      <c r="O1130" s="2">
        <f ca="1"/>
        <v>-0.57231563984963862</v>
      </c>
      <c r="X1130" s="2">
        <f ca="1"/>
        <v>55.711779880344011</v>
      </c>
      <c r="AG1130" s="2">
        <f ca="1"/>
        <v>0.5324580472941931</v>
      </c>
      <c r="AH1130" s="2" t="str">
        <f ca="1"/>
        <v>Bad</v>
      </c>
    </row>
    <row r="1131" spans="2:34" x14ac:dyDescent="0.2">
      <c r="B1131" s="2">
        <f ca="1"/>
        <v>0.40906578007514227</v>
      </c>
      <c r="O1131" s="2">
        <f ca="1"/>
        <v>0.17998965065672806</v>
      </c>
      <c r="X1131" s="2">
        <f ca="1"/>
        <v>52.731246610916216</v>
      </c>
      <c r="AG1131" s="2">
        <f ca="1"/>
        <v>8.4758241486033947E-2</v>
      </c>
      <c r="AH1131" s="2" t="str">
        <f ca="1"/>
        <v>OK</v>
      </c>
    </row>
    <row r="1132" spans="2:34" x14ac:dyDescent="0.2">
      <c r="B1132" s="2">
        <f ca="1"/>
        <v>0.59802207771121174</v>
      </c>
      <c r="O1132" s="2">
        <f ca="1"/>
        <v>-1.1384271675329736</v>
      </c>
      <c r="X1132" s="2">
        <f ca="1"/>
        <v>60.988813327560919</v>
      </c>
      <c r="AG1132" s="2">
        <f ca="1"/>
        <v>0.5238259235772007</v>
      </c>
      <c r="AH1132" s="2" t="str">
        <f ca="1"/>
        <v>Bad</v>
      </c>
    </row>
    <row r="1133" spans="2:34" x14ac:dyDescent="0.2">
      <c r="B1133" s="2">
        <f ca="1"/>
        <v>0.61008882119761498</v>
      </c>
      <c r="O1133" s="2">
        <f ca="1"/>
        <v>1.6458320267552744</v>
      </c>
      <c r="X1133" s="2">
        <f ca="1"/>
        <v>27.396633132397781</v>
      </c>
      <c r="AG1133" s="2">
        <f ca="1"/>
        <v>0.67464161824860658</v>
      </c>
      <c r="AH1133" s="2" t="str">
        <f ca="1"/>
        <v>Bad</v>
      </c>
    </row>
    <row r="1134" spans="2:34" x14ac:dyDescent="0.2">
      <c r="B1134" s="2">
        <f ca="1"/>
        <v>0.75882138685960254</v>
      </c>
      <c r="O1134" s="2">
        <f ca="1"/>
        <v>-0.3933866860568489</v>
      </c>
      <c r="X1134" s="2">
        <f ca="1"/>
        <v>50.452385584912712</v>
      </c>
      <c r="AG1134" s="2">
        <f ca="1"/>
        <v>0.53522630178732444</v>
      </c>
      <c r="AH1134" s="2" t="str">
        <f ca="1"/>
        <v>Bad</v>
      </c>
    </row>
    <row r="1135" spans="2:34" x14ac:dyDescent="0.2">
      <c r="B1135" s="2">
        <f ca="1"/>
        <v>0.47804188965052075</v>
      </c>
      <c r="O1135" s="2">
        <f ca="1"/>
        <v>-2.5922377695741803</v>
      </c>
      <c r="X1135" s="2">
        <f ca="1"/>
        <v>47.238982885704417</v>
      </c>
      <c r="AG1135" s="2">
        <f ca="1"/>
        <v>0.92068656930772863</v>
      </c>
      <c r="AH1135" s="2" t="str">
        <f ca="1"/>
        <v>Bad</v>
      </c>
    </row>
    <row r="1136" spans="2:34" x14ac:dyDescent="0.2">
      <c r="B1136" s="2">
        <f ca="1"/>
        <v>7.5476903323198119E-2</v>
      </c>
      <c r="O1136" s="2">
        <f ca="1"/>
        <v>-2.5249985774049608</v>
      </c>
      <c r="X1136" s="2">
        <f ca="1"/>
        <v>46.396962761187552</v>
      </c>
      <c r="AG1136" s="2">
        <f ca="1"/>
        <v>0.57691503912847786</v>
      </c>
      <c r="AH1136" s="2" t="str">
        <f ca="1"/>
        <v>Bad</v>
      </c>
    </row>
    <row r="1137" spans="2:34" x14ac:dyDescent="0.2">
      <c r="B1137" s="2">
        <f ca="1"/>
        <v>0.32753330708827022</v>
      </c>
      <c r="O1137" s="2">
        <f ca="1"/>
        <v>4.4001424358290651E-2</v>
      </c>
      <c r="X1137" s="2">
        <f ca="1"/>
        <v>56.906117203153173</v>
      </c>
      <c r="AG1137" s="2">
        <f ca="1"/>
        <v>0.80584569766663172</v>
      </c>
      <c r="AH1137" s="2" t="str">
        <f ca="1"/>
        <v>Bad</v>
      </c>
    </row>
    <row r="1138" spans="2:34" x14ac:dyDescent="0.2">
      <c r="B1138" s="2">
        <f ca="1"/>
        <v>0.47666254195212865</v>
      </c>
      <c r="O1138" s="2">
        <f ca="1"/>
        <v>-3.0018660999644891E-3</v>
      </c>
      <c r="X1138" s="2">
        <f ca="1"/>
        <v>78.878784867426916</v>
      </c>
      <c r="AG1138" s="2">
        <f ca="1"/>
        <v>0.72910860187044513</v>
      </c>
      <c r="AH1138" s="2" t="str">
        <f ca="1"/>
        <v>Bad</v>
      </c>
    </row>
    <row r="1139" spans="2:34" x14ac:dyDescent="0.2">
      <c r="B1139" s="2">
        <f ca="1"/>
        <v>0.18918151730177857</v>
      </c>
      <c r="O1139" s="2">
        <f ca="1"/>
        <v>1.6974162658807648E-2</v>
      </c>
      <c r="X1139" s="2">
        <f ca="1"/>
        <v>40.336505415391677</v>
      </c>
      <c r="AG1139" s="2">
        <f ca="1"/>
        <v>0.43230020304373284</v>
      </c>
      <c r="AH1139" s="2" t="str">
        <f ca="1"/>
        <v>Bad</v>
      </c>
    </row>
    <row r="1140" spans="2:34" x14ac:dyDescent="0.2">
      <c r="B1140" s="2">
        <f ca="1"/>
        <v>0.1890938011738601</v>
      </c>
      <c r="O1140" s="2">
        <f ca="1"/>
        <v>0.92985996425489037</v>
      </c>
      <c r="X1140" s="2">
        <f ca="1"/>
        <v>39.046364801765982</v>
      </c>
      <c r="AG1140" s="2">
        <f ca="1"/>
        <v>0.53594672509086694</v>
      </c>
      <c r="AH1140" s="2" t="str">
        <f ca="1"/>
        <v>Bad</v>
      </c>
    </row>
    <row r="1141" spans="2:34" x14ac:dyDescent="0.2">
      <c r="B1141" s="2">
        <f ca="1"/>
        <v>0.33417140655254229</v>
      </c>
      <c r="O1141" s="2">
        <f ca="1"/>
        <v>0.48941831106051192</v>
      </c>
      <c r="X1141" s="2">
        <f ca="1"/>
        <v>31.426751827815224</v>
      </c>
      <c r="AG1141" s="2">
        <f ca="1"/>
        <v>0.36840482197532265</v>
      </c>
      <c r="AH1141" s="2" t="str">
        <f ca="1"/>
        <v>OK</v>
      </c>
    </row>
    <row r="1142" spans="2:34" x14ac:dyDescent="0.2">
      <c r="B1142" s="2">
        <f ca="1"/>
        <v>0.83297067534315095</v>
      </c>
      <c r="O1142" s="2">
        <f ca="1"/>
        <v>-1.4711446036875173</v>
      </c>
      <c r="X1142" s="2">
        <f ca="1"/>
        <v>69.147126300547299</v>
      </c>
      <c r="AG1142" s="2">
        <f ca="1"/>
        <v>0.47362565965352377</v>
      </c>
      <c r="AH1142" s="2" t="str">
        <f ca="1"/>
        <v>Bad</v>
      </c>
    </row>
    <row r="1143" spans="2:34" x14ac:dyDescent="0.2">
      <c r="B1143" s="2">
        <f ca="1"/>
        <v>0.34472582033062182</v>
      </c>
      <c r="O1143" s="2">
        <f ca="1"/>
        <v>1.2250541946948001</v>
      </c>
      <c r="X1143" s="2">
        <f ca="1"/>
        <v>56.132823317103103</v>
      </c>
      <c r="AG1143" s="2">
        <f ca="1"/>
        <v>0.6924629093934489</v>
      </c>
      <c r="AH1143" s="2" t="str">
        <f ca="1"/>
        <v>Bad</v>
      </c>
    </row>
    <row r="1144" spans="2:34" x14ac:dyDescent="0.2">
      <c r="B1144" s="2">
        <f ca="1"/>
        <v>0.14376470969138144</v>
      </c>
      <c r="O1144" s="2">
        <f ca="1"/>
        <v>-1.6853783686711774</v>
      </c>
      <c r="X1144" s="2">
        <f ca="1"/>
        <v>60.484038202262447</v>
      </c>
      <c r="AG1144" s="2">
        <f ca="1"/>
        <v>0.65132575767879808</v>
      </c>
      <c r="AH1144" s="2" t="str">
        <f ca="1"/>
        <v>Bad</v>
      </c>
    </row>
    <row r="1145" spans="2:34" x14ac:dyDescent="0.2">
      <c r="B1145" s="2">
        <f ca="1"/>
        <v>0.6958294869036814</v>
      </c>
      <c r="O1145" s="2">
        <f ca="1"/>
        <v>-0.35375754586856856</v>
      </c>
      <c r="X1145" s="2">
        <f ca="1"/>
        <v>54.948220787214304</v>
      </c>
      <c r="AG1145" s="2">
        <f ca="1"/>
        <v>0.21384530026222248</v>
      </c>
      <c r="AH1145" s="2" t="str">
        <f ca="1"/>
        <v>OK</v>
      </c>
    </row>
    <row r="1146" spans="2:34" x14ac:dyDescent="0.2">
      <c r="B1146" s="2">
        <f ca="1"/>
        <v>0.74358099054933624</v>
      </c>
      <c r="O1146" s="2">
        <f ca="1"/>
        <v>0.20073467233507658</v>
      </c>
      <c r="X1146" s="2">
        <f ca="1"/>
        <v>88.049988045196997</v>
      </c>
      <c r="AG1146" s="2">
        <f ca="1"/>
        <v>0.36075309481078088</v>
      </c>
      <c r="AH1146" s="2" t="str">
        <f ca="1"/>
        <v>OK</v>
      </c>
    </row>
    <row r="1147" spans="2:34" x14ac:dyDescent="0.2">
      <c r="B1147" s="2">
        <f ca="1"/>
        <v>0.94193620536416534</v>
      </c>
      <c r="O1147" s="2">
        <f ca="1"/>
        <v>-0.36390673583241617</v>
      </c>
      <c r="X1147" s="2">
        <f ca="1"/>
        <v>54.412048548201419</v>
      </c>
      <c r="AG1147" s="2">
        <f ca="1"/>
        <v>0.52965731964147134</v>
      </c>
      <c r="AH1147" s="2" t="str">
        <f ca="1"/>
        <v>Bad</v>
      </c>
    </row>
    <row r="1148" spans="2:34" x14ac:dyDescent="0.2">
      <c r="B1148" s="2">
        <f ca="1"/>
        <v>0.20614144130323253</v>
      </c>
      <c r="O1148" s="2">
        <f ca="1"/>
        <v>-0.86545929613466022</v>
      </c>
      <c r="X1148" s="2">
        <f ca="1"/>
        <v>34.111034788619563</v>
      </c>
      <c r="AG1148" s="2">
        <f ca="1"/>
        <v>3.3549530965311769E-2</v>
      </c>
      <c r="AH1148" s="2" t="str">
        <f ca="1"/>
        <v>Good</v>
      </c>
    </row>
    <row r="1149" spans="2:34" x14ac:dyDescent="0.2">
      <c r="B1149" s="2">
        <f ca="1"/>
        <v>0.3330555913558273</v>
      </c>
      <c r="O1149" s="2">
        <f ca="1"/>
        <v>0.80440262532285034</v>
      </c>
      <c r="X1149" s="2">
        <f ca="1"/>
        <v>41.146114558403475</v>
      </c>
      <c r="AG1149" s="2">
        <f ca="1"/>
        <v>0.45948643688370416</v>
      </c>
      <c r="AH1149" s="2" t="str">
        <f ca="1"/>
        <v>Bad</v>
      </c>
    </row>
    <row r="1150" spans="2:34" x14ac:dyDescent="0.2">
      <c r="B1150" s="2">
        <f ca="1"/>
        <v>0.44228703758857435</v>
      </c>
      <c r="O1150" s="2">
        <f ca="1"/>
        <v>-0.47445460515375193</v>
      </c>
      <c r="X1150" s="2">
        <f ca="1"/>
        <v>37.584093296877441</v>
      </c>
      <c r="AG1150" s="2">
        <f ca="1"/>
        <v>0.37969512593143806</v>
      </c>
      <c r="AH1150" s="2" t="str">
        <f ca="1"/>
        <v>OK</v>
      </c>
    </row>
    <row r="1151" spans="2:34" x14ac:dyDescent="0.2">
      <c r="B1151" s="2">
        <f ca="1"/>
        <v>0.92194337222976475</v>
      </c>
      <c r="O1151" s="2">
        <f ca="1"/>
        <v>-0.75271088090227833</v>
      </c>
      <c r="X1151" s="2">
        <f ca="1"/>
        <v>35.473833130299184</v>
      </c>
      <c r="AG1151" s="2">
        <f ca="1"/>
        <v>0.67656044606576438</v>
      </c>
      <c r="AH1151" s="2" t="str">
        <f ca="1"/>
        <v>Bad</v>
      </c>
    </row>
    <row r="1152" spans="2:34" x14ac:dyDescent="0.2">
      <c r="B1152" s="2">
        <f ca="1"/>
        <v>0.7835626443795114</v>
      </c>
      <c r="O1152" s="2">
        <f ca="1"/>
        <v>0.76028852504750999</v>
      </c>
      <c r="X1152" s="2">
        <f ca="1"/>
        <v>44.730825430981476</v>
      </c>
      <c r="AG1152" s="2">
        <f ca="1"/>
        <v>0.81527545386923195</v>
      </c>
      <c r="AH1152" s="2" t="str">
        <f ca="1"/>
        <v>Bad</v>
      </c>
    </row>
    <row r="1153" spans="2:34" x14ac:dyDescent="0.2">
      <c r="B1153" s="2">
        <f ca="1"/>
        <v>0.51770737091252084</v>
      </c>
      <c r="O1153" s="2">
        <f ca="1"/>
        <v>1.2954574422101541</v>
      </c>
      <c r="X1153" s="2">
        <f ca="1"/>
        <v>76.779845385642972</v>
      </c>
      <c r="AG1153" s="2">
        <f ca="1"/>
        <v>0.9316009142656958</v>
      </c>
      <c r="AH1153" s="2" t="str">
        <f ca="1"/>
        <v>Bad</v>
      </c>
    </row>
    <row r="1154" spans="2:34" x14ac:dyDescent="0.2">
      <c r="B1154" s="2">
        <f ca="1"/>
        <v>3.8015970401761967E-2</v>
      </c>
      <c r="O1154" s="2">
        <f ca="1"/>
        <v>-0.79474844848412396</v>
      </c>
      <c r="X1154" s="2">
        <f ca="1"/>
        <v>31.321192981392819</v>
      </c>
      <c r="AG1154" s="2">
        <f ca="1"/>
        <v>0.49957622075433705</v>
      </c>
      <c r="AH1154" s="2" t="str">
        <f ca="1"/>
        <v>Bad</v>
      </c>
    </row>
    <row r="1155" spans="2:34" x14ac:dyDescent="0.2">
      <c r="B1155" s="2">
        <f ca="1"/>
        <v>0.17125043433515907</v>
      </c>
      <c r="O1155" s="2">
        <f ca="1"/>
        <v>1.2717152566299061</v>
      </c>
      <c r="X1155" s="2">
        <f ca="1"/>
        <v>59.772096394515799</v>
      </c>
      <c r="AG1155" s="2">
        <f ca="1"/>
        <v>0.62568074089510817</v>
      </c>
      <c r="AH1155" s="2" t="str">
        <f ca="1"/>
        <v>Bad</v>
      </c>
    </row>
    <row r="1156" spans="2:34" x14ac:dyDescent="0.2">
      <c r="B1156" s="2">
        <f ca="1"/>
        <v>0.73410399613502686</v>
      </c>
      <c r="O1156" s="2">
        <f ca="1"/>
        <v>0.67232817139588441</v>
      </c>
      <c r="X1156" s="2">
        <f ca="1"/>
        <v>42.442834709841506</v>
      </c>
      <c r="AG1156" s="2">
        <f ca="1"/>
        <v>0.88981594806291642</v>
      </c>
      <c r="AH1156" s="2" t="str">
        <f ca="1"/>
        <v>Bad</v>
      </c>
    </row>
    <row r="1157" spans="2:34" x14ac:dyDescent="0.2">
      <c r="B1157" s="2">
        <f ca="1"/>
        <v>0.78788132458459814</v>
      </c>
      <c r="O1157" s="2">
        <f ca="1"/>
        <v>-0.87441267087915098</v>
      </c>
      <c r="X1157" s="2">
        <f ca="1"/>
        <v>49.789558434539259</v>
      </c>
      <c r="AG1157" s="2">
        <f ca="1"/>
        <v>0.64851374459505573</v>
      </c>
      <c r="AH1157" s="2" t="str">
        <f ca="1"/>
        <v>Bad</v>
      </c>
    </row>
    <row r="1158" spans="2:34" x14ac:dyDescent="0.2">
      <c r="B1158" s="2">
        <f ca="1"/>
        <v>0.85537943537853578</v>
      </c>
      <c r="O1158" s="2">
        <f ca="1"/>
        <v>0.35763048407001563</v>
      </c>
      <c r="X1158" s="2">
        <f ca="1"/>
        <v>31.130798760041451</v>
      </c>
      <c r="AG1158" s="2">
        <f ca="1"/>
        <v>0.44658207600798416</v>
      </c>
      <c r="AH1158" s="2" t="str">
        <f ca="1"/>
        <v>Bad</v>
      </c>
    </row>
    <row r="1159" spans="2:34" x14ac:dyDescent="0.2">
      <c r="B1159" s="2">
        <f ca="1"/>
        <v>0.63672899368556801</v>
      </c>
      <c r="O1159" s="2">
        <f ca="1"/>
        <v>-0.61539432618933321</v>
      </c>
      <c r="X1159" s="2">
        <f ca="1"/>
        <v>48.414655977745404</v>
      </c>
      <c r="AG1159" s="2">
        <f ca="1"/>
        <v>8.7586915159280299E-2</v>
      </c>
      <c r="AH1159" s="2" t="str">
        <f ca="1"/>
        <v>OK</v>
      </c>
    </row>
    <row r="1160" spans="2:34" x14ac:dyDescent="0.2">
      <c r="B1160" s="2">
        <f ca="1"/>
        <v>0.59720909715238668</v>
      </c>
      <c r="O1160" s="2">
        <f ca="1"/>
        <v>0.12326498971145336</v>
      </c>
      <c r="X1160" s="2">
        <f ca="1"/>
        <v>46.365689053798576</v>
      </c>
      <c r="AG1160" s="2">
        <f ca="1"/>
        <v>0.37797911241243964</v>
      </c>
      <c r="AH1160" s="2" t="str">
        <f ca="1"/>
        <v>OK</v>
      </c>
    </row>
    <row r="1161" spans="2:34" x14ac:dyDescent="0.2">
      <c r="B1161" s="2">
        <f ca="1"/>
        <v>0.41112095179075725</v>
      </c>
      <c r="O1161" s="2">
        <f ca="1"/>
        <v>-0.64941664253238351</v>
      </c>
      <c r="X1161" s="2">
        <f ca="1"/>
        <v>55.934335694852265</v>
      </c>
      <c r="AG1161" s="2">
        <f ca="1"/>
        <v>0.94618076545619378</v>
      </c>
      <c r="AH1161" s="2" t="str">
        <f ca="1"/>
        <v>Bad</v>
      </c>
    </row>
    <row r="1162" spans="2:34" x14ac:dyDescent="0.2">
      <c r="B1162" s="2">
        <f ca="1"/>
        <v>0.94366714984838396</v>
      </c>
      <c r="O1162" s="2">
        <f ca="1"/>
        <v>0.54314043760266562</v>
      </c>
      <c r="X1162" s="2">
        <f ca="1"/>
        <v>60.457839175768278</v>
      </c>
      <c r="AG1162" s="2">
        <f ca="1"/>
        <v>0.4853037669121818</v>
      </c>
      <c r="AH1162" s="2" t="str">
        <f ca="1"/>
        <v>Bad</v>
      </c>
    </row>
    <row r="1163" spans="2:34" x14ac:dyDescent="0.2">
      <c r="B1163" s="2">
        <f ca="1"/>
        <v>5.5761722324780827E-2</v>
      </c>
      <c r="O1163" s="2">
        <f ca="1"/>
        <v>-8.1095281204806954E-2</v>
      </c>
      <c r="X1163" s="2">
        <f ca="1"/>
        <v>76.432877581031931</v>
      </c>
      <c r="AG1163" s="2">
        <f ca="1"/>
        <v>0.71731491484739274</v>
      </c>
      <c r="AH1163" s="2" t="str">
        <f ca="1"/>
        <v>Bad</v>
      </c>
    </row>
    <row r="1164" spans="2:34" x14ac:dyDescent="0.2">
      <c r="B1164" s="2">
        <f ca="1"/>
        <v>0.4843822942500311</v>
      </c>
      <c r="O1164" s="2">
        <f ca="1"/>
        <v>0.83525331440306816</v>
      </c>
      <c r="X1164" s="2">
        <f ca="1"/>
        <v>71.168054640434917</v>
      </c>
      <c r="AG1164" s="2">
        <f ca="1"/>
        <v>0.86175728691586095</v>
      </c>
      <c r="AH1164" s="2" t="str">
        <f ca="1"/>
        <v>Bad</v>
      </c>
    </row>
    <row r="1165" spans="2:34" x14ac:dyDescent="0.2">
      <c r="B1165" s="2">
        <f ca="1"/>
        <v>0.80452114384629891</v>
      </c>
      <c r="O1165" s="2">
        <f ca="1"/>
        <v>0.64687995554811673</v>
      </c>
      <c r="X1165" s="2">
        <f ca="1"/>
        <v>54.375322682593712</v>
      </c>
      <c r="AG1165" s="2">
        <f ca="1"/>
        <v>0.88874474237753076</v>
      </c>
      <c r="AH1165" s="2" t="str">
        <f ca="1"/>
        <v>Bad</v>
      </c>
    </row>
    <row r="1166" spans="2:34" x14ac:dyDescent="0.2">
      <c r="B1166" s="2">
        <f ca="1"/>
        <v>0.22825437699159901</v>
      </c>
      <c r="O1166" s="2">
        <f ca="1"/>
        <v>2.031564554284162</v>
      </c>
      <c r="X1166" s="2">
        <f ca="1"/>
        <v>36.243206046107829</v>
      </c>
      <c r="AG1166" s="2">
        <f ca="1"/>
        <v>0.41648698515566984</v>
      </c>
      <c r="AH1166" s="2" t="str">
        <f ca="1"/>
        <v>Bad</v>
      </c>
    </row>
    <row r="1167" spans="2:34" x14ac:dyDescent="0.2">
      <c r="B1167" s="2">
        <f ca="1"/>
        <v>0.35540044312994312</v>
      </c>
      <c r="O1167" s="2">
        <f ca="1"/>
        <v>0.54134048243064881</v>
      </c>
      <c r="X1167" s="2">
        <f ca="1"/>
        <v>57.409108402791119</v>
      </c>
      <c r="AG1167" s="2">
        <f ca="1"/>
        <v>0.80702196738271881</v>
      </c>
      <c r="AH1167" s="2" t="str">
        <f ca="1"/>
        <v>Bad</v>
      </c>
    </row>
    <row r="1168" spans="2:34" x14ac:dyDescent="0.2">
      <c r="B1168" s="2">
        <f ca="1"/>
        <v>0.89079453128405284</v>
      </c>
      <c r="O1168" s="2">
        <f ca="1"/>
        <v>-0.37693905100105601</v>
      </c>
      <c r="X1168" s="2">
        <f ca="1"/>
        <v>51.161200181710555</v>
      </c>
      <c r="AG1168" s="2">
        <f ca="1"/>
        <v>0.25384421542443536</v>
      </c>
      <c r="AH1168" s="2" t="str">
        <f ca="1"/>
        <v>OK</v>
      </c>
    </row>
    <row r="1169" spans="2:34" x14ac:dyDescent="0.2">
      <c r="B1169" s="2">
        <f ca="1"/>
        <v>0.86124886259814404</v>
      </c>
      <c r="O1169" s="2">
        <f ca="1"/>
        <v>-0.28597803195020693</v>
      </c>
      <c r="X1169" s="2">
        <f ca="1"/>
        <v>58.949812870348204</v>
      </c>
      <c r="AG1169" s="2">
        <f ca="1"/>
        <v>0.72017465073372389</v>
      </c>
      <c r="AH1169" s="2" t="str">
        <f ca="1"/>
        <v>Bad</v>
      </c>
    </row>
    <row r="1170" spans="2:34" x14ac:dyDescent="0.2">
      <c r="B1170" s="2">
        <f ca="1"/>
        <v>0.12954400990051473</v>
      </c>
      <c r="O1170" s="2">
        <f ca="1"/>
        <v>-1.0615966764825784</v>
      </c>
      <c r="X1170" s="2">
        <f ca="1"/>
        <v>49.048418808260337</v>
      </c>
      <c r="AG1170" s="2">
        <f ca="1"/>
        <v>0.86861661222905862</v>
      </c>
      <c r="AH1170" s="2" t="str">
        <f ca="1"/>
        <v>Bad</v>
      </c>
    </row>
    <row r="1171" spans="2:34" x14ac:dyDescent="0.2">
      <c r="B1171" s="2">
        <f ca="1"/>
        <v>0.13768139012676595</v>
      </c>
      <c r="O1171" s="2">
        <f ca="1"/>
        <v>-0.71777647448985071</v>
      </c>
      <c r="X1171" s="2">
        <f ca="1"/>
        <v>33.123465235890194</v>
      </c>
      <c r="AG1171" s="2">
        <f ca="1"/>
        <v>0.39190610734737774</v>
      </c>
      <c r="AH1171" s="2" t="str">
        <f ca="1"/>
        <v>OK</v>
      </c>
    </row>
    <row r="1172" spans="2:34" x14ac:dyDescent="0.2">
      <c r="B1172" s="2">
        <f ca="1"/>
        <v>0.61341358061421603</v>
      </c>
      <c r="O1172" s="2">
        <f ca="1"/>
        <v>1.1137247395032863</v>
      </c>
      <c r="X1172" s="2">
        <f ca="1"/>
        <v>31.112087217697834</v>
      </c>
      <c r="AG1172" s="2">
        <f ca="1"/>
        <v>0.19918226240306658</v>
      </c>
      <c r="AH1172" s="2" t="str">
        <f ca="1"/>
        <v>OK</v>
      </c>
    </row>
    <row r="1173" spans="2:34" x14ac:dyDescent="0.2">
      <c r="B1173" s="2">
        <f ca="1"/>
        <v>8.4196575333482349E-2</v>
      </c>
      <c r="O1173" s="2">
        <f ca="1"/>
        <v>0.50337555774584197</v>
      </c>
      <c r="X1173" s="2">
        <f ca="1"/>
        <v>41.516541681479417</v>
      </c>
      <c r="AG1173" s="2">
        <f ca="1"/>
        <v>0.30646536072315733</v>
      </c>
      <c r="AH1173" s="2" t="str">
        <f ca="1"/>
        <v>OK</v>
      </c>
    </row>
    <row r="1174" spans="2:34" x14ac:dyDescent="0.2">
      <c r="B1174" s="2">
        <f ca="1"/>
        <v>0.71572008471492654</v>
      </c>
      <c r="O1174" s="2">
        <f ca="1"/>
        <v>-1.5726742751373146</v>
      </c>
      <c r="X1174" s="2">
        <f ca="1"/>
        <v>70.798301653304804</v>
      </c>
      <c r="AG1174" s="2">
        <f ca="1"/>
        <v>0.52231187472599161</v>
      </c>
      <c r="AH1174" s="2" t="str">
        <f ca="1"/>
        <v>Bad</v>
      </c>
    </row>
    <row r="1175" spans="2:34" x14ac:dyDescent="0.2">
      <c r="B1175" s="2">
        <f ca="1"/>
        <v>0.11370058135968852</v>
      </c>
      <c r="O1175" s="2">
        <f ca="1"/>
        <v>0.18188489146700673</v>
      </c>
      <c r="X1175" s="2">
        <f ca="1"/>
        <v>47.012913146205968</v>
      </c>
      <c r="AG1175" s="2">
        <f ca="1"/>
        <v>0.90861172345065966</v>
      </c>
      <c r="AH1175" s="2" t="str">
        <f ca="1"/>
        <v>Bad</v>
      </c>
    </row>
    <row r="1176" spans="2:34" x14ac:dyDescent="0.2">
      <c r="B1176" s="2">
        <f ca="1"/>
        <v>0.23772968623865998</v>
      </c>
      <c r="O1176" s="2">
        <f ca="1"/>
        <v>1.3497302277599301</v>
      </c>
      <c r="X1176" s="2">
        <f ca="1"/>
        <v>56.555403914598017</v>
      </c>
      <c r="AG1176" s="2">
        <f ca="1"/>
        <v>8.137490639592615E-2</v>
      </c>
      <c r="AH1176" s="2" t="str">
        <f ca="1"/>
        <v>OK</v>
      </c>
    </row>
    <row r="1177" spans="2:34" x14ac:dyDescent="0.2">
      <c r="B1177" s="2">
        <f ca="1"/>
        <v>0.77233660695096873</v>
      </c>
      <c r="O1177" s="2">
        <f ca="1"/>
        <v>0.90242622529158523</v>
      </c>
      <c r="X1177" s="2">
        <f ca="1"/>
        <v>38.926723465507777</v>
      </c>
      <c r="AG1177" s="2">
        <f ca="1"/>
        <v>0.78608439187332624</v>
      </c>
      <c r="AH1177" s="2" t="str">
        <f ca="1"/>
        <v>Bad</v>
      </c>
    </row>
    <row r="1178" spans="2:34" x14ac:dyDescent="0.2">
      <c r="B1178" s="2">
        <f ca="1"/>
        <v>0.57866877803885131</v>
      </c>
      <c r="O1178" s="2">
        <f ca="1"/>
        <v>1.0841505346173657</v>
      </c>
      <c r="X1178" s="2">
        <f ca="1"/>
        <v>51.235554388224656</v>
      </c>
      <c r="AG1178" s="2">
        <f ca="1"/>
        <v>0.29850160980264007</v>
      </c>
      <c r="AH1178" s="2" t="str">
        <f ca="1"/>
        <v>OK</v>
      </c>
    </row>
    <row r="1179" spans="2:34" x14ac:dyDescent="0.2">
      <c r="B1179" s="2">
        <f ca="1"/>
        <v>0.86611477322229868</v>
      </c>
      <c r="O1179" s="2">
        <f ca="1"/>
        <v>2.3099505635948527</v>
      </c>
      <c r="X1179" s="2">
        <f ca="1"/>
        <v>47.093625822774818</v>
      </c>
      <c r="AG1179" s="2">
        <f ca="1"/>
        <v>0.19640453926335089</v>
      </c>
      <c r="AH1179" s="2" t="str">
        <f ca="1"/>
        <v>OK</v>
      </c>
    </row>
    <row r="1180" spans="2:34" x14ac:dyDescent="0.2">
      <c r="B1180" s="2">
        <f ca="1"/>
        <v>0.99059698368640325</v>
      </c>
      <c r="O1180" s="2">
        <f ca="1"/>
        <v>0.53419310138868825</v>
      </c>
      <c r="X1180" s="2">
        <f ca="1"/>
        <v>52.226383099948478</v>
      </c>
      <c r="AG1180" s="2">
        <f ca="1"/>
        <v>0.69355913744813513</v>
      </c>
      <c r="AH1180" s="2" t="str">
        <f ca="1"/>
        <v>Bad</v>
      </c>
    </row>
    <row r="1181" spans="2:34" x14ac:dyDescent="0.2">
      <c r="B1181" s="2">
        <f ca="1"/>
        <v>0.32698935365653403</v>
      </c>
      <c r="O1181" s="2">
        <f ca="1"/>
        <v>-0.59871544568463742</v>
      </c>
      <c r="X1181" s="2">
        <f ca="1"/>
        <v>62.50327695693619</v>
      </c>
      <c r="AG1181" s="2">
        <f ca="1"/>
        <v>0.95981448615448239</v>
      </c>
      <c r="AH1181" s="2" t="str">
        <f ca="1"/>
        <v>Bad</v>
      </c>
    </row>
    <row r="1182" spans="2:34" x14ac:dyDescent="0.2">
      <c r="B1182" s="2">
        <f ca="1"/>
        <v>0.81496872516330332</v>
      </c>
      <c r="O1182" s="2">
        <f ca="1"/>
        <v>0.33427213235737119</v>
      </c>
      <c r="X1182" s="2">
        <f ca="1"/>
        <v>24.221682496301309</v>
      </c>
      <c r="AG1182" s="2">
        <f ca="1"/>
        <v>0.72258825745667266</v>
      </c>
      <c r="AH1182" s="2" t="str">
        <f ca="1"/>
        <v>Bad</v>
      </c>
    </row>
    <row r="1183" spans="2:34" x14ac:dyDescent="0.2">
      <c r="B1183" s="2">
        <f ca="1"/>
        <v>0.5618379814743113</v>
      </c>
      <c r="O1183" s="2">
        <f ca="1"/>
        <v>-1.057844997336669</v>
      </c>
      <c r="X1183" s="2">
        <f ca="1"/>
        <v>41.646403045735497</v>
      </c>
      <c r="AG1183" s="2">
        <f ca="1"/>
        <v>0.2929798772287231</v>
      </c>
      <c r="AH1183" s="2" t="str">
        <f ca="1"/>
        <v>OK</v>
      </c>
    </row>
    <row r="1184" spans="2:34" x14ac:dyDescent="0.2">
      <c r="B1184" s="2">
        <f ca="1"/>
        <v>0.16072625617840663</v>
      </c>
      <c r="O1184" s="2">
        <f ca="1"/>
        <v>0.21872845957088352</v>
      </c>
      <c r="X1184" s="2">
        <f ca="1"/>
        <v>47.076411960386821</v>
      </c>
      <c r="AG1184" s="2">
        <f ca="1"/>
        <v>0.36119853054158746</v>
      </c>
      <c r="AH1184" s="2" t="str">
        <f ca="1"/>
        <v>OK</v>
      </c>
    </row>
    <row r="1185" spans="2:34" x14ac:dyDescent="0.2">
      <c r="B1185" s="2">
        <f ca="1"/>
        <v>0.94255598882402936</v>
      </c>
      <c r="O1185" s="2">
        <f ca="1"/>
        <v>-2.3482037988256037</v>
      </c>
      <c r="X1185" s="2">
        <f ca="1"/>
        <v>54.160547703298263</v>
      </c>
      <c r="AG1185" s="2">
        <f ca="1"/>
        <v>0.39057331507431581</v>
      </c>
      <c r="AH1185" s="2" t="str">
        <f ca="1"/>
        <v>OK</v>
      </c>
    </row>
    <row r="1186" spans="2:34" x14ac:dyDescent="0.2">
      <c r="B1186" s="2">
        <f ca="1"/>
        <v>0.72961799606942135</v>
      </c>
      <c r="O1186" s="2">
        <f ca="1"/>
        <v>0.46710488676468587</v>
      </c>
      <c r="X1186" s="2">
        <f ca="1"/>
        <v>26.821175342228582</v>
      </c>
      <c r="AG1186" s="2">
        <f ca="1"/>
        <v>0.95712852090262168</v>
      </c>
      <c r="AH1186" s="2" t="str">
        <f ca="1"/>
        <v>Bad</v>
      </c>
    </row>
    <row r="1187" spans="2:34" x14ac:dyDescent="0.2">
      <c r="B1187" s="2">
        <f ca="1"/>
        <v>0.68575568002445864</v>
      </c>
      <c r="O1187" s="2">
        <f ca="1"/>
        <v>-1.1943631440231122</v>
      </c>
      <c r="X1187" s="2">
        <f ca="1"/>
        <v>56.129415044646088</v>
      </c>
      <c r="AG1187" s="2">
        <f ca="1"/>
        <v>0.66947670509986401</v>
      </c>
      <c r="AH1187" s="2" t="str">
        <f ca="1"/>
        <v>Bad</v>
      </c>
    </row>
    <row r="1188" spans="2:34" x14ac:dyDescent="0.2">
      <c r="B1188" s="2">
        <f ca="1"/>
        <v>3.7795995148137917E-2</v>
      </c>
      <c r="O1188" s="2">
        <f ca="1"/>
        <v>-1.0896904995816055</v>
      </c>
      <c r="X1188" s="2">
        <f ca="1"/>
        <v>32.142685103176262</v>
      </c>
      <c r="AG1188" s="2">
        <f ca="1"/>
        <v>0.77752097804292397</v>
      </c>
      <c r="AH1188" s="2" t="str">
        <f ca="1"/>
        <v>Bad</v>
      </c>
    </row>
    <row r="1189" spans="2:34" x14ac:dyDescent="0.2">
      <c r="B1189" s="2">
        <f ca="1"/>
        <v>0.80802562309305692</v>
      </c>
      <c r="O1189" s="2">
        <f ca="1"/>
        <v>-0.15833196215430104</v>
      </c>
      <c r="X1189" s="2">
        <f ca="1"/>
        <v>30.190114324474472</v>
      </c>
      <c r="AG1189" s="2">
        <f ca="1"/>
        <v>0.53175356087765024</v>
      </c>
      <c r="AH1189" s="2" t="str">
        <f ca="1"/>
        <v>Bad</v>
      </c>
    </row>
    <row r="1190" spans="2:34" x14ac:dyDescent="0.2">
      <c r="B1190" s="2">
        <f ca="1"/>
        <v>0.9606309184981523</v>
      </c>
      <c r="O1190" s="2">
        <f ca="1"/>
        <v>-1.4938052433123272</v>
      </c>
      <c r="X1190" s="2">
        <f ca="1"/>
        <v>41.824593725973401</v>
      </c>
      <c r="AG1190" s="2">
        <f ca="1"/>
        <v>0.52522694508191514</v>
      </c>
      <c r="AH1190" s="2" t="str">
        <f ca="1"/>
        <v>Bad</v>
      </c>
    </row>
    <row r="1191" spans="2:34" x14ac:dyDescent="0.2">
      <c r="B1191" s="2">
        <f ca="1"/>
        <v>8.8561205747847982E-3</v>
      </c>
      <c r="O1191" s="2">
        <f ca="1"/>
        <v>-1.5974396070770023</v>
      </c>
      <c r="X1191" s="2">
        <f ca="1"/>
        <v>71.366191351531739</v>
      </c>
      <c r="AG1191" s="2">
        <f ca="1"/>
        <v>0.89996495199616633</v>
      </c>
      <c r="AH1191" s="2" t="str">
        <f ca="1"/>
        <v>Bad</v>
      </c>
    </row>
    <row r="1192" spans="2:34" x14ac:dyDescent="0.2">
      <c r="B1192" s="2">
        <f ca="1"/>
        <v>0.92186141816685363</v>
      </c>
      <c r="O1192" s="2">
        <f ca="1"/>
        <v>-1.7085572206075363</v>
      </c>
      <c r="X1192" s="2">
        <f ca="1"/>
        <v>26.060350406399987</v>
      </c>
      <c r="AG1192" s="2">
        <f ca="1"/>
        <v>5.1013141156324826E-2</v>
      </c>
      <c r="AH1192" s="2" t="str">
        <f ca="1"/>
        <v>OK</v>
      </c>
    </row>
    <row r="1193" spans="2:34" x14ac:dyDescent="0.2">
      <c r="B1193" s="2">
        <f ca="1"/>
        <v>0.93665332916661703</v>
      </c>
      <c r="O1193" s="2">
        <f ca="1"/>
        <v>-6.5683631977586629E-2</v>
      </c>
      <c r="X1193" s="2">
        <f ca="1"/>
        <v>44.10945615145036</v>
      </c>
      <c r="AG1193" s="2">
        <f ca="1"/>
        <v>0.80305591306771218</v>
      </c>
      <c r="AH1193" s="2" t="str">
        <f ca="1"/>
        <v>Bad</v>
      </c>
    </row>
    <row r="1194" spans="2:34" x14ac:dyDescent="0.2">
      <c r="B1194" s="2">
        <f ca="1"/>
        <v>8.7443536522719079E-2</v>
      </c>
      <c r="O1194" s="2">
        <f ca="1"/>
        <v>0.72856888839740341</v>
      </c>
      <c r="X1194" s="2">
        <f ca="1"/>
        <v>30.390194553921962</v>
      </c>
      <c r="AG1194" s="2">
        <f ca="1"/>
        <v>0.43880658619973123</v>
      </c>
      <c r="AH1194" s="2" t="str">
        <f ca="1"/>
        <v>Bad</v>
      </c>
    </row>
    <row r="1195" spans="2:34" x14ac:dyDescent="0.2">
      <c r="B1195" s="2">
        <f ca="1"/>
        <v>0.32670464658361564</v>
      </c>
      <c r="O1195" s="2">
        <f ca="1"/>
        <v>0.71616726637760797</v>
      </c>
      <c r="X1195" s="2">
        <f ca="1"/>
        <v>55.450103075955852</v>
      </c>
      <c r="AG1195" s="2">
        <f ca="1"/>
        <v>0.90866162685241059</v>
      </c>
      <c r="AH1195" s="2" t="str">
        <f ca="1"/>
        <v>Bad</v>
      </c>
    </row>
    <row r="1196" spans="2:34" x14ac:dyDescent="0.2">
      <c r="B1196" s="2">
        <f ca="1"/>
        <v>0.93956553605101956</v>
      </c>
      <c r="O1196" s="2">
        <f ca="1"/>
        <v>1.9471868086213919</v>
      </c>
      <c r="X1196" s="2">
        <f ca="1"/>
        <v>56.381672162441909</v>
      </c>
      <c r="AG1196" s="2">
        <f ca="1"/>
        <v>0.52000158548223396</v>
      </c>
      <c r="AH1196" s="2" t="str">
        <f ca="1"/>
        <v>Bad</v>
      </c>
    </row>
    <row r="1197" spans="2:34" x14ac:dyDescent="0.2">
      <c r="B1197" s="2">
        <f ca="1"/>
        <v>9.7723312443879218E-2</v>
      </c>
      <c r="O1197" s="2">
        <f ca="1"/>
        <v>0.92934705587843158</v>
      </c>
      <c r="X1197" s="2">
        <f ca="1"/>
        <v>37.714790960464072</v>
      </c>
      <c r="AG1197" s="2">
        <f ca="1"/>
        <v>0.29620391381244682</v>
      </c>
      <c r="AH1197" s="2" t="str">
        <f ca="1"/>
        <v>OK</v>
      </c>
    </row>
    <row r="1198" spans="2:34" x14ac:dyDescent="0.2">
      <c r="B1198" s="2">
        <f ca="1"/>
        <v>0.73106240931776756</v>
      </c>
      <c r="O1198" s="2">
        <f ca="1"/>
        <v>0.18369429175739813</v>
      </c>
      <c r="X1198" s="2">
        <f ca="1"/>
        <v>40.788911344584726</v>
      </c>
      <c r="AG1198" s="2">
        <f ca="1"/>
        <v>0.14086781289153505</v>
      </c>
      <c r="AH1198" s="2" t="str">
        <f ca="1"/>
        <v>OK</v>
      </c>
    </row>
    <row r="1199" spans="2:34" x14ac:dyDescent="0.2">
      <c r="B1199" s="2">
        <f ca="1"/>
        <v>0.9445312757948765</v>
      </c>
      <c r="O1199" s="2">
        <f ca="1"/>
        <v>-0.26104886760151635</v>
      </c>
      <c r="X1199" s="2">
        <f ca="1"/>
        <v>44.028937442819299</v>
      </c>
      <c r="AG1199" s="2">
        <f ca="1"/>
        <v>0.71822364972656327</v>
      </c>
      <c r="AH1199" s="2" t="str">
        <f ca="1"/>
        <v>Bad</v>
      </c>
    </row>
    <row r="1200" spans="2:34" x14ac:dyDescent="0.2">
      <c r="B1200" s="2">
        <f ca="1"/>
        <v>0.40962892157460495</v>
      </c>
      <c r="O1200" s="2">
        <f ca="1"/>
        <v>-0.67162053707502589</v>
      </c>
      <c r="X1200" s="2">
        <f ca="1"/>
        <v>58.79005883424982</v>
      </c>
      <c r="AG1200" s="2">
        <f ca="1"/>
        <v>8.8749745145544789E-2</v>
      </c>
      <c r="AH1200" s="2" t="str">
        <f ca="1"/>
        <v>OK</v>
      </c>
    </row>
    <row r="1201" spans="2:34" x14ac:dyDescent="0.2">
      <c r="B1201" s="2">
        <f ca="1"/>
        <v>0.48592933297098462</v>
      </c>
      <c r="O1201" s="2">
        <f ca="1"/>
        <v>-0.72542307401584349</v>
      </c>
      <c r="X1201" s="2">
        <f ca="1"/>
        <v>51.386232476541132</v>
      </c>
      <c r="AG1201" s="2">
        <f ca="1"/>
        <v>0.27777973159893721</v>
      </c>
      <c r="AH1201" s="2" t="str">
        <f ca="1"/>
        <v>OK</v>
      </c>
    </row>
    <row r="1202" spans="2:34" x14ac:dyDescent="0.2">
      <c r="B1202" s="2">
        <f ca="1"/>
        <v>8.2543556594900647E-3</v>
      </c>
      <c r="O1202" s="2">
        <f ca="1"/>
        <v>0.62798813003522569</v>
      </c>
      <c r="X1202" s="2">
        <f ca="1"/>
        <v>47.48011747817597</v>
      </c>
      <c r="AG1202" s="2">
        <f ca="1"/>
        <v>0.77618841044092757</v>
      </c>
      <c r="AH1202" s="2" t="str">
        <f ca="1"/>
        <v>Bad</v>
      </c>
    </row>
    <row r="1203" spans="2:34" x14ac:dyDescent="0.2">
      <c r="B1203" s="2">
        <f ca="1"/>
        <v>0.8840086619255676</v>
      </c>
      <c r="O1203" s="2">
        <f ca="1"/>
        <v>-0.30532379404750953</v>
      </c>
      <c r="X1203" s="2">
        <f ca="1"/>
        <v>35.772646376061431</v>
      </c>
      <c r="AG1203" s="2">
        <f ca="1"/>
        <v>0.27535013475777492</v>
      </c>
      <c r="AH1203" s="2" t="str">
        <f ca="1"/>
        <v>OK</v>
      </c>
    </row>
    <row r="1204" spans="2:34" x14ac:dyDescent="0.2">
      <c r="B1204" s="2">
        <f ca="1"/>
        <v>0.23255397637200903</v>
      </c>
      <c r="O1204" s="2">
        <f ca="1"/>
        <v>0.2740578338794375</v>
      </c>
      <c r="X1204" s="2">
        <f ca="1"/>
        <v>44.858968361968266</v>
      </c>
      <c r="AG1204" s="2">
        <f ca="1"/>
        <v>0.53232432867023083</v>
      </c>
      <c r="AH1204" s="2" t="str">
        <f ca="1"/>
        <v>Bad</v>
      </c>
    </row>
    <row r="1205" spans="2:34" x14ac:dyDescent="0.2">
      <c r="B1205" s="2">
        <f ca="1"/>
        <v>0.50025957359172946</v>
      </c>
      <c r="O1205" s="2">
        <f ca="1"/>
        <v>-1.4673836664466062</v>
      </c>
      <c r="X1205" s="2">
        <f ca="1"/>
        <v>52.280113722665469</v>
      </c>
      <c r="AG1205" s="2">
        <f ca="1"/>
        <v>0.75892814604772063</v>
      </c>
      <c r="AH1205" s="2" t="str">
        <f ca="1"/>
        <v>Bad</v>
      </c>
    </row>
    <row r="1206" spans="2:34" x14ac:dyDescent="0.2">
      <c r="B1206" s="2">
        <f ca="1"/>
        <v>0.45003740583625662</v>
      </c>
      <c r="O1206" s="2">
        <f ca="1"/>
        <v>-0.1558650263152421</v>
      </c>
      <c r="X1206" s="2">
        <f ca="1"/>
        <v>36.230939431095464</v>
      </c>
      <c r="AG1206" s="2">
        <f ca="1"/>
        <v>0.48621638415371504</v>
      </c>
      <c r="AH1206" s="2" t="str">
        <f ca="1"/>
        <v>Bad</v>
      </c>
    </row>
    <row r="1207" spans="2:34" x14ac:dyDescent="0.2">
      <c r="B1207" s="2">
        <f ca="1"/>
        <v>0.93368655504265008</v>
      </c>
      <c r="O1207" s="2">
        <f ca="1"/>
        <v>-2.0695717553810455</v>
      </c>
      <c r="X1207" s="2">
        <f ca="1"/>
        <v>58.332844557893523</v>
      </c>
      <c r="AG1207" s="2">
        <f ca="1"/>
        <v>0.72569819956285886</v>
      </c>
      <c r="AH1207" s="2" t="str">
        <f ca="1"/>
        <v>Bad</v>
      </c>
    </row>
    <row r="1208" spans="2:34" x14ac:dyDescent="0.2">
      <c r="B1208" s="2">
        <f ca="1"/>
        <v>0.75676276594105429</v>
      </c>
      <c r="O1208" s="2">
        <f ca="1"/>
        <v>1.2055888232821481</v>
      </c>
      <c r="X1208" s="2">
        <f ca="1"/>
        <v>67.281890092036079</v>
      </c>
      <c r="AG1208" s="2">
        <f ca="1"/>
        <v>0.45847996521973156</v>
      </c>
      <c r="AH1208" s="2" t="str">
        <f ca="1"/>
        <v>Bad</v>
      </c>
    </row>
    <row r="1209" spans="2:34" x14ac:dyDescent="0.2">
      <c r="B1209" s="2">
        <f ca="1"/>
        <v>0.18657804505848152</v>
      </c>
      <c r="O1209" s="2">
        <f ca="1"/>
        <v>-1.1662283918299805</v>
      </c>
      <c r="X1209" s="2">
        <f ca="1"/>
        <v>64.404600511492035</v>
      </c>
      <c r="AG1209" s="2">
        <f ca="1"/>
        <v>0.98527436702101134</v>
      </c>
      <c r="AH1209" s="2" t="str">
        <f ca="1"/>
        <v>Bad</v>
      </c>
    </row>
    <row r="1210" spans="2:34" x14ac:dyDescent="0.2">
      <c r="B1210" s="2">
        <f ca="1"/>
        <v>0.91045549463042907</v>
      </c>
      <c r="O1210" s="2">
        <f ca="1"/>
        <v>0.52434478694142628</v>
      </c>
      <c r="X1210" s="2">
        <f ca="1"/>
        <v>38.668335724689229</v>
      </c>
      <c r="AG1210" s="2">
        <f ca="1"/>
        <v>0.69958062703621526</v>
      </c>
      <c r="AH1210" s="2" t="str">
        <f ca="1"/>
        <v>Bad</v>
      </c>
    </row>
    <row r="1211" spans="2:34" x14ac:dyDescent="0.2">
      <c r="B1211" s="2">
        <f ca="1"/>
        <v>0.45301869593213673</v>
      </c>
      <c r="O1211" s="2">
        <f ca="1"/>
        <v>-1.1426597207954206</v>
      </c>
      <c r="X1211" s="2">
        <f ca="1"/>
        <v>36.645842639201305</v>
      </c>
      <c r="AG1211" s="2">
        <f ca="1"/>
        <v>0.75871573184558239</v>
      </c>
      <c r="AH1211" s="2" t="str">
        <f ca="1"/>
        <v>Bad</v>
      </c>
    </row>
    <row r="1212" spans="2:34" x14ac:dyDescent="0.2">
      <c r="B1212" s="2">
        <f ca="1"/>
        <v>2.401344533682126E-2</v>
      </c>
      <c r="O1212" s="2">
        <f ca="1"/>
        <v>1.490564342034492E-2</v>
      </c>
      <c r="X1212" s="2">
        <f ca="1"/>
        <v>48.605728472146836</v>
      </c>
      <c r="AG1212" s="2">
        <f ca="1"/>
        <v>0.35235611338979456</v>
      </c>
      <c r="AH1212" s="2" t="str">
        <f ca="1"/>
        <v>OK</v>
      </c>
    </row>
    <row r="1213" spans="2:34" x14ac:dyDescent="0.2">
      <c r="B1213" s="2">
        <f ca="1"/>
        <v>0.46274408327225736</v>
      </c>
      <c r="O1213" s="2">
        <f ca="1"/>
        <v>1.6184570375418863</v>
      </c>
      <c r="X1213" s="2">
        <f ca="1"/>
        <v>44.878614681917298</v>
      </c>
      <c r="AG1213" s="2">
        <f ca="1"/>
        <v>6.5975324923505774E-2</v>
      </c>
      <c r="AH1213" s="2" t="str">
        <f ca="1"/>
        <v>OK</v>
      </c>
    </row>
    <row r="1214" spans="2:34" x14ac:dyDescent="0.2">
      <c r="B1214" s="2">
        <f ca="1"/>
        <v>0.4075169165291701</v>
      </c>
      <c r="O1214" s="2">
        <f ca="1"/>
        <v>0.24508571891365691</v>
      </c>
      <c r="X1214" s="2">
        <f ca="1"/>
        <v>86.483043457707524</v>
      </c>
      <c r="AG1214" s="2">
        <f ca="1"/>
        <v>0.92525947163739208</v>
      </c>
      <c r="AH1214" s="2" t="str">
        <f ca="1"/>
        <v>Bad</v>
      </c>
    </row>
    <row r="1215" spans="2:34" x14ac:dyDescent="0.2">
      <c r="B1215" s="2">
        <f ca="1"/>
        <v>0.52172065475851404</v>
      </c>
      <c r="O1215" s="2">
        <f ca="1"/>
        <v>0.99753440920514802</v>
      </c>
      <c r="X1215" s="2">
        <f ca="1"/>
        <v>33.441252288379239</v>
      </c>
      <c r="AG1215" s="2">
        <f ca="1"/>
        <v>0.88222270090341981</v>
      </c>
      <c r="AH1215" s="2" t="str">
        <f ca="1"/>
        <v>Bad</v>
      </c>
    </row>
    <row r="1216" spans="2:34" x14ac:dyDescent="0.2">
      <c r="B1216" s="2">
        <f ca="1"/>
        <v>0.78303270434487482</v>
      </c>
      <c r="O1216" s="2">
        <f ca="1"/>
        <v>1.3943538832370208</v>
      </c>
      <c r="X1216" s="2">
        <f ca="1"/>
        <v>60.408360782732096</v>
      </c>
      <c r="AG1216" s="2">
        <f ca="1"/>
        <v>0.16751629745533414</v>
      </c>
      <c r="AH1216" s="2" t="str">
        <f ca="1"/>
        <v>OK</v>
      </c>
    </row>
    <row r="1217" spans="2:34" x14ac:dyDescent="0.2">
      <c r="B1217" s="2">
        <f ca="1"/>
        <v>0.44735366181481462</v>
      </c>
      <c r="O1217" s="2">
        <f ca="1"/>
        <v>-1.6703402117337611</v>
      </c>
      <c r="X1217" s="2">
        <f ca="1"/>
        <v>23.135929542759857</v>
      </c>
      <c r="AG1217" s="2">
        <f ca="1"/>
        <v>0.39165084376601422</v>
      </c>
      <c r="AH1217" s="2" t="str">
        <f ca="1"/>
        <v>OK</v>
      </c>
    </row>
    <row r="1218" spans="2:34" x14ac:dyDescent="0.2">
      <c r="B1218" s="2">
        <f ca="1"/>
        <v>0.56836206247360965</v>
      </c>
      <c r="O1218" s="2">
        <f ca="1"/>
        <v>-1.6126569481704247</v>
      </c>
      <c r="X1218" s="2">
        <f ca="1"/>
        <v>50.79478040480771</v>
      </c>
      <c r="AG1218" s="2">
        <f ca="1"/>
        <v>0.28241771044292574</v>
      </c>
      <c r="AH1218" s="2" t="str">
        <f ca="1"/>
        <v>OK</v>
      </c>
    </row>
    <row r="1219" spans="2:34" x14ac:dyDescent="0.2">
      <c r="B1219" s="2">
        <f ca="1"/>
        <v>0.31386926628293832</v>
      </c>
      <c r="O1219" s="2">
        <f ca="1"/>
        <v>-1.9235039987720832</v>
      </c>
      <c r="X1219" s="2">
        <f ca="1"/>
        <v>25.082262688120135</v>
      </c>
      <c r="AG1219" s="2">
        <f ca="1"/>
        <v>0.79422894434912217</v>
      </c>
      <c r="AH1219" s="2" t="str">
        <f ca="1"/>
        <v>Bad</v>
      </c>
    </row>
    <row r="1220" spans="2:34" x14ac:dyDescent="0.2">
      <c r="B1220" s="2">
        <f ca="1"/>
        <v>0.29826542791829214</v>
      </c>
      <c r="O1220" s="2">
        <f ca="1"/>
        <v>-0.49666066099122136</v>
      </c>
      <c r="X1220" s="2">
        <f ca="1"/>
        <v>35.829088979612834</v>
      </c>
      <c r="AG1220" s="2">
        <f ca="1"/>
        <v>0.61079801562548264</v>
      </c>
      <c r="AH1220" s="2" t="str">
        <f ca="1"/>
        <v>Bad</v>
      </c>
    </row>
    <row r="1221" spans="2:34" x14ac:dyDescent="0.2">
      <c r="B1221" s="2">
        <f ca="1"/>
        <v>8.0224912699642825E-2</v>
      </c>
      <c r="O1221" s="2">
        <f ca="1"/>
        <v>0.38436161217267939</v>
      </c>
      <c r="X1221" s="2">
        <f ca="1"/>
        <v>45.521257059891845</v>
      </c>
      <c r="AG1221" s="2">
        <f ca="1"/>
        <v>0.48062418130466389</v>
      </c>
      <c r="AH1221" s="2" t="str">
        <f ca="1"/>
        <v>Bad</v>
      </c>
    </row>
    <row r="1222" spans="2:34" x14ac:dyDescent="0.2">
      <c r="B1222" s="2">
        <f ca="1"/>
        <v>0.24018012498497887</v>
      </c>
      <c r="O1222" s="2">
        <f ca="1"/>
        <v>3.2046505404519608E-2</v>
      </c>
      <c r="X1222" s="2">
        <f ca="1"/>
        <v>46.564058692852662</v>
      </c>
      <c r="AG1222" s="2">
        <f ca="1"/>
        <v>0.96013681632636816</v>
      </c>
      <c r="AH1222" s="2" t="str">
        <f ca="1"/>
        <v>Bad</v>
      </c>
    </row>
    <row r="1223" spans="2:34" x14ac:dyDescent="0.2">
      <c r="B1223" s="2">
        <f ca="1"/>
        <v>0.21333750420251762</v>
      </c>
      <c r="O1223" s="2">
        <f ca="1"/>
        <v>-0.28245920640212085</v>
      </c>
      <c r="X1223" s="2">
        <f ca="1"/>
        <v>102.39882699515958</v>
      </c>
      <c r="AG1223" s="2">
        <f ca="1"/>
        <v>0.46406976836286673</v>
      </c>
      <c r="AH1223" s="2" t="str">
        <f ca="1"/>
        <v>Bad</v>
      </c>
    </row>
    <row r="1224" spans="2:34" x14ac:dyDescent="0.2">
      <c r="B1224" s="2">
        <f ca="1"/>
        <v>0.78720950540806855</v>
      </c>
      <c r="O1224" s="2">
        <f ca="1"/>
        <v>1.1118423617204314</v>
      </c>
      <c r="X1224" s="2">
        <f ca="1"/>
        <v>50.506620657387849</v>
      </c>
      <c r="AG1224" s="2">
        <f ca="1"/>
        <v>0.97005376352959782</v>
      </c>
      <c r="AH1224" s="2" t="str">
        <f ca="1"/>
        <v>Bad</v>
      </c>
    </row>
    <row r="1225" spans="2:34" x14ac:dyDescent="0.2">
      <c r="B1225" s="2">
        <f ca="1"/>
        <v>0.6187428155752579</v>
      </c>
      <c r="O1225" s="2">
        <f ca="1"/>
        <v>-0.23621264213579135</v>
      </c>
      <c r="X1225" s="2">
        <f ca="1"/>
        <v>57.155017511371554</v>
      </c>
      <c r="AG1225" s="2">
        <f ca="1"/>
        <v>0.86119141602298188</v>
      </c>
      <c r="AH1225" s="2" t="str">
        <f ca="1"/>
        <v>Bad</v>
      </c>
    </row>
    <row r="1226" spans="2:34" x14ac:dyDescent="0.2">
      <c r="B1226" s="2">
        <f ca="1"/>
        <v>0.90557753453102374</v>
      </c>
      <c r="O1226" s="2">
        <f ca="1"/>
        <v>0.59771547462122565</v>
      </c>
      <c r="X1226" s="2">
        <f ca="1"/>
        <v>57.916739858641748</v>
      </c>
      <c r="AG1226" s="2">
        <f ca="1"/>
        <v>0.88087386215736596</v>
      </c>
      <c r="AH1226" s="2" t="str">
        <f ca="1"/>
        <v>Bad</v>
      </c>
    </row>
    <row r="1227" spans="2:34" x14ac:dyDescent="0.2">
      <c r="B1227" s="2">
        <f ca="1"/>
        <v>0.41426308363766973</v>
      </c>
      <c r="O1227" s="2">
        <f ca="1"/>
        <v>0.44998297478658783</v>
      </c>
      <c r="X1227" s="2">
        <f ca="1"/>
        <v>44.008549743309118</v>
      </c>
      <c r="AG1227" s="2">
        <f ca="1"/>
        <v>0.70427216548250682</v>
      </c>
      <c r="AH1227" s="2" t="str">
        <f ca="1"/>
        <v>Bad</v>
      </c>
    </row>
    <row r="1228" spans="2:34" x14ac:dyDescent="0.2">
      <c r="B1228" s="2">
        <f ca="1"/>
        <v>0.65891115028889624</v>
      </c>
      <c r="O1228" s="2">
        <f ca="1"/>
        <v>-1.9188114090244555</v>
      </c>
      <c r="X1228" s="2">
        <f ca="1"/>
        <v>51.92344094338975</v>
      </c>
      <c r="AG1228" s="2">
        <f ca="1"/>
        <v>0.70772979743339803</v>
      </c>
      <c r="AH1228" s="2" t="str">
        <f ca="1"/>
        <v>Bad</v>
      </c>
    </row>
    <row r="1229" spans="2:34" x14ac:dyDescent="0.2">
      <c r="B1229" s="2">
        <f ca="1"/>
        <v>3.4379592328026121E-2</v>
      </c>
      <c r="O1229" s="2">
        <f ca="1"/>
        <v>1.0369464505755781</v>
      </c>
      <c r="X1229" s="2">
        <f ca="1"/>
        <v>43.152962015405109</v>
      </c>
      <c r="AG1229" s="2">
        <f ca="1"/>
        <v>0.37539978641716654</v>
      </c>
      <c r="AH1229" s="2" t="str">
        <f ca="1"/>
        <v>OK</v>
      </c>
    </row>
    <row r="1230" spans="2:34" x14ac:dyDescent="0.2">
      <c r="B1230" s="2">
        <f ca="1"/>
        <v>0.69260859257632235</v>
      </c>
      <c r="O1230" s="2">
        <f ca="1"/>
        <v>-0.30444356774954973</v>
      </c>
      <c r="X1230" s="2">
        <f ca="1"/>
        <v>40.394148172090951</v>
      </c>
      <c r="AG1230" s="2">
        <f ca="1"/>
        <v>7.4294535888632218E-2</v>
      </c>
      <c r="AH1230" s="2" t="str">
        <f ca="1"/>
        <v>OK</v>
      </c>
    </row>
    <row r="1231" spans="2:34" x14ac:dyDescent="0.2">
      <c r="B1231" s="2">
        <f ca="1"/>
        <v>4.6296974348301934E-2</v>
      </c>
      <c r="O1231" s="2">
        <f ca="1"/>
        <v>-0.73902974131684762</v>
      </c>
      <c r="X1231" s="2">
        <f ca="1"/>
        <v>24.900942216569639</v>
      </c>
      <c r="AG1231" s="2">
        <f ca="1"/>
        <v>0.42425380505104293</v>
      </c>
      <c r="AH1231" s="2" t="str">
        <f ca="1"/>
        <v>Bad</v>
      </c>
    </row>
    <row r="1232" spans="2:34" x14ac:dyDescent="0.2">
      <c r="B1232" s="2">
        <f ca="1"/>
        <v>0.26981394635252087</v>
      </c>
      <c r="O1232" s="2">
        <f ca="1"/>
        <v>-0.42147295371991761</v>
      </c>
      <c r="X1232" s="2">
        <f ca="1"/>
        <v>47.134755088031007</v>
      </c>
      <c r="AG1232" s="2">
        <f ca="1"/>
        <v>0.89131569190242255</v>
      </c>
      <c r="AH1232" s="2" t="str">
        <f ca="1"/>
        <v>Bad</v>
      </c>
    </row>
    <row r="1233" spans="2:34" x14ac:dyDescent="0.2">
      <c r="B1233" s="2">
        <f ca="1"/>
        <v>0.29081633078919444</v>
      </c>
      <c r="O1233" s="2">
        <f ca="1"/>
        <v>0.84720257945485966</v>
      </c>
      <c r="X1233" s="2">
        <f ca="1"/>
        <v>28.834123586934513</v>
      </c>
      <c r="AG1233" s="2">
        <f ca="1"/>
        <v>0.83753049093489151</v>
      </c>
      <c r="AH1233" s="2" t="str">
        <f ca="1"/>
        <v>Bad</v>
      </c>
    </row>
    <row r="1234" spans="2:34" x14ac:dyDescent="0.2">
      <c r="B1234" s="2">
        <f ca="1"/>
        <v>0.400985212703864</v>
      </c>
      <c r="O1234" s="2">
        <f ca="1"/>
        <v>0.243150645122132</v>
      </c>
      <c r="X1234" s="2">
        <f ca="1"/>
        <v>48.727255849277419</v>
      </c>
      <c r="AG1234" s="2">
        <f ca="1"/>
        <v>0.12718134206806164</v>
      </c>
      <c r="AH1234" s="2" t="str">
        <f ca="1"/>
        <v>OK</v>
      </c>
    </row>
    <row r="1235" spans="2:34" x14ac:dyDescent="0.2">
      <c r="B1235" s="2">
        <f ca="1"/>
        <v>0.92994924307343285</v>
      </c>
      <c r="O1235" s="2">
        <f ca="1"/>
        <v>-0.46765568979628358</v>
      </c>
      <c r="X1235" s="2">
        <f ca="1"/>
        <v>51.040404681271994</v>
      </c>
      <c r="AG1235" s="2">
        <f ca="1"/>
        <v>0.53983827777080218</v>
      </c>
      <c r="AH1235" s="2" t="str">
        <f ca="1"/>
        <v>Bad</v>
      </c>
    </row>
    <row r="1236" spans="2:34" x14ac:dyDescent="0.2">
      <c r="B1236" s="2">
        <f ca="1"/>
        <v>0.8608647761873256</v>
      </c>
      <c r="O1236" s="2">
        <f ca="1"/>
        <v>0.90462641170867197</v>
      </c>
      <c r="X1236" s="2">
        <f ca="1"/>
        <v>63.144745653744337</v>
      </c>
      <c r="AG1236" s="2">
        <f ca="1"/>
        <v>0.89432372353532541</v>
      </c>
      <c r="AH1236" s="2" t="str">
        <f ca="1"/>
        <v>Bad</v>
      </c>
    </row>
    <row r="1237" spans="2:34" x14ac:dyDescent="0.2">
      <c r="B1237" s="2">
        <f ca="1"/>
        <v>0.23457346644139321</v>
      </c>
      <c r="O1237" s="2">
        <f ca="1"/>
        <v>-0.40139215327729261</v>
      </c>
      <c r="X1237" s="2">
        <f ca="1"/>
        <v>52.910044838012482</v>
      </c>
      <c r="AG1237" s="2">
        <f ca="1"/>
        <v>0.39805034949372597</v>
      </c>
      <c r="AH1237" s="2" t="str">
        <f ca="1"/>
        <v>OK</v>
      </c>
    </row>
    <row r="1238" spans="2:34" x14ac:dyDescent="0.2">
      <c r="B1238" s="2">
        <f ca="1"/>
        <v>5.6876181051788155E-2</v>
      </c>
      <c r="O1238" s="2">
        <f ca="1"/>
        <v>-2.1498345431928696</v>
      </c>
      <c r="X1238" s="2">
        <f ca="1"/>
        <v>40.044926431209987</v>
      </c>
      <c r="AG1238" s="2">
        <f ca="1"/>
        <v>0.64258674809069638</v>
      </c>
      <c r="AH1238" s="2" t="str">
        <f ca="1"/>
        <v>Bad</v>
      </c>
    </row>
    <row r="1239" spans="2:34" x14ac:dyDescent="0.2">
      <c r="B1239" s="2">
        <f ca="1"/>
        <v>0.55414721676792067</v>
      </c>
      <c r="O1239" s="2">
        <f ca="1"/>
        <v>0.18202709249422627</v>
      </c>
      <c r="X1239" s="2">
        <f ca="1"/>
        <v>71.659346236367298</v>
      </c>
      <c r="AG1239" s="2">
        <f ca="1"/>
        <v>8.7084229128179258E-2</v>
      </c>
      <c r="AH1239" s="2" t="str">
        <f ca="1"/>
        <v>OK</v>
      </c>
    </row>
    <row r="1240" spans="2:34" x14ac:dyDescent="0.2">
      <c r="B1240" s="2">
        <f ca="1"/>
        <v>0.61814609656346575</v>
      </c>
      <c r="O1240" s="2">
        <f ca="1"/>
        <v>-0.65844483245294239</v>
      </c>
      <c r="X1240" s="2">
        <f ca="1"/>
        <v>53.86135547820296</v>
      </c>
      <c r="AG1240" s="2">
        <f ca="1"/>
        <v>0.73431836066431089</v>
      </c>
      <c r="AH1240" s="2" t="str">
        <f ca="1"/>
        <v>Bad</v>
      </c>
    </row>
    <row r="1241" spans="2:34" x14ac:dyDescent="0.2">
      <c r="B1241" s="2">
        <f ca="1"/>
        <v>0.95786843951209577</v>
      </c>
      <c r="O1241" s="2">
        <f ca="1"/>
        <v>0.43121927020519263</v>
      </c>
      <c r="X1241" s="2">
        <f ca="1"/>
        <v>45.145602348502642</v>
      </c>
      <c r="AG1241" s="2">
        <f ca="1"/>
        <v>0.60886129402969513</v>
      </c>
      <c r="AH1241" s="2" t="str">
        <f ca="1"/>
        <v>Bad</v>
      </c>
    </row>
    <row r="1242" spans="2:34" x14ac:dyDescent="0.2">
      <c r="B1242" s="2">
        <f ca="1"/>
        <v>0.64494342538438576</v>
      </c>
      <c r="O1242" s="2">
        <f ca="1"/>
        <v>0.33897204703561257</v>
      </c>
      <c r="X1242" s="2">
        <f ca="1"/>
        <v>56.420437938326884</v>
      </c>
      <c r="AG1242" s="2">
        <f ca="1"/>
        <v>0.93442538511802731</v>
      </c>
      <c r="AH1242" s="2" t="str">
        <f ca="1"/>
        <v>Bad</v>
      </c>
    </row>
    <row r="1243" spans="2:34" x14ac:dyDescent="0.2">
      <c r="B1243" s="2">
        <f ca="1"/>
        <v>0.9089596220877274</v>
      </c>
      <c r="O1243" s="2">
        <f ca="1"/>
        <v>-0.27460070562389288</v>
      </c>
      <c r="X1243" s="2">
        <f ca="1"/>
        <v>43.259810980800822</v>
      </c>
      <c r="AG1243" s="2">
        <f ca="1"/>
        <v>3.5230531785870989E-2</v>
      </c>
      <c r="AH1243" s="2" t="str">
        <f ca="1"/>
        <v>Good</v>
      </c>
    </row>
    <row r="1244" spans="2:34" x14ac:dyDescent="0.2">
      <c r="B1244" s="2">
        <f ca="1"/>
        <v>0.30245191366891944</v>
      </c>
      <c r="O1244" s="2">
        <f ca="1"/>
        <v>-0.90080863319463689</v>
      </c>
      <c r="X1244" s="2">
        <f ca="1"/>
        <v>70.436092456728034</v>
      </c>
      <c r="AG1244" s="2">
        <f ca="1"/>
        <v>1.3641067242201377E-2</v>
      </c>
      <c r="AH1244" s="2" t="str">
        <f ca="1"/>
        <v>Good</v>
      </c>
    </row>
    <row r="1245" spans="2:34" x14ac:dyDescent="0.2">
      <c r="B1245" s="2">
        <f ca="1"/>
        <v>0.18134550859171883</v>
      </c>
      <c r="O1245" s="2">
        <f ca="1"/>
        <v>-0.49900725203545809</v>
      </c>
      <c r="X1245" s="2">
        <f ca="1"/>
        <v>39.636519475200203</v>
      </c>
      <c r="AG1245" s="2">
        <f ca="1"/>
        <v>9.7586884232362836E-2</v>
      </c>
      <c r="AH1245" s="2" t="str">
        <f ca="1"/>
        <v>OK</v>
      </c>
    </row>
    <row r="1246" spans="2:34" x14ac:dyDescent="0.2">
      <c r="B1246" s="2">
        <f ca="1"/>
        <v>0.39242393343771975</v>
      </c>
      <c r="O1246" s="2">
        <f ca="1"/>
        <v>-1.2028662716700873</v>
      </c>
      <c r="X1246" s="2">
        <f ca="1"/>
        <v>28.444097739871893</v>
      </c>
      <c r="AG1246" s="2">
        <f ca="1"/>
        <v>0.36200477310024981</v>
      </c>
      <c r="AH1246" s="2" t="str">
        <f ca="1"/>
        <v>OK</v>
      </c>
    </row>
    <row r="1247" spans="2:34" x14ac:dyDescent="0.2">
      <c r="B1247" s="2">
        <f ca="1"/>
        <v>0.78339942436129606</v>
      </c>
      <c r="O1247" s="2">
        <f ca="1"/>
        <v>-1.811895926606421</v>
      </c>
      <c r="X1247" s="2">
        <f ca="1"/>
        <v>51.631336130720442</v>
      </c>
      <c r="AG1247" s="2">
        <f ca="1"/>
        <v>0.96811043742269121</v>
      </c>
      <c r="AH1247" s="2" t="str">
        <f ca="1"/>
        <v>Bad</v>
      </c>
    </row>
    <row r="1248" spans="2:34" x14ac:dyDescent="0.2">
      <c r="B1248" s="2">
        <f ca="1"/>
        <v>7.3972829045059196E-3</v>
      </c>
      <c r="O1248" s="2">
        <f ca="1"/>
        <v>-0.99958034879607172</v>
      </c>
      <c r="X1248" s="2">
        <f ca="1"/>
        <v>42.853099547188727</v>
      </c>
      <c r="AG1248" s="2">
        <f ca="1"/>
        <v>0.53294685833854483</v>
      </c>
      <c r="AH1248" s="2" t="str">
        <f ca="1"/>
        <v>Bad</v>
      </c>
    </row>
    <row r="1249" spans="2:34" x14ac:dyDescent="0.2">
      <c r="B1249" s="2">
        <f ca="1"/>
        <v>5.0507476657859707E-2</v>
      </c>
      <c r="O1249" s="2">
        <f ca="1"/>
        <v>-5.4948478267047227E-2</v>
      </c>
      <c r="X1249" s="2">
        <f ca="1"/>
        <v>59.154115008399828</v>
      </c>
      <c r="AG1249" s="2">
        <f ca="1"/>
        <v>1.9738973252893199E-2</v>
      </c>
      <c r="AH1249" s="2" t="str">
        <f ca="1"/>
        <v>Good</v>
      </c>
    </row>
    <row r="1250" spans="2:34" x14ac:dyDescent="0.2">
      <c r="B1250" s="2">
        <f ca="1"/>
        <v>0.6248827999991633</v>
      </c>
      <c r="O1250" s="2">
        <f ca="1"/>
        <v>-7.7696578130320909E-2</v>
      </c>
      <c r="X1250" s="2">
        <f ca="1"/>
        <v>33.759360934154877</v>
      </c>
      <c r="AG1250" s="2">
        <f ca="1"/>
        <v>0.63764620748329204</v>
      </c>
      <c r="AH1250" s="2" t="str">
        <f ca="1"/>
        <v>Bad</v>
      </c>
    </row>
    <row r="1251" spans="2:34" x14ac:dyDescent="0.2">
      <c r="B1251" s="2">
        <f ca="1"/>
        <v>0.68643240375989323</v>
      </c>
      <c r="O1251" s="2">
        <f ca="1"/>
        <v>1.2122603597465194</v>
      </c>
      <c r="X1251" s="2">
        <f ca="1"/>
        <v>52.853368895078361</v>
      </c>
      <c r="AG1251" s="2">
        <f ca="1"/>
        <v>0.67275836433067671</v>
      </c>
      <c r="AH1251" s="2" t="str">
        <f ca="1"/>
        <v>Bad</v>
      </c>
    </row>
    <row r="1252" spans="2:34" x14ac:dyDescent="0.2">
      <c r="B1252" s="2">
        <f ca="1"/>
        <v>0.34197374812332981</v>
      </c>
      <c r="O1252" s="2">
        <f ca="1"/>
        <v>-0.27373407226106122</v>
      </c>
      <c r="X1252" s="2">
        <f ca="1"/>
        <v>71.893787850674755</v>
      </c>
      <c r="AG1252" s="2">
        <f ca="1"/>
        <v>0.80408810986082546</v>
      </c>
      <c r="AH1252" s="2" t="str">
        <f ca="1"/>
        <v>Bad</v>
      </c>
    </row>
    <row r="1253" spans="2:34" x14ac:dyDescent="0.2">
      <c r="B1253" s="2">
        <f ca="1"/>
        <v>0.27047012243835566</v>
      </c>
      <c r="O1253" s="2">
        <f ca="1"/>
        <v>-0.54003728424536734</v>
      </c>
      <c r="X1253" s="2">
        <f ca="1"/>
        <v>36.401657909709826</v>
      </c>
      <c r="AG1253" s="2">
        <f ca="1"/>
        <v>0.9994189227204695</v>
      </c>
      <c r="AH1253" s="2" t="str">
        <f ca="1"/>
        <v>Bad</v>
      </c>
    </row>
    <row r="1254" spans="2:34" x14ac:dyDescent="0.2">
      <c r="B1254" s="2">
        <f ca="1"/>
        <v>0.85564970394208095</v>
      </c>
      <c r="O1254" s="2">
        <f ca="1"/>
        <v>0.56204577929470922</v>
      </c>
      <c r="X1254" s="2">
        <f ca="1"/>
        <v>82.281551036102854</v>
      </c>
      <c r="AG1254" s="2">
        <f ca="1"/>
        <v>0.59578683941107657</v>
      </c>
      <c r="AH1254" s="2" t="str">
        <f ca="1"/>
        <v>Bad</v>
      </c>
    </row>
    <row r="1255" spans="2:34" x14ac:dyDescent="0.2">
      <c r="B1255" s="2">
        <f ca="1"/>
        <v>0.25440549425996939</v>
      </c>
      <c r="O1255" s="2">
        <f ca="1"/>
        <v>0.38816330670408394</v>
      </c>
      <c r="X1255" s="2">
        <f ca="1"/>
        <v>56.09520786808752</v>
      </c>
      <c r="AG1255" s="2">
        <f ca="1"/>
        <v>4.6061067777487308E-2</v>
      </c>
      <c r="AH1255" s="2" t="str">
        <f ca="1"/>
        <v>Good</v>
      </c>
    </row>
    <row r="1256" spans="2:34" x14ac:dyDescent="0.2">
      <c r="B1256" s="2">
        <f ca="1"/>
        <v>5.9266069375503161E-3</v>
      </c>
      <c r="O1256" s="2">
        <f ca="1"/>
        <v>-0.21562772928622731</v>
      </c>
      <c r="X1256" s="2">
        <f ca="1"/>
        <v>56.734780409094306</v>
      </c>
      <c r="AG1256" s="2">
        <f ca="1"/>
        <v>3.6163698970650415E-3</v>
      </c>
      <c r="AH1256" s="2" t="str">
        <f ca="1"/>
        <v>Good</v>
      </c>
    </row>
    <row r="1257" spans="2:34" x14ac:dyDescent="0.2">
      <c r="B1257" s="2">
        <f ca="1"/>
        <v>0.28841110093339406</v>
      </c>
      <c r="O1257" s="2">
        <f ca="1"/>
        <v>1.6860855467591904</v>
      </c>
      <c r="X1257" s="2">
        <f ca="1"/>
        <v>46.185421294226799</v>
      </c>
      <c r="AG1257" s="2">
        <f ca="1"/>
        <v>0.37149451293689517</v>
      </c>
      <c r="AH1257" s="2" t="str">
        <f ca="1"/>
        <v>OK</v>
      </c>
    </row>
    <row r="1258" spans="2:34" x14ac:dyDescent="0.2">
      <c r="B1258" s="2">
        <f ca="1"/>
        <v>0.65683165833763013</v>
      </c>
      <c r="O1258" s="2">
        <f ca="1"/>
        <v>-0.75896413206406244</v>
      </c>
      <c r="X1258" s="2">
        <f ca="1"/>
        <v>44.702031953562944</v>
      </c>
      <c r="AG1258" s="2">
        <f ca="1"/>
        <v>0.91810249413624034</v>
      </c>
      <c r="AH1258" s="2" t="str">
        <f ca="1"/>
        <v>Bad</v>
      </c>
    </row>
    <row r="1259" spans="2:34" x14ac:dyDescent="0.2">
      <c r="B1259" s="2">
        <f ca="1"/>
        <v>9.9940906287145248E-2</v>
      </c>
      <c r="O1259" s="2">
        <f ca="1"/>
        <v>-0.31392851838480645</v>
      </c>
      <c r="X1259" s="2">
        <f ca="1"/>
        <v>41.423725948069894</v>
      </c>
      <c r="AG1259" s="2">
        <f ca="1"/>
        <v>0.3993699299307043</v>
      </c>
      <c r="AH1259" s="2" t="str">
        <f ca="1"/>
        <v>OK</v>
      </c>
    </row>
    <row r="1260" spans="2:34" x14ac:dyDescent="0.2">
      <c r="B1260" s="2">
        <f ca="1"/>
        <v>0.3964191305877689</v>
      </c>
      <c r="O1260" s="2">
        <f ca="1"/>
        <v>0.11741582480173418</v>
      </c>
      <c r="X1260" s="2">
        <f ca="1"/>
        <v>38.838546005787251</v>
      </c>
      <c r="AG1260" s="2">
        <f ca="1"/>
        <v>0.78806450692865782</v>
      </c>
      <c r="AH1260" s="2" t="str">
        <f ca="1"/>
        <v>Bad</v>
      </c>
    </row>
    <row r="1261" spans="2:34" x14ac:dyDescent="0.2">
      <c r="B1261" s="2">
        <f ca="1"/>
        <v>0.20827075043651155</v>
      </c>
      <c r="O1261" s="2">
        <f ca="1"/>
        <v>-0.80747141187596461</v>
      </c>
      <c r="X1261" s="2">
        <f ca="1"/>
        <v>94.909179607588271</v>
      </c>
      <c r="AG1261" s="2">
        <f ca="1"/>
        <v>0.36428571131914778</v>
      </c>
      <c r="AH1261" s="2" t="str">
        <f ca="1"/>
        <v>OK</v>
      </c>
    </row>
    <row r="1262" spans="2:34" x14ac:dyDescent="0.2">
      <c r="B1262" s="2">
        <f ca="1"/>
        <v>0.40382033223146419</v>
      </c>
      <c r="O1262" s="2">
        <f ca="1"/>
        <v>-0.33250290844808922</v>
      </c>
      <c r="X1262" s="2">
        <f ca="1"/>
        <v>38.822072936342742</v>
      </c>
      <c r="AG1262" s="2">
        <f ca="1"/>
        <v>0.62045103505400601</v>
      </c>
      <c r="AH1262" s="2" t="str">
        <f ca="1"/>
        <v>Bad</v>
      </c>
    </row>
    <row r="1263" spans="2:34" x14ac:dyDescent="0.2">
      <c r="B1263" s="2">
        <f ca="1"/>
        <v>0.57401471933406878</v>
      </c>
      <c r="O1263" s="2">
        <f ca="1"/>
        <v>1.0811241096960158</v>
      </c>
      <c r="X1263" s="2">
        <f ca="1"/>
        <v>73.886842015372267</v>
      </c>
      <c r="AG1263" s="2">
        <f ca="1"/>
        <v>0.63118079568673147</v>
      </c>
      <c r="AH1263" s="2" t="str">
        <f ca="1"/>
        <v>Bad</v>
      </c>
    </row>
    <row r="1264" spans="2:34" x14ac:dyDescent="0.2">
      <c r="B1264" s="2">
        <f ca="1"/>
        <v>0.45788445569879332</v>
      </c>
      <c r="O1264" s="2">
        <f ca="1"/>
        <v>-0.56929285736473867</v>
      </c>
      <c r="X1264" s="2">
        <f ca="1"/>
        <v>83.312095439362878</v>
      </c>
      <c r="AG1264" s="2">
        <f ca="1"/>
        <v>0.56445396595671493</v>
      </c>
      <c r="AH1264" s="2" t="str">
        <f ca="1"/>
        <v>Bad</v>
      </c>
    </row>
    <row r="1265" spans="2:34" x14ac:dyDescent="0.2">
      <c r="B1265" s="2">
        <f ca="1"/>
        <v>9.6366523121947045E-2</v>
      </c>
      <c r="O1265" s="2">
        <f ca="1"/>
        <v>-0.35994177561664964</v>
      </c>
      <c r="X1265" s="2">
        <f ca="1"/>
        <v>63.407159358064732</v>
      </c>
      <c r="AG1265" s="2">
        <f ca="1"/>
        <v>0.81167873060284479</v>
      </c>
      <c r="AH1265" s="2" t="str">
        <f ca="1"/>
        <v>Bad</v>
      </c>
    </row>
    <row r="1266" spans="2:34" x14ac:dyDescent="0.2">
      <c r="B1266" s="2">
        <f ca="1"/>
        <v>0.30185795084384504</v>
      </c>
      <c r="O1266" s="2">
        <f ca="1"/>
        <v>-2.1634362228276611</v>
      </c>
      <c r="X1266" s="2">
        <f ca="1"/>
        <v>33.377687643398815</v>
      </c>
      <c r="AG1266" s="2">
        <f ca="1"/>
        <v>0.83471706057293726</v>
      </c>
      <c r="AH1266" s="2" t="str">
        <f ca="1"/>
        <v>Bad</v>
      </c>
    </row>
    <row r="1267" spans="2:34" x14ac:dyDescent="0.2">
      <c r="B1267" s="2">
        <f ca="1"/>
        <v>0.84099869114969028</v>
      </c>
      <c r="O1267" s="2">
        <f ca="1"/>
        <v>-0.86542873298477385</v>
      </c>
      <c r="X1267" s="2">
        <f ca="1"/>
        <v>26.711667339329797</v>
      </c>
      <c r="AG1267" s="2">
        <f ca="1"/>
        <v>0.54084685891181028</v>
      </c>
      <c r="AH1267" s="2" t="str">
        <f ca="1"/>
        <v>Bad</v>
      </c>
    </row>
    <row r="1268" spans="2:34" x14ac:dyDescent="0.2">
      <c r="B1268" s="2">
        <f ca="1"/>
        <v>0.28604217819822275</v>
      </c>
      <c r="O1268" s="2">
        <f ca="1"/>
        <v>-0.19957249261402399</v>
      </c>
      <c r="X1268" s="2">
        <f ca="1"/>
        <v>39.123414121427636</v>
      </c>
      <c r="AG1268" s="2">
        <f ca="1"/>
        <v>0.78322011866764285</v>
      </c>
      <c r="AH1268" s="2" t="str">
        <f ca="1"/>
        <v>Bad</v>
      </c>
    </row>
    <row r="1269" spans="2:34" x14ac:dyDescent="0.2">
      <c r="B1269" s="2">
        <f ca="1"/>
        <v>5.9919902802288982E-2</v>
      </c>
      <c r="O1269" s="2">
        <f ca="1"/>
        <v>0.22081748327992382</v>
      </c>
      <c r="X1269" s="2">
        <f ca="1"/>
        <v>38.699506784611522</v>
      </c>
      <c r="AG1269" s="2">
        <f ca="1"/>
        <v>0.56011032222216617</v>
      </c>
      <c r="AH1269" s="2" t="str">
        <f ca="1"/>
        <v>Bad</v>
      </c>
    </row>
    <row r="1270" spans="2:34" x14ac:dyDescent="0.2">
      <c r="B1270" s="2">
        <f ca="1"/>
        <v>0.41694890474301016</v>
      </c>
      <c r="O1270" s="2">
        <f ca="1"/>
        <v>-2.1621271635023613</v>
      </c>
      <c r="X1270" s="2">
        <f ca="1"/>
        <v>28.617099412887299</v>
      </c>
      <c r="AG1270" s="2">
        <f ca="1"/>
        <v>0.71374467130364483</v>
      </c>
      <c r="AH1270" s="2" t="str">
        <f ca="1"/>
        <v>Bad</v>
      </c>
    </row>
    <row r="1271" spans="2:34" x14ac:dyDescent="0.2">
      <c r="B1271" s="2">
        <f ca="1"/>
        <v>0.16074472713940025</v>
      </c>
      <c r="O1271" s="2">
        <f ca="1"/>
        <v>-9.7416701283457325E-3</v>
      </c>
      <c r="X1271" s="2">
        <f ca="1"/>
        <v>60.220923514861191</v>
      </c>
      <c r="AG1271" s="2">
        <f ca="1"/>
        <v>0.390154896988401</v>
      </c>
      <c r="AH1271" s="2" t="str">
        <f ca="1"/>
        <v>OK</v>
      </c>
    </row>
    <row r="1272" spans="2:34" x14ac:dyDescent="0.2">
      <c r="B1272" s="2">
        <f ca="1"/>
        <v>2.3398908618104342E-2</v>
      </c>
      <c r="O1272" s="2">
        <f ca="1"/>
        <v>7.9699820100812238E-2</v>
      </c>
      <c r="X1272" s="2">
        <f ca="1"/>
        <v>41.359777068512884</v>
      </c>
      <c r="AG1272" s="2">
        <f ca="1"/>
        <v>0.79999372415031123</v>
      </c>
      <c r="AH1272" s="2" t="str">
        <f ca="1"/>
        <v>Bad</v>
      </c>
    </row>
    <row r="1273" spans="2:34" x14ac:dyDescent="0.2">
      <c r="B1273" s="2">
        <f ca="1"/>
        <v>0.72750228758376156</v>
      </c>
      <c r="O1273" s="2">
        <f ca="1"/>
        <v>0.6629422877289971</v>
      </c>
      <c r="X1273" s="2">
        <f ca="1"/>
        <v>43.888016990523866</v>
      </c>
      <c r="AG1273" s="2">
        <f ca="1"/>
        <v>0.26510925365400961</v>
      </c>
      <c r="AH1273" s="2" t="str">
        <f ca="1"/>
        <v>OK</v>
      </c>
    </row>
    <row r="1274" spans="2:34" x14ac:dyDescent="0.2">
      <c r="B1274" s="2">
        <f ca="1"/>
        <v>0.73745675748341433</v>
      </c>
      <c r="O1274" s="2">
        <f ca="1"/>
        <v>0.24648081193939361</v>
      </c>
      <c r="X1274" s="2">
        <f ca="1"/>
        <v>38.151818638840325</v>
      </c>
      <c r="AG1274" s="2">
        <f ca="1"/>
        <v>0.79682573734690898</v>
      </c>
      <c r="AH1274" s="2" t="str">
        <f ca="1"/>
        <v>Bad</v>
      </c>
    </row>
    <row r="1275" spans="2:34" x14ac:dyDescent="0.2">
      <c r="B1275" s="2">
        <f ca="1"/>
        <v>0.77980583527975389</v>
      </c>
      <c r="O1275" s="2">
        <f ca="1"/>
        <v>-1.2807621129199567</v>
      </c>
      <c r="X1275" s="2">
        <f ca="1"/>
        <v>89.530688329863864</v>
      </c>
      <c r="AG1275" s="2">
        <f ca="1"/>
        <v>0.10001657071145864</v>
      </c>
      <c r="AH1275" s="2" t="str">
        <f ca="1"/>
        <v>OK</v>
      </c>
    </row>
    <row r="1276" spans="2:34" x14ac:dyDescent="0.2">
      <c r="B1276" s="2">
        <f ca="1"/>
        <v>0.22201675775921137</v>
      </c>
      <c r="O1276" s="2">
        <f ca="1"/>
        <v>-4.8583397219895581E-3</v>
      </c>
      <c r="X1276" s="2">
        <f ca="1"/>
        <v>42.220274469950283</v>
      </c>
      <c r="AG1276" s="2">
        <f ca="1"/>
        <v>0.82594734514861057</v>
      </c>
      <c r="AH1276" s="2" t="str">
        <f ca="1"/>
        <v>Bad</v>
      </c>
    </row>
    <row r="1277" spans="2:34" x14ac:dyDescent="0.2">
      <c r="B1277" s="2">
        <f ca="1"/>
        <v>0.72018105068550731</v>
      </c>
      <c r="O1277" s="2">
        <f ca="1"/>
        <v>1.0316116731546838</v>
      </c>
      <c r="X1277" s="2">
        <f ca="1"/>
        <v>45.148249549558706</v>
      </c>
      <c r="AG1277" s="2">
        <f ca="1"/>
        <v>0.73913838305398483</v>
      </c>
      <c r="AH1277" s="2" t="str">
        <f ca="1"/>
        <v>Bad</v>
      </c>
    </row>
    <row r="1278" spans="2:34" x14ac:dyDescent="0.2">
      <c r="B1278" s="2">
        <f ca="1"/>
        <v>0.59849725242589202</v>
      </c>
      <c r="O1278" s="2">
        <f ca="1"/>
        <v>0.87610904064595796</v>
      </c>
      <c r="X1278" s="2">
        <f ca="1"/>
        <v>36.378558613195004</v>
      </c>
      <c r="AG1278" s="2">
        <f ca="1"/>
        <v>0.96611529327669809</v>
      </c>
      <c r="AH1278" s="2" t="str">
        <f ca="1"/>
        <v>Bad</v>
      </c>
    </row>
    <row r="1279" spans="2:34" x14ac:dyDescent="0.2">
      <c r="B1279" s="2">
        <f ca="1"/>
        <v>0.94678506886718572</v>
      </c>
      <c r="O1279" s="2">
        <f ca="1"/>
        <v>-1.5797625934387676</v>
      </c>
      <c r="X1279" s="2">
        <f ca="1"/>
        <v>52.637733087024699</v>
      </c>
      <c r="AG1279" s="2">
        <f ca="1"/>
        <v>0.58265909873840616</v>
      </c>
      <c r="AH1279" s="2" t="str">
        <f ca="1"/>
        <v>Bad</v>
      </c>
    </row>
    <row r="1280" spans="2:34" x14ac:dyDescent="0.2">
      <c r="B1280" s="2">
        <f ca="1"/>
        <v>0.65264314469334184</v>
      </c>
      <c r="O1280" s="2">
        <f ca="1"/>
        <v>-2.2922206041840312</v>
      </c>
      <c r="X1280" s="2">
        <f ca="1"/>
        <v>70.183314974040329</v>
      </c>
      <c r="AG1280" s="2">
        <f ca="1"/>
        <v>0.97733701167808973</v>
      </c>
      <c r="AH1280" s="2" t="str">
        <f ca="1"/>
        <v>Bad</v>
      </c>
    </row>
    <row r="1281" spans="2:34" x14ac:dyDescent="0.2">
      <c r="B1281" s="2">
        <f ca="1"/>
        <v>0.71062808209145389</v>
      </c>
      <c r="O1281" s="2">
        <f ca="1"/>
        <v>-0.14892577331665724</v>
      </c>
      <c r="X1281" s="2">
        <f ca="1"/>
        <v>82.47593473016174</v>
      </c>
      <c r="AG1281" s="2">
        <f ca="1"/>
        <v>0.95553865146223371</v>
      </c>
      <c r="AH1281" s="2" t="str">
        <f ca="1"/>
        <v>Bad</v>
      </c>
    </row>
    <row r="1282" spans="2:34" x14ac:dyDescent="0.2">
      <c r="B1282" s="2">
        <f ca="1"/>
        <v>0.54874863264254925</v>
      </c>
      <c r="O1282" s="2">
        <f ca="1"/>
        <v>1.5204565829995857</v>
      </c>
      <c r="X1282" s="2">
        <f ca="1"/>
        <v>47.465981010855735</v>
      </c>
      <c r="AG1282" s="2">
        <f ca="1"/>
        <v>0.46702349344354954</v>
      </c>
      <c r="AH1282" s="2" t="str">
        <f ca="1"/>
        <v>Bad</v>
      </c>
    </row>
    <row r="1283" spans="2:34" x14ac:dyDescent="0.2">
      <c r="B1283" s="2">
        <f ca="1"/>
        <v>7.9044557992006936E-2</v>
      </c>
      <c r="O1283" s="2">
        <f ca="1"/>
        <v>0.79608529900431702</v>
      </c>
      <c r="X1283" s="2">
        <f ca="1"/>
        <v>33.68103517170892</v>
      </c>
      <c r="AG1283" s="2">
        <f ca="1"/>
        <v>0.68576338935157066</v>
      </c>
      <c r="AH1283" s="2" t="str">
        <f ca="1"/>
        <v>Bad</v>
      </c>
    </row>
    <row r="1284" spans="2:34" x14ac:dyDescent="0.2">
      <c r="B1284" s="2">
        <f ca="1"/>
        <v>0.36093384536487005</v>
      </c>
      <c r="O1284" s="2">
        <f ca="1"/>
        <v>-1.4972409619417828</v>
      </c>
      <c r="X1284" s="2">
        <f ca="1"/>
        <v>56.074935760616611</v>
      </c>
      <c r="AG1284" s="2">
        <f ca="1"/>
        <v>0.70499095055112271</v>
      </c>
      <c r="AH1284" s="2" t="str">
        <f ca="1"/>
        <v>Bad</v>
      </c>
    </row>
    <row r="1285" spans="2:34" x14ac:dyDescent="0.2">
      <c r="B1285" s="2">
        <f ca="1"/>
        <v>0.68332436122200146</v>
      </c>
      <c r="O1285" s="2">
        <f ca="1"/>
        <v>-0.55463438528852205</v>
      </c>
      <c r="X1285" s="2">
        <f ca="1"/>
        <v>21.408281561665422</v>
      </c>
      <c r="AG1285" s="2">
        <f ca="1"/>
        <v>0.48357031309771892</v>
      </c>
      <c r="AH1285" s="2" t="str">
        <f ca="1"/>
        <v>Bad</v>
      </c>
    </row>
    <row r="1286" spans="2:34" x14ac:dyDescent="0.2">
      <c r="B1286" s="2">
        <f ca="1"/>
        <v>0.79459231212040704</v>
      </c>
      <c r="O1286" s="2">
        <f ca="1"/>
        <v>-0.82578316512731542</v>
      </c>
      <c r="X1286" s="2">
        <f ca="1"/>
        <v>46.849721220230585</v>
      </c>
      <c r="AG1286" s="2">
        <f ca="1"/>
        <v>0.74745282442794259</v>
      </c>
      <c r="AH1286" s="2" t="str">
        <f ca="1"/>
        <v>Bad</v>
      </c>
    </row>
    <row r="1287" spans="2:34" x14ac:dyDescent="0.2">
      <c r="B1287" s="2">
        <f ca="1"/>
        <v>0.53058587191218942</v>
      </c>
      <c r="O1287" s="2">
        <f ca="1"/>
        <v>1.0087042023331907</v>
      </c>
      <c r="X1287" s="2">
        <f ca="1"/>
        <v>54.151962373309303</v>
      </c>
      <c r="AG1287" s="2">
        <f ca="1"/>
        <v>0.23648932069201534</v>
      </c>
      <c r="AH1287" s="2" t="str">
        <f ca="1"/>
        <v>OK</v>
      </c>
    </row>
    <row r="1288" spans="2:34" x14ac:dyDescent="0.2">
      <c r="B1288" s="2">
        <f ca="1"/>
        <v>0.40773101041368154</v>
      </c>
      <c r="O1288" s="2">
        <f ca="1"/>
        <v>0.3874911737821185</v>
      </c>
      <c r="X1288" s="2">
        <f ca="1"/>
        <v>52.432776496005715</v>
      </c>
      <c r="AG1288" s="2">
        <f ca="1"/>
        <v>0.83937499932284099</v>
      </c>
      <c r="AH1288" s="2" t="str">
        <f ca="1"/>
        <v>Bad</v>
      </c>
    </row>
    <row r="1289" spans="2:34" x14ac:dyDescent="0.2">
      <c r="B1289" s="2">
        <f ca="1"/>
        <v>0.60322003867730389</v>
      </c>
      <c r="O1289" s="2">
        <f ca="1"/>
        <v>-0.49972988229676402</v>
      </c>
      <c r="X1289" s="2">
        <f ca="1"/>
        <v>39.277848589879852</v>
      </c>
      <c r="AG1289" s="2">
        <f ca="1"/>
        <v>0.34381018555723108</v>
      </c>
      <c r="AH1289" s="2" t="str">
        <f ca="1"/>
        <v>OK</v>
      </c>
    </row>
    <row r="1290" spans="2:34" x14ac:dyDescent="0.2">
      <c r="B1290" s="2">
        <f ca="1"/>
        <v>0.95800688150265922</v>
      </c>
      <c r="O1290" s="2">
        <f ca="1"/>
        <v>1.398473875760514</v>
      </c>
      <c r="X1290" s="2">
        <f ca="1"/>
        <v>46.515781965400258</v>
      </c>
      <c r="AG1290" s="2">
        <f ca="1"/>
        <v>0.38563310503290982</v>
      </c>
      <c r="AH1290" s="2" t="str">
        <f ca="1"/>
        <v>OK</v>
      </c>
    </row>
    <row r="1291" spans="2:34" x14ac:dyDescent="0.2">
      <c r="B1291" s="2">
        <f ca="1"/>
        <v>0.34241361367148859</v>
      </c>
      <c r="O1291" s="2">
        <f ca="1"/>
        <v>-0.11703160449201355</v>
      </c>
      <c r="X1291" s="2">
        <f ca="1"/>
        <v>28.943383107329723</v>
      </c>
      <c r="AG1291" s="2">
        <f ca="1"/>
        <v>0.54940588995963924</v>
      </c>
      <c r="AH1291" s="2" t="str">
        <f ca="1"/>
        <v>Bad</v>
      </c>
    </row>
    <row r="1292" spans="2:34" x14ac:dyDescent="0.2">
      <c r="B1292" s="2">
        <f ca="1"/>
        <v>0.91223271775914805</v>
      </c>
      <c r="O1292" s="2">
        <f ca="1"/>
        <v>-0.18622453492857932</v>
      </c>
      <c r="X1292" s="2">
        <f ca="1"/>
        <v>47.692353801491485</v>
      </c>
      <c r="AG1292" s="2">
        <f ca="1"/>
        <v>0.44501469091392831</v>
      </c>
      <c r="AH1292" s="2" t="str">
        <f ca="1"/>
        <v>Bad</v>
      </c>
    </row>
    <row r="1293" spans="2:34" x14ac:dyDescent="0.2">
      <c r="B1293" s="2">
        <f ca="1"/>
        <v>0.71499023543257012</v>
      </c>
      <c r="O1293" s="2">
        <f ca="1"/>
        <v>-0.81900869681096256</v>
      </c>
      <c r="X1293" s="2">
        <f ca="1"/>
        <v>62.853569179819772</v>
      </c>
      <c r="AG1293" s="2">
        <f ca="1"/>
        <v>0.51458682280973278</v>
      </c>
      <c r="AH1293" s="2" t="str">
        <f ca="1"/>
        <v>Bad</v>
      </c>
    </row>
    <row r="1294" spans="2:34" x14ac:dyDescent="0.2">
      <c r="B1294" s="2">
        <f ca="1"/>
        <v>0.90326399009597647</v>
      </c>
      <c r="O1294" s="2">
        <f ca="1"/>
        <v>-0.29942929423840148</v>
      </c>
      <c r="X1294" s="2">
        <f ca="1"/>
        <v>27.177291398943041</v>
      </c>
      <c r="AG1294" s="2">
        <f ca="1"/>
        <v>0.9512107082584571</v>
      </c>
      <c r="AH1294" s="2" t="str">
        <f ca="1"/>
        <v>Bad</v>
      </c>
    </row>
    <row r="1295" spans="2:34" x14ac:dyDescent="0.2">
      <c r="B1295" s="2">
        <f ca="1"/>
        <v>0.53277181470363577</v>
      </c>
      <c r="O1295" s="2">
        <f ca="1"/>
        <v>-1.652242255517036</v>
      </c>
      <c r="X1295" s="2">
        <f ca="1"/>
        <v>56.358758813884947</v>
      </c>
      <c r="AG1295" s="2">
        <f ca="1"/>
        <v>0.34773187645664505</v>
      </c>
      <c r="AH1295" s="2" t="str">
        <f ca="1"/>
        <v>OK</v>
      </c>
    </row>
    <row r="1296" spans="2:34" x14ac:dyDescent="0.2">
      <c r="B1296" s="2">
        <f ca="1"/>
        <v>0.88931702985649963</v>
      </c>
      <c r="O1296" s="2">
        <f ca="1"/>
        <v>-0.12598488464765664</v>
      </c>
      <c r="X1296" s="2">
        <f ca="1"/>
        <v>37.004381899945031</v>
      </c>
      <c r="AG1296" s="2">
        <f ca="1"/>
        <v>0.32184498034854858</v>
      </c>
      <c r="AH1296" s="2" t="str">
        <f ca="1"/>
        <v>OK</v>
      </c>
    </row>
    <row r="1297" spans="2:34" x14ac:dyDescent="0.2">
      <c r="B1297" s="2">
        <f ca="1"/>
        <v>0.16997010516014166</v>
      </c>
      <c r="O1297" s="2">
        <f ca="1"/>
        <v>0.80654737848699543</v>
      </c>
      <c r="X1297" s="2">
        <f ca="1"/>
        <v>59.567905817802313</v>
      </c>
      <c r="AG1297" s="2">
        <f ca="1"/>
        <v>6.5815867758876045E-3</v>
      </c>
      <c r="AH1297" s="2" t="str">
        <f ca="1"/>
        <v>Good</v>
      </c>
    </row>
    <row r="1298" spans="2:34" x14ac:dyDescent="0.2">
      <c r="B1298" s="2">
        <f ca="1"/>
        <v>0.47277977447950437</v>
      </c>
      <c r="O1298" s="2">
        <f ca="1"/>
        <v>-9.9991565268861562E-2</v>
      </c>
      <c r="X1298" s="2">
        <f ca="1"/>
        <v>44.176146613932147</v>
      </c>
      <c r="AG1298" s="2">
        <f ca="1"/>
        <v>0.90034681096979652</v>
      </c>
      <c r="AH1298" s="2" t="str">
        <f ca="1"/>
        <v>Bad</v>
      </c>
    </row>
    <row r="1299" spans="2:34" x14ac:dyDescent="0.2">
      <c r="B1299" s="2">
        <f ca="1"/>
        <v>0.81743764674896191</v>
      </c>
      <c r="O1299" s="2">
        <f ca="1"/>
        <v>0.60307604737635456</v>
      </c>
      <c r="X1299" s="2">
        <f ca="1"/>
        <v>39.657724051911188</v>
      </c>
      <c r="AG1299" s="2">
        <f ca="1"/>
        <v>0.89580084494941681</v>
      </c>
      <c r="AH1299" s="2" t="str">
        <f ca="1"/>
        <v>Bad</v>
      </c>
    </row>
    <row r="1300" spans="2:34" x14ac:dyDescent="0.2">
      <c r="B1300" s="2">
        <f ca="1"/>
        <v>0.19944100424837363</v>
      </c>
      <c r="O1300" s="2">
        <f ca="1"/>
        <v>-0.29558417815200161</v>
      </c>
      <c r="X1300" s="2">
        <f ca="1"/>
        <v>79.165298316264611</v>
      </c>
      <c r="AG1300" s="2">
        <f ca="1"/>
        <v>0.84513515570847586</v>
      </c>
      <c r="AH1300" s="2" t="str">
        <f ca="1"/>
        <v>Bad</v>
      </c>
    </row>
    <row r="1301" spans="2:34" x14ac:dyDescent="0.2">
      <c r="B1301" s="2">
        <f ca="1"/>
        <v>3.5831689717267468E-2</v>
      </c>
      <c r="O1301" s="2">
        <f ca="1"/>
        <v>-0.12636345405882804</v>
      </c>
      <c r="X1301" s="2">
        <f ca="1"/>
        <v>41.102514969316516</v>
      </c>
      <c r="AG1301" s="2">
        <f ca="1"/>
        <v>0.59710497885349967</v>
      </c>
      <c r="AH1301" s="2" t="str">
        <f ca="1"/>
        <v>Bad</v>
      </c>
    </row>
    <row r="1302" spans="2:34" x14ac:dyDescent="0.2">
      <c r="B1302" s="2">
        <f ca="1"/>
        <v>0.48043002627101528</v>
      </c>
      <c r="O1302" s="2">
        <f ca="1"/>
        <v>1.0586837156272748</v>
      </c>
      <c r="X1302" s="2">
        <f ca="1"/>
        <v>49.513444090105466</v>
      </c>
      <c r="AG1302" s="2">
        <f ca="1"/>
        <v>0.55959887027218902</v>
      </c>
      <c r="AH1302" s="2" t="str">
        <f ca="1"/>
        <v>Bad</v>
      </c>
    </row>
    <row r="1303" spans="2:34" x14ac:dyDescent="0.2">
      <c r="B1303" s="2">
        <f ca="1"/>
        <v>0.97935802034130481</v>
      </c>
      <c r="O1303" s="2">
        <f ca="1"/>
        <v>-0.79596734304658578</v>
      </c>
      <c r="X1303" s="2">
        <f ca="1"/>
        <v>48.826481351883047</v>
      </c>
      <c r="AG1303" s="2">
        <f ca="1"/>
        <v>0.50803164477568674</v>
      </c>
      <c r="AH1303" s="2" t="str">
        <f ca="1"/>
        <v>Bad</v>
      </c>
    </row>
    <row r="1304" spans="2:34" x14ac:dyDescent="0.2">
      <c r="B1304" s="2">
        <f ca="1"/>
        <v>0.64110345367423416</v>
      </c>
      <c r="O1304" s="2">
        <f ca="1"/>
        <v>0.61893940625988986</v>
      </c>
      <c r="X1304" s="2">
        <f ca="1"/>
        <v>25.425826550987839</v>
      </c>
      <c r="AG1304" s="2">
        <f ca="1"/>
        <v>0.98876285292128818</v>
      </c>
      <c r="AH1304" s="2" t="str">
        <f ca="1"/>
        <v>Bad</v>
      </c>
    </row>
    <row r="1305" spans="2:34" x14ac:dyDescent="0.2">
      <c r="B1305" s="2">
        <f ca="1"/>
        <v>0.65416664506375377</v>
      </c>
      <c r="O1305" s="2">
        <f ca="1"/>
        <v>1.5253446688848384</v>
      </c>
      <c r="X1305" s="2">
        <f ca="1"/>
        <v>44.146052608020561</v>
      </c>
      <c r="AG1305" s="2">
        <f ca="1"/>
        <v>0.36954043543461101</v>
      </c>
      <c r="AH1305" s="2" t="str">
        <f ca="1"/>
        <v>OK</v>
      </c>
    </row>
    <row r="1306" spans="2:34" x14ac:dyDescent="0.2">
      <c r="B1306" s="2">
        <f ca="1"/>
        <v>0.29269315625005587</v>
      </c>
      <c r="O1306" s="2">
        <f ca="1"/>
        <v>-0.16542643977186561</v>
      </c>
      <c r="X1306" s="2">
        <f ca="1"/>
        <v>46.59245688300981</v>
      </c>
      <c r="AG1306" s="2">
        <f ca="1"/>
        <v>0.11515409222253159</v>
      </c>
      <c r="AH1306" s="2" t="str">
        <f ca="1"/>
        <v>OK</v>
      </c>
    </row>
    <row r="1307" spans="2:34" x14ac:dyDescent="0.2">
      <c r="B1307" s="2">
        <f ca="1"/>
        <v>0.25349408619396363</v>
      </c>
      <c r="O1307" s="2">
        <f ca="1"/>
        <v>0.129079645769451</v>
      </c>
      <c r="X1307" s="2">
        <f ca="1"/>
        <v>35.173896448669623</v>
      </c>
      <c r="AG1307" s="2">
        <f ca="1"/>
        <v>0.94577882766955179</v>
      </c>
      <c r="AH1307" s="2" t="str">
        <f ca="1"/>
        <v>Bad</v>
      </c>
    </row>
    <row r="1308" spans="2:34" x14ac:dyDescent="0.2">
      <c r="B1308" s="2">
        <f ca="1"/>
        <v>0.99031624412007124</v>
      </c>
      <c r="O1308" s="2">
        <f ca="1"/>
        <v>0.26534630998616621</v>
      </c>
      <c r="X1308" s="2">
        <f ca="1"/>
        <v>55.531199728994153</v>
      </c>
      <c r="AG1308" s="2">
        <f ca="1"/>
        <v>0.64971640022541011</v>
      </c>
      <c r="AH1308" s="2" t="str">
        <f ca="1"/>
        <v>Bad</v>
      </c>
    </row>
    <row r="1309" spans="2:34" x14ac:dyDescent="0.2">
      <c r="B1309" s="2">
        <f ca="1"/>
        <v>0.51627202217624046</v>
      </c>
      <c r="O1309" s="2">
        <f ca="1"/>
        <v>-0.85411981468727538</v>
      </c>
      <c r="X1309" s="2">
        <f ca="1"/>
        <v>59.096200180714064</v>
      </c>
      <c r="AG1309" s="2">
        <f ca="1"/>
        <v>0.87618118030115677</v>
      </c>
      <c r="AH1309" s="2" t="str">
        <f ca="1"/>
        <v>Bad</v>
      </c>
    </row>
    <row r="1310" spans="2:34" x14ac:dyDescent="0.2">
      <c r="B1310" s="2">
        <f ca="1"/>
        <v>0.38151918006778329</v>
      </c>
      <c r="O1310" s="2">
        <f ca="1"/>
        <v>0.5103058221811102</v>
      </c>
      <c r="X1310" s="2">
        <f ca="1"/>
        <v>40.678889489017315</v>
      </c>
      <c r="AG1310" s="2">
        <f ca="1"/>
        <v>0.25576507407010141</v>
      </c>
      <c r="AH1310" s="2" t="str">
        <f ca="1"/>
        <v>OK</v>
      </c>
    </row>
    <row r="1311" spans="2:34" x14ac:dyDescent="0.2">
      <c r="B1311" s="2">
        <f ca="1"/>
        <v>0.87696814465890438</v>
      </c>
      <c r="O1311" s="2">
        <f ca="1"/>
        <v>-0.291585333753833</v>
      </c>
      <c r="X1311" s="2">
        <f ca="1"/>
        <v>43.903979793571196</v>
      </c>
      <c r="AG1311" s="2">
        <f ca="1"/>
        <v>0.48408537993616196</v>
      </c>
      <c r="AH1311" s="2" t="str">
        <f ca="1"/>
        <v>Bad</v>
      </c>
    </row>
    <row r="1312" spans="2:34" x14ac:dyDescent="0.2">
      <c r="B1312" s="2">
        <f ca="1"/>
        <v>0.97212601692879064</v>
      </c>
      <c r="O1312" s="2">
        <f ca="1"/>
        <v>-0.306340915058741</v>
      </c>
      <c r="X1312" s="2">
        <f ca="1"/>
        <v>59.878722219512134</v>
      </c>
      <c r="AG1312" s="2">
        <f ca="1"/>
        <v>0.51061225544751587</v>
      </c>
      <c r="AH1312" s="2" t="str">
        <f ca="1"/>
        <v>Bad</v>
      </c>
    </row>
    <row r="1313" spans="2:34" x14ac:dyDescent="0.2">
      <c r="B1313" s="2">
        <f ca="1"/>
        <v>0.8506261796171013</v>
      </c>
      <c r="O1313" s="2">
        <f ca="1"/>
        <v>-1.9898506409588239</v>
      </c>
      <c r="X1313" s="2">
        <f ca="1"/>
        <v>61.063906007625555</v>
      </c>
      <c r="AG1313" s="2">
        <f ca="1"/>
        <v>0.95987281791167134</v>
      </c>
      <c r="AH1313" s="2" t="str">
        <f ca="1"/>
        <v>Bad</v>
      </c>
    </row>
    <row r="1314" spans="2:34" x14ac:dyDescent="0.2">
      <c r="B1314" s="2">
        <f ca="1"/>
        <v>0.11415383982283434</v>
      </c>
      <c r="O1314" s="2">
        <f ca="1"/>
        <v>-0.59766151386700828</v>
      </c>
      <c r="X1314" s="2">
        <f ca="1"/>
        <v>64.920732696963313</v>
      </c>
      <c r="AG1314" s="2">
        <f ca="1"/>
        <v>0.78912869282610343</v>
      </c>
      <c r="AH1314" s="2" t="str">
        <f ca="1"/>
        <v>Bad</v>
      </c>
    </row>
    <row r="1315" spans="2:34" x14ac:dyDescent="0.2">
      <c r="B1315" s="2">
        <f ca="1"/>
        <v>0.84475041002775697</v>
      </c>
      <c r="O1315" s="2">
        <f ca="1"/>
        <v>-0.48361736033789393</v>
      </c>
      <c r="X1315" s="2">
        <f ca="1"/>
        <v>56.113792220305484</v>
      </c>
      <c r="AG1315" s="2">
        <f ca="1"/>
        <v>0.38604127027386004</v>
      </c>
      <c r="AH1315" s="2" t="str">
        <f ca="1"/>
        <v>OK</v>
      </c>
    </row>
    <row r="1316" spans="2:34" x14ac:dyDescent="0.2">
      <c r="B1316" s="2">
        <f ca="1"/>
        <v>0.4867954884613841</v>
      </c>
      <c r="O1316" s="2">
        <f ca="1"/>
        <v>0.19631592841147399</v>
      </c>
      <c r="X1316" s="2">
        <f ca="1"/>
        <v>34.251902663867341</v>
      </c>
      <c r="AG1316" s="2">
        <f ca="1"/>
        <v>0.83705389628610116</v>
      </c>
      <c r="AH1316" s="2" t="str">
        <f ca="1"/>
        <v>Bad</v>
      </c>
    </row>
    <row r="1317" spans="2:34" x14ac:dyDescent="0.2">
      <c r="B1317" s="2">
        <f ca="1"/>
        <v>0.5582173737817242</v>
      </c>
      <c r="O1317" s="2">
        <f ca="1"/>
        <v>0.57145538225664971</v>
      </c>
      <c r="X1317" s="2">
        <f ca="1"/>
        <v>83.09576165949241</v>
      </c>
      <c r="AG1317" s="2">
        <f ca="1"/>
        <v>0.65718792711168916</v>
      </c>
      <c r="AH1317" s="2" t="str">
        <f ca="1"/>
        <v>Bad</v>
      </c>
    </row>
    <row r="1318" spans="2:34" x14ac:dyDescent="0.2">
      <c r="B1318" s="2">
        <f ca="1"/>
        <v>0.8450444218802633</v>
      </c>
      <c r="O1318" s="2">
        <f ca="1"/>
        <v>-0.44918982776963046</v>
      </c>
      <c r="X1318" s="2">
        <f ca="1"/>
        <v>33.226586207441635</v>
      </c>
      <c r="AG1318" s="2">
        <f ca="1"/>
        <v>0.28587923413102434</v>
      </c>
      <c r="AH1318" s="2" t="str">
        <f ca="1"/>
        <v>OK</v>
      </c>
    </row>
    <row r="1319" spans="2:34" x14ac:dyDescent="0.2">
      <c r="B1319" s="2">
        <f ca="1"/>
        <v>5.4582694401920762E-2</v>
      </c>
      <c r="O1319" s="2">
        <f ca="1"/>
        <v>0.61511955563112475</v>
      </c>
      <c r="X1319" s="2">
        <f ca="1"/>
        <v>83.448590365281504</v>
      </c>
      <c r="AG1319" s="2">
        <f ca="1"/>
        <v>0.91659702303362822</v>
      </c>
      <c r="AH1319" s="2" t="str">
        <f ca="1"/>
        <v>Bad</v>
      </c>
    </row>
    <row r="1320" spans="2:34" x14ac:dyDescent="0.2">
      <c r="B1320" s="2">
        <f ca="1"/>
        <v>0.43373844279989315</v>
      </c>
      <c r="O1320" s="2">
        <f ca="1"/>
        <v>-0.64592150861906539</v>
      </c>
      <c r="X1320" s="2">
        <f ca="1"/>
        <v>52.148524188816381</v>
      </c>
      <c r="AG1320" s="2">
        <f ca="1"/>
        <v>0.18014859883942047</v>
      </c>
      <c r="AH1320" s="2" t="str">
        <f ca="1"/>
        <v>OK</v>
      </c>
    </row>
    <row r="1321" spans="2:34" x14ac:dyDescent="0.2">
      <c r="B1321" s="2">
        <f ca="1"/>
        <v>6.6889535014000856E-2</v>
      </c>
      <c r="O1321" s="2">
        <f ca="1"/>
        <v>-2.6266762922326974E-2</v>
      </c>
      <c r="X1321" s="2">
        <f ca="1"/>
        <v>42.769554099225701</v>
      </c>
      <c r="AG1321" s="2">
        <f ca="1"/>
        <v>0.47718472599175099</v>
      </c>
      <c r="AH1321" s="2" t="str">
        <f ca="1"/>
        <v>Bad</v>
      </c>
    </row>
    <row r="1322" spans="2:34" x14ac:dyDescent="0.2">
      <c r="B1322" s="2">
        <f ca="1"/>
        <v>0.71166822055717516</v>
      </c>
      <c r="O1322" s="2">
        <f ca="1"/>
        <v>2.1416731116345118</v>
      </c>
      <c r="X1322" s="2">
        <f ca="1"/>
        <v>26.061541250038669</v>
      </c>
      <c r="AG1322" s="2">
        <f ca="1"/>
        <v>0.92129630911644078</v>
      </c>
      <c r="AH1322" s="2" t="str">
        <f ca="1"/>
        <v>Bad</v>
      </c>
    </row>
    <row r="1323" spans="2:34" x14ac:dyDescent="0.2">
      <c r="B1323" s="2">
        <f ca="1"/>
        <v>0.79960627943723916</v>
      </c>
      <c r="O1323" s="2">
        <f ca="1"/>
        <v>-0.59078001642973033</v>
      </c>
      <c r="X1323" s="2">
        <f ca="1"/>
        <v>51.644252614827792</v>
      </c>
      <c r="AG1323" s="2">
        <f ca="1"/>
        <v>0.81015617847055399</v>
      </c>
      <c r="AH1323" s="2" t="str">
        <f ca="1"/>
        <v>Bad</v>
      </c>
    </row>
    <row r="1324" spans="2:34" x14ac:dyDescent="0.2">
      <c r="B1324" s="2">
        <f ca="1"/>
        <v>0.37338961654846647</v>
      </c>
      <c r="O1324" s="2">
        <f ca="1"/>
        <v>1.2811234633124347</v>
      </c>
      <c r="X1324" s="2">
        <f ca="1"/>
        <v>25.401426664938207</v>
      </c>
      <c r="AG1324" s="2">
        <f ca="1"/>
        <v>0.12846353779083031</v>
      </c>
      <c r="AH1324" s="2" t="str">
        <f ca="1"/>
        <v>OK</v>
      </c>
    </row>
    <row r="1325" spans="2:34" x14ac:dyDescent="0.2">
      <c r="B1325" s="2">
        <f ca="1"/>
        <v>0.48903055615889457</v>
      </c>
      <c r="O1325" s="2">
        <f ca="1"/>
        <v>1.0421673696910352</v>
      </c>
      <c r="X1325" s="2">
        <f ca="1"/>
        <v>32.787239325405039</v>
      </c>
      <c r="AG1325" s="2">
        <f ca="1"/>
        <v>0.68885592741429935</v>
      </c>
      <c r="AH1325" s="2" t="str">
        <f ca="1"/>
        <v>Bad</v>
      </c>
    </row>
    <row r="1326" spans="2:34" x14ac:dyDescent="0.2">
      <c r="B1326" s="2">
        <f ca="1"/>
        <v>0.23014882168149664</v>
      </c>
      <c r="O1326" s="2">
        <f ca="1"/>
        <v>0.54179435860370162</v>
      </c>
      <c r="X1326" s="2">
        <f ca="1"/>
        <v>48.099120217820037</v>
      </c>
      <c r="AG1326" s="2">
        <f ca="1"/>
        <v>0.42241900306361591</v>
      </c>
      <c r="AH1326" s="2" t="str">
        <f ca="1"/>
        <v>Bad</v>
      </c>
    </row>
    <row r="1327" spans="2:34" x14ac:dyDescent="0.2">
      <c r="B1327" s="2">
        <f ca="1"/>
        <v>0.44898404797410962</v>
      </c>
      <c r="O1327" s="2">
        <f ca="1"/>
        <v>-1.0053960251380363</v>
      </c>
      <c r="X1327" s="2">
        <f ca="1"/>
        <v>33.350362475205308</v>
      </c>
      <c r="AG1327" s="2">
        <f ca="1"/>
        <v>3.7761302046810385E-3</v>
      </c>
      <c r="AH1327" s="2" t="str">
        <f ca="1"/>
        <v>Good</v>
      </c>
    </row>
    <row r="1328" spans="2:34" x14ac:dyDescent="0.2">
      <c r="B1328" s="2">
        <f ca="1"/>
        <v>1.2311081663539447E-2</v>
      </c>
      <c r="O1328" s="2">
        <f ca="1"/>
        <v>-0.8031147415416553</v>
      </c>
      <c r="X1328" s="2">
        <f ca="1"/>
        <v>36.699612750707018</v>
      </c>
      <c r="AG1328" s="2">
        <f ca="1"/>
        <v>1.4942364118400109E-2</v>
      </c>
      <c r="AH1328" s="2" t="str">
        <f ca="1"/>
        <v>Good</v>
      </c>
    </row>
    <row r="1329" spans="2:34" x14ac:dyDescent="0.2">
      <c r="B1329" s="2">
        <f ca="1"/>
        <v>0.7868398714456748</v>
      </c>
      <c r="O1329" s="2">
        <f ca="1"/>
        <v>-0.81092686241558432</v>
      </c>
      <c r="X1329" s="2">
        <f ca="1"/>
        <v>57.833755792931846</v>
      </c>
      <c r="AG1329" s="2">
        <f ca="1"/>
        <v>0.89467456248176003</v>
      </c>
      <c r="AH1329" s="2" t="str">
        <f ca="1"/>
        <v>Bad</v>
      </c>
    </row>
    <row r="1330" spans="2:34" x14ac:dyDescent="0.2">
      <c r="B1330" s="2">
        <f ca="1"/>
        <v>0.12510760191152492</v>
      </c>
      <c r="O1330" s="2">
        <f ca="1"/>
        <v>0.1731509285723053</v>
      </c>
      <c r="X1330" s="2">
        <f ca="1"/>
        <v>63.665248988170561</v>
      </c>
      <c r="AG1330" s="2">
        <f ca="1"/>
        <v>2.1680274362072316E-2</v>
      </c>
      <c r="AH1330" s="2" t="str">
        <f ca="1"/>
        <v>Good</v>
      </c>
    </row>
    <row r="1331" spans="2:34" x14ac:dyDescent="0.2">
      <c r="B1331" s="2">
        <f ca="1"/>
        <v>0.47232917021561938</v>
      </c>
      <c r="O1331" s="2">
        <f ca="1"/>
        <v>1.182515722431001</v>
      </c>
      <c r="X1331" s="2">
        <f ca="1"/>
        <v>51.207476190092663</v>
      </c>
      <c r="AG1331" s="2">
        <f ca="1"/>
        <v>0.41173942221971882</v>
      </c>
      <c r="AH1331" s="2" t="str">
        <f ca="1"/>
        <v>Bad</v>
      </c>
    </row>
    <row r="1332" spans="2:34" x14ac:dyDescent="0.2">
      <c r="B1332" s="2">
        <f ca="1"/>
        <v>0.40397018896813908</v>
      </c>
      <c r="O1332" s="2">
        <f ca="1"/>
        <v>-0.57372827451011765</v>
      </c>
      <c r="X1332" s="2">
        <f ca="1"/>
        <v>55.861215798961048</v>
      </c>
      <c r="AG1332" s="2">
        <f ca="1"/>
        <v>0.31190985239179514</v>
      </c>
      <c r="AH1332" s="2" t="str">
        <f ca="1"/>
        <v>OK</v>
      </c>
    </row>
    <row r="1333" spans="2:34" x14ac:dyDescent="0.2">
      <c r="B1333" s="2">
        <f ca="1"/>
        <v>0.45260321268284143</v>
      </c>
      <c r="O1333" s="2">
        <f ca="1"/>
        <v>-1.764790136607324</v>
      </c>
      <c r="X1333" s="2">
        <f ca="1"/>
        <v>34.184804844501969</v>
      </c>
      <c r="AG1333" s="2">
        <f ca="1"/>
        <v>0.8727649735273546</v>
      </c>
      <c r="AH1333" s="2" t="str">
        <f ca="1"/>
        <v>Bad</v>
      </c>
    </row>
    <row r="1334" spans="2:34" x14ac:dyDescent="0.2">
      <c r="B1334" s="2">
        <f ca="1"/>
        <v>0.56432299046127543</v>
      </c>
      <c r="O1334" s="2">
        <f ca="1"/>
        <v>-0.27494386951662858</v>
      </c>
      <c r="X1334" s="2">
        <f ca="1"/>
        <v>60.893493699510408</v>
      </c>
      <c r="AG1334" s="2">
        <f ca="1"/>
        <v>7.4678081348939829E-2</v>
      </c>
      <c r="AH1334" s="2" t="str">
        <f ca="1"/>
        <v>OK</v>
      </c>
    </row>
    <row r="1335" spans="2:34" x14ac:dyDescent="0.2">
      <c r="B1335" s="2">
        <f ca="1"/>
        <v>0.28951952898088673</v>
      </c>
      <c r="O1335" s="2">
        <f ca="1"/>
        <v>-9.0056338077171935E-2</v>
      </c>
      <c r="X1335" s="2">
        <f ca="1"/>
        <v>69.251257759315877</v>
      </c>
      <c r="AG1335" s="2">
        <f ca="1"/>
        <v>0.87660175104948213</v>
      </c>
      <c r="AH1335" s="2" t="str">
        <f ca="1"/>
        <v>Bad</v>
      </c>
    </row>
    <row r="1336" spans="2:34" x14ac:dyDescent="0.2">
      <c r="B1336" s="2">
        <f ca="1"/>
        <v>0.19732859224216148</v>
      </c>
      <c r="O1336" s="2">
        <f ca="1"/>
        <v>5.9559315817039903E-2</v>
      </c>
      <c r="X1336" s="2">
        <f ca="1"/>
        <v>52.896908800762887</v>
      </c>
      <c r="AG1336" s="2">
        <f ca="1"/>
        <v>0.18153400127617858</v>
      </c>
      <c r="AH1336" s="2" t="str">
        <f ca="1"/>
        <v>OK</v>
      </c>
    </row>
    <row r="1337" spans="2:34" x14ac:dyDescent="0.2">
      <c r="B1337" s="2">
        <f ca="1"/>
        <v>0.76044487906199887</v>
      </c>
      <c r="O1337" s="2">
        <f ca="1"/>
        <v>1.1838023469849752</v>
      </c>
      <c r="X1337" s="2">
        <f ca="1"/>
        <v>55.785545425349142</v>
      </c>
      <c r="AG1337" s="2">
        <f ca="1"/>
        <v>1.7583419219638463E-2</v>
      </c>
      <c r="AH1337" s="2" t="str">
        <f ca="1"/>
        <v>Good</v>
      </c>
    </row>
    <row r="1338" spans="2:34" x14ac:dyDescent="0.2">
      <c r="B1338" s="2">
        <f ca="1"/>
        <v>0.4178774744527296</v>
      </c>
      <c r="O1338" s="2">
        <f ca="1"/>
        <v>-1.5455503086406446</v>
      </c>
      <c r="X1338" s="2">
        <f ca="1"/>
        <v>69.470693308934941</v>
      </c>
      <c r="AG1338" s="2">
        <f ca="1"/>
        <v>0.87533647971264417</v>
      </c>
      <c r="AH1338" s="2" t="str">
        <f ca="1"/>
        <v>Bad</v>
      </c>
    </row>
    <row r="1339" spans="2:34" x14ac:dyDescent="0.2">
      <c r="B1339" s="2">
        <f ca="1"/>
        <v>0.62901314973030487</v>
      </c>
      <c r="O1339" s="2">
        <f ca="1"/>
        <v>0.92652894822449694</v>
      </c>
      <c r="X1339" s="2">
        <f ca="1"/>
        <v>32.690446798109519</v>
      </c>
      <c r="AG1339" s="2">
        <f ca="1"/>
        <v>0.16303871196181041</v>
      </c>
      <c r="AH1339" s="2" t="str">
        <f ca="1"/>
        <v>OK</v>
      </c>
    </row>
    <row r="1340" spans="2:34" x14ac:dyDescent="0.2">
      <c r="B1340" s="2">
        <f ca="1"/>
        <v>0.85691717926019595</v>
      </c>
      <c r="O1340" s="2">
        <f ca="1"/>
        <v>-1.690196012490607</v>
      </c>
      <c r="X1340" s="2">
        <f ca="1"/>
        <v>38.555417350252299</v>
      </c>
      <c r="AG1340" s="2">
        <f ca="1"/>
        <v>0.6543491734616198</v>
      </c>
      <c r="AH1340" s="2" t="str">
        <f ca="1"/>
        <v>Bad</v>
      </c>
    </row>
    <row r="1341" spans="2:34" x14ac:dyDescent="0.2">
      <c r="B1341" s="2">
        <f ca="1"/>
        <v>0.14315557495514253</v>
      </c>
      <c r="O1341" s="2">
        <f ca="1"/>
        <v>-0.81408846956035452</v>
      </c>
      <c r="X1341" s="2">
        <f ca="1"/>
        <v>55.20805737510458</v>
      </c>
      <c r="AG1341" s="2">
        <f ca="1"/>
        <v>1.2348429786704029E-2</v>
      </c>
      <c r="AH1341" s="2" t="str">
        <f ca="1"/>
        <v>Good</v>
      </c>
    </row>
    <row r="1342" spans="2:34" x14ac:dyDescent="0.2">
      <c r="B1342" s="2">
        <f ca="1"/>
        <v>0.49692226968667641</v>
      </c>
      <c r="O1342" s="2">
        <f ca="1"/>
        <v>-0.58418127974570133</v>
      </c>
      <c r="X1342" s="2">
        <f ca="1"/>
        <v>59.698886142775123</v>
      </c>
      <c r="AG1342" s="2">
        <f ca="1"/>
        <v>0.72923066384505675</v>
      </c>
      <c r="AH1342" s="2" t="str">
        <f ca="1"/>
        <v>Bad</v>
      </c>
    </row>
    <row r="1343" spans="2:34" x14ac:dyDescent="0.2">
      <c r="B1343" s="2">
        <f ca="1"/>
        <v>0.30141007894966809</v>
      </c>
      <c r="O1343" s="2">
        <f ca="1"/>
        <v>-2.6289627705574494</v>
      </c>
      <c r="X1343" s="2">
        <f ca="1"/>
        <v>16.354505688677826</v>
      </c>
      <c r="AG1343" s="2">
        <f ca="1"/>
        <v>0.54699112266875849</v>
      </c>
      <c r="AH1343" s="2" t="str">
        <f ca="1"/>
        <v>Bad</v>
      </c>
    </row>
    <row r="1344" spans="2:34" x14ac:dyDescent="0.2">
      <c r="B1344" s="2">
        <f ca="1"/>
        <v>0.15525502552026182</v>
      </c>
      <c r="O1344" s="2">
        <f ca="1"/>
        <v>0.12279943668573698</v>
      </c>
      <c r="X1344" s="2">
        <f ca="1"/>
        <v>57.102129611946864</v>
      </c>
      <c r="AG1344" s="2">
        <f ca="1"/>
        <v>0.42570715899926004</v>
      </c>
      <c r="AH1344" s="2" t="str">
        <f ca="1"/>
        <v>Bad</v>
      </c>
    </row>
    <row r="1345" spans="2:34" x14ac:dyDescent="0.2">
      <c r="B1345" s="2">
        <f ca="1"/>
        <v>0.43414426466859313</v>
      </c>
      <c r="O1345" s="2">
        <f ca="1"/>
        <v>-0.71235465290496935</v>
      </c>
      <c r="X1345" s="2">
        <f ca="1"/>
        <v>84.299944446900355</v>
      </c>
      <c r="AG1345" s="2">
        <f ca="1"/>
        <v>0.82653162301411398</v>
      </c>
      <c r="AH1345" s="2" t="str">
        <f ca="1"/>
        <v>Bad</v>
      </c>
    </row>
    <row r="1346" spans="2:34" x14ac:dyDescent="0.2">
      <c r="B1346" s="2">
        <f ca="1"/>
        <v>0.38691619294276336</v>
      </c>
      <c r="O1346" s="2">
        <f ca="1"/>
        <v>-0.50610496518932913</v>
      </c>
      <c r="X1346" s="2">
        <f ca="1"/>
        <v>53.372767625961927</v>
      </c>
      <c r="AG1346" s="2">
        <f ca="1"/>
        <v>0.70009197485180885</v>
      </c>
      <c r="AH1346" s="2" t="str">
        <f ca="1"/>
        <v>Bad</v>
      </c>
    </row>
    <row r="1347" spans="2:34" x14ac:dyDescent="0.2">
      <c r="B1347" s="2">
        <f ca="1"/>
        <v>0.53441644749805062</v>
      </c>
      <c r="O1347" s="2">
        <f ca="1"/>
        <v>2.6164443478528496</v>
      </c>
      <c r="X1347" s="2">
        <f ca="1"/>
        <v>41.811831190048593</v>
      </c>
      <c r="AG1347" s="2">
        <f ca="1"/>
        <v>0.1573571080459939</v>
      </c>
      <c r="AH1347" s="2" t="str">
        <f ca="1"/>
        <v>OK</v>
      </c>
    </row>
    <row r="1348" spans="2:34" x14ac:dyDescent="0.2">
      <c r="B1348" s="2">
        <f ca="1"/>
        <v>8.4594797531270638E-2</v>
      </c>
      <c r="O1348" s="2">
        <f ca="1"/>
        <v>-1.6978568868649293</v>
      </c>
      <c r="X1348" s="2">
        <f ca="1"/>
        <v>32.804161971269941</v>
      </c>
      <c r="AG1348" s="2">
        <f ca="1"/>
        <v>0.15132706671013274</v>
      </c>
      <c r="AH1348" s="2" t="str">
        <f ca="1"/>
        <v>OK</v>
      </c>
    </row>
    <row r="1349" spans="2:34" x14ac:dyDescent="0.2">
      <c r="B1349" s="2">
        <f ca="1"/>
        <v>0.97757439903404197</v>
      </c>
      <c r="O1349" s="2">
        <f ca="1"/>
        <v>0.50441640748595873</v>
      </c>
      <c r="X1349" s="2">
        <f ca="1"/>
        <v>43.29032282887848</v>
      </c>
      <c r="AG1349" s="2">
        <f ca="1"/>
        <v>4.0480603551495742E-2</v>
      </c>
      <c r="AH1349" s="2" t="str">
        <f ca="1"/>
        <v>Good</v>
      </c>
    </row>
    <row r="1350" spans="2:34" x14ac:dyDescent="0.2">
      <c r="B1350" s="2">
        <f ca="1"/>
        <v>0.489667130874756</v>
      </c>
      <c r="O1350" s="2">
        <f ca="1"/>
        <v>0.76916805551065714</v>
      </c>
      <c r="X1350" s="2">
        <f ca="1"/>
        <v>66.904844787322602</v>
      </c>
      <c r="AG1350" s="2">
        <f ca="1"/>
        <v>0.92460490549615737</v>
      </c>
      <c r="AH1350" s="2" t="str">
        <f ca="1"/>
        <v>Bad</v>
      </c>
    </row>
    <row r="1351" spans="2:34" x14ac:dyDescent="0.2">
      <c r="B1351" s="2">
        <f ca="1"/>
        <v>0.21186259435929244</v>
      </c>
      <c r="O1351" s="2">
        <f ca="1"/>
        <v>-0.24562005787976876</v>
      </c>
      <c r="X1351" s="2">
        <f ca="1"/>
        <v>53.94429224395865</v>
      </c>
      <c r="AG1351" s="2">
        <f ca="1"/>
        <v>0.63547307221295357</v>
      </c>
      <c r="AH1351" s="2" t="str">
        <f ca="1"/>
        <v>Bad</v>
      </c>
    </row>
    <row r="1352" spans="2:34" x14ac:dyDescent="0.2">
      <c r="B1352" s="2">
        <f ca="1"/>
        <v>0.6451316857841296</v>
      </c>
      <c r="O1352" s="2">
        <f ca="1"/>
        <v>-0.62068542933563375</v>
      </c>
      <c r="X1352" s="2">
        <f ca="1"/>
        <v>65.289699718723554</v>
      </c>
      <c r="AG1352" s="2">
        <f ca="1"/>
        <v>0.4894484968422117</v>
      </c>
      <c r="AH1352" s="2" t="str">
        <f ca="1"/>
        <v>Bad</v>
      </c>
    </row>
    <row r="1353" spans="2:34" x14ac:dyDescent="0.2">
      <c r="B1353" s="2">
        <f ca="1"/>
        <v>0.83114962635354339</v>
      </c>
      <c r="O1353" s="2">
        <f ca="1"/>
        <v>-0.74742958288387318</v>
      </c>
      <c r="X1353" s="2">
        <f ca="1"/>
        <v>69.99241025085648</v>
      </c>
      <c r="AG1353" s="2">
        <f ca="1"/>
        <v>0.96944932421578822</v>
      </c>
      <c r="AH1353" s="2" t="str">
        <f ca="1"/>
        <v>Bad</v>
      </c>
    </row>
    <row r="1354" spans="2:34" x14ac:dyDescent="0.2">
      <c r="B1354" s="2">
        <f ca="1"/>
        <v>0.72045077593504492</v>
      </c>
      <c r="O1354" s="2">
        <f ca="1"/>
        <v>-0.45262158357680415</v>
      </c>
      <c r="X1354" s="2">
        <f ca="1"/>
        <v>54.647267932558648</v>
      </c>
      <c r="AG1354" s="2">
        <f ca="1"/>
        <v>0.98929556292872967</v>
      </c>
      <c r="AH1354" s="2" t="str">
        <f ca="1"/>
        <v>Bad</v>
      </c>
    </row>
    <row r="1355" spans="2:34" x14ac:dyDescent="0.2">
      <c r="B1355" s="2">
        <f ca="1"/>
        <v>0.93884185773081064</v>
      </c>
      <c r="O1355" s="2">
        <f ca="1"/>
        <v>1.1742211406212415</v>
      </c>
      <c r="X1355" s="2">
        <f ca="1"/>
        <v>45.158761034550075</v>
      </c>
      <c r="AG1355" s="2">
        <f ca="1"/>
        <v>0.43366860356259029</v>
      </c>
      <c r="AH1355" s="2" t="str">
        <f ca="1"/>
        <v>Bad</v>
      </c>
    </row>
    <row r="1356" spans="2:34" x14ac:dyDescent="0.2">
      <c r="B1356" s="2">
        <f ca="1"/>
        <v>0.79242297867731692</v>
      </c>
      <c r="O1356" s="2">
        <f ca="1"/>
        <v>0.69221027938082913</v>
      </c>
      <c r="X1356" s="2">
        <f ca="1"/>
        <v>62.582871557080566</v>
      </c>
      <c r="AG1356" s="2">
        <f ca="1"/>
        <v>0.65648283233527382</v>
      </c>
      <c r="AH1356" s="2" t="str">
        <f ca="1"/>
        <v>Bad</v>
      </c>
    </row>
    <row r="1357" spans="2:34" x14ac:dyDescent="0.2">
      <c r="B1357" s="2">
        <f ca="1"/>
        <v>0.77277218142769621</v>
      </c>
      <c r="O1357" s="2">
        <f ca="1"/>
        <v>2.0243138861811336</v>
      </c>
      <c r="X1357" s="2">
        <f ca="1"/>
        <v>38.969103106258245</v>
      </c>
      <c r="AG1357" s="2">
        <f ca="1"/>
        <v>0.88667198081008269</v>
      </c>
      <c r="AH1357" s="2" t="str">
        <f ca="1"/>
        <v>Bad</v>
      </c>
    </row>
    <row r="1358" spans="2:34" x14ac:dyDescent="0.2">
      <c r="B1358" s="2">
        <f ca="1"/>
        <v>0.92843759072895948</v>
      </c>
      <c r="O1358" s="2">
        <f ca="1"/>
        <v>-0.4755105302788169</v>
      </c>
      <c r="X1358" s="2">
        <f ca="1"/>
        <v>55.366175636721202</v>
      </c>
      <c r="AG1358" s="2">
        <f ca="1"/>
        <v>0.91990084607376921</v>
      </c>
      <c r="AH1358" s="2" t="str">
        <f ca="1"/>
        <v>Bad</v>
      </c>
    </row>
    <row r="1359" spans="2:34" x14ac:dyDescent="0.2">
      <c r="B1359" s="2">
        <f ca="1"/>
        <v>0.42921018621950591</v>
      </c>
      <c r="O1359" s="2">
        <f ca="1"/>
        <v>1.7384238965213685</v>
      </c>
      <c r="X1359" s="2">
        <f ca="1"/>
        <v>71.520352173990418</v>
      </c>
      <c r="AG1359" s="2">
        <f ca="1"/>
        <v>0.16937805840600473</v>
      </c>
      <c r="AH1359" s="2" t="str">
        <f ca="1"/>
        <v>OK</v>
      </c>
    </row>
    <row r="1360" spans="2:34" x14ac:dyDescent="0.2">
      <c r="B1360" s="2">
        <f ca="1"/>
        <v>9.3937764188933404E-2</v>
      </c>
      <c r="O1360" s="2">
        <f ca="1"/>
        <v>1.8474683353488177</v>
      </c>
      <c r="X1360" s="2">
        <f ca="1"/>
        <v>43.57627882258538</v>
      </c>
      <c r="AG1360" s="2">
        <f ca="1"/>
        <v>0.15502370022778433</v>
      </c>
      <c r="AH1360" s="2" t="str">
        <f ca="1"/>
        <v>OK</v>
      </c>
    </row>
    <row r="1361" spans="2:34" x14ac:dyDescent="0.2">
      <c r="B1361" s="2">
        <f ca="1"/>
        <v>0.85927880384204336</v>
      </c>
      <c r="O1361" s="2">
        <f ca="1"/>
        <v>4.323463557789764E-2</v>
      </c>
      <c r="X1361" s="2">
        <f ca="1"/>
        <v>28.219256953068452</v>
      </c>
      <c r="AG1361" s="2">
        <f ca="1"/>
        <v>0.63333920783551823</v>
      </c>
      <c r="AH1361" s="2" t="str">
        <f ca="1"/>
        <v>Bad</v>
      </c>
    </row>
    <row r="1362" spans="2:34" x14ac:dyDescent="0.2">
      <c r="B1362" s="2">
        <f ca="1"/>
        <v>0.47073977833113601</v>
      </c>
      <c r="O1362" s="2">
        <f ca="1"/>
        <v>-0.35915272658191488</v>
      </c>
      <c r="X1362" s="2">
        <f ca="1"/>
        <v>76.409155257416728</v>
      </c>
      <c r="AG1362" s="2">
        <f ca="1"/>
        <v>0.66941543278551841</v>
      </c>
      <c r="AH1362" s="2" t="str">
        <f ca="1"/>
        <v>Bad</v>
      </c>
    </row>
    <row r="1363" spans="2:34" x14ac:dyDescent="0.2">
      <c r="B1363" s="2">
        <f ca="1"/>
        <v>0.51512658837363712</v>
      </c>
      <c r="O1363" s="2">
        <f ca="1"/>
        <v>1.2240242313192644</v>
      </c>
      <c r="X1363" s="2">
        <f ca="1"/>
        <v>33.50525596839416</v>
      </c>
      <c r="AG1363" s="2">
        <f ca="1"/>
        <v>0.16592670036252399</v>
      </c>
      <c r="AH1363" s="2" t="str">
        <f ca="1"/>
        <v>OK</v>
      </c>
    </row>
    <row r="1364" spans="2:34" x14ac:dyDescent="0.2">
      <c r="B1364" s="2">
        <f ca="1"/>
        <v>0.89739956501402562</v>
      </c>
      <c r="O1364" s="2">
        <f ca="1"/>
        <v>-1.4427875417870144</v>
      </c>
      <c r="X1364" s="2">
        <f ca="1"/>
        <v>41.494955079823789</v>
      </c>
      <c r="AG1364" s="2">
        <f ca="1"/>
        <v>0.19008320096549358</v>
      </c>
      <c r="AH1364" s="2" t="str">
        <f ca="1"/>
        <v>OK</v>
      </c>
    </row>
    <row r="1365" spans="2:34" x14ac:dyDescent="0.2">
      <c r="B1365" s="2">
        <f ca="1"/>
        <v>6.9198011540061888E-2</v>
      </c>
      <c r="O1365" s="2">
        <f ca="1"/>
        <v>-0.92185846754237932</v>
      </c>
      <c r="X1365" s="2">
        <f ca="1"/>
        <v>43.581831122053046</v>
      </c>
      <c r="AG1365" s="2">
        <f ca="1"/>
        <v>0.25248789431596852</v>
      </c>
      <c r="AH1365" s="2" t="str">
        <f ca="1"/>
        <v>OK</v>
      </c>
    </row>
    <row r="1366" spans="2:34" x14ac:dyDescent="0.2">
      <c r="B1366" s="2">
        <f ca="1"/>
        <v>0.94599408491341541</v>
      </c>
      <c r="O1366" s="2">
        <f ca="1"/>
        <v>1.7911035225885339</v>
      </c>
      <c r="X1366" s="2">
        <f ca="1"/>
        <v>83.368676105597231</v>
      </c>
      <c r="AG1366" s="2">
        <f ca="1"/>
        <v>0.50385575032036911</v>
      </c>
      <c r="AH1366" s="2" t="str">
        <f ca="1"/>
        <v>Bad</v>
      </c>
    </row>
    <row r="1367" spans="2:34" x14ac:dyDescent="0.2">
      <c r="B1367" s="2">
        <f ca="1"/>
        <v>0.3986626343624815</v>
      </c>
      <c r="O1367" s="2">
        <f ca="1"/>
        <v>-0.44077157958882274</v>
      </c>
      <c r="X1367" s="2">
        <f ca="1"/>
        <v>73.708519447360587</v>
      </c>
      <c r="AG1367" s="2">
        <f ca="1"/>
        <v>0.52169484814094336</v>
      </c>
      <c r="AH1367" s="2" t="str">
        <f ca="1"/>
        <v>Bad</v>
      </c>
    </row>
    <row r="1368" spans="2:34" x14ac:dyDescent="0.2">
      <c r="B1368" s="2">
        <f ca="1"/>
        <v>0.52256240106161655</v>
      </c>
      <c r="O1368" s="2">
        <f ca="1"/>
        <v>0.41962801198653477</v>
      </c>
      <c r="X1368" s="2">
        <f ca="1"/>
        <v>49.617534897493655</v>
      </c>
      <c r="AG1368" s="2">
        <f ca="1"/>
        <v>0.96798006636642264</v>
      </c>
      <c r="AH1368" s="2" t="str">
        <f ca="1"/>
        <v>Bad</v>
      </c>
    </row>
    <row r="1369" spans="2:34" x14ac:dyDescent="0.2">
      <c r="B1369" s="2">
        <f ca="1"/>
        <v>0.38331024402151281</v>
      </c>
      <c r="O1369" s="2">
        <f ca="1"/>
        <v>0.5197884251107161</v>
      </c>
      <c r="X1369" s="2">
        <f ca="1"/>
        <v>50.387995534492205</v>
      </c>
      <c r="AG1369" s="2">
        <f ca="1"/>
        <v>4.0936944051976898E-3</v>
      </c>
      <c r="AH1369" s="2" t="str">
        <f ca="1"/>
        <v>Good</v>
      </c>
    </row>
    <row r="1370" spans="2:34" x14ac:dyDescent="0.2">
      <c r="B1370" s="2">
        <f ca="1"/>
        <v>0.36101443196148963</v>
      </c>
      <c r="O1370" s="2">
        <f ca="1"/>
        <v>-7.705208442242574E-2</v>
      </c>
      <c r="X1370" s="2">
        <f ca="1"/>
        <v>38.678367343498671</v>
      </c>
      <c r="AG1370" s="2">
        <f ca="1"/>
        <v>0.76472652481769554</v>
      </c>
      <c r="AH1370" s="2" t="str">
        <f ca="1"/>
        <v>Bad</v>
      </c>
    </row>
    <row r="1371" spans="2:34" x14ac:dyDescent="0.2">
      <c r="B1371" s="2">
        <f ca="1"/>
        <v>0.41694001762348076</v>
      </c>
      <c r="O1371" s="2">
        <f ca="1"/>
        <v>0.44120375585514471</v>
      </c>
      <c r="X1371" s="2">
        <f ca="1"/>
        <v>35.334988825760789</v>
      </c>
      <c r="AG1371" s="2">
        <f ca="1"/>
        <v>0.42818765493089161</v>
      </c>
      <c r="AH1371" s="2" t="str">
        <f ca="1"/>
        <v>Bad</v>
      </c>
    </row>
    <row r="1372" spans="2:34" x14ac:dyDescent="0.2">
      <c r="B1372" s="2">
        <f ca="1"/>
        <v>0.34899600668503417</v>
      </c>
      <c r="O1372" s="2">
        <f ca="1"/>
        <v>-6.874151511426238E-2</v>
      </c>
      <c r="X1372" s="2">
        <f ca="1"/>
        <v>51.131703454561659</v>
      </c>
      <c r="AG1372" s="2">
        <f ca="1"/>
        <v>0.10905837704602472</v>
      </c>
      <c r="AH1372" s="2" t="str">
        <f ca="1"/>
        <v>OK</v>
      </c>
    </row>
    <row r="1373" spans="2:34" x14ac:dyDescent="0.2">
      <c r="B1373" s="2">
        <f ca="1"/>
        <v>8.065505047453847E-3</v>
      </c>
      <c r="O1373" s="2">
        <f ca="1"/>
        <v>7.377506795287421E-2</v>
      </c>
      <c r="X1373" s="2">
        <f ca="1"/>
        <v>59.2147762325569</v>
      </c>
      <c r="AG1373" s="2">
        <f ca="1"/>
        <v>0.61494376576951049</v>
      </c>
      <c r="AH1373" s="2" t="str">
        <f ca="1"/>
        <v>Bad</v>
      </c>
    </row>
    <row r="1374" spans="2:34" x14ac:dyDescent="0.2">
      <c r="B1374" s="2">
        <f ca="1"/>
        <v>0.50888779172009646</v>
      </c>
      <c r="O1374" s="2">
        <f ca="1"/>
        <v>-0.96545204414447205</v>
      </c>
      <c r="X1374" s="2">
        <f ca="1"/>
        <v>64.123026365426284</v>
      </c>
      <c r="AG1374" s="2">
        <f ca="1"/>
        <v>0.98583589785341696</v>
      </c>
      <c r="AH1374" s="2" t="str">
        <f ca="1"/>
        <v>Bad</v>
      </c>
    </row>
    <row r="1375" spans="2:34" x14ac:dyDescent="0.2">
      <c r="B1375" s="2">
        <f ca="1"/>
        <v>0.73455186847125886</v>
      </c>
      <c r="O1375" s="2">
        <f ca="1"/>
        <v>0.66389679122288903</v>
      </c>
      <c r="X1375" s="2">
        <f ca="1"/>
        <v>58.628965145432574</v>
      </c>
      <c r="AG1375" s="2">
        <f ca="1"/>
        <v>0.42836147992022622</v>
      </c>
      <c r="AH1375" s="2" t="str">
        <f ca="1"/>
        <v>Bad</v>
      </c>
    </row>
    <row r="1376" spans="2:34" x14ac:dyDescent="0.2">
      <c r="B1376" s="2">
        <f ca="1"/>
        <v>0.53720484153918635</v>
      </c>
      <c r="O1376" s="2">
        <f ca="1"/>
        <v>-1.0006689015415617</v>
      </c>
      <c r="X1376" s="2">
        <f ca="1"/>
        <v>32.400691714142312</v>
      </c>
      <c r="AG1376" s="2">
        <f ca="1"/>
        <v>0.24733857327494801</v>
      </c>
      <c r="AH1376" s="2" t="str">
        <f ca="1"/>
        <v>OK</v>
      </c>
    </row>
    <row r="1377" spans="2:34" x14ac:dyDescent="0.2">
      <c r="B1377" s="2">
        <f ca="1"/>
        <v>0.33695331839567233</v>
      </c>
      <c r="O1377" s="2">
        <f ca="1"/>
        <v>-1.7377377125127587</v>
      </c>
      <c r="X1377" s="2">
        <f ca="1"/>
        <v>68.66056219246326</v>
      </c>
      <c r="AG1377" s="2">
        <f ca="1"/>
        <v>4.4861782179739018E-2</v>
      </c>
      <c r="AH1377" s="2" t="str">
        <f ca="1"/>
        <v>Good</v>
      </c>
    </row>
    <row r="1378" spans="2:34" x14ac:dyDescent="0.2">
      <c r="B1378" s="2">
        <f ca="1"/>
        <v>0.50744760562248103</v>
      </c>
      <c r="O1378" s="2">
        <f ca="1"/>
        <v>-1.0789876378873895</v>
      </c>
      <c r="X1378" s="2">
        <f ca="1"/>
        <v>49.500005871476759</v>
      </c>
      <c r="AG1378" s="2">
        <f ca="1"/>
        <v>0.17326456561899328</v>
      </c>
      <c r="AH1378" s="2" t="str">
        <f ca="1"/>
        <v>OK</v>
      </c>
    </row>
    <row r="1379" spans="2:34" x14ac:dyDescent="0.2">
      <c r="B1379" s="2">
        <f ca="1"/>
        <v>0.29772433344184668</v>
      </c>
      <c r="O1379" s="2">
        <f ca="1"/>
        <v>0.8290377455640201</v>
      </c>
      <c r="X1379" s="2">
        <f ca="1"/>
        <v>34.077861402560686</v>
      </c>
      <c r="AG1379" s="2">
        <f ca="1"/>
        <v>0.2516822003286816</v>
      </c>
      <c r="AH1379" s="2" t="str">
        <f ca="1"/>
        <v>OK</v>
      </c>
    </row>
    <row r="1380" spans="2:34" x14ac:dyDescent="0.2">
      <c r="B1380" s="2">
        <f ca="1"/>
        <v>0.36419821060547597</v>
      </c>
      <c r="O1380" s="2">
        <f ca="1"/>
        <v>-0.5590736145858054</v>
      </c>
      <c r="X1380" s="2">
        <f ca="1"/>
        <v>61.861597164936455</v>
      </c>
      <c r="AG1380" s="2">
        <f ca="1"/>
        <v>0.39634689106402154</v>
      </c>
      <c r="AH1380" s="2" t="str">
        <f ca="1"/>
        <v>OK</v>
      </c>
    </row>
    <row r="1381" spans="2:34" x14ac:dyDescent="0.2">
      <c r="B1381" s="2">
        <f ca="1"/>
        <v>0.84323740164938665</v>
      </c>
      <c r="O1381" s="2">
        <f ca="1"/>
        <v>0.66649410782583873</v>
      </c>
      <c r="X1381" s="2">
        <f ca="1"/>
        <v>30.997142906384259</v>
      </c>
      <c r="AG1381" s="2">
        <f ca="1"/>
        <v>0.82007981583062461</v>
      </c>
      <c r="AH1381" s="2" t="str">
        <f ca="1"/>
        <v>Bad</v>
      </c>
    </row>
    <row r="1382" spans="2:34" x14ac:dyDescent="0.2">
      <c r="B1382" s="2">
        <f ca="1"/>
        <v>0.40504912177444274</v>
      </c>
      <c r="O1382" s="2">
        <f ca="1"/>
        <v>5.7454027499310001E-2</v>
      </c>
      <c r="X1382" s="2">
        <f ca="1"/>
        <v>45.963361615260219</v>
      </c>
      <c r="AG1382" s="2">
        <f ca="1"/>
        <v>0.63360404815379523</v>
      </c>
      <c r="AH1382" s="2" t="str">
        <f ca="1"/>
        <v>Bad</v>
      </c>
    </row>
    <row r="1383" spans="2:34" x14ac:dyDescent="0.2">
      <c r="B1383" s="2">
        <f ca="1"/>
        <v>0.54745712441735095</v>
      </c>
      <c r="O1383" s="2">
        <f ca="1"/>
        <v>0.24245218450292114</v>
      </c>
      <c r="X1383" s="2">
        <f ca="1"/>
        <v>53.827205236658671</v>
      </c>
      <c r="AG1383" s="2">
        <f ca="1"/>
        <v>0.9982627080978026</v>
      </c>
      <c r="AH1383" s="2" t="str">
        <f ca="1"/>
        <v>Bad</v>
      </c>
    </row>
    <row r="1384" spans="2:34" x14ac:dyDescent="0.2">
      <c r="B1384" s="2">
        <f ca="1"/>
        <v>0.20425207285731806</v>
      </c>
      <c r="O1384" s="2">
        <f ca="1"/>
        <v>0.69407706421355686</v>
      </c>
      <c r="X1384" s="2">
        <f ca="1"/>
        <v>33.59162344461231</v>
      </c>
      <c r="AG1384" s="2">
        <f ca="1"/>
        <v>0.30387378100958018</v>
      </c>
      <c r="AH1384" s="2" t="str">
        <f ca="1"/>
        <v>OK</v>
      </c>
    </row>
    <row r="1385" spans="2:34" x14ac:dyDescent="0.2">
      <c r="B1385" s="2">
        <f ca="1"/>
        <v>0.5327462219267487</v>
      </c>
      <c r="O1385" s="2">
        <f ca="1"/>
        <v>0.66239618997352301</v>
      </c>
      <c r="X1385" s="2">
        <f ca="1"/>
        <v>43.188015913463147</v>
      </c>
      <c r="AG1385" s="2">
        <f ca="1"/>
        <v>0.80723801862548861</v>
      </c>
      <c r="AH1385" s="2" t="str">
        <f ca="1"/>
        <v>Bad</v>
      </c>
    </row>
    <row r="1386" spans="2:34" x14ac:dyDescent="0.2">
      <c r="B1386" s="2">
        <f ca="1"/>
        <v>0.47695402655397312</v>
      </c>
      <c r="O1386" s="2">
        <f ca="1"/>
        <v>0.61475660063771942</v>
      </c>
      <c r="X1386" s="2">
        <f ca="1"/>
        <v>41.899002871248939</v>
      </c>
      <c r="AG1386" s="2">
        <f ca="1"/>
        <v>0.99951545640465778</v>
      </c>
      <c r="AH1386" s="2" t="str">
        <f ca="1"/>
        <v>Bad</v>
      </c>
    </row>
    <row r="1387" spans="2:34" x14ac:dyDescent="0.2">
      <c r="B1387" s="2">
        <f ca="1"/>
        <v>0.89279813496834981</v>
      </c>
      <c r="O1387" s="2">
        <f ca="1"/>
        <v>0.78890222474919325</v>
      </c>
      <c r="X1387" s="2">
        <f ca="1"/>
        <v>44.725441412424672</v>
      </c>
      <c r="AG1387" s="2">
        <f ca="1"/>
        <v>0.87069822785572137</v>
      </c>
      <c r="AH1387" s="2" t="str">
        <f ca="1"/>
        <v>Bad</v>
      </c>
    </row>
    <row r="1388" spans="2:34" x14ac:dyDescent="0.2">
      <c r="B1388" s="2">
        <f ca="1"/>
        <v>0.30039957150878327</v>
      </c>
      <c r="O1388" s="2">
        <f ca="1"/>
        <v>-0.73843105668188325</v>
      </c>
      <c r="X1388" s="2">
        <f ca="1"/>
        <v>48.711086531586517</v>
      </c>
      <c r="AG1388" s="2">
        <f ca="1"/>
        <v>0.56207114104462219</v>
      </c>
      <c r="AH1388" s="2" t="str">
        <f ca="1"/>
        <v>Bad</v>
      </c>
    </row>
    <row r="1389" spans="2:34" x14ac:dyDescent="0.2">
      <c r="B1389" s="2">
        <f ca="1"/>
        <v>0.71078442217217885</v>
      </c>
      <c r="O1389" s="2">
        <f ca="1"/>
        <v>0.77127339852586418</v>
      </c>
      <c r="X1389" s="2">
        <f ca="1"/>
        <v>46.873097225273682</v>
      </c>
      <c r="AG1389" s="2">
        <f ca="1"/>
        <v>0.87023842606709567</v>
      </c>
      <c r="AH1389" s="2" t="str">
        <f ca="1"/>
        <v>Bad</v>
      </c>
    </row>
    <row r="1390" spans="2:34" x14ac:dyDescent="0.2">
      <c r="B1390" s="2">
        <f ca="1"/>
        <v>0.72939298742739256</v>
      </c>
      <c r="O1390" s="2">
        <f ca="1"/>
        <v>0.69877922032379147</v>
      </c>
      <c r="X1390" s="2">
        <f ca="1"/>
        <v>61.480256566810489</v>
      </c>
      <c r="AG1390" s="2">
        <f ca="1"/>
        <v>0.21587329221485407</v>
      </c>
      <c r="AH1390" s="2" t="str">
        <f ca="1"/>
        <v>OK</v>
      </c>
    </row>
    <row r="1391" spans="2:34" x14ac:dyDescent="0.2">
      <c r="B1391" s="2">
        <f ca="1"/>
        <v>0.23498502543788802</v>
      </c>
      <c r="O1391" s="2">
        <f ca="1"/>
        <v>0.11056308245564886</v>
      </c>
      <c r="X1391" s="2">
        <f ca="1"/>
        <v>60.819741502914731</v>
      </c>
      <c r="AG1391" s="2">
        <f ca="1"/>
        <v>0.80987910047025591</v>
      </c>
      <c r="AH1391" s="2" t="str">
        <f ca="1"/>
        <v>Bad</v>
      </c>
    </row>
    <row r="1392" spans="2:34" x14ac:dyDescent="0.2">
      <c r="B1392" s="2">
        <f ca="1"/>
        <v>5.5608813309400373E-2</v>
      </c>
      <c r="O1392" s="2">
        <f ca="1"/>
        <v>-0.19740609062048259</v>
      </c>
      <c r="X1392" s="2">
        <f ca="1"/>
        <v>41.889447932525613</v>
      </c>
      <c r="AG1392" s="2">
        <f ca="1"/>
        <v>0.55147443130527929</v>
      </c>
      <c r="AH1392" s="2" t="str">
        <f ca="1"/>
        <v>Bad</v>
      </c>
    </row>
    <row r="1393" spans="2:34" x14ac:dyDescent="0.2">
      <c r="B1393" s="2">
        <f ca="1"/>
        <v>0.37643165450966087</v>
      </c>
      <c r="O1393" s="2">
        <f ca="1"/>
        <v>-1.5617480079962252</v>
      </c>
      <c r="X1393" s="2">
        <f ca="1"/>
        <v>31.510716803897061</v>
      </c>
      <c r="AG1393" s="2">
        <f ca="1"/>
        <v>0.64616963238946523</v>
      </c>
      <c r="AH1393" s="2" t="str">
        <f ca="1"/>
        <v>Bad</v>
      </c>
    </row>
    <row r="1394" spans="2:34" x14ac:dyDescent="0.2">
      <c r="B1394" s="2">
        <f ca="1"/>
        <v>1.9001228699124129E-2</v>
      </c>
      <c r="O1394" s="2">
        <f ca="1"/>
        <v>-1.8692007228765688</v>
      </c>
      <c r="X1394" s="2">
        <f ca="1"/>
        <v>93.509092279994206</v>
      </c>
      <c r="AG1394" s="2">
        <f ca="1"/>
        <v>0.54563575306834178</v>
      </c>
      <c r="AH1394" s="2" t="str">
        <f ca="1"/>
        <v>Bad</v>
      </c>
    </row>
    <row r="1395" spans="2:34" x14ac:dyDescent="0.2">
      <c r="B1395" s="2">
        <f ca="1"/>
        <v>6.3190521193484228E-2</v>
      </c>
      <c r="O1395" s="2">
        <f ca="1"/>
        <v>0.92856278572773987</v>
      </c>
      <c r="X1395" s="2">
        <f ca="1"/>
        <v>45.951538135802195</v>
      </c>
      <c r="AG1395" s="2">
        <f ca="1"/>
        <v>4.3620992517265478E-2</v>
      </c>
      <c r="AH1395" s="2" t="str">
        <f ca="1"/>
        <v>Good</v>
      </c>
    </row>
    <row r="1396" spans="2:34" x14ac:dyDescent="0.2">
      <c r="B1396" s="2">
        <f ca="1"/>
        <v>0.30923252955543368</v>
      </c>
      <c r="O1396" s="2">
        <f ca="1"/>
        <v>1.6368552490888559</v>
      </c>
      <c r="X1396" s="2">
        <f ca="1"/>
        <v>60.751587095551827</v>
      </c>
      <c r="AG1396" s="2">
        <f ca="1"/>
        <v>0.63004588135532935</v>
      </c>
      <c r="AH1396" s="2" t="str">
        <f ca="1"/>
        <v>Bad</v>
      </c>
    </row>
    <row r="1397" spans="2:34" x14ac:dyDescent="0.2">
      <c r="B1397" s="2">
        <f ca="1"/>
        <v>0.91057142602635621</v>
      </c>
      <c r="O1397" s="2">
        <f ca="1"/>
        <v>0.83198719414449029</v>
      </c>
      <c r="X1397" s="2">
        <f ca="1"/>
        <v>65.007060039583081</v>
      </c>
      <c r="AG1397" s="2">
        <f ca="1"/>
        <v>0.92609166667262355</v>
      </c>
      <c r="AH1397" s="2" t="str">
        <f ca="1"/>
        <v>Bad</v>
      </c>
    </row>
    <row r="1398" spans="2:34" x14ac:dyDescent="0.2">
      <c r="B1398" s="2">
        <f ca="1"/>
        <v>0.16138482213612826</v>
      </c>
      <c r="O1398" s="2">
        <f ca="1"/>
        <v>0.64849883556334831</v>
      </c>
      <c r="X1398" s="2">
        <f ca="1"/>
        <v>53.021896881825796</v>
      </c>
      <c r="AG1398" s="2">
        <f ca="1"/>
        <v>0.58970404268119547</v>
      </c>
      <c r="AH1398" s="2" t="str">
        <f ca="1"/>
        <v>Bad</v>
      </c>
    </row>
    <row r="1399" spans="2:34" x14ac:dyDescent="0.2">
      <c r="B1399" s="2">
        <f ca="1"/>
        <v>0.28770926716378598</v>
      </c>
      <c r="O1399" s="2">
        <f ca="1"/>
        <v>0.50993714827063108</v>
      </c>
      <c r="X1399" s="2">
        <f ca="1"/>
        <v>45.715518305219391</v>
      </c>
      <c r="AG1399" s="2">
        <f ca="1"/>
        <v>0.90515828715745283</v>
      </c>
      <c r="AH1399" s="2" t="str">
        <f ca="1"/>
        <v>Bad</v>
      </c>
    </row>
    <row r="1400" spans="2:34" x14ac:dyDescent="0.2">
      <c r="B1400" s="2">
        <f ca="1"/>
        <v>0.55581392170120503</v>
      </c>
      <c r="O1400" s="2">
        <f ca="1"/>
        <v>-0.38231637232333027</v>
      </c>
      <c r="X1400" s="2">
        <f ca="1"/>
        <v>49.85484422319665</v>
      </c>
      <c r="AG1400" s="2">
        <f ca="1"/>
        <v>0.92628330869414444</v>
      </c>
      <c r="AH1400" s="2" t="str">
        <f ca="1"/>
        <v>Bad</v>
      </c>
    </row>
    <row r="1401" spans="2:34" x14ac:dyDescent="0.2">
      <c r="B1401" s="2">
        <f ca="1"/>
        <v>0.38900184033180363</v>
      </c>
      <c r="O1401" s="2">
        <f ca="1"/>
        <v>0.36566171340237302</v>
      </c>
      <c r="X1401" s="2">
        <f ca="1"/>
        <v>38.687885545465321</v>
      </c>
      <c r="AG1401" s="2">
        <f ca="1"/>
        <v>0.58018827211888291</v>
      </c>
      <c r="AH1401" s="2" t="str">
        <f ca="1"/>
        <v>Bad</v>
      </c>
    </row>
    <row r="1402" spans="2:34" x14ac:dyDescent="0.2">
      <c r="B1402" s="2">
        <f ca="1"/>
        <v>0.27711798149142908</v>
      </c>
      <c r="O1402" s="2">
        <f ca="1"/>
        <v>1.0885216164226277</v>
      </c>
      <c r="X1402" s="2">
        <f ca="1"/>
        <v>54.576974067716549</v>
      </c>
      <c r="AG1402" s="2">
        <f ca="1"/>
        <v>0.96271938024714543</v>
      </c>
      <c r="AH1402" s="2" t="str">
        <f ca="1"/>
        <v>Bad</v>
      </c>
    </row>
    <row r="1403" spans="2:34" x14ac:dyDescent="0.2">
      <c r="B1403" s="2">
        <f ca="1"/>
        <v>0.33878045642516841</v>
      </c>
      <c r="O1403" s="2">
        <f ca="1"/>
        <v>-0.22350517930120037</v>
      </c>
      <c r="X1403" s="2">
        <f ca="1"/>
        <v>46.34916679052494</v>
      </c>
      <c r="AG1403" s="2">
        <f ca="1"/>
        <v>0.34847626562600764</v>
      </c>
      <c r="AH1403" s="2" t="str">
        <f ca="1"/>
        <v>OK</v>
      </c>
    </row>
    <row r="1404" spans="2:34" x14ac:dyDescent="0.2">
      <c r="B1404" s="2">
        <f ca="1"/>
        <v>0.53921949820137116</v>
      </c>
      <c r="O1404" s="2">
        <f ca="1"/>
        <v>-0.28251864547883282</v>
      </c>
      <c r="X1404" s="2">
        <f ca="1"/>
        <v>42.309915254951129</v>
      </c>
      <c r="AG1404" s="2">
        <f ca="1"/>
        <v>0.38226199193470323</v>
      </c>
      <c r="AH1404" s="2" t="str">
        <f ca="1"/>
        <v>OK</v>
      </c>
    </row>
    <row r="1405" spans="2:34" x14ac:dyDescent="0.2">
      <c r="B1405" s="2">
        <f ca="1"/>
        <v>0.19338295272247508</v>
      </c>
      <c r="O1405" s="2">
        <f ca="1"/>
        <v>-2.1258888405181788</v>
      </c>
      <c r="X1405" s="2">
        <f ca="1"/>
        <v>64.208748763488259</v>
      </c>
      <c r="AG1405" s="2">
        <f ca="1"/>
        <v>0.66890940539627319</v>
      </c>
      <c r="AH1405" s="2" t="str">
        <f ca="1"/>
        <v>Bad</v>
      </c>
    </row>
    <row r="1406" spans="2:34" x14ac:dyDescent="0.2">
      <c r="B1406" s="2">
        <f ca="1"/>
        <v>0.81403309835076776</v>
      </c>
      <c r="O1406" s="2">
        <f ca="1"/>
        <v>0.65542386546054954</v>
      </c>
      <c r="X1406" s="2">
        <f ca="1"/>
        <v>41.788949939793397</v>
      </c>
      <c r="AG1406" s="2">
        <f ca="1"/>
        <v>0.2640656757498332</v>
      </c>
      <c r="AH1406" s="2" t="str">
        <f ca="1"/>
        <v>OK</v>
      </c>
    </row>
    <row r="1407" spans="2:34" x14ac:dyDescent="0.2">
      <c r="B1407" s="2">
        <f ca="1"/>
        <v>0.12251692192537855</v>
      </c>
      <c r="O1407" s="2">
        <f ca="1"/>
        <v>-1.7467827890010106</v>
      </c>
      <c r="X1407" s="2">
        <f ca="1"/>
        <v>43.361013408642819</v>
      </c>
      <c r="AG1407" s="2">
        <f ca="1"/>
        <v>0.17593398441980379</v>
      </c>
      <c r="AH1407" s="2" t="str">
        <f ca="1"/>
        <v>OK</v>
      </c>
    </row>
    <row r="1408" spans="2:34" x14ac:dyDescent="0.2">
      <c r="B1408" s="2">
        <f ca="1"/>
        <v>1.1954309577350442E-2</v>
      </c>
      <c r="O1408" s="2">
        <f ca="1"/>
        <v>-0.28261145691974615</v>
      </c>
      <c r="X1408" s="2">
        <f ca="1"/>
        <v>78.736753182024245</v>
      </c>
      <c r="AG1408" s="2">
        <f ca="1"/>
        <v>0.27632402190361294</v>
      </c>
      <c r="AH1408" s="2" t="str">
        <f ca="1"/>
        <v>OK</v>
      </c>
    </row>
    <row r="1409" spans="2:34" x14ac:dyDescent="0.2">
      <c r="B1409" s="2">
        <f ca="1"/>
        <v>0.43283796983149125</v>
      </c>
      <c r="O1409" s="2">
        <f ca="1"/>
        <v>-1.0653568215111453</v>
      </c>
      <c r="X1409" s="2">
        <f ca="1"/>
        <v>42.083611681912046</v>
      </c>
      <c r="AG1409" s="2">
        <f ca="1"/>
        <v>0.91382609065287812</v>
      </c>
      <c r="AH1409" s="2" t="str">
        <f ca="1"/>
        <v>Bad</v>
      </c>
    </row>
    <row r="1410" spans="2:34" x14ac:dyDescent="0.2">
      <c r="B1410" s="2">
        <f ca="1"/>
        <v>0.72529988747078034</v>
      </c>
      <c r="O1410" s="2">
        <f ca="1"/>
        <v>-0.62144075197214288</v>
      </c>
      <c r="X1410" s="2">
        <f ca="1"/>
        <v>33.833912912914521</v>
      </c>
      <c r="AG1410" s="2">
        <f ca="1"/>
        <v>0.69568129662987443</v>
      </c>
      <c r="AH1410" s="2" t="str">
        <f ca="1"/>
        <v>Bad</v>
      </c>
    </row>
    <row r="1411" spans="2:34" x14ac:dyDescent="0.2">
      <c r="B1411" s="2">
        <f ca="1"/>
        <v>0.18412766211974807</v>
      </c>
      <c r="O1411" s="2">
        <f ca="1"/>
        <v>0.34459637392449899</v>
      </c>
      <c r="X1411" s="2">
        <f ca="1"/>
        <v>77.610353470942826</v>
      </c>
      <c r="AG1411" s="2">
        <f ca="1"/>
        <v>0.11775102975149276</v>
      </c>
      <c r="AH1411" s="2" t="str">
        <f ca="1"/>
        <v>OK</v>
      </c>
    </row>
    <row r="1412" spans="2:34" x14ac:dyDescent="0.2">
      <c r="B1412" s="2">
        <f ca="1"/>
        <v>0.67078209369330355</v>
      </c>
      <c r="O1412" s="2">
        <f ca="1"/>
        <v>-1.1780587970934413</v>
      </c>
      <c r="X1412" s="2">
        <f ca="1"/>
        <v>85.22937927060832</v>
      </c>
      <c r="AG1412" s="2">
        <f ca="1"/>
        <v>0.22230908702946994</v>
      </c>
      <c r="AH1412" s="2" t="str">
        <f ca="1"/>
        <v>OK</v>
      </c>
    </row>
    <row r="1413" spans="2:34" x14ac:dyDescent="0.2">
      <c r="B1413" s="2">
        <f ca="1"/>
        <v>0.99565941139022929</v>
      </c>
      <c r="O1413" s="2">
        <f ca="1"/>
        <v>-0.1303924623436023</v>
      </c>
      <c r="X1413" s="2">
        <f ca="1"/>
        <v>23.090938020642696</v>
      </c>
      <c r="AG1413" s="2">
        <f ca="1"/>
        <v>0.89861837321862548</v>
      </c>
      <c r="AH1413" s="2" t="str">
        <f ca="1"/>
        <v>Bad</v>
      </c>
    </row>
    <row r="1414" spans="2:34" x14ac:dyDescent="0.2">
      <c r="B1414" s="2">
        <f ca="1"/>
        <v>0.90046085775569162</v>
      </c>
      <c r="O1414" s="2">
        <f ca="1"/>
        <v>-1.4839459942676274</v>
      </c>
      <c r="X1414" s="2">
        <f ca="1"/>
        <v>60.16296519309649</v>
      </c>
      <c r="AG1414" s="2">
        <f ca="1"/>
        <v>0.40300997851621378</v>
      </c>
      <c r="AH1414" s="2" t="str">
        <f ca="1"/>
        <v>Bad</v>
      </c>
    </row>
    <row r="1415" spans="2:34" x14ac:dyDescent="0.2">
      <c r="B1415" s="2">
        <f ca="1"/>
        <v>0.6926511995712179</v>
      </c>
      <c r="O1415" s="2">
        <f ca="1"/>
        <v>0.53519938680775292</v>
      </c>
      <c r="X1415" s="2">
        <f ca="1"/>
        <v>52.225820838202111</v>
      </c>
      <c r="AG1415" s="2">
        <f ca="1"/>
        <v>7.9435653185325972E-2</v>
      </c>
      <c r="AH1415" s="2" t="str">
        <f ca="1"/>
        <v>OK</v>
      </c>
    </row>
    <row r="1416" spans="2:34" x14ac:dyDescent="0.2">
      <c r="B1416" s="2">
        <f ca="1"/>
        <v>0.8580216527536515</v>
      </c>
      <c r="O1416" s="2">
        <f ca="1"/>
        <v>-0.56574354252468551</v>
      </c>
      <c r="X1416" s="2">
        <f ca="1"/>
        <v>55.789867322961094</v>
      </c>
      <c r="AG1416" s="2">
        <f ca="1"/>
        <v>0.14718581734741187</v>
      </c>
      <c r="AH1416" s="2" t="str">
        <f ca="1"/>
        <v>OK</v>
      </c>
    </row>
    <row r="1417" spans="2:34" x14ac:dyDescent="0.2">
      <c r="B1417" s="2">
        <f ca="1"/>
        <v>0.19745451530952907</v>
      </c>
      <c r="O1417" s="2">
        <f ca="1"/>
        <v>1.9449980207476012</v>
      </c>
      <c r="X1417" s="2">
        <f ca="1"/>
        <v>54.287709011121407</v>
      </c>
      <c r="AG1417" s="2">
        <f ca="1"/>
        <v>0.143941223303655</v>
      </c>
      <c r="AH1417" s="2" t="str">
        <f ca="1"/>
        <v>OK</v>
      </c>
    </row>
    <row r="1418" spans="2:34" x14ac:dyDescent="0.2">
      <c r="B1418" s="2">
        <f ca="1"/>
        <v>0.44448753563612775</v>
      </c>
      <c r="O1418" s="2">
        <f ca="1"/>
        <v>0.41070744016895505</v>
      </c>
      <c r="X1418" s="2">
        <f ca="1"/>
        <v>29.633604765669595</v>
      </c>
      <c r="AG1418" s="2">
        <f ca="1"/>
        <v>0.2842494640305433</v>
      </c>
      <c r="AH1418" s="2" t="str">
        <f ca="1"/>
        <v>OK</v>
      </c>
    </row>
    <row r="1419" spans="2:34" x14ac:dyDescent="0.2">
      <c r="B1419" s="2">
        <f ca="1"/>
        <v>0.71640813803418424</v>
      </c>
      <c r="O1419" s="2">
        <f ca="1"/>
        <v>9.5972556625273292E-2</v>
      </c>
      <c r="X1419" s="2">
        <f ca="1"/>
        <v>41.042673436560833</v>
      </c>
      <c r="AG1419" s="2">
        <f ca="1"/>
        <v>0.73225920951939427</v>
      </c>
      <c r="AH1419" s="2" t="str">
        <f ca="1"/>
        <v>Bad</v>
      </c>
    </row>
    <row r="1420" spans="2:34" x14ac:dyDescent="0.2">
      <c r="B1420" s="2">
        <f ca="1"/>
        <v>0.18374214918412202</v>
      </c>
      <c r="O1420" s="2">
        <f ca="1"/>
        <v>0.83065693639694582</v>
      </c>
      <c r="X1420" s="2">
        <f ca="1"/>
        <v>44.267197465190463</v>
      </c>
      <c r="AG1420" s="2">
        <f ca="1"/>
        <v>0.4297289596308842</v>
      </c>
      <c r="AH1420" s="2" t="str">
        <f ca="1"/>
        <v>Bad</v>
      </c>
    </row>
    <row r="1421" spans="2:34" x14ac:dyDescent="0.2">
      <c r="B1421" s="2">
        <f ca="1"/>
        <v>0.60535438379148365</v>
      </c>
      <c r="O1421" s="2">
        <f ca="1"/>
        <v>-0.448632056516512</v>
      </c>
      <c r="X1421" s="2">
        <f ca="1"/>
        <v>68.783719429614621</v>
      </c>
      <c r="AG1421" s="2">
        <f ca="1"/>
        <v>1.3122253642501081E-2</v>
      </c>
      <c r="AH1421" s="2" t="str">
        <f ca="1"/>
        <v>Good</v>
      </c>
    </row>
    <row r="1422" spans="2:34" x14ac:dyDescent="0.2">
      <c r="B1422" s="2">
        <f ca="1"/>
        <v>0.75138118859775394</v>
      </c>
      <c r="O1422" s="2">
        <f ca="1"/>
        <v>-0.23632797486291124</v>
      </c>
      <c r="X1422" s="2">
        <f ca="1"/>
        <v>66.741848454845325</v>
      </c>
      <c r="AG1422" s="2">
        <f ca="1"/>
        <v>0.93547494708125667</v>
      </c>
      <c r="AH1422" s="2" t="str">
        <f ca="1"/>
        <v>Bad</v>
      </c>
    </row>
    <row r="1423" spans="2:34" x14ac:dyDescent="0.2">
      <c r="B1423" s="2">
        <f ca="1"/>
        <v>0.47779311520242507</v>
      </c>
      <c r="O1423" s="2">
        <f ca="1"/>
        <v>0.64924487253348329</v>
      </c>
      <c r="X1423" s="2">
        <f ca="1"/>
        <v>45.840371905551798</v>
      </c>
      <c r="AG1423" s="2">
        <f ca="1"/>
        <v>0.85743577355687028</v>
      </c>
      <c r="AH1423" s="2" t="str">
        <f ca="1"/>
        <v>Bad</v>
      </c>
    </row>
    <row r="1424" spans="2:34" x14ac:dyDescent="0.2">
      <c r="B1424" s="2">
        <f ca="1"/>
        <v>0.60798404155339103</v>
      </c>
      <c r="O1424" s="2">
        <f ca="1"/>
        <v>-0.28370377890580456</v>
      </c>
      <c r="X1424" s="2">
        <f ca="1"/>
        <v>59.55732996927167</v>
      </c>
      <c r="AG1424" s="2">
        <f ca="1"/>
        <v>0.5776781110937772</v>
      </c>
      <c r="AH1424" s="2" t="str">
        <f ca="1"/>
        <v>Bad</v>
      </c>
    </row>
    <row r="1425" spans="2:34" x14ac:dyDescent="0.2">
      <c r="B1425" s="2">
        <f ca="1"/>
        <v>0.93737492903012298</v>
      </c>
      <c r="O1425" s="2">
        <f ca="1"/>
        <v>-0.29031430078727327</v>
      </c>
      <c r="X1425" s="2">
        <f ca="1"/>
        <v>25.509323559135627</v>
      </c>
      <c r="AG1425" s="2">
        <f ca="1"/>
        <v>0.25182045901119077</v>
      </c>
      <c r="AH1425" s="2" t="str">
        <f ca="1"/>
        <v>OK</v>
      </c>
    </row>
    <row r="1426" spans="2:34" x14ac:dyDescent="0.2">
      <c r="B1426" s="2">
        <f ca="1"/>
        <v>0.36571556283124007</v>
      </c>
      <c r="O1426" s="2">
        <f ca="1"/>
        <v>-0.79284488027212086</v>
      </c>
      <c r="X1426" s="2">
        <f ca="1"/>
        <v>54.089319125866233</v>
      </c>
      <c r="AG1426" s="2">
        <f ca="1"/>
        <v>0.81352827268593142</v>
      </c>
      <c r="AH1426" s="2" t="str">
        <f ca="1"/>
        <v>Bad</v>
      </c>
    </row>
    <row r="1427" spans="2:34" x14ac:dyDescent="0.2">
      <c r="B1427" s="2">
        <f ca="1"/>
        <v>0.13425355989957333</v>
      </c>
      <c r="O1427" s="2">
        <f ca="1"/>
        <v>-0.94010483330700567</v>
      </c>
      <c r="X1427" s="2">
        <f ca="1"/>
        <v>68.923373296855999</v>
      </c>
      <c r="AG1427" s="2">
        <f ca="1"/>
        <v>0.41066314019743388</v>
      </c>
      <c r="AH1427" s="2" t="str">
        <f ca="1"/>
        <v>Bad</v>
      </c>
    </row>
    <row r="1428" spans="2:34" x14ac:dyDescent="0.2">
      <c r="B1428" s="2">
        <f ca="1"/>
        <v>0.74084917331438094</v>
      </c>
      <c r="O1428" s="2">
        <f ca="1"/>
        <v>0.6787857854063265</v>
      </c>
      <c r="X1428" s="2">
        <f ca="1"/>
        <v>80.786329783321122</v>
      </c>
      <c r="AG1428" s="2">
        <f ca="1"/>
        <v>0.13620113672713141</v>
      </c>
      <c r="AH1428" s="2" t="str">
        <f ca="1"/>
        <v>OK</v>
      </c>
    </row>
    <row r="1429" spans="2:34" x14ac:dyDescent="0.2">
      <c r="B1429" s="2">
        <f ca="1"/>
        <v>0.25159188539045063</v>
      </c>
      <c r="O1429" s="2">
        <f ca="1"/>
        <v>-4.5058724773640521E-2</v>
      </c>
      <c r="X1429" s="2">
        <f ca="1"/>
        <v>50.489972689156197</v>
      </c>
      <c r="AG1429" s="2">
        <f ca="1"/>
        <v>0.17883405309993394</v>
      </c>
      <c r="AH1429" s="2" t="str">
        <f ca="1"/>
        <v>OK</v>
      </c>
    </row>
    <row r="1430" spans="2:34" x14ac:dyDescent="0.2">
      <c r="B1430" s="2">
        <f ca="1"/>
        <v>0.53027800265824121</v>
      </c>
      <c r="O1430" s="2">
        <f ca="1"/>
        <v>-1.3631314888312649</v>
      </c>
      <c r="X1430" s="2">
        <f ca="1"/>
        <v>61.445097478373725</v>
      </c>
      <c r="AG1430" s="2">
        <f ca="1"/>
        <v>6.6637599158247296E-2</v>
      </c>
      <c r="AH1430" s="2" t="str">
        <f ca="1"/>
        <v>OK</v>
      </c>
    </row>
    <row r="1431" spans="2:34" x14ac:dyDescent="0.2">
      <c r="B1431" s="2">
        <f ca="1"/>
        <v>0.40320904173411498</v>
      </c>
      <c r="O1431" s="2">
        <f ca="1"/>
        <v>1.1763951765387384</v>
      </c>
      <c r="X1431" s="2">
        <f ca="1"/>
        <v>45.148986086447309</v>
      </c>
      <c r="AG1431" s="2">
        <f ca="1"/>
        <v>0.46795202419640858</v>
      </c>
      <c r="AH1431" s="2" t="str">
        <f ca="1"/>
        <v>Bad</v>
      </c>
    </row>
    <row r="1432" spans="2:34" x14ac:dyDescent="0.2">
      <c r="B1432" s="2">
        <f ca="1"/>
        <v>0.20195568506446193</v>
      </c>
      <c r="O1432" s="2">
        <f ca="1"/>
        <v>0.4504442724251857</v>
      </c>
      <c r="X1432" s="2">
        <f ca="1"/>
        <v>46.404804888600104</v>
      </c>
      <c r="AG1432" s="2">
        <f ca="1"/>
        <v>0.65899632165544508</v>
      </c>
      <c r="AH1432" s="2" t="str">
        <f ca="1"/>
        <v>Bad</v>
      </c>
    </row>
    <row r="1433" spans="2:34" x14ac:dyDescent="0.2">
      <c r="B1433" s="2">
        <f ca="1"/>
        <v>0.54763908343022871</v>
      </c>
      <c r="O1433" s="2">
        <f ca="1"/>
        <v>0.37578676952585677</v>
      </c>
      <c r="X1433" s="2">
        <f ca="1"/>
        <v>29.126375763364099</v>
      </c>
      <c r="AG1433" s="2">
        <f ca="1"/>
        <v>0.64924499359157339</v>
      </c>
      <c r="AH1433" s="2" t="str">
        <f ca="1"/>
        <v>Bad</v>
      </c>
    </row>
    <row r="1434" spans="2:34" x14ac:dyDescent="0.2">
      <c r="B1434" s="2">
        <f ca="1"/>
        <v>0.44971482835893273</v>
      </c>
      <c r="O1434" s="2">
        <f ca="1"/>
        <v>0.47022582798567358</v>
      </c>
      <c r="X1434" s="2">
        <f ca="1"/>
        <v>37.923294048791753</v>
      </c>
      <c r="AG1434" s="2">
        <f ca="1"/>
        <v>0.64819437506850353</v>
      </c>
      <c r="AH1434" s="2" t="str">
        <f ca="1"/>
        <v>Bad</v>
      </c>
    </row>
    <row r="1435" spans="2:34" x14ac:dyDescent="0.2">
      <c r="B1435" s="2">
        <f ca="1"/>
        <v>0.90592737968594861</v>
      </c>
      <c r="O1435" s="2">
        <f ca="1"/>
        <v>1.4333611484987165</v>
      </c>
      <c r="X1435" s="2">
        <f ca="1"/>
        <v>24.903709764710655</v>
      </c>
      <c r="AG1435" s="2">
        <f ca="1"/>
        <v>0.82338139413608569</v>
      </c>
      <c r="AH1435" s="2" t="str">
        <f ca="1"/>
        <v>Bad</v>
      </c>
    </row>
    <row r="1436" spans="2:34" x14ac:dyDescent="0.2">
      <c r="B1436" s="2">
        <f ca="1"/>
        <v>0.80351117397028249</v>
      </c>
      <c r="O1436" s="2">
        <f ca="1"/>
        <v>0.69018414197234768</v>
      </c>
      <c r="X1436" s="2">
        <f ca="1"/>
        <v>58.644294364562633</v>
      </c>
      <c r="AG1436" s="2">
        <f ca="1"/>
        <v>0.83439010744407138</v>
      </c>
      <c r="AH1436" s="2" t="str">
        <f ca="1"/>
        <v>Bad</v>
      </c>
    </row>
    <row r="1437" spans="2:34" x14ac:dyDescent="0.2">
      <c r="B1437" s="2">
        <f ca="1"/>
        <v>5.2724994570038541E-2</v>
      </c>
      <c r="O1437" s="2">
        <f ca="1"/>
        <v>-0.745201439828166</v>
      </c>
      <c r="X1437" s="2">
        <f ca="1"/>
        <v>32.055157074335071</v>
      </c>
      <c r="AG1437" s="2">
        <f ca="1"/>
        <v>0.47601774606908287</v>
      </c>
      <c r="AH1437" s="2" t="str">
        <f ca="1"/>
        <v>Bad</v>
      </c>
    </row>
    <row r="1438" spans="2:34" x14ac:dyDescent="0.2">
      <c r="B1438" s="2">
        <f ca="1"/>
        <v>0.22091093135028328</v>
      </c>
      <c r="O1438" s="2">
        <f ca="1"/>
        <v>-0.29998408796433224</v>
      </c>
      <c r="X1438" s="2">
        <f ca="1"/>
        <v>29.565942176067352</v>
      </c>
      <c r="AG1438" s="2">
        <f ca="1"/>
        <v>0.79680267967581342</v>
      </c>
      <c r="AH1438" s="2" t="str">
        <f ca="1"/>
        <v>Bad</v>
      </c>
    </row>
    <row r="1439" spans="2:34" x14ac:dyDescent="0.2">
      <c r="B1439" s="2">
        <f ca="1"/>
        <v>0.80012787232244276</v>
      </c>
      <c r="O1439" s="2">
        <f ca="1"/>
        <v>-0.32946209263888648</v>
      </c>
      <c r="X1439" s="2">
        <f ca="1"/>
        <v>37.015544907081434</v>
      </c>
      <c r="AG1439" s="2">
        <f ca="1"/>
        <v>0.45378093278876386</v>
      </c>
      <c r="AH1439" s="2" t="str">
        <f ca="1"/>
        <v>Bad</v>
      </c>
    </row>
    <row r="1440" spans="2:34" x14ac:dyDescent="0.2">
      <c r="B1440" s="2">
        <f ca="1"/>
        <v>0.29354457823793689</v>
      </c>
      <c r="O1440" s="2">
        <f ca="1"/>
        <v>0.76192146629412449</v>
      </c>
      <c r="X1440" s="2">
        <f ca="1"/>
        <v>40.105698797571577</v>
      </c>
      <c r="AG1440" s="2">
        <f ca="1"/>
        <v>0.67491602188822486</v>
      </c>
      <c r="AH1440" s="2" t="str">
        <f ca="1"/>
        <v>Bad</v>
      </c>
    </row>
    <row r="1441" spans="2:34" x14ac:dyDescent="0.2">
      <c r="B1441" s="2">
        <f ca="1"/>
        <v>0.75709556874438966</v>
      </c>
      <c r="O1441" s="2">
        <f ca="1"/>
        <v>0.11954280866061807</v>
      </c>
      <c r="X1441" s="2">
        <f ca="1"/>
        <v>53.13358293542646</v>
      </c>
      <c r="AG1441" s="2">
        <f ca="1"/>
        <v>0.49302688281543627</v>
      </c>
      <c r="AH1441" s="2" t="str">
        <f ca="1"/>
        <v>Bad</v>
      </c>
    </row>
    <row r="1442" spans="2:34" x14ac:dyDescent="0.2">
      <c r="B1442" s="2">
        <f ca="1"/>
        <v>0.68292948552517929</v>
      </c>
      <c r="O1442" s="2">
        <f ca="1"/>
        <v>-0.49263046315943904</v>
      </c>
      <c r="X1442" s="2">
        <f ca="1"/>
        <v>30.106829156710127</v>
      </c>
      <c r="AG1442" s="2">
        <f ca="1"/>
        <v>0.13173640478675197</v>
      </c>
      <c r="AH1442" s="2" t="str">
        <f ca="1"/>
        <v>OK</v>
      </c>
    </row>
    <row r="1443" spans="2:34" x14ac:dyDescent="0.2">
      <c r="B1443" s="2">
        <f ca="1"/>
        <v>0.38371752368888301</v>
      </c>
      <c r="O1443" s="2">
        <f ca="1"/>
        <v>-1.0884290516001904</v>
      </c>
      <c r="X1443" s="2">
        <f ca="1"/>
        <v>41.663660079130167</v>
      </c>
      <c r="AG1443" s="2">
        <f ca="1"/>
        <v>0.82121906524931587</v>
      </c>
      <c r="AH1443" s="2" t="str">
        <f ca="1"/>
        <v>Bad</v>
      </c>
    </row>
    <row r="1444" spans="2:34" x14ac:dyDescent="0.2">
      <c r="B1444" s="2">
        <f ca="1"/>
        <v>0.45510908603727818</v>
      </c>
      <c r="O1444" s="2">
        <f ca="1"/>
        <v>1.4001781540249718</v>
      </c>
      <c r="X1444" s="2">
        <f ca="1"/>
        <v>34.340827261449732</v>
      </c>
      <c r="AG1444" s="2">
        <f ca="1"/>
        <v>0.82406528431982395</v>
      </c>
      <c r="AH1444" s="2" t="str">
        <f ca="1"/>
        <v>Bad</v>
      </c>
    </row>
    <row r="1445" spans="2:34" x14ac:dyDescent="0.2">
      <c r="B1445" s="2">
        <f ca="1"/>
        <v>0.90843267925199078</v>
      </c>
      <c r="O1445" s="2">
        <f ca="1"/>
        <v>-1.7615360661545769</v>
      </c>
      <c r="X1445" s="2">
        <f ca="1"/>
        <v>26.601892419970635</v>
      </c>
      <c r="AG1445" s="2">
        <f ca="1"/>
        <v>0.25636523700836311</v>
      </c>
      <c r="AH1445" s="2" t="str">
        <f ca="1"/>
        <v>OK</v>
      </c>
    </row>
    <row r="1446" spans="2:34" x14ac:dyDescent="0.2">
      <c r="B1446" s="2">
        <f ca="1"/>
        <v>0.67872627280598308</v>
      </c>
      <c r="O1446" s="2">
        <f ca="1"/>
        <v>-0.15062778264366014</v>
      </c>
      <c r="X1446" s="2">
        <f ca="1"/>
        <v>34.751860539806913</v>
      </c>
      <c r="AG1446" s="2">
        <f ca="1"/>
        <v>4.6539404755777225E-2</v>
      </c>
      <c r="AH1446" s="2" t="str">
        <f ca="1"/>
        <v>Good</v>
      </c>
    </row>
    <row r="1447" spans="2:34" x14ac:dyDescent="0.2">
      <c r="B1447" s="2">
        <f ca="1"/>
        <v>0.79694853797313692</v>
      </c>
      <c r="O1447" s="2">
        <f ca="1"/>
        <v>-0.8089210555715991</v>
      </c>
      <c r="X1447" s="2">
        <f ca="1"/>
        <v>70.903176758994405</v>
      </c>
      <c r="AG1447" s="2">
        <f ca="1"/>
        <v>0.2740695405845528</v>
      </c>
      <c r="AH1447" s="2" t="str">
        <f ca="1"/>
        <v>OK</v>
      </c>
    </row>
    <row r="1448" spans="2:34" x14ac:dyDescent="0.2">
      <c r="B1448" s="2">
        <f ca="1"/>
        <v>0.90061415117686705</v>
      </c>
      <c r="O1448" s="2">
        <f ca="1"/>
        <v>-0.43807899255292232</v>
      </c>
      <c r="X1448" s="2">
        <f ca="1"/>
        <v>46.587797126507013</v>
      </c>
      <c r="AG1448" s="2">
        <f ca="1"/>
        <v>0.25118835720986521</v>
      </c>
      <c r="AH1448" s="2" t="str">
        <f ca="1"/>
        <v>OK</v>
      </c>
    </row>
    <row r="1449" spans="2:34" x14ac:dyDescent="0.2">
      <c r="B1449" s="2">
        <f ca="1"/>
        <v>0.19430503176487157</v>
      </c>
      <c r="O1449" s="2">
        <f ca="1"/>
        <v>0.37645340261285659</v>
      </c>
      <c r="X1449" s="2">
        <f ca="1"/>
        <v>45.823805346500507</v>
      </c>
      <c r="AG1449" s="2">
        <f ca="1"/>
        <v>0.70457579222767008</v>
      </c>
      <c r="AH1449" s="2" t="str">
        <f ca="1"/>
        <v>Bad</v>
      </c>
    </row>
    <row r="1450" spans="2:34" x14ac:dyDescent="0.2">
      <c r="B1450" s="2">
        <f ca="1"/>
        <v>0.23097647812033095</v>
      </c>
      <c r="O1450" s="2">
        <f ca="1"/>
        <v>-1.0423902736127979</v>
      </c>
      <c r="X1450" s="2">
        <f ca="1"/>
        <v>59.439603265256686</v>
      </c>
      <c r="AG1450" s="2">
        <f ca="1"/>
        <v>0.28357494147547602</v>
      </c>
      <c r="AH1450" s="2" t="str">
        <f ca="1"/>
        <v>OK</v>
      </c>
    </row>
    <row r="1451" spans="2:34" x14ac:dyDescent="0.2">
      <c r="B1451" s="2">
        <f ca="1"/>
        <v>0.98290232109248921</v>
      </c>
      <c r="O1451" s="2">
        <f ca="1"/>
        <v>-0.1353846712606798</v>
      </c>
      <c r="X1451" s="2">
        <f ca="1"/>
        <v>57.095963782368919</v>
      </c>
      <c r="AG1451" s="2">
        <f ca="1"/>
        <v>0.68442317777107631</v>
      </c>
      <c r="AH1451" s="2" t="str">
        <f ca="1"/>
        <v>Bad</v>
      </c>
    </row>
    <row r="1452" spans="2:34" x14ac:dyDescent="0.2">
      <c r="B1452" s="2">
        <f ca="1"/>
        <v>5.1010534994275103E-2</v>
      </c>
      <c r="O1452" s="2">
        <f ca="1"/>
        <v>-3.7142926682021758E-2</v>
      </c>
      <c r="X1452" s="2">
        <f ca="1"/>
        <v>48.069824346084282</v>
      </c>
      <c r="AG1452" s="2">
        <f ca="1"/>
        <v>0.23573674705701197</v>
      </c>
      <c r="AH1452" s="2" t="str">
        <f ca="1"/>
        <v>OK</v>
      </c>
    </row>
    <row r="1453" spans="2:34" x14ac:dyDescent="0.2">
      <c r="B1453" s="2">
        <f ca="1"/>
        <v>0.1292797100910259</v>
      </c>
      <c r="O1453" s="2">
        <f ca="1"/>
        <v>-0.8485731030724285</v>
      </c>
      <c r="X1453" s="2">
        <f ca="1"/>
        <v>56.877722402011138</v>
      </c>
      <c r="AG1453" s="2">
        <f ca="1"/>
        <v>0.33722292655004615</v>
      </c>
      <c r="AH1453" s="2" t="str">
        <f ca="1"/>
        <v>OK</v>
      </c>
    </row>
    <row r="1454" spans="2:34" x14ac:dyDescent="0.2">
      <c r="B1454" s="2">
        <f ca="1"/>
        <v>0.22027928512595207</v>
      </c>
      <c r="O1454" s="2">
        <f ca="1"/>
        <v>0.77439023909964133</v>
      </c>
      <c r="X1454" s="2">
        <f ca="1"/>
        <v>39.563287963576698</v>
      </c>
      <c r="AG1454" s="2">
        <f ca="1"/>
        <v>0.48447936867089081</v>
      </c>
      <c r="AH1454" s="2" t="str">
        <f ca="1"/>
        <v>Bad</v>
      </c>
    </row>
    <row r="1455" spans="2:34" x14ac:dyDescent="0.2">
      <c r="B1455" s="2">
        <f ca="1"/>
        <v>0.62839887348522883</v>
      </c>
      <c r="O1455" s="2">
        <f ca="1"/>
        <v>0.2481721888578344</v>
      </c>
      <c r="X1455" s="2">
        <f ca="1"/>
        <v>33.783894390685838</v>
      </c>
      <c r="AG1455" s="2">
        <f ca="1"/>
        <v>0.21458056431770434</v>
      </c>
      <c r="AH1455" s="2" t="str">
        <f ca="1"/>
        <v>OK</v>
      </c>
    </row>
    <row r="1456" spans="2:34" x14ac:dyDescent="0.2">
      <c r="B1456" s="2">
        <f ca="1"/>
        <v>0.90977267652239413</v>
      </c>
      <c r="O1456" s="2">
        <f ca="1"/>
        <v>-1.3759130334388288</v>
      </c>
      <c r="X1456" s="2">
        <f ca="1"/>
        <v>41.913732435139607</v>
      </c>
      <c r="AG1456" s="2">
        <f ca="1"/>
        <v>0.19019187484720113</v>
      </c>
      <c r="AH1456" s="2" t="str">
        <f ca="1"/>
        <v>OK</v>
      </c>
    </row>
    <row r="1457" spans="2:34" x14ac:dyDescent="0.2">
      <c r="B1457" s="2">
        <f ca="1"/>
        <v>6.3955950957248486E-3</v>
      </c>
      <c r="O1457" s="2">
        <f ca="1"/>
        <v>-0.1873856475455227</v>
      </c>
      <c r="X1457" s="2">
        <f ca="1"/>
        <v>37.312560130653161</v>
      </c>
      <c r="AG1457" s="2">
        <f ca="1"/>
        <v>0.11513010450254102</v>
      </c>
      <c r="AH1457" s="2" t="str">
        <f ca="1"/>
        <v>OK</v>
      </c>
    </row>
    <row r="1458" spans="2:34" x14ac:dyDescent="0.2">
      <c r="B1458" s="2">
        <f ca="1"/>
        <v>0.61982425169512156</v>
      </c>
      <c r="O1458" s="2">
        <f ca="1"/>
        <v>1.6817760691932044</v>
      </c>
      <c r="X1458" s="2">
        <f ca="1"/>
        <v>39.525877270222615</v>
      </c>
      <c r="AG1458" s="2">
        <f ca="1"/>
        <v>0.49731389907065071</v>
      </c>
      <c r="AH1458" s="2" t="str">
        <f ca="1"/>
        <v>Bad</v>
      </c>
    </row>
    <row r="1459" spans="2:34" x14ac:dyDescent="0.2">
      <c r="B1459" s="2">
        <f ca="1"/>
        <v>0.17975286580601324</v>
      </c>
      <c r="O1459" s="2">
        <f ca="1"/>
        <v>-0.68344717534141552</v>
      </c>
      <c r="X1459" s="2">
        <f ca="1"/>
        <v>16.308073884816427</v>
      </c>
      <c r="AG1459" s="2">
        <f ca="1"/>
        <v>3.6313258687724614E-2</v>
      </c>
      <c r="AH1459" s="2" t="str">
        <f ca="1"/>
        <v>Good</v>
      </c>
    </row>
    <row r="1460" spans="2:34" x14ac:dyDescent="0.2">
      <c r="B1460" s="2">
        <f ca="1"/>
        <v>0.80972003410813009</v>
      </c>
      <c r="O1460" s="2">
        <f ca="1"/>
        <v>1.2678786924523506</v>
      </c>
      <c r="X1460" s="2">
        <f ca="1"/>
        <v>40.576306392267867</v>
      </c>
      <c r="AG1460" s="2">
        <f ca="1"/>
        <v>0.44465446914380458</v>
      </c>
      <c r="AH1460" s="2" t="str">
        <f ca="1"/>
        <v>Bad</v>
      </c>
    </row>
    <row r="1461" spans="2:34" x14ac:dyDescent="0.2">
      <c r="B1461" s="2">
        <f ca="1"/>
        <v>9.2377101512496118E-2</v>
      </c>
      <c r="O1461" s="2">
        <f ca="1"/>
        <v>0.33538097619751084</v>
      </c>
      <c r="X1461" s="2">
        <f ca="1"/>
        <v>61.396775010033593</v>
      </c>
      <c r="AG1461" s="2">
        <f ca="1"/>
        <v>0.96782815984751358</v>
      </c>
      <c r="AH1461" s="2" t="str">
        <f ca="1"/>
        <v>Bad</v>
      </c>
    </row>
    <row r="1462" spans="2:34" x14ac:dyDescent="0.2">
      <c r="B1462" s="2">
        <f ca="1"/>
        <v>0.98915441995315923</v>
      </c>
      <c r="O1462" s="2">
        <f ca="1"/>
        <v>-1.1218553756802299</v>
      </c>
      <c r="X1462" s="2">
        <f ca="1"/>
        <v>94.731876967068231</v>
      </c>
      <c r="AG1462" s="2">
        <f ca="1"/>
        <v>0.87310464316460723</v>
      </c>
      <c r="AH1462" s="2" t="str">
        <f ca="1"/>
        <v>Bad</v>
      </c>
    </row>
    <row r="1463" spans="2:34" x14ac:dyDescent="0.2">
      <c r="B1463" s="2">
        <f ca="1"/>
        <v>0.52645775136975614</v>
      </c>
      <c r="O1463" s="2">
        <f ca="1"/>
        <v>7.7650057561729435E-2</v>
      </c>
      <c r="X1463" s="2">
        <f ca="1"/>
        <v>61.466536583662986</v>
      </c>
      <c r="AG1463" s="2">
        <f ca="1"/>
        <v>6.3097574510017296E-2</v>
      </c>
      <c r="AH1463" s="2" t="str">
        <f ca="1"/>
        <v>OK</v>
      </c>
    </row>
    <row r="1464" spans="2:34" x14ac:dyDescent="0.2">
      <c r="B1464" s="2">
        <f ca="1"/>
        <v>2.3907465939543293E-3</v>
      </c>
      <c r="O1464" s="2">
        <f ca="1"/>
        <v>-0.72965875808999214</v>
      </c>
      <c r="X1464" s="2">
        <f ca="1"/>
        <v>74.215341029180522</v>
      </c>
      <c r="AG1464" s="2">
        <f ca="1"/>
        <v>0.79400684609206218</v>
      </c>
      <c r="AH1464" s="2" t="str">
        <f ca="1"/>
        <v>Bad</v>
      </c>
    </row>
    <row r="1465" spans="2:34" x14ac:dyDescent="0.2">
      <c r="B1465" s="2">
        <f ca="1"/>
        <v>0.94429751577541565</v>
      </c>
      <c r="O1465" s="2">
        <f ca="1"/>
        <v>-9.0240517033101167E-2</v>
      </c>
      <c r="X1465" s="2">
        <f ca="1"/>
        <v>47.060835382597617</v>
      </c>
      <c r="AG1465" s="2">
        <f ca="1"/>
        <v>0.92322765701021803</v>
      </c>
      <c r="AH1465" s="2" t="str">
        <f ca="1"/>
        <v>Bad</v>
      </c>
    </row>
    <row r="1466" spans="2:34" x14ac:dyDescent="0.2">
      <c r="B1466" s="2">
        <f ca="1"/>
        <v>0.9400347343612816</v>
      </c>
      <c r="O1466" s="2">
        <f ca="1"/>
        <v>2.1589086077014714E-2</v>
      </c>
      <c r="X1466" s="2">
        <f ca="1"/>
        <v>43.264876269227543</v>
      </c>
      <c r="AG1466" s="2">
        <f ca="1"/>
        <v>0.14107336941996818</v>
      </c>
      <c r="AH1466" s="2" t="str">
        <f ca="1"/>
        <v>OK</v>
      </c>
    </row>
    <row r="1467" spans="2:34" x14ac:dyDescent="0.2">
      <c r="B1467" s="2">
        <f ca="1"/>
        <v>0.33821820022133653</v>
      </c>
      <c r="O1467" s="2">
        <f ca="1"/>
        <v>5.0640833686771318E-3</v>
      </c>
      <c r="X1467" s="2">
        <f ca="1"/>
        <v>53.702865576735491</v>
      </c>
      <c r="AG1467" s="2">
        <f ca="1"/>
        <v>9.112075689039778E-2</v>
      </c>
      <c r="AH1467" s="2" t="str">
        <f ca="1"/>
        <v>OK</v>
      </c>
    </row>
    <row r="1468" spans="2:34" x14ac:dyDescent="0.2">
      <c r="B1468" s="2">
        <f ca="1"/>
        <v>0.64400382116404531</v>
      </c>
      <c r="O1468" s="2">
        <f ca="1"/>
        <v>-0.83481239512554062</v>
      </c>
      <c r="X1468" s="2">
        <f ca="1"/>
        <v>35.552237050681242</v>
      </c>
      <c r="AG1468" s="2">
        <f ca="1"/>
        <v>0.60557948875306433</v>
      </c>
      <c r="AH1468" s="2" t="str">
        <f ca="1"/>
        <v>Bad</v>
      </c>
    </row>
    <row r="1469" spans="2:34" x14ac:dyDescent="0.2">
      <c r="B1469" s="2">
        <f ca="1"/>
        <v>0.7349288978605597</v>
      </c>
      <c r="O1469" s="2">
        <f ca="1"/>
        <v>0.75200528638959663</v>
      </c>
      <c r="X1469" s="2">
        <f ca="1"/>
        <v>35.943069566994076</v>
      </c>
      <c r="AG1469" s="2">
        <f ca="1"/>
        <v>8.5051319863922892E-2</v>
      </c>
      <c r="AH1469" s="2" t="str">
        <f ca="1"/>
        <v>OK</v>
      </c>
    </row>
    <row r="1470" spans="2:34" x14ac:dyDescent="0.2">
      <c r="B1470" s="2">
        <f ca="1"/>
        <v>0.11406753406513181</v>
      </c>
      <c r="O1470" s="2">
        <f ca="1"/>
        <v>-1.0161404174939246</v>
      </c>
      <c r="X1470" s="2">
        <f ca="1"/>
        <v>29.896772556271564</v>
      </c>
      <c r="AG1470" s="2">
        <f ca="1"/>
        <v>0.43131165932496129</v>
      </c>
      <c r="AH1470" s="2" t="str">
        <f ca="1"/>
        <v>Bad</v>
      </c>
    </row>
    <row r="1471" spans="2:34" x14ac:dyDescent="0.2">
      <c r="B1471" s="2">
        <f ca="1"/>
        <v>0.23746794484166744</v>
      </c>
      <c r="O1471" s="2">
        <f ca="1"/>
        <v>0.72109225533475463</v>
      </c>
      <c r="X1471" s="2">
        <f ca="1"/>
        <v>55.317680059580681</v>
      </c>
      <c r="AG1471" s="2">
        <f ca="1"/>
        <v>4.7387104205316666E-2</v>
      </c>
      <c r="AH1471" s="2" t="str">
        <f ca="1"/>
        <v>Good</v>
      </c>
    </row>
    <row r="1472" spans="2:34" x14ac:dyDescent="0.2">
      <c r="B1472" s="2">
        <f ca="1"/>
        <v>0.72583914329384158</v>
      </c>
      <c r="O1472" s="2">
        <f ca="1"/>
        <v>3.0271129231973802E-2</v>
      </c>
      <c r="X1472" s="2">
        <f ca="1"/>
        <v>49.584739132339742</v>
      </c>
      <c r="AG1472" s="2">
        <f ca="1"/>
        <v>0.9799747109085748</v>
      </c>
      <c r="AH1472" s="2" t="str">
        <f ca="1"/>
        <v>Bad</v>
      </c>
    </row>
    <row r="1473" spans="2:34" x14ac:dyDescent="0.2">
      <c r="B1473" s="2">
        <f ca="1"/>
        <v>0.76290912202076178</v>
      </c>
      <c r="O1473" s="2">
        <f ca="1"/>
        <v>1.4136636375582978</v>
      </c>
      <c r="X1473" s="2">
        <f ca="1"/>
        <v>35.983498350183147</v>
      </c>
      <c r="AG1473" s="2">
        <f ca="1"/>
        <v>0.12826980799442245</v>
      </c>
      <c r="AH1473" s="2" t="str">
        <f ca="1"/>
        <v>OK</v>
      </c>
    </row>
    <row r="1474" spans="2:34" x14ac:dyDescent="0.2">
      <c r="B1474" s="2">
        <f ca="1"/>
        <v>0.82005575580350021</v>
      </c>
      <c r="O1474" s="2">
        <f ca="1"/>
        <v>-0.53928561015820919</v>
      </c>
      <c r="X1474" s="2">
        <f ca="1"/>
        <v>39.930424500348828</v>
      </c>
      <c r="AG1474" s="2">
        <f ca="1"/>
        <v>0.28347285290993485</v>
      </c>
      <c r="AH1474" s="2" t="str">
        <f ca="1"/>
        <v>OK</v>
      </c>
    </row>
    <row r="1475" spans="2:34" x14ac:dyDescent="0.2">
      <c r="B1475" s="2">
        <f ca="1"/>
        <v>0.13075902673128792</v>
      </c>
      <c r="O1475" s="2">
        <f ca="1"/>
        <v>2.1843682955466619</v>
      </c>
      <c r="X1475" s="2">
        <f ca="1"/>
        <v>69.195070423262052</v>
      </c>
      <c r="AG1475" s="2">
        <f ca="1"/>
        <v>0.91818181158481726</v>
      </c>
      <c r="AH1475" s="2" t="str">
        <f ca="1"/>
        <v>Bad</v>
      </c>
    </row>
    <row r="1476" spans="2:34" x14ac:dyDescent="0.2">
      <c r="B1476" s="2">
        <f ca="1"/>
        <v>0.98320863597559405</v>
      </c>
      <c r="O1476" s="2">
        <f ca="1"/>
        <v>-1.8057531204575199</v>
      </c>
      <c r="X1476" s="2">
        <f ca="1"/>
        <v>57.3515941862576</v>
      </c>
      <c r="AG1476" s="2">
        <f ca="1"/>
        <v>0.65866839519422871</v>
      </c>
      <c r="AH1476" s="2" t="str">
        <f ca="1"/>
        <v>Bad</v>
      </c>
    </row>
    <row r="1477" spans="2:34" x14ac:dyDescent="0.2">
      <c r="B1477" s="2">
        <f ca="1"/>
        <v>0.5290637008130652</v>
      </c>
      <c r="O1477" s="2">
        <f ca="1"/>
        <v>-0.10467263265294278</v>
      </c>
      <c r="X1477" s="2">
        <f ca="1"/>
        <v>37.783632307402087</v>
      </c>
      <c r="AG1477" s="2">
        <f ca="1"/>
        <v>0.56439979376910965</v>
      </c>
      <c r="AH1477" s="2" t="str">
        <f ca="1"/>
        <v>Bad</v>
      </c>
    </row>
    <row r="1478" spans="2:34" x14ac:dyDescent="0.2">
      <c r="B1478" s="2">
        <f ca="1"/>
        <v>0.18201002698939228</v>
      </c>
      <c r="O1478" s="2">
        <f ca="1"/>
        <v>2.23589621260045</v>
      </c>
      <c r="X1478" s="2">
        <f ca="1"/>
        <v>52.411629082815558</v>
      </c>
      <c r="AG1478" s="2">
        <f ca="1"/>
        <v>0.69160317507779423</v>
      </c>
      <c r="AH1478" s="2" t="str">
        <f ca="1"/>
        <v>Bad</v>
      </c>
    </row>
    <row r="1479" spans="2:34" x14ac:dyDescent="0.2">
      <c r="B1479" s="2">
        <f ca="1"/>
        <v>0.69592446923930273</v>
      </c>
      <c r="O1479" s="2">
        <f ca="1"/>
        <v>-0.63286648983101768</v>
      </c>
      <c r="X1479" s="2">
        <f ca="1"/>
        <v>51.491650039180186</v>
      </c>
      <c r="AG1479" s="2">
        <f ca="1"/>
        <v>0.56901775351990014</v>
      </c>
      <c r="AH1479" s="2" t="str">
        <f ca="1"/>
        <v>Bad</v>
      </c>
    </row>
    <row r="1480" spans="2:34" x14ac:dyDescent="0.2">
      <c r="B1480" s="2">
        <f ca="1"/>
        <v>0.22853309829309199</v>
      </c>
      <c r="O1480" s="2">
        <f ca="1"/>
        <v>0.28168005854135053</v>
      </c>
      <c r="X1480" s="2">
        <f ca="1"/>
        <v>66.840732824970502</v>
      </c>
      <c r="AG1480" s="2">
        <f ca="1"/>
        <v>0.44882480992102836</v>
      </c>
      <c r="AH1480" s="2" t="str">
        <f ca="1"/>
        <v>Bad</v>
      </c>
    </row>
    <row r="1481" spans="2:34" x14ac:dyDescent="0.2">
      <c r="B1481" s="2">
        <f ca="1"/>
        <v>0.70460332254308788</v>
      </c>
      <c r="O1481" s="2">
        <f ca="1"/>
        <v>0.75862517972919674</v>
      </c>
      <c r="X1481" s="2">
        <f ca="1"/>
        <v>21.714119238672801</v>
      </c>
      <c r="AG1481" s="2">
        <f ca="1"/>
        <v>0.60453662743214065</v>
      </c>
      <c r="AH1481" s="2" t="str">
        <f ca="1"/>
        <v>Bad</v>
      </c>
    </row>
    <row r="1482" spans="2:34" x14ac:dyDescent="0.2">
      <c r="B1482" s="2">
        <f ca="1"/>
        <v>7.4451731663989662E-2</v>
      </c>
      <c r="O1482" s="2">
        <f ca="1"/>
        <v>1.3278435734120719</v>
      </c>
      <c r="X1482" s="2">
        <f ca="1"/>
        <v>56.239544475372796</v>
      </c>
      <c r="AG1482" s="2">
        <f ca="1"/>
        <v>0.1118229398972912</v>
      </c>
      <c r="AH1482" s="2" t="str">
        <f ca="1"/>
        <v>OK</v>
      </c>
    </row>
    <row r="1483" spans="2:34" x14ac:dyDescent="0.2">
      <c r="B1483" s="2">
        <f ca="1"/>
        <v>0.8170546830508314</v>
      </c>
      <c r="O1483" s="2">
        <f ca="1"/>
        <v>-1.1479317784910941</v>
      </c>
      <c r="X1483" s="2">
        <f ca="1"/>
        <v>39.189462593334248</v>
      </c>
      <c r="AG1483" s="2">
        <f ca="1"/>
        <v>0.16153181430902919</v>
      </c>
      <c r="AH1483" s="2" t="str">
        <f ca="1"/>
        <v>OK</v>
      </c>
    </row>
    <row r="1484" spans="2:34" x14ac:dyDescent="0.2">
      <c r="B1484" s="2">
        <f ca="1"/>
        <v>0.60043845708490506</v>
      </c>
      <c r="O1484" s="2">
        <f ca="1"/>
        <v>1.4521763923451156</v>
      </c>
      <c r="X1484" s="2">
        <f ca="1"/>
        <v>37.878393165008603</v>
      </c>
      <c r="AG1484" s="2">
        <f ca="1"/>
        <v>0.74936879203634721</v>
      </c>
      <c r="AH1484" s="2" t="str">
        <f ca="1"/>
        <v>Bad</v>
      </c>
    </row>
    <row r="1485" spans="2:34" x14ac:dyDescent="0.2">
      <c r="B1485" s="2">
        <f ca="1"/>
        <v>5.9923916782071984E-2</v>
      </c>
      <c r="O1485" s="2">
        <f ca="1"/>
        <v>-0.77361540770336046</v>
      </c>
      <c r="X1485" s="2">
        <f ca="1"/>
        <v>28.257691412517637</v>
      </c>
      <c r="AG1485" s="2">
        <f ca="1"/>
        <v>0.38503912677969399</v>
      </c>
      <c r="AH1485" s="2" t="str">
        <f ca="1"/>
        <v>OK</v>
      </c>
    </row>
    <row r="1486" spans="2:34" x14ac:dyDescent="0.2">
      <c r="B1486" s="2">
        <f ca="1"/>
        <v>0.57556968369913086</v>
      </c>
      <c r="O1486" s="2">
        <f ca="1"/>
        <v>1.1497827850257174</v>
      </c>
      <c r="X1486" s="2">
        <f ca="1"/>
        <v>71.018917605756997</v>
      </c>
      <c r="AG1486" s="2">
        <f ca="1"/>
        <v>0.19234857560082741</v>
      </c>
      <c r="AH1486" s="2" t="str">
        <f ca="1"/>
        <v>OK</v>
      </c>
    </row>
    <row r="1487" spans="2:34" x14ac:dyDescent="0.2">
      <c r="B1487" s="2">
        <f ca="1"/>
        <v>0.88548380656802461</v>
      </c>
      <c r="O1487" s="2">
        <f ca="1"/>
        <v>-1.1381423242997941</v>
      </c>
      <c r="X1487" s="2">
        <f ca="1"/>
        <v>48.812645863959304</v>
      </c>
      <c r="AG1487" s="2">
        <f ca="1"/>
        <v>0.63607139369573784</v>
      </c>
      <c r="AH1487" s="2" t="str">
        <f ca="1"/>
        <v>Bad</v>
      </c>
    </row>
    <row r="1488" spans="2:34" x14ac:dyDescent="0.2">
      <c r="B1488" s="2">
        <f ca="1"/>
        <v>0.21124556060623645</v>
      </c>
      <c r="O1488" s="2">
        <f ca="1"/>
        <v>-0.85002504666901613</v>
      </c>
      <c r="X1488" s="2">
        <f ca="1"/>
        <v>34.8948120766673</v>
      </c>
      <c r="AG1488" s="2">
        <f ca="1"/>
        <v>9.701927145127387E-2</v>
      </c>
      <c r="AH1488" s="2" t="str">
        <f ca="1"/>
        <v>OK</v>
      </c>
    </row>
    <row r="1489" spans="2:34" x14ac:dyDescent="0.2">
      <c r="B1489" s="2">
        <f ca="1"/>
        <v>0.53320334553258797</v>
      </c>
      <c r="O1489" s="2">
        <f ca="1"/>
        <v>2.3005461567468743</v>
      </c>
      <c r="X1489" s="2">
        <f ca="1"/>
        <v>30.710304488400261</v>
      </c>
      <c r="AG1489" s="2">
        <f ca="1"/>
        <v>0.6727563678480406</v>
      </c>
      <c r="AH1489" s="2" t="str">
        <f ca="1"/>
        <v>Bad</v>
      </c>
    </row>
    <row r="1490" spans="2:34" x14ac:dyDescent="0.2">
      <c r="B1490" s="2">
        <f ca="1"/>
        <v>0.61239601354540874</v>
      </c>
      <c r="O1490" s="2">
        <f ca="1"/>
        <v>-0.6120577570269381</v>
      </c>
      <c r="X1490" s="2">
        <f ca="1"/>
        <v>70.012217565707871</v>
      </c>
      <c r="AG1490" s="2">
        <f ca="1"/>
        <v>0.18429913639164397</v>
      </c>
      <c r="AH1490" s="2" t="str">
        <f ca="1"/>
        <v>OK</v>
      </c>
    </row>
    <row r="1491" spans="2:34" x14ac:dyDescent="0.2">
      <c r="B1491" s="2">
        <f ca="1"/>
        <v>0.88205645467002203</v>
      </c>
      <c r="O1491" s="2">
        <f ca="1"/>
        <v>0.41896939079713047</v>
      </c>
      <c r="X1491" s="2">
        <f ca="1"/>
        <v>49.087361872134842</v>
      </c>
      <c r="AG1491" s="2">
        <f ca="1"/>
        <v>0.637945426139231</v>
      </c>
      <c r="AH1491" s="2" t="str">
        <f ca="1"/>
        <v>Bad</v>
      </c>
    </row>
    <row r="1492" spans="2:34" x14ac:dyDescent="0.2">
      <c r="B1492" s="2">
        <f ca="1"/>
        <v>0.84466128185528522</v>
      </c>
      <c r="O1492" s="2">
        <f ca="1"/>
        <v>-1.9197206845334613</v>
      </c>
      <c r="X1492" s="2">
        <f ca="1"/>
        <v>77.574490631318383</v>
      </c>
      <c r="AG1492" s="2">
        <f ca="1"/>
        <v>0.27133254002085061</v>
      </c>
      <c r="AH1492" s="2" t="str">
        <f ca="1"/>
        <v>OK</v>
      </c>
    </row>
    <row r="1493" spans="2:34" x14ac:dyDescent="0.2">
      <c r="B1493" s="2">
        <f ca="1"/>
        <v>0.27909020378070992</v>
      </c>
      <c r="O1493" s="2">
        <f ca="1"/>
        <v>-0.53918437041510736</v>
      </c>
      <c r="X1493" s="2">
        <f ca="1"/>
        <v>59.866990395580729</v>
      </c>
      <c r="AG1493" s="2">
        <f ca="1"/>
        <v>0.15988758286774285</v>
      </c>
      <c r="AH1493" s="2" t="str">
        <f ca="1"/>
        <v>OK</v>
      </c>
    </row>
    <row r="1494" spans="2:34" x14ac:dyDescent="0.2">
      <c r="B1494" s="2">
        <f ca="1"/>
        <v>0.39543788123599644</v>
      </c>
      <c r="O1494" s="2">
        <f ca="1"/>
        <v>1.021835552391154</v>
      </c>
      <c r="X1494" s="2">
        <f ca="1"/>
        <v>22.874160328291072</v>
      </c>
      <c r="AG1494" s="2">
        <f ca="1"/>
        <v>0.35603519510271386</v>
      </c>
      <c r="AH1494" s="2" t="str">
        <f ca="1"/>
        <v>OK</v>
      </c>
    </row>
    <row r="1495" spans="2:34" x14ac:dyDescent="0.2">
      <c r="B1495" s="2">
        <f ca="1"/>
        <v>0.61309283413775617</v>
      </c>
      <c r="O1495" s="2">
        <f ca="1"/>
        <v>1.6834423003896928</v>
      </c>
      <c r="X1495" s="2">
        <f ca="1"/>
        <v>24.513736660675704</v>
      </c>
      <c r="AG1495" s="2">
        <f ca="1"/>
        <v>0.34257492925226884</v>
      </c>
      <c r="AH1495" s="2" t="str">
        <f ca="1"/>
        <v>OK</v>
      </c>
    </row>
    <row r="1496" spans="2:34" x14ac:dyDescent="0.2">
      <c r="B1496" s="2">
        <f ca="1"/>
        <v>0.32268968815333343</v>
      </c>
      <c r="O1496" s="2">
        <f ca="1"/>
        <v>0.5565212707822903</v>
      </c>
      <c r="X1496" s="2">
        <f ca="1"/>
        <v>46.564944375214864</v>
      </c>
      <c r="AG1496" s="2">
        <f ca="1"/>
        <v>0.25673787977127316</v>
      </c>
      <c r="AH1496" s="2" t="str">
        <f ca="1"/>
        <v>OK</v>
      </c>
    </row>
    <row r="1497" spans="2:34" x14ac:dyDescent="0.2">
      <c r="B1497" s="2">
        <f ca="1"/>
        <v>0.47793763796122546</v>
      </c>
      <c r="O1497" s="2">
        <f ca="1"/>
        <v>-1.1145529870328024</v>
      </c>
      <c r="X1497" s="2">
        <f ca="1"/>
        <v>74.771656773031481</v>
      </c>
      <c r="AG1497" s="2">
        <f ca="1"/>
        <v>0.31376659725057832</v>
      </c>
      <c r="AH1497" s="2" t="str">
        <f ca="1"/>
        <v>OK</v>
      </c>
    </row>
    <row r="1498" spans="2:34" x14ac:dyDescent="0.2">
      <c r="B1498" s="2">
        <f ca="1"/>
        <v>0.13201806817546502</v>
      </c>
      <c r="O1498" s="2">
        <f ca="1"/>
        <v>0.25329037553024514</v>
      </c>
      <c r="X1498" s="2">
        <f ca="1"/>
        <v>44.672064077009715</v>
      </c>
      <c r="AG1498" s="2">
        <f ca="1"/>
        <v>0.12616510662406055</v>
      </c>
      <c r="AH1498" s="2" t="str">
        <f ca="1"/>
        <v>OK</v>
      </c>
    </row>
    <row r="1499" spans="2:34" x14ac:dyDescent="0.2">
      <c r="B1499" s="2">
        <f ca="1"/>
        <v>0.16854067410186246</v>
      </c>
      <c r="O1499" s="2">
        <f ca="1"/>
        <v>1.3867809347413944</v>
      </c>
      <c r="X1499" s="2">
        <f ca="1"/>
        <v>61.740050720352563</v>
      </c>
      <c r="AG1499" s="2">
        <f ca="1"/>
        <v>0.32848840836768067</v>
      </c>
      <c r="AH1499" s="2" t="str">
        <f ca="1"/>
        <v>OK</v>
      </c>
    </row>
    <row r="1500" spans="2:34" x14ac:dyDescent="0.2">
      <c r="B1500" s="2">
        <f ca="1"/>
        <v>0.50535449624017503</v>
      </c>
      <c r="O1500" s="2">
        <f ca="1"/>
        <v>0.84697625354604744</v>
      </c>
      <c r="X1500" s="2">
        <f ca="1"/>
        <v>42.777923972358742</v>
      </c>
      <c r="AG1500" s="2">
        <f ca="1"/>
        <v>0.27394232909856853</v>
      </c>
      <c r="AH1500" s="2" t="str">
        <f ca="1"/>
        <v>OK</v>
      </c>
    </row>
    <row r="1501" spans="2:34" x14ac:dyDescent="0.2">
      <c r="B1501" s="2">
        <f ca="1"/>
        <v>0.16962354424297033</v>
      </c>
      <c r="O1501" s="2">
        <f ca="1"/>
        <v>-1.4202278701932365</v>
      </c>
      <c r="X1501" s="2">
        <f ca="1"/>
        <v>41.606122488557105</v>
      </c>
      <c r="AG1501" s="2">
        <f ca="1"/>
        <v>0.37009550499350419</v>
      </c>
      <c r="AH1501" s="2" t="str">
        <f ca="1"/>
        <v>OK</v>
      </c>
    </row>
    <row r="1502" spans="2:34" x14ac:dyDescent="0.2">
      <c r="B1502" s="2">
        <f ca="1"/>
        <v>0.63436599572749541</v>
      </c>
      <c r="O1502" s="2">
        <f ca="1"/>
        <v>-1.5782989662743934</v>
      </c>
      <c r="X1502" s="2">
        <f ca="1"/>
        <v>39.85979297481785</v>
      </c>
      <c r="AG1502" s="2">
        <f ca="1"/>
        <v>1.7491980883246105E-2</v>
      </c>
      <c r="AH1502" s="2" t="str">
        <f ca="1"/>
        <v>Good</v>
      </c>
    </row>
    <row r="1503" spans="2:34" x14ac:dyDescent="0.2">
      <c r="B1503" s="2">
        <f ca="1"/>
        <v>0.65620372178126529</v>
      </c>
      <c r="O1503" s="2">
        <f ca="1"/>
        <v>-1.0445125867631566</v>
      </c>
      <c r="X1503" s="2">
        <f ca="1"/>
        <v>34.55670033113126</v>
      </c>
      <c r="AG1503" s="2">
        <f ca="1"/>
        <v>0.77207070683419343</v>
      </c>
      <c r="AH1503" s="2" t="str">
        <f ca="1"/>
        <v>Bad</v>
      </c>
    </row>
    <row r="1504" spans="2:34" x14ac:dyDescent="0.2">
      <c r="B1504" s="2">
        <f ca="1"/>
        <v>7.2869522373650852E-3</v>
      </c>
      <c r="O1504" s="2">
        <f ca="1"/>
        <v>0.63523762581793153</v>
      </c>
      <c r="X1504" s="2">
        <f ca="1"/>
        <v>61.511707631230891</v>
      </c>
      <c r="AG1504" s="2">
        <f ca="1"/>
        <v>0.86300129398234904</v>
      </c>
      <c r="AH1504" s="2" t="str">
        <f ca="1"/>
        <v>Bad</v>
      </c>
    </row>
    <row r="1505" spans="2:34" x14ac:dyDescent="0.2">
      <c r="B1505" s="2">
        <f ca="1"/>
        <v>0.4817574364810826</v>
      </c>
      <c r="O1505" s="2">
        <f ca="1"/>
        <v>-0.31500735788177725</v>
      </c>
      <c r="X1505" s="2">
        <f ca="1"/>
        <v>36.823707174831895</v>
      </c>
      <c r="AG1505" s="2">
        <f ca="1"/>
        <v>0.13601653446732231</v>
      </c>
      <c r="AH1505" s="2" t="str">
        <f ca="1"/>
        <v>OK</v>
      </c>
    </row>
    <row r="1506" spans="2:34" x14ac:dyDescent="0.2">
      <c r="B1506" s="2">
        <f ca="1"/>
        <v>0.8557397879228712</v>
      </c>
      <c r="O1506" s="2">
        <f ca="1"/>
        <v>-2.6057255678328488</v>
      </c>
      <c r="X1506" s="2">
        <f ca="1"/>
        <v>43.801725522935008</v>
      </c>
      <c r="AG1506" s="2">
        <f ca="1"/>
        <v>0.25444179052509952</v>
      </c>
      <c r="AH1506" s="2" t="str">
        <f ca="1"/>
        <v>OK</v>
      </c>
    </row>
    <row r="1507" spans="2:34" x14ac:dyDescent="0.2">
      <c r="B1507" s="2">
        <f ca="1"/>
        <v>0.73007337261907113</v>
      </c>
      <c r="O1507" s="2">
        <f ca="1"/>
        <v>0.80384368647625115</v>
      </c>
      <c r="X1507" s="2">
        <f ca="1"/>
        <v>44.25641013950824</v>
      </c>
      <c r="AG1507" s="2">
        <f ca="1"/>
        <v>0.62951513507353773</v>
      </c>
      <c r="AH1507" s="2" t="str">
        <f ca="1"/>
        <v>Bad</v>
      </c>
    </row>
    <row r="1508" spans="2:34" x14ac:dyDescent="0.2">
      <c r="B1508" s="2">
        <f ca="1"/>
        <v>5.374150054773752E-2</v>
      </c>
      <c r="O1508" s="2">
        <f ca="1"/>
        <v>1.4623565100477911E-2</v>
      </c>
      <c r="X1508" s="2">
        <f ca="1"/>
        <v>53.046951754851186</v>
      </c>
      <c r="AG1508" s="2">
        <f ca="1"/>
        <v>0.2263609799883648</v>
      </c>
      <c r="AH1508" s="2" t="str">
        <f ca="1"/>
        <v>OK</v>
      </c>
    </row>
    <row r="1509" spans="2:34" x14ac:dyDescent="0.2">
      <c r="B1509" s="2">
        <f ca="1"/>
        <v>0.21519155091985498</v>
      </c>
      <c r="O1509" s="2">
        <f ca="1"/>
        <v>0.96998035043198849</v>
      </c>
      <c r="X1509" s="2">
        <f ca="1"/>
        <v>63.803506588007401</v>
      </c>
      <c r="AG1509" s="2">
        <f ca="1"/>
        <v>0.20870007067525109</v>
      </c>
      <c r="AH1509" s="2" t="str">
        <f ca="1"/>
        <v>OK</v>
      </c>
    </row>
    <row r="1510" spans="2:34" x14ac:dyDescent="0.2">
      <c r="B1510" s="2">
        <f ca="1"/>
        <v>0.24277801839431157</v>
      </c>
      <c r="O1510" s="2">
        <f ca="1"/>
        <v>-1.5108096307452523</v>
      </c>
      <c r="X1510" s="2">
        <f ca="1"/>
        <v>66.227277912156694</v>
      </c>
      <c r="AG1510" s="2">
        <f ca="1"/>
        <v>0.76247878988298368</v>
      </c>
      <c r="AH1510" s="2" t="str">
        <f ca="1"/>
        <v>Bad</v>
      </c>
    </row>
    <row r="1511" spans="2:34" x14ac:dyDescent="0.2">
      <c r="B1511" s="2">
        <f ca="1"/>
        <v>0.43970059176806431</v>
      </c>
      <c r="O1511" s="2">
        <f ca="1"/>
        <v>1.9927472760827551</v>
      </c>
      <c r="X1511" s="2">
        <f ca="1"/>
        <v>45.249123230642496</v>
      </c>
      <c r="AG1511" s="2">
        <f ca="1"/>
        <v>0.8471385097696682</v>
      </c>
      <c r="AH1511" s="2" t="str">
        <f ca="1"/>
        <v>Bad</v>
      </c>
    </row>
    <row r="1512" spans="2:34" x14ac:dyDescent="0.2">
      <c r="B1512" s="2">
        <f ca="1"/>
        <v>0.57503029301056818</v>
      </c>
      <c r="O1512" s="2">
        <f ca="1"/>
        <v>0.4305622316083359</v>
      </c>
      <c r="X1512" s="2">
        <f ca="1"/>
        <v>32.00898083366851</v>
      </c>
      <c r="AG1512" s="2">
        <f ca="1"/>
        <v>0.17245936581442778</v>
      </c>
      <c r="AH1512" s="2" t="str">
        <f ca="1"/>
        <v>OK</v>
      </c>
    </row>
    <row r="1513" spans="2:34" x14ac:dyDescent="0.2">
      <c r="B1513" s="2">
        <f ca="1"/>
        <v>0.68146971175490356</v>
      </c>
      <c r="O1513" s="2">
        <f ca="1"/>
        <v>0.36348517608164504</v>
      </c>
      <c r="X1513" s="2">
        <f ca="1"/>
        <v>53.280409689535972</v>
      </c>
      <c r="AG1513" s="2">
        <f ca="1"/>
        <v>0.24066208735494321</v>
      </c>
      <c r="AH1513" s="2" t="str">
        <f ca="1"/>
        <v>OK</v>
      </c>
    </row>
    <row r="1514" spans="2:34" x14ac:dyDescent="0.2">
      <c r="B1514" s="2">
        <f ca="1"/>
        <v>0.85238146361679479</v>
      </c>
      <c r="O1514" s="2">
        <f ca="1"/>
        <v>1.9619021197179838</v>
      </c>
      <c r="X1514" s="2">
        <f ca="1"/>
        <v>84.071342087608457</v>
      </c>
      <c r="AG1514" s="2">
        <f ca="1"/>
        <v>0.56482075032475532</v>
      </c>
      <c r="AH1514" s="2" t="str">
        <f ca="1"/>
        <v>Bad</v>
      </c>
    </row>
    <row r="1515" spans="2:34" x14ac:dyDescent="0.2">
      <c r="B1515" s="2">
        <f ca="1"/>
        <v>0.1515606638842073</v>
      </c>
      <c r="O1515" s="2">
        <f ca="1"/>
        <v>0.33035661342279971</v>
      </c>
      <c r="X1515" s="2">
        <f ca="1"/>
        <v>68.040829052401349</v>
      </c>
      <c r="AG1515" s="2">
        <f ca="1"/>
        <v>0.15932559055177764</v>
      </c>
      <c r="AH1515" s="2" t="str">
        <f ca="1"/>
        <v>OK</v>
      </c>
    </row>
    <row r="1516" spans="2:34" x14ac:dyDescent="0.2">
      <c r="B1516" s="2">
        <f ca="1"/>
        <v>0.15855695902283573</v>
      </c>
      <c r="O1516" s="2">
        <f ca="1"/>
        <v>1.5942315864903964</v>
      </c>
      <c r="X1516" s="2">
        <f ca="1"/>
        <v>64.555920757141848</v>
      </c>
      <c r="AG1516" s="2">
        <f ca="1"/>
        <v>0.37129294632132304</v>
      </c>
      <c r="AH1516" s="2" t="str">
        <f ca="1"/>
        <v>OK</v>
      </c>
    </row>
    <row r="1517" spans="2:34" x14ac:dyDescent="0.2">
      <c r="B1517" s="2">
        <f ca="1"/>
        <v>0.38764117413194676</v>
      </c>
      <c r="O1517" s="2">
        <f ca="1"/>
        <v>0.27226524541554759</v>
      </c>
      <c r="X1517" s="2">
        <f ca="1"/>
        <v>41.32980570073515</v>
      </c>
      <c r="AG1517" s="2">
        <f ca="1"/>
        <v>0.81288739997581039</v>
      </c>
      <c r="AH1517" s="2" t="str">
        <f ca="1"/>
        <v>Bad</v>
      </c>
    </row>
    <row r="1518" spans="2:34" x14ac:dyDescent="0.2">
      <c r="B1518" s="2">
        <f ca="1"/>
        <v>0.31652317380485173</v>
      </c>
      <c r="O1518" s="2">
        <f ca="1"/>
        <v>-1.029611113392793</v>
      </c>
      <c r="X1518" s="2">
        <f ca="1"/>
        <v>38.025570879708319</v>
      </c>
      <c r="AG1518" s="2">
        <f ca="1"/>
        <v>8.1458114374516111E-2</v>
      </c>
      <c r="AH1518" s="2" t="str">
        <f ca="1"/>
        <v>OK</v>
      </c>
    </row>
    <row r="1519" spans="2:34" x14ac:dyDescent="0.2">
      <c r="B1519" s="2">
        <f ca="1"/>
        <v>0.16173257766525162</v>
      </c>
      <c r="O1519" s="2">
        <f ca="1"/>
        <v>4.0626184492472898E-2</v>
      </c>
      <c r="X1519" s="2">
        <f ca="1"/>
        <v>46.781396618516638</v>
      </c>
      <c r="AG1519" s="2">
        <f ca="1"/>
        <v>0.49704104260570503</v>
      </c>
      <c r="AH1519" s="2" t="str">
        <f ca="1"/>
        <v>Bad</v>
      </c>
    </row>
    <row r="1520" spans="2:34" x14ac:dyDescent="0.2">
      <c r="B1520" s="2">
        <f ca="1"/>
        <v>0.25096913853237912</v>
      </c>
      <c r="O1520" s="2">
        <f ca="1"/>
        <v>-0.375485253455348</v>
      </c>
      <c r="X1520" s="2">
        <f ca="1"/>
        <v>57.023063087302681</v>
      </c>
      <c r="AG1520" s="2">
        <f ca="1"/>
        <v>0.25064956674257322</v>
      </c>
      <c r="AH1520" s="2" t="str">
        <f ca="1"/>
        <v>OK</v>
      </c>
    </row>
    <row r="1521" spans="2:34" x14ac:dyDescent="0.2">
      <c r="B1521" s="2">
        <f ca="1"/>
        <v>0.89851254680897963</v>
      </c>
      <c r="O1521" s="2">
        <f ca="1"/>
        <v>-1.8628387093630767</v>
      </c>
      <c r="X1521" s="2">
        <f ca="1"/>
        <v>36.629718227259183</v>
      </c>
      <c r="AG1521" s="2">
        <f ca="1"/>
        <v>0.12257214654004978</v>
      </c>
      <c r="AH1521" s="2" t="str">
        <f ca="1"/>
        <v>OK</v>
      </c>
    </row>
    <row r="1522" spans="2:34" x14ac:dyDescent="0.2">
      <c r="B1522" s="2">
        <f ca="1"/>
        <v>0.86033263038435837</v>
      </c>
      <c r="O1522" s="2">
        <f ca="1"/>
        <v>0.23179348133247649</v>
      </c>
      <c r="X1522" s="2">
        <f ca="1"/>
        <v>28.842728075006431</v>
      </c>
      <c r="AG1522" s="2">
        <f ca="1"/>
        <v>0.21946220960744434</v>
      </c>
      <c r="AH1522" s="2" t="str">
        <f ca="1"/>
        <v>OK</v>
      </c>
    </row>
    <row r="1523" spans="2:34" x14ac:dyDescent="0.2">
      <c r="B1523" s="2">
        <f ca="1"/>
        <v>0.39745978931661474</v>
      </c>
      <c r="O1523" s="2">
        <f ca="1"/>
        <v>0.42786841935518322</v>
      </c>
      <c r="X1523" s="2">
        <f ca="1"/>
        <v>70.320590586340344</v>
      </c>
      <c r="AG1523" s="2">
        <f ca="1"/>
        <v>1.1968189583701605E-2</v>
      </c>
      <c r="AH1523" s="2" t="str">
        <f ca="1"/>
        <v>Good</v>
      </c>
    </row>
    <row r="1524" spans="2:34" x14ac:dyDescent="0.2">
      <c r="B1524" s="2">
        <f ca="1"/>
        <v>0.67270143804554317</v>
      </c>
      <c r="O1524" s="2">
        <f ca="1"/>
        <v>-1.0821176663481025</v>
      </c>
      <c r="X1524" s="2">
        <f ca="1"/>
        <v>60.811597560850132</v>
      </c>
      <c r="AG1524" s="2">
        <f ca="1"/>
        <v>0.72629672814501611</v>
      </c>
      <c r="AH1524" s="2" t="str">
        <f ca="1"/>
        <v>Bad</v>
      </c>
    </row>
    <row r="1525" spans="2:34" x14ac:dyDescent="0.2">
      <c r="B1525" s="2">
        <f ca="1"/>
        <v>0.41095577256888283</v>
      </c>
      <c r="O1525" s="2">
        <f ca="1"/>
        <v>1.1202971824107193</v>
      </c>
      <c r="X1525" s="2">
        <f ca="1"/>
        <v>32.614952957895852</v>
      </c>
      <c r="AG1525" s="2">
        <f ca="1"/>
        <v>0.81588775953195314</v>
      </c>
      <c r="AH1525" s="2" t="str">
        <f ca="1"/>
        <v>Bad</v>
      </c>
    </row>
    <row r="1526" spans="2:34" x14ac:dyDescent="0.2">
      <c r="B1526" s="2">
        <f ca="1"/>
        <v>0.18986765166886554</v>
      </c>
      <c r="O1526" s="2">
        <f ca="1"/>
        <v>-2.4031746355487136E-3</v>
      </c>
      <c r="X1526" s="2">
        <f ca="1"/>
        <v>45.354166241479646</v>
      </c>
      <c r="AG1526" s="2">
        <f ca="1"/>
        <v>0.61942485601854202</v>
      </c>
      <c r="AH1526" s="2" t="str">
        <f ca="1"/>
        <v>Bad</v>
      </c>
    </row>
    <row r="1527" spans="2:34" x14ac:dyDescent="0.2">
      <c r="B1527" s="2">
        <f ca="1"/>
        <v>0.87384690291356115</v>
      </c>
      <c r="O1527" s="2">
        <f ca="1"/>
        <v>-1.4413533779406564</v>
      </c>
      <c r="X1527" s="2">
        <f ca="1"/>
        <v>65.393486724606419</v>
      </c>
      <c r="AG1527" s="2">
        <f ca="1"/>
        <v>0.58686036651606588</v>
      </c>
      <c r="AH1527" s="2" t="str">
        <f ca="1"/>
        <v>Bad</v>
      </c>
    </row>
    <row r="1528" spans="2:34" x14ac:dyDescent="0.2">
      <c r="B1528" s="2">
        <f ca="1"/>
        <v>0.88635244604603614</v>
      </c>
      <c r="O1528" s="2">
        <f ca="1"/>
        <v>1.5036730615804754</v>
      </c>
      <c r="X1528" s="2">
        <f ca="1"/>
        <v>59.827606554620623</v>
      </c>
      <c r="AG1528" s="2">
        <f ca="1"/>
        <v>0.93218790650983285</v>
      </c>
      <c r="AH1528" s="2" t="str">
        <f ca="1"/>
        <v>Bad</v>
      </c>
    </row>
    <row r="1529" spans="2:34" x14ac:dyDescent="0.2">
      <c r="B1529" s="2">
        <f ca="1"/>
        <v>0.88950890245590575</v>
      </c>
      <c r="O1529" s="2">
        <f ca="1"/>
        <v>1.2314946354165683</v>
      </c>
      <c r="X1529" s="2">
        <f ca="1"/>
        <v>46.669966885885941</v>
      </c>
      <c r="AG1529" s="2">
        <f ca="1"/>
        <v>0.46381994314478803</v>
      </c>
      <c r="AH1529" s="2" t="str">
        <f ca="1"/>
        <v>Bad</v>
      </c>
    </row>
    <row r="1530" spans="2:34" x14ac:dyDescent="0.2">
      <c r="B1530" s="2">
        <f ca="1"/>
        <v>0.9838120854450787</v>
      </c>
      <c r="O1530" s="2">
        <f ca="1"/>
        <v>1.351349789269761E-2</v>
      </c>
      <c r="X1530" s="2">
        <f ca="1"/>
        <v>45.183588850259568</v>
      </c>
      <c r="AG1530" s="2">
        <f ca="1"/>
        <v>9.0171253330643797E-2</v>
      </c>
      <c r="AH1530" s="2" t="str">
        <f ca="1"/>
        <v>OK</v>
      </c>
    </row>
    <row r="1531" spans="2:34" x14ac:dyDescent="0.2">
      <c r="B1531" s="2">
        <f ca="1"/>
        <v>0.29126026863836318</v>
      </c>
      <c r="O1531" s="2">
        <f ca="1"/>
        <v>0.31927443318667387</v>
      </c>
      <c r="X1531" s="2">
        <f ca="1"/>
        <v>40.791962191202884</v>
      </c>
      <c r="AG1531" s="2">
        <f ca="1"/>
        <v>0.28142924995078844</v>
      </c>
      <c r="AH1531" s="2" t="str">
        <f ca="1"/>
        <v>OK</v>
      </c>
    </row>
    <row r="1532" spans="2:34" x14ac:dyDescent="0.2">
      <c r="B1532" s="2">
        <f ca="1"/>
        <v>0.98240584111786933</v>
      </c>
      <c r="O1532" s="2">
        <f ca="1"/>
        <v>0.34603718808362549</v>
      </c>
      <c r="X1532" s="2">
        <f ca="1"/>
        <v>45.626610402770218</v>
      </c>
      <c r="AG1532" s="2">
        <f ca="1"/>
        <v>0.40864979656801337</v>
      </c>
      <c r="AH1532" s="2" t="str">
        <f ca="1"/>
        <v>Bad</v>
      </c>
    </row>
    <row r="1533" spans="2:34" x14ac:dyDescent="0.2">
      <c r="B1533" s="2">
        <f ca="1"/>
        <v>0.6923073920709546</v>
      </c>
      <c r="O1533" s="2">
        <f ca="1"/>
        <v>-1.8705241451339829</v>
      </c>
      <c r="X1533" s="2">
        <f ca="1"/>
        <v>40.040005558860599</v>
      </c>
      <c r="AG1533" s="2">
        <f ca="1"/>
        <v>0.87933484679908847</v>
      </c>
      <c r="AH1533" s="2" t="str">
        <f ca="1"/>
        <v>Bad</v>
      </c>
    </row>
    <row r="1534" spans="2:34" x14ac:dyDescent="0.2">
      <c r="B1534" s="2">
        <f ca="1"/>
        <v>0.94425741412740094</v>
      </c>
      <c r="O1534" s="2">
        <f ca="1"/>
        <v>1.0761765664987766</v>
      </c>
      <c r="X1534" s="2">
        <f ca="1"/>
        <v>38.364856412356339</v>
      </c>
      <c r="AG1534" s="2">
        <f ca="1"/>
        <v>0.89275441567130009</v>
      </c>
      <c r="AH1534" s="2" t="str">
        <f ca="1"/>
        <v>Bad</v>
      </c>
    </row>
    <row r="1535" spans="2:34" x14ac:dyDescent="0.2">
      <c r="B1535" s="2">
        <f ca="1"/>
        <v>0.43736585775742776</v>
      </c>
      <c r="O1535" s="2">
        <f ca="1"/>
        <v>0.21162841766557183</v>
      </c>
      <c r="X1535" s="2">
        <f ca="1"/>
        <v>52.778000016938478</v>
      </c>
      <c r="AG1535" s="2">
        <f ca="1"/>
        <v>0.44145981054162076</v>
      </c>
      <c r="AH1535" s="2" t="str">
        <f ca="1"/>
        <v>Bad</v>
      </c>
    </row>
    <row r="1536" spans="2:34" x14ac:dyDescent="0.2">
      <c r="B1536" s="2">
        <f ca="1"/>
        <v>0.80095092939989088</v>
      </c>
      <c r="O1536" s="2">
        <f ca="1"/>
        <v>-0.21975127131163769</v>
      </c>
      <c r="X1536" s="2">
        <f ca="1"/>
        <v>73.073521492947989</v>
      </c>
      <c r="AG1536" s="2">
        <f ca="1"/>
        <v>0.1558265135462864</v>
      </c>
      <c r="AH1536" s="2" t="str">
        <f ca="1"/>
        <v>OK</v>
      </c>
    </row>
    <row r="1537" spans="2:34" x14ac:dyDescent="0.2">
      <c r="B1537" s="2">
        <f ca="1"/>
        <v>4.3303412136449282E-2</v>
      </c>
      <c r="O1537" s="2">
        <f ca="1"/>
        <v>-0.80379592662501087</v>
      </c>
      <c r="X1537" s="2">
        <f ca="1"/>
        <v>40.952867611135702</v>
      </c>
      <c r="AG1537" s="2">
        <f ca="1"/>
        <v>0.47329296706126267</v>
      </c>
      <c r="AH1537" s="2" t="str">
        <f ca="1"/>
        <v>Bad</v>
      </c>
    </row>
    <row r="1538" spans="2:34" x14ac:dyDescent="0.2">
      <c r="B1538" s="2">
        <f ca="1"/>
        <v>0.33159424943104399</v>
      </c>
      <c r="O1538" s="2">
        <f ca="1"/>
        <v>0.69293501026559001</v>
      </c>
      <c r="X1538" s="2">
        <f ca="1"/>
        <v>23.029409360701457</v>
      </c>
      <c r="AG1538" s="2">
        <f ca="1"/>
        <v>0.61601434318802073</v>
      </c>
      <c r="AH1538" s="2" t="str">
        <f ca="1"/>
        <v>Bad</v>
      </c>
    </row>
    <row r="1539" spans="2:34" x14ac:dyDescent="0.2">
      <c r="B1539" s="2">
        <f ca="1"/>
        <v>0.10593043703505911</v>
      </c>
      <c r="O1539" s="2">
        <f ca="1"/>
        <v>-1.3246346138986844</v>
      </c>
      <c r="X1539" s="2">
        <f ca="1"/>
        <v>88.085709472493562</v>
      </c>
      <c r="AG1539" s="2">
        <f ca="1"/>
        <v>0.27839880880663648</v>
      </c>
      <c r="AH1539" s="2" t="str">
        <f ca="1"/>
        <v>OK</v>
      </c>
    </row>
    <row r="1540" spans="2:34" x14ac:dyDescent="0.2">
      <c r="B1540" s="2">
        <f ca="1"/>
        <v>0.24326124234565372</v>
      </c>
      <c r="O1540" s="2">
        <f ca="1"/>
        <v>-0.54038054038653416</v>
      </c>
      <c r="X1540" s="2">
        <f ca="1"/>
        <v>39.788277446838777</v>
      </c>
      <c r="AG1540" s="2">
        <f ca="1"/>
        <v>0.18121046572522226</v>
      </c>
      <c r="AH1540" s="2" t="str">
        <f ca="1"/>
        <v>OK</v>
      </c>
    </row>
    <row r="1541" spans="2:34" x14ac:dyDescent="0.2">
      <c r="B1541" s="2">
        <f ca="1"/>
        <v>0.16702685243054827</v>
      </c>
      <c r="O1541" s="2">
        <f ca="1"/>
        <v>-0.52532920265524263</v>
      </c>
      <c r="X1541" s="2">
        <f ca="1"/>
        <v>32.757266363723822</v>
      </c>
      <c r="AG1541" s="2">
        <f ca="1"/>
        <v>0.35644160341053732</v>
      </c>
      <c r="AH1541" s="2" t="str">
        <f ca="1"/>
        <v>OK</v>
      </c>
    </row>
    <row r="1542" spans="2:34" x14ac:dyDescent="0.2">
      <c r="B1542" s="2">
        <f ca="1"/>
        <v>0.56811388185089684</v>
      </c>
      <c r="O1542" s="2">
        <f ca="1"/>
        <v>2.5394725928367921</v>
      </c>
      <c r="X1542" s="2">
        <f ca="1"/>
        <v>44.575467977549515</v>
      </c>
      <c r="AG1542" s="2">
        <f ca="1"/>
        <v>0.51452585471603784</v>
      </c>
      <c r="AH1542" s="2" t="str">
        <f ca="1"/>
        <v>Bad</v>
      </c>
    </row>
    <row r="1543" spans="2:34" x14ac:dyDescent="0.2">
      <c r="B1543" s="2">
        <f ca="1"/>
        <v>0.62638432843799263</v>
      </c>
      <c r="O1543" s="2">
        <f ca="1"/>
        <v>-0.87757379202917229</v>
      </c>
      <c r="X1543" s="2">
        <f ca="1"/>
        <v>57.04108310582653</v>
      </c>
      <c r="AG1543" s="2">
        <f ca="1"/>
        <v>9.2846178994096196E-2</v>
      </c>
      <c r="AH1543" s="2" t="str">
        <f ca="1"/>
        <v>OK</v>
      </c>
    </row>
    <row r="1544" spans="2:34" x14ac:dyDescent="0.2">
      <c r="B1544" s="2">
        <f ca="1"/>
        <v>8.3216647911485975E-2</v>
      </c>
      <c r="O1544" s="2">
        <f ca="1"/>
        <v>-2.3708210275000514</v>
      </c>
      <c r="X1544" s="2">
        <f ca="1"/>
        <v>56.40354055716255</v>
      </c>
      <c r="AG1544" s="2">
        <f ca="1"/>
        <v>0.86497515469930986</v>
      </c>
      <c r="AH1544" s="2" t="str">
        <f ca="1"/>
        <v>Bad</v>
      </c>
    </row>
    <row r="1545" spans="2:34" x14ac:dyDescent="0.2">
      <c r="B1545" s="2">
        <f ca="1"/>
        <v>0.80947801553993504</v>
      </c>
      <c r="O1545" s="2">
        <f ca="1"/>
        <v>0.69074066197619421</v>
      </c>
      <c r="X1545" s="2">
        <f ca="1"/>
        <v>57.34642409901533</v>
      </c>
      <c r="AG1545" s="2">
        <f ca="1"/>
        <v>0.27903038561153326</v>
      </c>
      <c r="AH1545" s="2" t="str">
        <f ca="1"/>
        <v>OK</v>
      </c>
    </row>
    <row r="1546" spans="2:34" x14ac:dyDescent="0.2">
      <c r="B1546" s="2">
        <f ca="1"/>
        <v>0.17673955733539848</v>
      </c>
      <c r="O1546" s="2">
        <f ca="1"/>
        <v>-1.7168348579712136</v>
      </c>
      <c r="X1546" s="2">
        <f ca="1"/>
        <v>60.177165989066353</v>
      </c>
      <c r="AG1546" s="2">
        <f ca="1"/>
        <v>0.99346486497183095</v>
      </c>
      <c r="AH1546" s="2" t="str">
        <f ca="1"/>
        <v>Bad</v>
      </c>
    </row>
    <row r="1547" spans="2:34" x14ac:dyDescent="0.2">
      <c r="B1547" s="2">
        <f ca="1"/>
        <v>0.23919305247910239</v>
      </c>
      <c r="O1547" s="2">
        <f ca="1"/>
        <v>-0.3145360054732137</v>
      </c>
      <c r="X1547" s="2">
        <f ca="1"/>
        <v>50.309006801074958</v>
      </c>
      <c r="AG1547" s="2">
        <f ca="1"/>
        <v>0.85054146005684661</v>
      </c>
      <c r="AH1547" s="2" t="str">
        <f ca="1"/>
        <v>Bad</v>
      </c>
    </row>
    <row r="1548" spans="2:34" x14ac:dyDescent="0.2">
      <c r="B1548" s="2">
        <f ca="1"/>
        <v>0.73953522158844143</v>
      </c>
      <c r="O1548" s="2">
        <f ca="1"/>
        <v>-0.76542941364087325</v>
      </c>
      <c r="X1548" s="2">
        <f ca="1"/>
        <v>34.391864865001914</v>
      </c>
      <c r="AG1548" s="2">
        <f ca="1"/>
        <v>0.61547168930464791</v>
      </c>
      <c r="AH1548" s="2" t="str">
        <f ca="1"/>
        <v>Bad</v>
      </c>
    </row>
    <row r="1549" spans="2:34" x14ac:dyDescent="0.2">
      <c r="B1549" s="2">
        <f ca="1"/>
        <v>0.89345114896753808</v>
      </c>
      <c r="O1549" s="2">
        <f ca="1"/>
        <v>-0.28764911199442927</v>
      </c>
      <c r="X1549" s="2">
        <f ca="1"/>
        <v>45.852148928563082</v>
      </c>
      <c r="AG1549" s="2">
        <f ca="1"/>
        <v>0.88033796477697535</v>
      </c>
      <c r="AH1549" s="2" t="str">
        <f ca="1"/>
        <v>Bad</v>
      </c>
    </row>
    <row r="1550" spans="2:34" x14ac:dyDescent="0.2">
      <c r="B1550" s="2">
        <f ca="1"/>
        <v>0.65317650141956762</v>
      </c>
      <c r="O1550" s="2">
        <f ca="1"/>
        <v>1.1540178226747335</v>
      </c>
      <c r="X1550" s="2">
        <f ca="1"/>
        <v>60.285199436841665</v>
      </c>
      <c r="AG1550" s="2">
        <f ca="1"/>
        <v>0.5100216390844392</v>
      </c>
      <c r="AH1550" s="2" t="str">
        <f ca="1"/>
        <v>Bad</v>
      </c>
    </row>
    <row r="1551" spans="2:34" x14ac:dyDescent="0.2">
      <c r="B1551" s="2">
        <f ca="1"/>
        <v>0.12202372037625286</v>
      </c>
      <c r="O1551" s="2">
        <f ca="1"/>
        <v>-1.0460216232850097</v>
      </c>
      <c r="X1551" s="2">
        <f ca="1"/>
        <v>21.777564854876481</v>
      </c>
      <c r="AG1551" s="2">
        <f ca="1"/>
        <v>0.59343079830184076</v>
      </c>
      <c r="AH1551" s="2" t="str">
        <f ca="1"/>
        <v>Bad</v>
      </c>
    </row>
    <row r="1552" spans="2:34" x14ac:dyDescent="0.2">
      <c r="B1552" s="2">
        <f ca="1"/>
        <v>0.75077283972931896</v>
      </c>
      <c r="O1552" s="2">
        <f ca="1"/>
        <v>-0.24273990723599409</v>
      </c>
      <c r="X1552" s="2">
        <f ca="1"/>
        <v>41.410281524879871</v>
      </c>
      <c r="AG1552" s="2">
        <f ca="1"/>
        <v>0.69000391369901215</v>
      </c>
      <c r="AH1552" s="2" t="str">
        <f ca="1"/>
        <v>Bad</v>
      </c>
    </row>
    <row r="1553" spans="2:34" x14ac:dyDescent="0.2">
      <c r="B1553" s="2">
        <f ca="1"/>
        <v>0.10185880969772243</v>
      </c>
      <c r="O1553" s="2">
        <f ca="1"/>
        <v>-0.7654595202540142</v>
      </c>
      <c r="X1553" s="2">
        <f ca="1"/>
        <v>67.178144167884525</v>
      </c>
      <c r="AG1553" s="2">
        <f ca="1"/>
        <v>0.46481586783335915</v>
      </c>
      <c r="AH1553" s="2" t="str">
        <f ca="1"/>
        <v>Bad</v>
      </c>
    </row>
    <row r="1554" spans="2:34" x14ac:dyDescent="0.2">
      <c r="B1554" s="2">
        <f ca="1"/>
        <v>0.11787085813109344</v>
      </c>
      <c r="O1554" s="2">
        <f ca="1"/>
        <v>1.560801304031763</v>
      </c>
      <c r="X1554" s="2">
        <f ca="1"/>
        <v>51.259995957475823</v>
      </c>
      <c r="AG1554" s="2">
        <f ca="1"/>
        <v>0.64766295234455162</v>
      </c>
      <c r="AH1554" s="2" t="str">
        <f ca="1"/>
        <v>Bad</v>
      </c>
    </row>
    <row r="1555" spans="2:34" x14ac:dyDescent="0.2">
      <c r="B1555" s="2">
        <f ca="1"/>
        <v>0.41260115940757869</v>
      </c>
      <c r="O1555" s="2">
        <f ca="1"/>
        <v>-1.4823264279728185</v>
      </c>
      <c r="X1555" s="2">
        <f ca="1"/>
        <v>46.041827226816885</v>
      </c>
      <c r="AG1555" s="2">
        <f ca="1"/>
        <v>0.93469000232297872</v>
      </c>
      <c r="AH1555" s="2" t="str">
        <f ca="1"/>
        <v>Bad</v>
      </c>
    </row>
    <row r="1556" spans="2:34" x14ac:dyDescent="0.2">
      <c r="B1556" s="2">
        <f ca="1"/>
        <v>0.97354509341617379</v>
      </c>
      <c r="O1556" s="2">
        <f ca="1"/>
        <v>-2.2871076014463019</v>
      </c>
      <c r="X1556" s="2">
        <f ca="1"/>
        <v>38.189030456187318</v>
      </c>
      <c r="AG1556" s="2">
        <f ca="1"/>
        <v>5.806806077235005E-2</v>
      </c>
      <c r="AH1556" s="2" t="str">
        <f ca="1"/>
        <v>OK</v>
      </c>
    </row>
    <row r="1557" spans="2:34" x14ac:dyDescent="0.2">
      <c r="B1557" s="2">
        <f ca="1"/>
        <v>7.2873254315590774E-3</v>
      </c>
      <c r="O1557" s="2">
        <f ca="1"/>
        <v>-0.13804265606392771</v>
      </c>
      <c r="X1557" s="2">
        <f ca="1"/>
        <v>20.746220894235627</v>
      </c>
      <c r="AG1557" s="2">
        <f ca="1"/>
        <v>0.75458022659964952</v>
      </c>
      <c r="AH1557" s="2" t="str">
        <f ca="1"/>
        <v>Bad</v>
      </c>
    </row>
    <row r="1558" spans="2:34" x14ac:dyDescent="0.2">
      <c r="B1558" s="2">
        <f ca="1"/>
        <v>0.61148617637703073</v>
      </c>
      <c r="O1558" s="2">
        <f ca="1"/>
        <v>-0.62803261419246759</v>
      </c>
      <c r="X1558" s="2">
        <f ca="1"/>
        <v>41.47969223400824</v>
      </c>
      <c r="AG1558" s="2">
        <f ca="1"/>
        <v>0.5702653951436214</v>
      </c>
      <c r="AH1558" s="2" t="str">
        <f ca="1"/>
        <v>Bad</v>
      </c>
    </row>
    <row r="1559" spans="2:34" x14ac:dyDescent="0.2">
      <c r="B1559" s="2">
        <f ca="1"/>
        <v>0.78556303506539216</v>
      </c>
      <c r="O1559" s="2">
        <f ca="1"/>
        <v>-3.5414681148461621E-2</v>
      </c>
      <c r="X1559" s="2">
        <f ca="1"/>
        <v>49.390639300748582</v>
      </c>
      <c r="AG1559" s="2">
        <f ca="1"/>
        <v>0.87170618037920455</v>
      </c>
      <c r="AH1559" s="2" t="str">
        <f ca="1"/>
        <v>Bad</v>
      </c>
    </row>
    <row r="1560" spans="2:34" x14ac:dyDescent="0.2">
      <c r="B1560" s="2">
        <f ca="1"/>
        <v>0.15414391755571843</v>
      </c>
      <c r="O1560" s="2">
        <f ca="1"/>
        <v>0.73986657763140717</v>
      </c>
      <c r="X1560" s="2">
        <f ca="1"/>
        <v>46.708610535553454</v>
      </c>
      <c r="AG1560" s="2">
        <f ca="1"/>
        <v>0.89218252823842659</v>
      </c>
      <c r="AH1560" s="2" t="str">
        <f ca="1"/>
        <v>Bad</v>
      </c>
    </row>
    <row r="1561" spans="2:34" x14ac:dyDescent="0.2">
      <c r="B1561" s="2">
        <f ca="1"/>
        <v>0.99818667851269915</v>
      </c>
      <c r="O1561" s="2">
        <f ca="1"/>
        <v>2.1790613173626867</v>
      </c>
      <c r="X1561" s="2">
        <f ca="1"/>
        <v>89.685105538511891</v>
      </c>
      <c r="AG1561" s="2">
        <f ca="1"/>
        <v>0.11268646116449821</v>
      </c>
      <c r="AH1561" s="2" t="str">
        <f ca="1"/>
        <v>OK</v>
      </c>
    </row>
    <row r="1562" spans="2:34" x14ac:dyDescent="0.2">
      <c r="B1562" s="2">
        <f ca="1"/>
        <v>0.9475753512299403</v>
      </c>
      <c r="O1562" s="2">
        <f ca="1"/>
        <v>1.4430382610967158</v>
      </c>
      <c r="X1562" s="2">
        <f ca="1"/>
        <v>64.937998336078437</v>
      </c>
      <c r="AG1562" s="2">
        <f ca="1"/>
        <v>0.96131394600394171</v>
      </c>
      <c r="AH1562" s="2" t="str">
        <f ca="1"/>
        <v>Bad</v>
      </c>
    </row>
    <row r="1563" spans="2:34" x14ac:dyDescent="0.2">
      <c r="B1563" s="2">
        <f ca="1"/>
        <v>0.38845175489634753</v>
      </c>
      <c r="O1563" s="2">
        <f ca="1"/>
        <v>1.7710942456660609E-2</v>
      </c>
      <c r="X1563" s="2">
        <f ca="1"/>
        <v>37.452554573833993</v>
      </c>
      <c r="AG1563" s="2">
        <f ca="1"/>
        <v>0.84178352685539859</v>
      </c>
      <c r="AH1563" s="2" t="str">
        <f ca="1"/>
        <v>Bad</v>
      </c>
    </row>
    <row r="1564" spans="2:34" x14ac:dyDescent="0.2">
      <c r="B1564" s="2">
        <f ca="1"/>
        <v>0.79460133057097559</v>
      </c>
      <c r="O1564" s="2">
        <f ca="1"/>
        <v>-1.1540677683144067</v>
      </c>
      <c r="X1564" s="2">
        <f ca="1"/>
        <v>47.473503932109679</v>
      </c>
      <c r="AG1564" s="2">
        <f ca="1"/>
        <v>0.82486406490317465</v>
      </c>
      <c r="AH1564" s="2" t="str">
        <f ca="1"/>
        <v>Bad</v>
      </c>
    </row>
    <row r="1565" spans="2:34" x14ac:dyDescent="0.2">
      <c r="B1565" s="2">
        <f ca="1"/>
        <v>0.98034179271011923</v>
      </c>
      <c r="O1565" s="2">
        <f ca="1"/>
        <v>-1.247549994679608</v>
      </c>
      <c r="X1565" s="2">
        <f ca="1"/>
        <v>47.38298367066318</v>
      </c>
      <c r="AG1565" s="2">
        <f ca="1"/>
        <v>0.50784571093754804</v>
      </c>
      <c r="AH1565" s="2" t="str">
        <f ca="1"/>
        <v>Bad</v>
      </c>
    </row>
    <row r="1566" spans="2:34" x14ac:dyDescent="0.2">
      <c r="B1566" s="2">
        <f ca="1"/>
        <v>2.1758981415292755E-2</v>
      </c>
      <c r="O1566" s="2">
        <f ca="1"/>
        <v>1.8744423040415528</v>
      </c>
      <c r="X1566" s="2">
        <f ca="1"/>
        <v>34.653577046391788</v>
      </c>
      <c r="AG1566" s="2">
        <f ca="1"/>
        <v>0.20568225158755138</v>
      </c>
      <c r="AH1566" s="2" t="str">
        <f ca="1"/>
        <v>OK</v>
      </c>
    </row>
    <row r="1567" spans="2:34" x14ac:dyDescent="0.2">
      <c r="B1567" s="2">
        <f ca="1"/>
        <v>0.25612146461569196</v>
      </c>
      <c r="O1567" s="2">
        <f ca="1"/>
        <v>0.39036118583336327</v>
      </c>
      <c r="X1567" s="2">
        <f ca="1"/>
        <v>43.111056107870567</v>
      </c>
      <c r="AG1567" s="2">
        <f ca="1"/>
        <v>0.25867944549871447</v>
      </c>
      <c r="AH1567" s="2" t="str">
        <f ca="1"/>
        <v>OK</v>
      </c>
    </row>
    <row r="1568" spans="2:34" x14ac:dyDescent="0.2">
      <c r="B1568" s="2">
        <f ca="1"/>
        <v>0.35474750596621929</v>
      </c>
      <c r="O1568" s="2">
        <f ca="1"/>
        <v>-0.23887561641153715</v>
      </c>
      <c r="X1568" s="2">
        <f ca="1"/>
        <v>58.48318163862362</v>
      </c>
      <c r="AG1568" s="2">
        <f ca="1"/>
        <v>0.53576731924687482</v>
      </c>
      <c r="AH1568" s="2" t="str">
        <f ca="1"/>
        <v>Bad</v>
      </c>
    </row>
    <row r="1569" spans="2:34" x14ac:dyDescent="0.2">
      <c r="B1569" s="2">
        <f ca="1"/>
        <v>0.14715223532474275</v>
      </c>
      <c r="O1569" s="2">
        <f ca="1"/>
        <v>1.096258360660868</v>
      </c>
      <c r="X1569" s="2">
        <f ca="1"/>
        <v>44.231967770589037</v>
      </c>
      <c r="AG1569" s="2">
        <f ca="1"/>
        <v>0.60229485013227957</v>
      </c>
      <c r="AH1569" s="2" t="str">
        <f ca="1"/>
        <v>Bad</v>
      </c>
    </row>
    <row r="1570" spans="2:34" x14ac:dyDescent="0.2">
      <c r="B1570" s="2">
        <f ca="1"/>
        <v>1.3518001198037366E-2</v>
      </c>
      <c r="O1570" s="2">
        <f ca="1"/>
        <v>-0.95818757511476471</v>
      </c>
      <c r="X1570" s="2">
        <f ca="1"/>
        <v>78.546457359684126</v>
      </c>
      <c r="AG1570" s="2">
        <f ca="1"/>
        <v>3.87288721453527E-2</v>
      </c>
      <c r="AH1570" s="2" t="str">
        <f ca="1"/>
        <v>Good</v>
      </c>
    </row>
    <row r="1571" spans="2:34" x14ac:dyDescent="0.2">
      <c r="B1571" s="2">
        <f ca="1"/>
        <v>0.91055450822619277</v>
      </c>
      <c r="O1571" s="2">
        <f ca="1"/>
        <v>-0.5631396634340351</v>
      </c>
      <c r="X1571" s="2">
        <f ca="1"/>
        <v>39.451225920693361</v>
      </c>
      <c r="AG1571" s="2">
        <f ca="1"/>
        <v>3.8786867245545142E-2</v>
      </c>
      <c r="AH1571" s="2" t="str">
        <f ca="1"/>
        <v>Good</v>
      </c>
    </row>
    <row r="1572" spans="2:34" x14ac:dyDescent="0.2">
      <c r="B1572" s="2">
        <f ca="1"/>
        <v>0.4107349380684715</v>
      </c>
      <c r="O1572" s="2">
        <f ca="1"/>
        <v>0.14583646325514588</v>
      </c>
      <c r="X1572" s="2">
        <f ca="1"/>
        <v>76.527446042481188</v>
      </c>
      <c r="AG1572" s="2">
        <f ca="1"/>
        <v>8.3556995943258716E-2</v>
      </c>
      <c r="AH1572" s="2" t="str">
        <f ca="1"/>
        <v>OK</v>
      </c>
    </row>
    <row r="1573" spans="2:34" x14ac:dyDescent="0.2">
      <c r="B1573" s="2">
        <f ca="1"/>
        <v>0.70727135762496629</v>
      </c>
      <c r="O1573" s="2">
        <f ca="1"/>
        <v>-0.93026551603992458</v>
      </c>
      <c r="X1573" s="2">
        <f ca="1"/>
        <v>49.022820651186052</v>
      </c>
      <c r="AG1573" s="2">
        <f ca="1"/>
        <v>9.6306014085527192E-2</v>
      </c>
      <c r="AH1573" s="2" t="str">
        <f ca="1"/>
        <v>OK</v>
      </c>
    </row>
    <row r="1574" spans="2:34" x14ac:dyDescent="0.2">
      <c r="B1574" s="2">
        <f ca="1"/>
        <v>0.50690303438348239</v>
      </c>
      <c r="O1574" s="2">
        <f ca="1"/>
        <v>1.0490636523914858</v>
      </c>
      <c r="X1574" s="2">
        <f ca="1"/>
        <v>59.353626730954765</v>
      </c>
      <c r="AG1574" s="2">
        <f ca="1"/>
        <v>0.44839029797815821</v>
      </c>
      <c r="AH1574" s="2" t="str">
        <f ca="1"/>
        <v>Bad</v>
      </c>
    </row>
    <row r="1575" spans="2:34" x14ac:dyDescent="0.2">
      <c r="B1575" s="2">
        <f ca="1"/>
        <v>0.89007085543476427</v>
      </c>
      <c r="O1575" s="2">
        <f ca="1"/>
        <v>0.43025278724449928</v>
      </c>
      <c r="X1575" s="2">
        <f ca="1"/>
        <v>46.576366861099849</v>
      </c>
      <c r="AG1575" s="2">
        <f ca="1"/>
        <v>0.82176290012718534</v>
      </c>
      <c r="AH1575" s="2" t="str">
        <f ca="1"/>
        <v>Bad</v>
      </c>
    </row>
    <row r="1576" spans="2:34" x14ac:dyDescent="0.2">
      <c r="B1576" s="2">
        <f ca="1"/>
        <v>0.72171119424787222</v>
      </c>
      <c r="O1576" s="2">
        <f ca="1"/>
        <v>0.44270848189823575</v>
      </c>
      <c r="X1576" s="2">
        <f ca="1"/>
        <v>46.377552205331519</v>
      </c>
      <c r="AG1576" s="2">
        <f ca="1"/>
        <v>0.10318953373369788</v>
      </c>
      <c r="AH1576" s="2" t="str">
        <f ca="1"/>
        <v>OK</v>
      </c>
    </row>
    <row r="1577" spans="2:34" x14ac:dyDescent="0.2">
      <c r="B1577" s="2">
        <f ca="1"/>
        <v>0.48857298821642492</v>
      </c>
      <c r="O1577" s="2">
        <f ca="1"/>
        <v>0.76489215381628595</v>
      </c>
      <c r="X1577" s="2">
        <f ca="1"/>
        <v>33.828579327775032</v>
      </c>
      <c r="AG1577" s="2">
        <f ca="1"/>
        <v>1.7074425405619209E-2</v>
      </c>
      <c r="AH1577" s="2" t="str">
        <f ca="1"/>
        <v>Good</v>
      </c>
    </row>
    <row r="1578" spans="2:34" x14ac:dyDescent="0.2">
      <c r="B1578" s="2">
        <f ca="1"/>
        <v>0.98942939022711984</v>
      </c>
      <c r="O1578" s="2">
        <f ca="1"/>
        <v>-0.94173144423184696</v>
      </c>
      <c r="X1578" s="2">
        <f ca="1"/>
        <v>44.634510746085184</v>
      </c>
      <c r="AG1578" s="2">
        <f ca="1"/>
        <v>0.41757738226660446</v>
      </c>
      <c r="AH1578" s="2" t="str">
        <f ca="1"/>
        <v>Bad</v>
      </c>
    </row>
    <row r="1579" spans="2:34" x14ac:dyDescent="0.2">
      <c r="B1579" s="2">
        <f ca="1"/>
        <v>0.36620659587445292</v>
      </c>
      <c r="O1579" s="2">
        <f ca="1"/>
        <v>-1.2915720821419046</v>
      </c>
      <c r="X1579" s="2">
        <f ca="1"/>
        <v>45.320205784987913</v>
      </c>
      <c r="AG1579" s="2">
        <f ca="1"/>
        <v>6.0510430135821025E-2</v>
      </c>
      <c r="AH1579" s="2" t="str">
        <f ca="1"/>
        <v>OK</v>
      </c>
    </row>
    <row r="1580" spans="2:34" x14ac:dyDescent="0.2">
      <c r="B1580" s="2">
        <f ca="1"/>
        <v>0.39342890555826049</v>
      </c>
      <c r="O1580" s="2">
        <f ca="1"/>
        <v>-1.214915338898354</v>
      </c>
      <c r="X1580" s="2">
        <f ca="1"/>
        <v>50.661060979782853</v>
      </c>
      <c r="AG1580" s="2">
        <f ca="1"/>
        <v>0.44887223084135419</v>
      </c>
      <c r="AH1580" s="2" t="str">
        <f ca="1"/>
        <v>Bad</v>
      </c>
    </row>
    <row r="1581" spans="2:34" x14ac:dyDescent="0.2">
      <c r="B1581" s="2">
        <f ca="1"/>
        <v>0.26704500098415074</v>
      </c>
      <c r="O1581" s="2">
        <f ca="1"/>
        <v>-0.72922273605584809</v>
      </c>
      <c r="X1581" s="2">
        <f ca="1"/>
        <v>93.128211441542788</v>
      </c>
      <c r="AG1581" s="2">
        <f ca="1"/>
        <v>0.65173861539103295</v>
      </c>
      <c r="AH1581" s="2" t="str">
        <f ca="1"/>
        <v>Bad</v>
      </c>
    </row>
    <row r="1582" spans="2:34" x14ac:dyDescent="0.2">
      <c r="B1582" s="2">
        <f ca="1"/>
        <v>0.90172447998677874</v>
      </c>
      <c r="O1582" s="2">
        <f ca="1"/>
        <v>1.3635039978240997</v>
      </c>
      <c r="X1582" s="2">
        <f ca="1"/>
        <v>39.144662946228308</v>
      </c>
      <c r="AG1582" s="2">
        <f ca="1"/>
        <v>0.71576212349046542</v>
      </c>
      <c r="AH1582" s="2" t="str">
        <f ca="1"/>
        <v>Bad</v>
      </c>
    </row>
    <row r="1583" spans="2:34" x14ac:dyDescent="0.2">
      <c r="B1583" s="2">
        <f ca="1"/>
        <v>0.52178054741458602</v>
      </c>
      <c r="O1583" s="2">
        <f ca="1"/>
        <v>-8.7195023779065392E-2</v>
      </c>
      <c r="X1583" s="2">
        <f ca="1"/>
        <v>54.47302880797487</v>
      </c>
      <c r="AG1583" s="2">
        <f ca="1"/>
        <v>0.28111038959638623</v>
      </c>
      <c r="AH1583" s="2" t="str">
        <f ca="1"/>
        <v>OK</v>
      </c>
    </row>
    <row r="1584" spans="2:34" x14ac:dyDescent="0.2">
      <c r="B1584" s="2">
        <f ca="1"/>
        <v>0.76047711802924556</v>
      </c>
      <c r="O1584" s="2">
        <f ca="1"/>
        <v>-0.47852278828016792</v>
      </c>
      <c r="X1584" s="2">
        <f ca="1"/>
        <v>61.883489957117774</v>
      </c>
      <c r="AG1584" s="2">
        <f ca="1"/>
        <v>0.88727733251897312</v>
      </c>
      <c r="AH1584" s="2" t="str">
        <f ca="1"/>
        <v>Bad</v>
      </c>
    </row>
    <row r="1585" spans="2:34" x14ac:dyDescent="0.2">
      <c r="B1585" s="2">
        <f ca="1"/>
        <v>0.24960271824127789</v>
      </c>
      <c r="O1585" s="2">
        <f ca="1"/>
        <v>0.32673138582936889</v>
      </c>
      <c r="X1585" s="2">
        <f ca="1"/>
        <v>35.05139673742876</v>
      </c>
      <c r="AG1585" s="2">
        <f ca="1"/>
        <v>0.98241954197319914</v>
      </c>
      <c r="AH1585" s="2" t="str">
        <f ca="1"/>
        <v>Bad</v>
      </c>
    </row>
    <row r="1586" spans="2:34" x14ac:dyDescent="0.2">
      <c r="B1586" s="2">
        <f ca="1"/>
        <v>0.14288807095316791</v>
      </c>
      <c r="O1586" s="2">
        <f ca="1"/>
        <v>-0.56237067106161498</v>
      </c>
      <c r="X1586" s="2">
        <f ca="1"/>
        <v>68.517953016280913</v>
      </c>
      <c r="AG1586" s="2">
        <f ca="1"/>
        <v>0.7768827013963675</v>
      </c>
      <c r="AH1586" s="2" t="str">
        <f ca="1"/>
        <v>Bad</v>
      </c>
    </row>
    <row r="1587" spans="2:34" x14ac:dyDescent="0.2">
      <c r="B1587" s="2">
        <f ca="1"/>
        <v>0.74295534849379075</v>
      </c>
      <c r="O1587" s="2">
        <f ca="1"/>
        <v>0.83289003297099495</v>
      </c>
      <c r="X1587" s="2">
        <f ca="1"/>
        <v>45.482593227283502</v>
      </c>
      <c r="AG1587" s="2">
        <f ca="1"/>
        <v>0.2762578417785897</v>
      </c>
      <c r="AH1587" s="2" t="str">
        <f ca="1"/>
        <v>OK</v>
      </c>
    </row>
    <row r="1588" spans="2:34" x14ac:dyDescent="0.2">
      <c r="B1588" s="2">
        <f ca="1"/>
        <v>7.0480194413110153E-2</v>
      </c>
      <c r="O1588" s="2">
        <f ca="1"/>
        <v>-0.12026557501433636</v>
      </c>
      <c r="X1588" s="2">
        <f ca="1"/>
        <v>37.740875508832048</v>
      </c>
      <c r="AG1588" s="2">
        <f ca="1"/>
        <v>0.91904193615020269</v>
      </c>
      <c r="AH1588" s="2" t="str">
        <f ca="1"/>
        <v>Bad</v>
      </c>
    </row>
    <row r="1589" spans="2:34" x14ac:dyDescent="0.2">
      <c r="B1589" s="2">
        <f ca="1"/>
        <v>0.47559144887787097</v>
      </c>
      <c r="O1589" s="2">
        <f ca="1"/>
        <v>-1.8082278864951895</v>
      </c>
      <c r="X1589" s="2">
        <f ca="1"/>
        <v>40.660323384304036</v>
      </c>
      <c r="AG1589" s="2">
        <f ca="1"/>
        <v>0.98992194630498087</v>
      </c>
      <c r="AH1589" s="2" t="str">
        <f ca="1"/>
        <v>Bad</v>
      </c>
    </row>
    <row r="1590" spans="2:34" x14ac:dyDescent="0.2">
      <c r="B1590" s="2">
        <f ca="1"/>
        <v>0.94893495939659722</v>
      </c>
      <c r="O1590" s="2">
        <f ca="1"/>
        <v>0.49024376643542844</v>
      </c>
      <c r="X1590" s="2">
        <f ca="1"/>
        <v>46.927966133194857</v>
      </c>
      <c r="AG1590" s="2">
        <f ca="1"/>
        <v>0.1625573343768929</v>
      </c>
      <c r="AH1590" s="2" t="str">
        <f ca="1"/>
        <v>OK</v>
      </c>
    </row>
    <row r="1591" spans="2:34" x14ac:dyDescent="0.2">
      <c r="B1591" s="2">
        <f ca="1"/>
        <v>5.4276738979397443E-2</v>
      </c>
      <c r="O1591" s="2">
        <f ca="1"/>
        <v>0.3735337401998326</v>
      </c>
      <c r="X1591" s="2">
        <f ca="1"/>
        <v>55.644000052634617</v>
      </c>
      <c r="AG1591" s="2">
        <f ca="1"/>
        <v>0.25668585113047859</v>
      </c>
      <c r="AH1591" s="2" t="str">
        <f ca="1"/>
        <v>OK</v>
      </c>
    </row>
    <row r="1592" spans="2:34" x14ac:dyDescent="0.2">
      <c r="B1592" s="2">
        <f ca="1"/>
        <v>0.75885149932104579</v>
      </c>
      <c r="O1592" s="2">
        <f ca="1"/>
        <v>-1.350818515050487</v>
      </c>
      <c r="X1592" s="2">
        <f ca="1"/>
        <v>75.639698804381609</v>
      </c>
      <c r="AG1592" s="2">
        <f ca="1"/>
        <v>0.29383989337596894</v>
      </c>
      <c r="AH1592" s="2" t="str">
        <f ca="1"/>
        <v>OK</v>
      </c>
    </row>
    <row r="1593" spans="2:34" x14ac:dyDescent="0.2">
      <c r="B1593" s="2">
        <f ca="1"/>
        <v>0.27230824676206677</v>
      </c>
      <c r="O1593" s="2">
        <f ca="1"/>
        <v>0.46405131234551278</v>
      </c>
      <c r="X1593" s="2">
        <f ca="1"/>
        <v>69.389369911293642</v>
      </c>
      <c r="AG1593" s="2">
        <f ca="1"/>
        <v>0.96766702497281942</v>
      </c>
      <c r="AH1593" s="2" t="str">
        <f ca="1"/>
        <v>Bad</v>
      </c>
    </row>
    <row r="1594" spans="2:34" x14ac:dyDescent="0.2">
      <c r="B1594" s="2">
        <f ca="1"/>
        <v>0.44155077422239675</v>
      </c>
      <c r="O1594" s="2">
        <f ca="1"/>
        <v>-0.13538237804846975</v>
      </c>
      <c r="X1594" s="2">
        <f ca="1"/>
        <v>78.349345090940915</v>
      </c>
      <c r="AG1594" s="2">
        <f ca="1"/>
        <v>0.85365865632304549</v>
      </c>
      <c r="AH1594" s="2" t="str">
        <f ca="1"/>
        <v>Bad</v>
      </c>
    </row>
    <row r="1595" spans="2:34" x14ac:dyDescent="0.2">
      <c r="B1595" s="2">
        <f ca="1"/>
        <v>0.80271737449909808</v>
      </c>
      <c r="O1595" s="2">
        <f ca="1"/>
        <v>0.26715944688376742</v>
      </c>
      <c r="X1595" s="2">
        <f ca="1"/>
        <v>77.163481059066839</v>
      </c>
      <c r="AG1595" s="2">
        <f ca="1"/>
        <v>0.59491335118065658</v>
      </c>
      <c r="AH1595" s="2" t="str">
        <f ca="1"/>
        <v>Bad</v>
      </c>
    </row>
    <row r="1596" spans="2:34" x14ac:dyDescent="0.2">
      <c r="B1596" s="2">
        <f ca="1"/>
        <v>5.5339663705755493E-2</v>
      </c>
      <c r="O1596" s="2">
        <f ca="1"/>
        <v>-5.9192718120898914E-2</v>
      </c>
      <c r="X1596" s="2">
        <f ca="1"/>
        <v>57.957967167501792</v>
      </c>
      <c r="AG1596" s="2">
        <f ca="1"/>
        <v>0.65714777361636578</v>
      </c>
      <c r="AH1596" s="2" t="str">
        <f ca="1"/>
        <v>Bad</v>
      </c>
    </row>
    <row r="1597" spans="2:34" x14ac:dyDescent="0.2">
      <c r="B1597" s="2">
        <f ca="1"/>
        <v>0.41290335428251113</v>
      </c>
      <c r="O1597" s="2">
        <f ca="1"/>
        <v>-0.38383110552670346</v>
      </c>
      <c r="X1597" s="2">
        <f ca="1"/>
        <v>36.468089747917219</v>
      </c>
      <c r="AG1597" s="2">
        <f ca="1"/>
        <v>0.71440046988724992</v>
      </c>
      <c r="AH1597" s="2" t="str">
        <f ca="1"/>
        <v>Bad</v>
      </c>
    </row>
    <row r="1598" spans="2:34" x14ac:dyDescent="0.2">
      <c r="B1598" s="2">
        <f ca="1"/>
        <v>0.69593237990466283</v>
      </c>
      <c r="O1598" s="2">
        <f ca="1"/>
        <v>-0.12312017923154943</v>
      </c>
      <c r="X1598" s="2">
        <f ca="1"/>
        <v>60.046992010347211</v>
      </c>
      <c r="AG1598" s="2">
        <f ca="1"/>
        <v>0.36757000366642734</v>
      </c>
      <c r="AH1598" s="2" t="str">
        <f ca="1"/>
        <v>OK</v>
      </c>
    </row>
    <row r="1599" spans="2:34" x14ac:dyDescent="0.2">
      <c r="B1599" s="2">
        <f ca="1"/>
        <v>1.0773408009923324E-2</v>
      </c>
      <c r="O1599" s="2">
        <f ca="1"/>
        <v>1.6033779752349702</v>
      </c>
      <c r="X1599" s="2">
        <f ca="1"/>
        <v>68.779779614255233</v>
      </c>
      <c r="AG1599" s="2">
        <f ca="1"/>
        <v>0.59871239395359788</v>
      </c>
      <c r="AH1599" s="2" t="str">
        <f ca="1"/>
        <v>Bad</v>
      </c>
    </row>
    <row r="1600" spans="2:34" x14ac:dyDescent="0.2">
      <c r="B1600" s="2">
        <f ca="1"/>
        <v>0.40449334876994159</v>
      </c>
      <c r="O1600" s="2">
        <f ca="1"/>
        <v>0.56234010521957711</v>
      </c>
      <c r="X1600" s="2">
        <f ca="1"/>
        <v>57.067892439662359</v>
      </c>
      <c r="AG1600" s="2">
        <f ca="1"/>
        <v>0.56828881121717378</v>
      </c>
      <c r="AH1600" s="2" t="str">
        <f ca="1"/>
        <v>Bad</v>
      </c>
    </row>
    <row r="1601" spans="2:34" x14ac:dyDescent="0.2">
      <c r="B1601" s="2">
        <f ca="1"/>
        <v>0.84747220638072429</v>
      </c>
      <c r="O1601" s="2">
        <f ca="1"/>
        <v>-1.0544278403613696</v>
      </c>
      <c r="X1601" s="2">
        <f ca="1"/>
        <v>47.836481441966782</v>
      </c>
      <c r="AG1601" s="2">
        <f ca="1"/>
        <v>4.8503270597617387E-2</v>
      </c>
      <c r="AH1601" s="2" t="str">
        <f ca="1"/>
        <v>Good</v>
      </c>
    </row>
    <row r="1602" spans="2:34" x14ac:dyDescent="0.2">
      <c r="B1602" s="2">
        <f ca="1"/>
        <v>0.9082535929368134</v>
      </c>
      <c r="O1602" s="2">
        <f ca="1"/>
        <v>-1.201119866979639</v>
      </c>
      <c r="X1602" s="2">
        <f ca="1"/>
        <v>41.493186478382341</v>
      </c>
      <c r="AG1602" s="2">
        <f ca="1"/>
        <v>0.78765218046837049</v>
      </c>
      <c r="AH1602" s="2" t="str">
        <f ca="1"/>
        <v>Bad</v>
      </c>
    </row>
    <row r="1603" spans="2:34" x14ac:dyDescent="0.2">
      <c r="B1603" s="2">
        <f ca="1"/>
        <v>0.95012994487598679</v>
      </c>
      <c r="O1603" s="2">
        <f ca="1"/>
        <v>-1.4716284743481907</v>
      </c>
      <c r="X1603" s="2">
        <f ca="1"/>
        <v>32.672740513772652</v>
      </c>
      <c r="AG1603" s="2">
        <f ca="1"/>
        <v>4.143451044990476E-3</v>
      </c>
      <c r="AH1603" s="2" t="str">
        <f ca="1"/>
        <v>Good</v>
      </c>
    </row>
    <row r="1604" spans="2:34" x14ac:dyDescent="0.2">
      <c r="B1604" s="2">
        <f ca="1"/>
        <v>0.81644525188229977</v>
      </c>
      <c r="O1604" s="2">
        <f ca="1"/>
        <v>-1.185506177444821</v>
      </c>
      <c r="X1604" s="2">
        <f ca="1"/>
        <v>36.672316589084993</v>
      </c>
      <c r="AG1604" s="2">
        <f ca="1"/>
        <v>0.68222438612037095</v>
      </c>
      <c r="AH1604" s="2" t="str">
        <f ca="1"/>
        <v>Bad</v>
      </c>
    </row>
    <row r="1605" spans="2:34" x14ac:dyDescent="0.2">
      <c r="B1605" s="2">
        <f ca="1"/>
        <v>0.14454076146521389</v>
      </c>
      <c r="O1605" s="2">
        <f ca="1"/>
        <v>-0.32806594774802061</v>
      </c>
      <c r="X1605" s="2">
        <f ca="1"/>
        <v>34.041926688033421</v>
      </c>
      <c r="AG1605" s="2">
        <f ca="1"/>
        <v>0.59030935883318492</v>
      </c>
      <c r="AH1605" s="2" t="str">
        <f ca="1"/>
        <v>Bad</v>
      </c>
    </row>
    <row r="1606" spans="2:34" x14ac:dyDescent="0.2">
      <c r="B1606" s="2">
        <f ca="1"/>
        <v>0.82674619606223976</v>
      </c>
      <c r="O1606" s="2">
        <f ca="1"/>
        <v>0.98970888810297775</v>
      </c>
      <c r="X1606" s="2">
        <f ca="1"/>
        <v>59.380220771556331</v>
      </c>
      <c r="AG1606" s="2">
        <f ca="1"/>
        <v>0.87324745038101104</v>
      </c>
      <c r="AH1606" s="2" t="str">
        <f ca="1"/>
        <v>Bad</v>
      </c>
    </row>
    <row r="1607" spans="2:34" x14ac:dyDescent="0.2">
      <c r="B1607" s="2">
        <f ca="1"/>
        <v>0.15008877208669746</v>
      </c>
      <c r="O1607" s="2">
        <f ca="1"/>
        <v>0.95424362606948643</v>
      </c>
      <c r="X1607" s="2">
        <f ca="1"/>
        <v>51.471670978822416</v>
      </c>
      <c r="AG1607" s="2">
        <f ca="1"/>
        <v>0.88006328099751596</v>
      </c>
      <c r="AH1607" s="2" t="str">
        <f ca="1"/>
        <v>Bad</v>
      </c>
    </row>
    <row r="1608" spans="2:34" x14ac:dyDescent="0.2">
      <c r="B1608" s="2">
        <f ca="1"/>
        <v>0.43879632109540001</v>
      </c>
      <c r="O1608" s="2">
        <f ca="1"/>
        <v>0.48426143829077023</v>
      </c>
      <c r="X1608" s="2">
        <f ca="1"/>
        <v>44.094311099185205</v>
      </c>
      <c r="AG1608" s="2">
        <f ca="1"/>
        <v>2.98891680021518E-2</v>
      </c>
      <c r="AH1608" s="2" t="str">
        <f ca="1"/>
        <v>Good</v>
      </c>
    </row>
    <row r="1609" spans="2:34" x14ac:dyDescent="0.2">
      <c r="B1609" s="2">
        <f ca="1"/>
        <v>0.96592570790251031</v>
      </c>
      <c r="O1609" s="2">
        <f ca="1"/>
        <v>0.9251217333090993</v>
      </c>
      <c r="X1609" s="2">
        <f ca="1"/>
        <v>34.596388838960657</v>
      </c>
      <c r="AG1609" s="2">
        <f ca="1"/>
        <v>2.9650782451482449E-2</v>
      </c>
      <c r="AH1609" s="2" t="str">
        <f ca="1"/>
        <v>Good</v>
      </c>
    </row>
    <row r="1610" spans="2:34" x14ac:dyDescent="0.2">
      <c r="B1610" s="2">
        <f ca="1"/>
        <v>0.90143312530626885</v>
      </c>
      <c r="O1610" s="2">
        <f ca="1"/>
        <v>-0.47635190838752667</v>
      </c>
      <c r="X1610" s="2">
        <f ca="1"/>
        <v>29.662360178995627</v>
      </c>
      <c r="AG1610" s="2">
        <f ca="1"/>
        <v>0.86503028704355889</v>
      </c>
      <c r="AH1610" s="2" t="str">
        <f ca="1"/>
        <v>Bad</v>
      </c>
    </row>
    <row r="1611" spans="2:34" x14ac:dyDescent="0.2">
      <c r="B1611" s="2">
        <f ca="1"/>
        <v>0.54518815699827083</v>
      </c>
      <c r="O1611" s="2">
        <f ca="1"/>
        <v>0.40334093942683752</v>
      </c>
      <c r="X1611" s="2">
        <f ca="1"/>
        <v>40.08792367197622</v>
      </c>
      <c r="AG1611" s="2">
        <f ca="1"/>
        <v>0.54092556706404604</v>
      </c>
      <c r="AH1611" s="2" t="str">
        <f ca="1"/>
        <v>Bad</v>
      </c>
    </row>
    <row r="1612" spans="2:34" x14ac:dyDescent="0.2">
      <c r="B1612" s="2">
        <f ca="1"/>
        <v>0.57032428956040815</v>
      </c>
      <c r="O1612" s="2">
        <f ca="1"/>
        <v>-1.5317803970048451</v>
      </c>
      <c r="X1612" s="2">
        <f ca="1"/>
        <v>34.184151548226126</v>
      </c>
      <c r="AG1612" s="2">
        <f ca="1"/>
        <v>7.2111968928745052E-2</v>
      </c>
      <c r="AH1612" s="2" t="str">
        <f ca="1"/>
        <v>OK</v>
      </c>
    </row>
    <row r="1613" spans="2:34" x14ac:dyDescent="0.2">
      <c r="B1613" s="2">
        <f ca="1"/>
        <v>0.93754349018146321</v>
      </c>
      <c r="O1613" s="2">
        <f ca="1"/>
        <v>0.32946764052948257</v>
      </c>
      <c r="X1613" s="2">
        <f ca="1"/>
        <v>69.751206462744094</v>
      </c>
      <c r="AG1613" s="2">
        <f ca="1"/>
        <v>0.73034590183630499</v>
      </c>
      <c r="AH1613" s="2" t="str">
        <f ca="1"/>
        <v>Bad</v>
      </c>
    </row>
    <row r="1614" spans="2:34" x14ac:dyDescent="0.2">
      <c r="B1614" s="2">
        <f ca="1"/>
        <v>0.79222305677441507</v>
      </c>
      <c r="O1614" s="2">
        <f ca="1"/>
        <v>-0.62347839415842021</v>
      </c>
      <c r="X1614" s="2">
        <f ca="1"/>
        <v>41.381739942600731</v>
      </c>
      <c r="AG1614" s="2">
        <f ca="1"/>
        <v>0.41665102751559968</v>
      </c>
      <c r="AH1614" s="2" t="str">
        <f ca="1"/>
        <v>Bad</v>
      </c>
    </row>
    <row r="1615" spans="2:34" x14ac:dyDescent="0.2">
      <c r="B1615" s="2">
        <f ca="1"/>
        <v>0.45925371314175867</v>
      </c>
      <c r="O1615" s="2">
        <f ca="1"/>
        <v>-1.3741606741582024</v>
      </c>
      <c r="X1615" s="2">
        <f ca="1"/>
        <v>63.456687160990796</v>
      </c>
      <c r="AG1615" s="2">
        <f ca="1"/>
        <v>0.15540575773743415</v>
      </c>
      <c r="AH1615" s="2" t="str">
        <f ca="1"/>
        <v>OK</v>
      </c>
    </row>
    <row r="1616" spans="2:34" x14ac:dyDescent="0.2">
      <c r="B1616" s="2">
        <f ca="1"/>
        <v>0.22201293001592326</v>
      </c>
      <c r="O1616" s="2">
        <f ca="1"/>
        <v>-0.35481599784081924</v>
      </c>
      <c r="X1616" s="2">
        <f ca="1"/>
        <v>51.285955133093104</v>
      </c>
      <c r="AG1616" s="2">
        <f ca="1"/>
        <v>0.9984512856499641</v>
      </c>
      <c r="AH1616" s="2" t="str">
        <f ca="1"/>
        <v>Bad</v>
      </c>
    </row>
    <row r="1617" spans="2:34" x14ac:dyDescent="0.2">
      <c r="B1617" s="2">
        <f ca="1"/>
        <v>0.12541945134184651</v>
      </c>
      <c r="O1617" s="2">
        <f ca="1"/>
        <v>0.42933263546857808</v>
      </c>
      <c r="X1617" s="2">
        <f ca="1"/>
        <v>53.409064412300467</v>
      </c>
      <c r="AG1617" s="2">
        <f ca="1"/>
        <v>0.19548526342718864</v>
      </c>
      <c r="AH1617" s="2" t="str">
        <f ca="1"/>
        <v>OK</v>
      </c>
    </row>
    <row r="1618" spans="2:34" x14ac:dyDescent="0.2">
      <c r="B1618" s="2">
        <f ca="1"/>
        <v>0.90911477217371162</v>
      </c>
      <c r="O1618" s="2">
        <f ca="1"/>
        <v>-1.4060333218313021</v>
      </c>
      <c r="X1618" s="2">
        <f ca="1"/>
        <v>81.41717173821965</v>
      </c>
      <c r="AG1618" s="2">
        <f ca="1"/>
        <v>0.83797636953172172</v>
      </c>
      <c r="AH1618" s="2" t="str">
        <f ca="1"/>
        <v>Bad</v>
      </c>
    </row>
    <row r="1619" spans="2:34" x14ac:dyDescent="0.2">
      <c r="B1619" s="2">
        <f ca="1"/>
        <v>0.25524197091800405</v>
      </c>
      <c r="O1619" s="2">
        <f ca="1"/>
        <v>-1.8936149024801221</v>
      </c>
      <c r="X1619" s="2">
        <f ca="1"/>
        <v>76.109241721116376</v>
      </c>
      <c r="AG1619" s="2">
        <f ca="1"/>
        <v>0.98035310924872121</v>
      </c>
      <c r="AH1619" s="2" t="str">
        <f ca="1"/>
        <v>Bad</v>
      </c>
    </row>
    <row r="1620" spans="2:34" x14ac:dyDescent="0.2">
      <c r="B1620" s="2">
        <f ca="1"/>
        <v>0.21822992023497712</v>
      </c>
      <c r="O1620" s="2">
        <f ca="1"/>
        <v>0.52659838840605133</v>
      </c>
      <c r="X1620" s="2">
        <f ca="1"/>
        <v>34.241501169243065</v>
      </c>
      <c r="AG1620" s="2">
        <f ca="1"/>
        <v>2.8698344131455888E-2</v>
      </c>
      <c r="AH1620" s="2" t="str">
        <f ca="1"/>
        <v>Good</v>
      </c>
    </row>
    <row r="1621" spans="2:34" x14ac:dyDescent="0.2">
      <c r="B1621" s="2">
        <f ca="1"/>
        <v>0.11526230010869809</v>
      </c>
      <c r="O1621" s="2">
        <f ca="1"/>
        <v>-0.43283279864024976</v>
      </c>
      <c r="X1621" s="2">
        <f ca="1"/>
        <v>44.517282486403559</v>
      </c>
      <c r="AG1621" s="2">
        <f ca="1"/>
        <v>0.4142350481126007</v>
      </c>
      <c r="AH1621" s="2" t="str">
        <f ca="1"/>
        <v>Bad</v>
      </c>
    </row>
    <row r="1622" spans="2:34" x14ac:dyDescent="0.2">
      <c r="B1622" s="2">
        <f ca="1"/>
        <v>0.91572119207778435</v>
      </c>
      <c r="O1622" s="2">
        <f ca="1"/>
        <v>1.0520123788048206</v>
      </c>
      <c r="X1622" s="2">
        <f ca="1"/>
        <v>60.539667620760405</v>
      </c>
      <c r="AG1622" s="2">
        <f ca="1"/>
        <v>0.89430161353045245</v>
      </c>
      <c r="AH1622" s="2" t="str">
        <f ca="1"/>
        <v>Bad</v>
      </c>
    </row>
    <row r="1623" spans="2:34" x14ac:dyDescent="0.2">
      <c r="B1623" s="2">
        <f ca="1"/>
        <v>0.58151259663497101</v>
      </c>
      <c r="O1623" s="2">
        <f ca="1"/>
        <v>-2.8506578520212329E-2</v>
      </c>
      <c r="X1623" s="2">
        <f ca="1"/>
        <v>38.343803577674095</v>
      </c>
      <c r="AG1623" s="2">
        <f ca="1"/>
        <v>0.73837960983507833</v>
      </c>
      <c r="AH1623" s="2" t="str">
        <f ca="1"/>
        <v>Bad</v>
      </c>
    </row>
    <row r="1624" spans="2:34" x14ac:dyDescent="0.2">
      <c r="B1624" s="2">
        <f ca="1"/>
        <v>0.9816129301461769</v>
      </c>
      <c r="O1624" s="2">
        <f ca="1"/>
        <v>0.99580948459531138</v>
      </c>
      <c r="X1624" s="2">
        <f ca="1"/>
        <v>60.424775710836855</v>
      </c>
      <c r="AG1624" s="2">
        <f ca="1"/>
        <v>0.63328900364837959</v>
      </c>
      <c r="AH1624" s="2" t="str">
        <f ca="1"/>
        <v>Bad</v>
      </c>
    </row>
    <row r="1625" spans="2:34" x14ac:dyDescent="0.2">
      <c r="B1625" s="2">
        <f ca="1"/>
        <v>0.39528328445207594</v>
      </c>
      <c r="O1625" s="2">
        <f ca="1"/>
        <v>-1.1527921741034874</v>
      </c>
      <c r="X1625" s="2">
        <f ca="1"/>
        <v>32.71685914271908</v>
      </c>
      <c r="AG1625" s="2">
        <f ca="1"/>
        <v>0.64784428494577395</v>
      </c>
      <c r="AH1625" s="2" t="str">
        <f ca="1"/>
        <v>Bad</v>
      </c>
    </row>
    <row r="1626" spans="2:34" x14ac:dyDescent="0.2">
      <c r="B1626" s="2">
        <f ca="1"/>
        <v>7.2836629692789145E-2</v>
      </c>
      <c r="O1626" s="2">
        <f ca="1"/>
        <v>-0.81462373267701083</v>
      </c>
      <c r="X1626" s="2">
        <f ca="1"/>
        <v>74.740141085371718</v>
      </c>
      <c r="AG1626" s="2">
        <f ca="1"/>
        <v>0.76899700326072851</v>
      </c>
      <c r="AH1626" s="2" t="str">
        <f ca="1"/>
        <v>Bad</v>
      </c>
    </row>
    <row r="1627" spans="2:34" x14ac:dyDescent="0.2">
      <c r="B1627" s="2">
        <f ca="1"/>
        <v>0.72779222970140078</v>
      </c>
      <c r="O1627" s="2">
        <f ca="1"/>
        <v>-0.324817638235261</v>
      </c>
      <c r="X1627" s="2">
        <f ca="1"/>
        <v>41.602657373698605</v>
      </c>
      <c r="AG1627" s="2">
        <f ca="1"/>
        <v>0.66156264683547428</v>
      </c>
      <c r="AH1627" s="2" t="str">
        <f ca="1"/>
        <v>Bad</v>
      </c>
    </row>
    <row r="1628" spans="2:34" x14ac:dyDescent="0.2">
      <c r="B1628" s="2">
        <f ca="1"/>
        <v>0.30053969414026782</v>
      </c>
      <c r="O1628" s="2">
        <f ca="1"/>
        <v>0.37470313126939275</v>
      </c>
      <c r="X1628" s="2">
        <f ca="1"/>
        <v>37.536657587514867</v>
      </c>
      <c r="AG1628" s="2">
        <f ca="1"/>
        <v>0.32278889856119419</v>
      </c>
      <c r="AH1628" s="2" t="str">
        <f ca="1"/>
        <v>OK</v>
      </c>
    </row>
    <row r="1629" spans="2:34" x14ac:dyDescent="0.2">
      <c r="B1629" s="2">
        <f ca="1"/>
        <v>0.82357072103870355</v>
      </c>
      <c r="O1629" s="2">
        <f ca="1"/>
        <v>1.0565137524400776</v>
      </c>
      <c r="X1629" s="2">
        <f ca="1"/>
        <v>63.091110071533471</v>
      </c>
      <c r="AG1629" s="2">
        <f ca="1"/>
        <v>8.4330274153265883E-2</v>
      </c>
      <c r="AH1629" s="2" t="str">
        <f ca="1"/>
        <v>OK</v>
      </c>
    </row>
    <row r="1630" spans="2:34" x14ac:dyDescent="0.2">
      <c r="B1630" s="2">
        <f ca="1"/>
        <v>0.90936181837757113</v>
      </c>
      <c r="O1630" s="2">
        <f ca="1"/>
        <v>0.45810148061062639</v>
      </c>
      <c r="X1630" s="2">
        <f ca="1"/>
        <v>43.208126794523736</v>
      </c>
      <c r="AG1630" s="2">
        <f ca="1"/>
        <v>0.70742657059199598</v>
      </c>
      <c r="AH1630" s="2" t="str">
        <f ca="1"/>
        <v>Bad</v>
      </c>
    </row>
    <row r="1631" spans="2:34" x14ac:dyDescent="0.2">
      <c r="B1631" s="2">
        <f ca="1"/>
        <v>6.2832779187565801E-2</v>
      </c>
      <c r="O1631" s="2">
        <f ca="1"/>
        <v>1.8340913768501397</v>
      </c>
      <c r="X1631" s="2">
        <f ca="1"/>
        <v>38.94905182049213</v>
      </c>
      <c r="AG1631" s="2">
        <f ca="1"/>
        <v>0.67359316538056313</v>
      </c>
      <c r="AH1631" s="2" t="str">
        <f ca="1"/>
        <v>Bad</v>
      </c>
    </row>
    <row r="1632" spans="2:34" x14ac:dyDescent="0.2">
      <c r="B1632" s="2">
        <f ca="1"/>
        <v>0.75039221326357963</v>
      </c>
      <c r="O1632" s="2">
        <f ca="1"/>
        <v>1.0506539737339049</v>
      </c>
      <c r="X1632" s="2">
        <f ca="1"/>
        <v>34.208570635117525</v>
      </c>
      <c r="AG1632" s="2">
        <f ca="1"/>
        <v>0.84284586583902721</v>
      </c>
      <c r="AH1632" s="2" t="str">
        <f ca="1"/>
        <v>Bad</v>
      </c>
    </row>
    <row r="1633" spans="2:34" x14ac:dyDescent="0.2">
      <c r="B1633" s="2">
        <f ca="1"/>
        <v>0.94714122813728419</v>
      </c>
      <c r="O1633" s="2">
        <f ca="1"/>
        <v>-0.75537061085644464</v>
      </c>
      <c r="X1633" s="2">
        <f ca="1"/>
        <v>46.699498754155442</v>
      </c>
      <c r="AG1633" s="2">
        <f ca="1"/>
        <v>0.18941681320487369</v>
      </c>
      <c r="AH1633" s="2" t="str">
        <f ca="1"/>
        <v>OK</v>
      </c>
    </row>
    <row r="1634" spans="2:34" x14ac:dyDescent="0.2">
      <c r="B1634" s="2">
        <f ca="1"/>
        <v>0.44152669522797128</v>
      </c>
      <c r="O1634" s="2">
        <f ca="1"/>
        <v>-1.7329965380040007</v>
      </c>
      <c r="X1634" s="2">
        <f ca="1"/>
        <v>39.379822392852681</v>
      </c>
      <c r="AG1634" s="2">
        <f ca="1"/>
        <v>0.22883726924146308</v>
      </c>
      <c r="AH1634" s="2" t="str">
        <f ca="1"/>
        <v>OK</v>
      </c>
    </row>
    <row r="1635" spans="2:34" x14ac:dyDescent="0.2">
      <c r="B1635" s="2">
        <f ca="1"/>
        <v>0.90167434302194827</v>
      </c>
      <c r="O1635" s="2">
        <f ca="1"/>
        <v>0.40591721114979268</v>
      </c>
      <c r="X1635" s="2">
        <f ca="1"/>
        <v>53.753049839390101</v>
      </c>
      <c r="AG1635" s="2">
        <f ca="1"/>
        <v>0.98988812256429393</v>
      </c>
      <c r="AH1635" s="2" t="str">
        <f ca="1"/>
        <v>Bad</v>
      </c>
    </row>
    <row r="1636" spans="2:34" x14ac:dyDescent="0.2">
      <c r="B1636" s="2">
        <f ca="1"/>
        <v>0.14598117920366005</v>
      </c>
      <c r="O1636" s="2">
        <f ca="1"/>
        <v>-0.32981913668663876</v>
      </c>
      <c r="X1636" s="2">
        <f ca="1"/>
        <v>41.655848125458675</v>
      </c>
      <c r="AG1636" s="2">
        <f ca="1"/>
        <v>0.81794245697151613</v>
      </c>
      <c r="AH1636" s="2" t="str">
        <f ca="1"/>
        <v>Bad</v>
      </c>
    </row>
    <row r="1637" spans="2:34" x14ac:dyDescent="0.2">
      <c r="B1637" s="2">
        <f ca="1"/>
        <v>0.99536419727122216</v>
      </c>
      <c r="O1637" s="2">
        <f ca="1"/>
        <v>0.41398644952835884</v>
      </c>
      <c r="X1637" s="2">
        <f ca="1"/>
        <v>61.641789724230975</v>
      </c>
      <c r="AG1637" s="2">
        <f ca="1"/>
        <v>0.51379455099029614</v>
      </c>
      <c r="AH1637" s="2" t="str">
        <f ca="1"/>
        <v>Bad</v>
      </c>
    </row>
    <row r="1638" spans="2:34" x14ac:dyDescent="0.2">
      <c r="B1638" s="2">
        <f ca="1"/>
        <v>0.90614044823433404</v>
      </c>
      <c r="O1638" s="2">
        <f ca="1"/>
        <v>1.2686151355191</v>
      </c>
      <c r="X1638" s="2">
        <f ca="1"/>
        <v>61.496809766716225</v>
      </c>
      <c r="AG1638" s="2">
        <f ca="1"/>
        <v>0.92748312180753389</v>
      </c>
      <c r="AH1638" s="2" t="str">
        <f ca="1"/>
        <v>Bad</v>
      </c>
    </row>
    <row r="1639" spans="2:34" x14ac:dyDescent="0.2">
      <c r="B1639" s="2">
        <f ca="1"/>
        <v>0.12913050957459249</v>
      </c>
      <c r="O1639" s="2">
        <f ca="1"/>
        <v>0.49837700376373228</v>
      </c>
      <c r="X1639" s="2">
        <f ca="1"/>
        <v>36.217970221322872</v>
      </c>
      <c r="AG1639" s="2">
        <f ca="1"/>
        <v>0.69245543190697179</v>
      </c>
      <c r="AH1639" s="2" t="str">
        <f ca="1"/>
        <v>Bad</v>
      </c>
    </row>
    <row r="1640" spans="2:34" x14ac:dyDescent="0.2">
      <c r="B1640" s="2">
        <f ca="1"/>
        <v>0.22195687285084387</v>
      </c>
      <c r="O1640" s="2">
        <f ca="1"/>
        <v>0.65268008819205869</v>
      </c>
      <c r="X1640" s="2">
        <f ca="1"/>
        <v>32.650547534587666</v>
      </c>
      <c r="AG1640" s="2">
        <f ca="1"/>
        <v>9.7353685812624713E-2</v>
      </c>
      <c r="AH1640" s="2" t="str">
        <f ca="1"/>
        <v>OK</v>
      </c>
    </row>
    <row r="1641" spans="2:34" x14ac:dyDescent="0.2">
      <c r="B1641" s="2">
        <f ca="1"/>
        <v>0.64722409650182011</v>
      </c>
      <c r="O1641" s="2">
        <f ca="1"/>
        <v>-1.6472262494523386</v>
      </c>
      <c r="X1641" s="2">
        <f ca="1"/>
        <v>48.554373137693283</v>
      </c>
      <c r="AG1641" s="2">
        <f ca="1"/>
        <v>0.39910330622837242</v>
      </c>
      <c r="AH1641" s="2" t="str">
        <f ca="1"/>
        <v>OK</v>
      </c>
    </row>
    <row r="1642" spans="2:34" x14ac:dyDescent="0.2">
      <c r="B1642" s="2">
        <f ca="1"/>
        <v>0.43323678636181806</v>
      </c>
      <c r="O1642" s="2">
        <f ca="1"/>
        <v>0.38335767894786876</v>
      </c>
      <c r="X1642" s="2">
        <f ca="1"/>
        <v>58.0683393387094</v>
      </c>
      <c r="AG1642" s="2">
        <f ca="1"/>
        <v>0.91240707891183814</v>
      </c>
      <c r="AH1642" s="2" t="str">
        <f ca="1"/>
        <v>Bad</v>
      </c>
    </row>
    <row r="1643" spans="2:34" x14ac:dyDescent="0.2">
      <c r="B1643" s="2">
        <f ca="1"/>
        <v>0.16361425457994372</v>
      </c>
      <c r="O1643" s="2">
        <f ca="1"/>
        <v>-0.71535403429094468</v>
      </c>
      <c r="X1643" s="2">
        <f ca="1"/>
        <v>25.383011092749609</v>
      </c>
      <c r="AG1643" s="2">
        <f ca="1"/>
        <v>0.60327420007242649</v>
      </c>
      <c r="AH1643" s="2" t="str">
        <f ca="1"/>
        <v>Bad</v>
      </c>
    </row>
    <row r="1644" spans="2:34" x14ac:dyDescent="0.2">
      <c r="B1644" s="2">
        <f ca="1"/>
        <v>0.3116430532413248</v>
      </c>
      <c r="O1644" s="2">
        <f ca="1"/>
        <v>1.5162465957850269</v>
      </c>
      <c r="X1644" s="2">
        <f ca="1"/>
        <v>41.551258312076996</v>
      </c>
      <c r="AG1644" s="2">
        <f ca="1"/>
        <v>0.94663897266660468</v>
      </c>
      <c r="AH1644" s="2" t="str">
        <f ca="1"/>
        <v>Bad</v>
      </c>
    </row>
    <row r="1645" spans="2:34" x14ac:dyDescent="0.2">
      <c r="B1645" s="2">
        <f ca="1"/>
        <v>0.2226740619558254</v>
      </c>
      <c r="O1645" s="2">
        <f ca="1"/>
        <v>-0.41559403135346612</v>
      </c>
      <c r="X1645" s="2">
        <f ca="1"/>
        <v>47.330592696316181</v>
      </c>
      <c r="AG1645" s="2">
        <f ca="1"/>
        <v>0.92589066002103948</v>
      </c>
      <c r="AH1645" s="2" t="str">
        <f ca="1"/>
        <v>Bad</v>
      </c>
    </row>
    <row r="1646" spans="2:34" x14ac:dyDescent="0.2">
      <c r="B1646" s="2">
        <f ca="1"/>
        <v>0.56810084956699369</v>
      </c>
      <c r="O1646" s="2">
        <f ca="1"/>
        <v>-0.20780189471984242</v>
      </c>
      <c r="X1646" s="2">
        <f ca="1"/>
        <v>32.505036504624897</v>
      </c>
      <c r="AG1646" s="2">
        <f ca="1"/>
        <v>0.13683095201553264</v>
      </c>
      <c r="AH1646" s="2" t="str">
        <f ca="1"/>
        <v>OK</v>
      </c>
    </row>
    <row r="1647" spans="2:34" x14ac:dyDescent="0.2">
      <c r="B1647" s="2">
        <f ca="1"/>
        <v>0.466638555360263</v>
      </c>
      <c r="O1647" s="2">
        <f ca="1"/>
        <v>1.5794640052493172</v>
      </c>
      <c r="X1647" s="2">
        <f ca="1"/>
        <v>81.095891400955736</v>
      </c>
      <c r="AG1647" s="2">
        <f ca="1"/>
        <v>0.64767217700585422</v>
      </c>
      <c r="AH1647" s="2" t="str">
        <f ca="1"/>
        <v>Bad</v>
      </c>
    </row>
    <row r="1648" spans="2:34" x14ac:dyDescent="0.2">
      <c r="B1648" s="2">
        <f ca="1"/>
        <v>0.36620633034679595</v>
      </c>
      <c r="O1648" s="2">
        <f ca="1"/>
        <v>-0.24978635009040662</v>
      </c>
      <c r="X1648" s="2">
        <f ca="1"/>
        <v>64.91248148537764</v>
      </c>
      <c r="AG1648" s="2">
        <f ca="1"/>
        <v>0.32024132258926774</v>
      </c>
      <c r="AH1648" s="2" t="str">
        <f ca="1"/>
        <v>OK</v>
      </c>
    </row>
    <row r="1649" spans="2:34" x14ac:dyDescent="0.2">
      <c r="B1649" s="2">
        <f ca="1"/>
        <v>0.76923939572996414</v>
      </c>
      <c r="O1649" s="2">
        <f ca="1"/>
        <v>0.75863093590093533</v>
      </c>
      <c r="X1649" s="2">
        <f ca="1"/>
        <v>75.26218935566321</v>
      </c>
      <c r="AG1649" s="2">
        <f ca="1"/>
        <v>0.87738128813896887</v>
      </c>
      <c r="AH1649" s="2" t="str">
        <f ca="1"/>
        <v>Bad</v>
      </c>
    </row>
    <row r="1650" spans="2:34" x14ac:dyDescent="0.2">
      <c r="B1650" s="2">
        <f ca="1"/>
        <v>0.81263001089624054</v>
      </c>
      <c r="O1650" s="2">
        <f ca="1"/>
        <v>-0.90389810019257022</v>
      </c>
      <c r="X1650" s="2">
        <f ca="1"/>
        <v>41.786252074129052</v>
      </c>
      <c r="AG1650" s="2">
        <f ca="1"/>
        <v>0.60575298016135037</v>
      </c>
      <c r="AH1650" s="2" t="str">
        <f ca="1"/>
        <v>Bad</v>
      </c>
    </row>
    <row r="1651" spans="2:34" x14ac:dyDescent="0.2">
      <c r="B1651" s="2">
        <f ca="1"/>
        <v>0.13303061749278067</v>
      </c>
      <c r="O1651" s="2">
        <f ca="1"/>
        <v>-0.32507730149477004</v>
      </c>
      <c r="X1651" s="2">
        <f ca="1"/>
        <v>44.088429840808814</v>
      </c>
      <c r="AG1651" s="2">
        <f ca="1"/>
        <v>0.75839767251003032</v>
      </c>
      <c r="AH1651" s="2" t="str">
        <f ca="1"/>
        <v>Bad</v>
      </c>
    </row>
    <row r="1652" spans="2:34" x14ac:dyDescent="0.2">
      <c r="B1652" s="2">
        <f ca="1"/>
        <v>0.54822457146428016</v>
      </c>
      <c r="O1652" s="2">
        <f ca="1"/>
        <v>0.72616219904893842</v>
      </c>
      <c r="X1652" s="2">
        <f ca="1"/>
        <v>70.511239361634424</v>
      </c>
      <c r="AG1652" s="2">
        <f ca="1"/>
        <v>0.62084348082775476</v>
      </c>
      <c r="AH1652" s="2" t="str">
        <f ca="1"/>
        <v>Bad</v>
      </c>
    </row>
    <row r="1653" spans="2:34" x14ac:dyDescent="0.2">
      <c r="B1653" s="2">
        <f ca="1"/>
        <v>0.10215732896764895</v>
      </c>
      <c r="O1653" s="2">
        <f ca="1"/>
        <v>1.6991662566636816</v>
      </c>
      <c r="X1653" s="2">
        <f ca="1"/>
        <v>47.131713781969601</v>
      </c>
      <c r="AG1653" s="2">
        <f ca="1"/>
        <v>0.24626847419091069</v>
      </c>
      <c r="AH1653" s="2" t="str">
        <f ca="1"/>
        <v>OK</v>
      </c>
    </row>
    <row r="1654" spans="2:34" x14ac:dyDescent="0.2">
      <c r="B1654" s="2">
        <f ca="1"/>
        <v>0.89841283685667817</v>
      </c>
      <c r="O1654" s="2">
        <f ca="1"/>
        <v>0.18915803023886021</v>
      </c>
      <c r="X1654" s="2">
        <f ca="1"/>
        <v>42.171698788368097</v>
      </c>
      <c r="AG1654" s="2">
        <f ca="1"/>
        <v>0.99387933174858634</v>
      </c>
      <c r="AH1654" s="2" t="str">
        <f ca="1"/>
        <v>Bad</v>
      </c>
    </row>
    <row r="1655" spans="2:34" x14ac:dyDescent="0.2">
      <c r="B1655" s="2">
        <f ca="1"/>
        <v>0.46686496471570926</v>
      </c>
      <c r="O1655" s="2">
        <f ca="1"/>
        <v>0.10928033196439944</v>
      </c>
      <c r="X1655" s="2">
        <f ca="1"/>
        <v>92.156374763480628</v>
      </c>
      <c r="AG1655" s="2">
        <f ca="1"/>
        <v>8.4665426541381539E-3</v>
      </c>
      <c r="AH1655" s="2" t="str">
        <f ca="1"/>
        <v>Good</v>
      </c>
    </row>
    <row r="1656" spans="2:34" x14ac:dyDescent="0.2">
      <c r="B1656" s="2">
        <f ca="1"/>
        <v>0.36964283324323999</v>
      </c>
      <c r="O1656" s="2">
        <f ca="1"/>
        <v>-0.12749056461152058</v>
      </c>
      <c r="X1656" s="2">
        <f ca="1"/>
        <v>56.959498806099738</v>
      </c>
      <c r="AG1656" s="2">
        <f ca="1"/>
        <v>0.15859909138137573</v>
      </c>
      <c r="AH1656" s="2" t="str">
        <f ca="1"/>
        <v>OK</v>
      </c>
    </row>
    <row r="1657" spans="2:34" x14ac:dyDescent="0.2">
      <c r="B1657" s="2">
        <f ca="1"/>
        <v>0.30918527765815873</v>
      </c>
      <c r="O1657" s="2">
        <f ca="1"/>
        <v>-0.11898529630034162</v>
      </c>
      <c r="X1657" s="2">
        <f ca="1"/>
        <v>39.43208039392308</v>
      </c>
      <c r="AG1657" s="2">
        <f ca="1"/>
        <v>0.51412878567652909</v>
      </c>
      <c r="AH1657" s="2" t="str">
        <f ca="1"/>
        <v>Bad</v>
      </c>
    </row>
    <row r="1658" spans="2:34" x14ac:dyDescent="0.2">
      <c r="B1658" s="2">
        <f ca="1"/>
        <v>0.42301867311720964</v>
      </c>
      <c r="O1658" s="2">
        <f ca="1"/>
        <v>-1.7920584929328094</v>
      </c>
      <c r="X1658" s="2">
        <f ca="1"/>
        <v>28.72102510283441</v>
      </c>
      <c r="AG1658" s="2">
        <f ca="1"/>
        <v>0.78520300498153928</v>
      </c>
      <c r="AH1658" s="2" t="str">
        <f ca="1"/>
        <v>Bad</v>
      </c>
    </row>
    <row r="1659" spans="2:34" x14ac:dyDescent="0.2">
      <c r="B1659" s="2">
        <f ca="1"/>
        <v>0.89614965676503822</v>
      </c>
      <c r="O1659" s="2">
        <f ca="1"/>
        <v>0.20273212798675283</v>
      </c>
      <c r="X1659" s="2">
        <f ca="1"/>
        <v>77.491746650133905</v>
      </c>
      <c r="AG1659" s="2">
        <f ca="1"/>
        <v>0.62890523038886115</v>
      </c>
      <c r="AH1659" s="2" t="str">
        <f ca="1"/>
        <v>Bad</v>
      </c>
    </row>
    <row r="1660" spans="2:34" x14ac:dyDescent="0.2">
      <c r="B1660" s="2">
        <f ca="1"/>
        <v>0.51165689852948271</v>
      </c>
      <c r="O1660" s="2">
        <f ca="1"/>
        <v>-7.7716881100315688E-2</v>
      </c>
      <c r="X1660" s="2">
        <f ca="1"/>
        <v>15.076114227467784</v>
      </c>
      <c r="AG1660" s="2">
        <f ca="1"/>
        <v>0.50480756208979871</v>
      </c>
      <c r="AH1660" s="2" t="str">
        <f ca="1"/>
        <v>Bad</v>
      </c>
    </row>
    <row r="1661" spans="2:34" x14ac:dyDescent="0.2">
      <c r="B1661" s="2">
        <f ca="1"/>
        <v>0.92200385747276181</v>
      </c>
      <c r="O1661" s="2">
        <f ca="1"/>
        <v>0.14819356201372327</v>
      </c>
      <c r="X1661" s="2">
        <f ca="1"/>
        <v>30.759364258421705</v>
      </c>
      <c r="AG1661" s="2">
        <f ca="1"/>
        <v>9.3986292273811944E-2</v>
      </c>
      <c r="AH1661" s="2" t="str">
        <f ca="1"/>
        <v>OK</v>
      </c>
    </row>
    <row r="1662" spans="2:34" x14ac:dyDescent="0.2">
      <c r="B1662" s="2">
        <f ca="1"/>
        <v>0.14078762317113269</v>
      </c>
      <c r="O1662" s="2">
        <f ca="1"/>
        <v>1.4238364288887337</v>
      </c>
      <c r="X1662" s="2">
        <f ca="1"/>
        <v>41.276449969043284</v>
      </c>
      <c r="AG1662" s="2">
        <f ca="1"/>
        <v>0.57147363393932138</v>
      </c>
      <c r="AH1662" s="2" t="str">
        <f ca="1"/>
        <v>Bad</v>
      </c>
    </row>
    <row r="1663" spans="2:34" x14ac:dyDescent="0.2">
      <c r="B1663" s="2">
        <f ca="1"/>
        <v>0.58204745094258681</v>
      </c>
      <c r="O1663" s="2">
        <f ca="1"/>
        <v>1.1197365944190172</v>
      </c>
      <c r="X1663" s="2">
        <f ca="1"/>
        <v>61.465380279185609</v>
      </c>
      <c r="AG1663" s="2">
        <f ca="1"/>
        <v>0.1698245272500416</v>
      </c>
      <c r="AH1663" s="2" t="str">
        <f ca="1"/>
        <v>OK</v>
      </c>
    </row>
    <row r="1664" spans="2:34" x14ac:dyDescent="0.2">
      <c r="B1664" s="2">
        <f ca="1"/>
        <v>0.65092095349324475</v>
      </c>
      <c r="O1664" s="2">
        <f ca="1"/>
        <v>-0.16875711218712225</v>
      </c>
      <c r="X1664" s="2">
        <f ca="1"/>
        <v>70.563400352296924</v>
      </c>
      <c r="AG1664" s="2">
        <f ca="1"/>
        <v>0.92980993645051746</v>
      </c>
      <c r="AH1664" s="2" t="str">
        <f ca="1"/>
        <v>Bad</v>
      </c>
    </row>
    <row r="1665" spans="2:34" x14ac:dyDescent="0.2">
      <c r="B1665" s="2">
        <f ca="1"/>
        <v>0.44809332223849707</v>
      </c>
      <c r="O1665" s="2">
        <f ca="1"/>
        <v>1.6944165320245987</v>
      </c>
      <c r="X1665" s="2">
        <f ca="1"/>
        <v>36.966145920349348</v>
      </c>
      <c r="AG1665" s="2">
        <f ca="1"/>
        <v>0.13772831326978352</v>
      </c>
      <c r="AH1665" s="2" t="str">
        <f ca="1"/>
        <v>OK</v>
      </c>
    </row>
    <row r="1666" spans="2:34" x14ac:dyDescent="0.2">
      <c r="B1666" s="2">
        <f ca="1"/>
        <v>0.60808228936003195</v>
      </c>
      <c r="O1666" s="2">
        <f ca="1"/>
        <v>-0.55719854201260188</v>
      </c>
      <c r="X1666" s="2">
        <f ca="1"/>
        <v>57.385617104444634</v>
      </c>
      <c r="AG1666" s="2">
        <f ca="1"/>
        <v>0.31482638708122268</v>
      </c>
      <c r="AH1666" s="2" t="str">
        <f ca="1"/>
        <v>OK</v>
      </c>
    </row>
    <row r="1667" spans="2:34" x14ac:dyDescent="0.2">
      <c r="B1667" s="2">
        <f ca="1"/>
        <v>0.18911981475711248</v>
      </c>
      <c r="O1667" s="2">
        <f ca="1"/>
        <v>-9.9490762793564391E-2</v>
      </c>
      <c r="X1667" s="2">
        <f ca="1"/>
        <v>40.154968171193268</v>
      </c>
      <c r="AG1667" s="2">
        <f ca="1"/>
        <v>0.15955777990227116</v>
      </c>
      <c r="AH1667" s="2" t="str">
        <f ca="1"/>
        <v>OK</v>
      </c>
    </row>
    <row r="1668" spans="2:34" x14ac:dyDescent="0.2">
      <c r="B1668" s="2">
        <f ca="1"/>
        <v>0.61544837714813649</v>
      </c>
      <c r="O1668" s="2">
        <f ca="1"/>
        <v>1.3448296695912976</v>
      </c>
      <c r="X1668" s="2">
        <f ca="1"/>
        <v>30.468793423912459</v>
      </c>
      <c r="AG1668" s="2">
        <f ca="1"/>
        <v>0.44656490897002454</v>
      </c>
      <c r="AH1668" s="2" t="str">
        <f ca="1"/>
        <v>Bad</v>
      </c>
    </row>
    <row r="1669" spans="2:34" x14ac:dyDescent="0.2">
      <c r="B1669" s="2">
        <f ca="1"/>
        <v>0.26590441742921223</v>
      </c>
      <c r="O1669" s="2">
        <f ca="1"/>
        <v>-1.1855774871532028</v>
      </c>
      <c r="X1669" s="2">
        <f ca="1"/>
        <v>40.190800656772659</v>
      </c>
      <c r="AG1669" s="2">
        <f ca="1"/>
        <v>0.40732637523773363</v>
      </c>
      <c r="AH1669" s="2" t="str">
        <f ca="1"/>
        <v>Bad</v>
      </c>
    </row>
    <row r="1670" spans="2:34" x14ac:dyDescent="0.2">
      <c r="B1670" s="2">
        <f ca="1"/>
        <v>0.57628784108204623</v>
      </c>
      <c r="O1670" s="2">
        <f ca="1"/>
        <v>-2.6816643253380734</v>
      </c>
      <c r="X1670" s="2">
        <f ca="1"/>
        <v>27.744999679140072</v>
      </c>
      <c r="AG1670" s="2">
        <f ca="1"/>
        <v>0.17732978039077563</v>
      </c>
      <c r="AH1670" s="2" t="str">
        <f ca="1"/>
        <v>OK</v>
      </c>
    </row>
    <row r="1671" spans="2:34" x14ac:dyDescent="0.2">
      <c r="B1671" s="2">
        <f ca="1"/>
        <v>0.92627547288276157</v>
      </c>
      <c r="O1671" s="2">
        <f ca="1"/>
        <v>1.3767748748610078</v>
      </c>
      <c r="X1671" s="2">
        <f ca="1"/>
        <v>37.295757924461824</v>
      </c>
      <c r="AG1671" s="2">
        <f ca="1"/>
        <v>0.92143930093646986</v>
      </c>
      <c r="AH1671" s="2" t="str">
        <f ca="1"/>
        <v>Bad</v>
      </c>
    </row>
    <row r="1672" spans="2:34" x14ac:dyDescent="0.2">
      <c r="B1672" s="2">
        <f ca="1"/>
        <v>0.21741189268776462</v>
      </c>
      <c r="O1672" s="2">
        <f ca="1"/>
        <v>-0.37614825935203361</v>
      </c>
      <c r="X1672" s="2">
        <f ca="1"/>
        <v>35.740348658983059</v>
      </c>
      <c r="AG1672" s="2">
        <f ca="1"/>
        <v>0.94041922050488802</v>
      </c>
      <c r="AH1672" s="2" t="str">
        <f ca="1"/>
        <v>Bad</v>
      </c>
    </row>
    <row r="1673" spans="2:34" x14ac:dyDescent="0.2">
      <c r="B1673" s="2">
        <f ca="1"/>
        <v>0.96027580629159925</v>
      </c>
      <c r="O1673" s="2">
        <f ca="1"/>
        <v>-0.51271514498561244</v>
      </c>
      <c r="X1673" s="2">
        <f ca="1"/>
        <v>47.600062385539559</v>
      </c>
      <c r="AG1673" s="2">
        <f ca="1"/>
        <v>0.20054744629993837</v>
      </c>
      <c r="AH1673" s="2" t="str">
        <f ca="1"/>
        <v>OK</v>
      </c>
    </row>
    <row r="1674" spans="2:34" x14ac:dyDescent="0.2">
      <c r="B1674" s="2">
        <f ca="1"/>
        <v>0.63146424869072537</v>
      </c>
      <c r="O1674" s="2">
        <f ca="1"/>
        <v>0.92753948218781868</v>
      </c>
      <c r="X1674" s="2">
        <f ca="1"/>
        <v>48.500342907508625</v>
      </c>
      <c r="AG1674" s="2">
        <f ca="1"/>
        <v>0.83791902888820458</v>
      </c>
      <c r="AH1674" s="2" t="str">
        <f ca="1"/>
        <v>Bad</v>
      </c>
    </row>
    <row r="1675" spans="2:34" x14ac:dyDescent="0.2">
      <c r="B1675" s="2">
        <f ca="1"/>
        <v>1.3315214986435508E-2</v>
      </c>
      <c r="O1675" s="2">
        <f ca="1"/>
        <v>-0.93064012162139775</v>
      </c>
      <c r="X1675" s="2">
        <f ca="1"/>
        <v>75.60822344370527</v>
      </c>
      <c r="AG1675" s="2">
        <f ca="1"/>
        <v>0.44988335275244218</v>
      </c>
      <c r="AH1675" s="2" t="str">
        <f ca="1"/>
        <v>Bad</v>
      </c>
    </row>
    <row r="1676" spans="2:34" x14ac:dyDescent="0.2">
      <c r="B1676" s="2">
        <f ca="1"/>
        <v>0.52253206764887628</v>
      </c>
      <c r="O1676" s="2">
        <f ca="1"/>
        <v>3.0048507746403316E-2</v>
      </c>
      <c r="X1676" s="2">
        <f ca="1"/>
        <v>75.259175992651933</v>
      </c>
      <c r="AG1676" s="2">
        <f ca="1"/>
        <v>0.4562683388953277</v>
      </c>
      <c r="AH1676" s="2" t="str">
        <f ca="1"/>
        <v>Bad</v>
      </c>
    </row>
    <row r="1677" spans="2:34" x14ac:dyDescent="0.2">
      <c r="B1677" s="2">
        <f ca="1"/>
        <v>0.88702636212471231</v>
      </c>
      <c r="O1677" s="2">
        <f ca="1"/>
        <v>-1.9976684758803434</v>
      </c>
      <c r="X1677" s="2">
        <f ca="1"/>
        <v>48.713371681776323</v>
      </c>
      <c r="AG1677" s="2">
        <f ca="1"/>
        <v>0.80565492607241396</v>
      </c>
      <c r="AH1677" s="2" t="str">
        <f ca="1"/>
        <v>Bad</v>
      </c>
    </row>
    <row r="1678" spans="2:34" x14ac:dyDescent="0.2">
      <c r="B1678" s="2">
        <f ca="1"/>
        <v>0.27785019283954937</v>
      </c>
      <c r="O1678" s="2">
        <f ca="1"/>
        <v>-0.53180730436241619</v>
      </c>
      <c r="X1678" s="2">
        <f ca="1"/>
        <v>49.221314927858586</v>
      </c>
      <c r="AG1678" s="2">
        <f ca="1"/>
        <v>0.77212743389064764</v>
      </c>
      <c r="AH1678" s="2" t="str">
        <f ca="1"/>
        <v>Bad</v>
      </c>
    </row>
    <row r="1679" spans="2:34" x14ac:dyDescent="0.2">
      <c r="B1679" s="2">
        <f ca="1"/>
        <v>0.82507216596465782</v>
      </c>
      <c r="O1679" s="2">
        <f ca="1"/>
        <v>-0.42425815129204497</v>
      </c>
      <c r="X1679" s="2">
        <f ca="1"/>
        <v>77.672917602310378</v>
      </c>
      <c r="AG1679" s="2">
        <f ca="1"/>
        <v>0.68517437795186464</v>
      </c>
      <c r="AH1679" s="2" t="str">
        <f ca="1"/>
        <v>Bad</v>
      </c>
    </row>
    <row r="1680" spans="2:34" x14ac:dyDescent="0.2">
      <c r="B1680" s="2">
        <f ca="1"/>
        <v>0.37548559925053615</v>
      </c>
      <c r="O1680" s="2">
        <f ca="1"/>
        <v>0.68310500833750876</v>
      </c>
      <c r="X1680" s="2">
        <f ca="1"/>
        <v>28.776385031784265</v>
      </c>
      <c r="AG1680" s="2">
        <f ca="1"/>
        <v>0.9545615320133034</v>
      </c>
      <c r="AH1680" s="2" t="str">
        <f ca="1"/>
        <v>Bad</v>
      </c>
    </row>
    <row r="1681" spans="2:34" x14ac:dyDescent="0.2">
      <c r="B1681" s="2">
        <f ca="1"/>
        <v>0.43167922228404509</v>
      </c>
      <c r="O1681" s="2">
        <f ca="1"/>
        <v>-0.10872223963545539</v>
      </c>
      <c r="X1681" s="2">
        <f ca="1"/>
        <v>71.627876284565758</v>
      </c>
      <c r="AG1681" s="2">
        <f ca="1"/>
        <v>0.24646892187054448</v>
      </c>
      <c r="AH1681" s="2" t="str">
        <f ca="1"/>
        <v>OK</v>
      </c>
    </row>
    <row r="1682" spans="2:34" x14ac:dyDescent="0.2">
      <c r="B1682" s="2">
        <f ca="1"/>
        <v>0.30833784700548361</v>
      </c>
      <c r="O1682" s="2">
        <f ca="1"/>
        <v>0.25667955042097862</v>
      </c>
      <c r="X1682" s="2">
        <f ca="1"/>
        <v>81.8765579173471</v>
      </c>
      <c r="AG1682" s="2">
        <f ca="1"/>
        <v>0.22530756527584583</v>
      </c>
      <c r="AH1682" s="2" t="str">
        <f ca="1"/>
        <v>OK</v>
      </c>
    </row>
    <row r="1683" spans="2:34" x14ac:dyDescent="0.2">
      <c r="B1683" s="2">
        <f ca="1"/>
        <v>0.31014669020722918</v>
      </c>
      <c r="O1683" s="2">
        <f ca="1"/>
        <v>-1.7063231014178859</v>
      </c>
      <c r="X1683" s="2">
        <f ca="1"/>
        <v>32.734750913272784</v>
      </c>
      <c r="AG1683" s="2">
        <f ca="1"/>
        <v>0.33923114386821918</v>
      </c>
      <c r="AH1683" s="2" t="str">
        <f ca="1"/>
        <v>OK</v>
      </c>
    </row>
    <row r="1684" spans="2:34" x14ac:dyDescent="0.2">
      <c r="B1684" s="2">
        <f ca="1"/>
        <v>2.1931076817738315E-4</v>
      </c>
      <c r="O1684" s="2">
        <f ca="1"/>
        <v>-0.89275644761688855</v>
      </c>
      <c r="X1684" s="2">
        <f ca="1"/>
        <v>57.647500757172494</v>
      </c>
      <c r="AG1684" s="2">
        <f ca="1"/>
        <v>0.60898243880107983</v>
      </c>
      <c r="AH1684" s="2" t="str">
        <f ca="1"/>
        <v>Bad</v>
      </c>
    </row>
    <row r="1685" spans="2:34" x14ac:dyDescent="0.2">
      <c r="B1685" s="2">
        <f ca="1"/>
        <v>0.62855215181614943</v>
      </c>
      <c r="O1685" s="2">
        <f ca="1"/>
        <v>-0.41343149192646067</v>
      </c>
      <c r="X1685" s="2">
        <f ca="1"/>
        <v>34.706878674266093</v>
      </c>
      <c r="AG1685" s="2">
        <f ca="1"/>
        <v>0.43753208787817921</v>
      </c>
      <c r="AH1685" s="2" t="str">
        <f ca="1"/>
        <v>Bad</v>
      </c>
    </row>
    <row r="1686" spans="2:34" x14ac:dyDescent="0.2">
      <c r="B1686" s="2">
        <f ca="1"/>
        <v>3.9680208616046375E-3</v>
      </c>
      <c r="O1686" s="2">
        <f ca="1"/>
        <v>-0.10412568153269239</v>
      </c>
      <c r="X1686" s="2">
        <f ca="1"/>
        <v>62.248288409297871</v>
      </c>
      <c r="AG1686" s="2">
        <f ca="1"/>
        <v>0.44510769546725304</v>
      </c>
      <c r="AH1686" s="2" t="str">
        <f ca="1"/>
        <v>Bad</v>
      </c>
    </row>
    <row r="1687" spans="2:34" x14ac:dyDescent="0.2">
      <c r="B1687" s="2">
        <f ca="1"/>
        <v>0.93898830526270771</v>
      </c>
      <c r="O1687" s="2">
        <f ca="1"/>
        <v>-1.1440850189257639</v>
      </c>
      <c r="X1687" s="2">
        <f ca="1"/>
        <v>30.793870453380524</v>
      </c>
      <c r="AG1687" s="2">
        <f ca="1"/>
        <v>0.55136005395204446</v>
      </c>
      <c r="AH1687" s="2" t="str">
        <f ca="1"/>
        <v>Bad</v>
      </c>
    </row>
    <row r="1688" spans="2:34" x14ac:dyDescent="0.2">
      <c r="B1688" s="2">
        <f ca="1"/>
        <v>0.11519822409213099</v>
      </c>
      <c r="O1688" s="2">
        <f ca="1"/>
        <v>-0.50639718169925585</v>
      </c>
      <c r="X1688" s="2">
        <f ca="1"/>
        <v>40.597896543252844</v>
      </c>
      <c r="AG1688" s="2">
        <f ca="1"/>
        <v>0.79693925332977411</v>
      </c>
      <c r="AH1688" s="2" t="str">
        <f ca="1"/>
        <v>Bad</v>
      </c>
    </row>
    <row r="1689" spans="2:34" x14ac:dyDescent="0.2">
      <c r="B1689" s="2">
        <f ca="1"/>
        <v>0.90596380317441882</v>
      </c>
      <c r="O1689" s="2">
        <f ca="1"/>
        <v>-7.8460720887118085E-2</v>
      </c>
      <c r="X1689" s="2">
        <f ca="1"/>
        <v>64.549204577460713</v>
      </c>
      <c r="AG1689" s="2">
        <f ca="1"/>
        <v>0.51183853465278029</v>
      </c>
      <c r="AH1689" s="2" t="str">
        <f ca="1"/>
        <v>Bad</v>
      </c>
    </row>
    <row r="1690" spans="2:34" x14ac:dyDescent="0.2">
      <c r="B1690" s="2">
        <f ca="1"/>
        <v>0.8708289488985359</v>
      </c>
      <c r="O1690" s="2">
        <f ca="1"/>
        <v>1.3278448297477048</v>
      </c>
      <c r="X1690" s="2">
        <f ca="1"/>
        <v>64.734211215179457</v>
      </c>
      <c r="AG1690" s="2">
        <f ca="1"/>
        <v>0.47570638831213841</v>
      </c>
      <c r="AH1690" s="2" t="str">
        <f ca="1"/>
        <v>Bad</v>
      </c>
    </row>
    <row r="1691" spans="2:34" x14ac:dyDescent="0.2">
      <c r="B1691" s="2">
        <f ca="1"/>
        <v>0.3188304817322245</v>
      </c>
      <c r="O1691" s="2">
        <f ca="1"/>
        <v>6.3215787791234199E-2</v>
      </c>
      <c r="X1691" s="2">
        <f ca="1"/>
        <v>45.16167317710773</v>
      </c>
      <c r="AG1691" s="2">
        <f ca="1"/>
        <v>0.42087278598044331</v>
      </c>
      <c r="AH1691" s="2" t="str">
        <f ca="1"/>
        <v>Bad</v>
      </c>
    </row>
    <row r="1692" spans="2:34" x14ac:dyDescent="0.2">
      <c r="B1692" s="2">
        <f ca="1"/>
        <v>0.99813182969343472</v>
      </c>
      <c r="O1692" s="2">
        <f ca="1"/>
        <v>0.90228629773853153</v>
      </c>
      <c r="X1692" s="2">
        <f ca="1"/>
        <v>51.153272588447052</v>
      </c>
      <c r="AG1692" s="2">
        <f ca="1"/>
        <v>0.63515313870851831</v>
      </c>
      <c r="AH1692" s="2" t="str">
        <f ca="1"/>
        <v>Bad</v>
      </c>
    </row>
    <row r="1693" spans="2:34" x14ac:dyDescent="0.2">
      <c r="B1693" s="2">
        <f ca="1"/>
        <v>0.83286635078749449</v>
      </c>
      <c r="O1693" s="2">
        <f ca="1"/>
        <v>-2.3230246422551768</v>
      </c>
      <c r="X1693" s="2">
        <f ca="1"/>
        <v>71.138617439928737</v>
      </c>
      <c r="AG1693" s="2">
        <f ca="1"/>
        <v>9.6627694454910262E-2</v>
      </c>
      <c r="AH1693" s="2" t="str">
        <f ca="1"/>
        <v>OK</v>
      </c>
    </row>
    <row r="1694" spans="2:34" x14ac:dyDescent="0.2">
      <c r="B1694" s="2">
        <f ca="1"/>
        <v>0.33240979384560965</v>
      </c>
      <c r="O1694" s="2">
        <f ca="1"/>
        <v>1.0939338122437436</v>
      </c>
      <c r="X1694" s="2">
        <f ca="1"/>
        <v>58.142768534399124</v>
      </c>
      <c r="AG1694" s="2">
        <f ca="1"/>
        <v>0.1120479670316894</v>
      </c>
      <c r="AH1694" s="2" t="str">
        <f ca="1"/>
        <v>OK</v>
      </c>
    </row>
    <row r="1695" spans="2:34" x14ac:dyDescent="0.2">
      <c r="B1695" s="2">
        <f ca="1"/>
        <v>0.54069021344160406</v>
      </c>
      <c r="O1695" s="2">
        <f ca="1"/>
        <v>-1.6998166830907611</v>
      </c>
      <c r="X1695" s="2">
        <f ca="1"/>
        <v>36.884050927294091</v>
      </c>
      <c r="AG1695" s="2">
        <f ca="1"/>
        <v>0.44858578405158744</v>
      </c>
      <c r="AH1695" s="2" t="str">
        <f ca="1"/>
        <v>Bad</v>
      </c>
    </row>
    <row r="1696" spans="2:34" x14ac:dyDescent="0.2">
      <c r="B1696" s="2">
        <f ca="1"/>
        <v>0.48226896162161803</v>
      </c>
      <c r="O1696" s="2">
        <f ca="1"/>
        <v>-3.375612291032578E-2</v>
      </c>
      <c r="X1696" s="2">
        <f ca="1"/>
        <v>39.254232602097268</v>
      </c>
      <c r="AG1696" s="2">
        <f ca="1"/>
        <v>0.68366772035834655</v>
      </c>
      <c r="AH1696" s="2" t="str">
        <f ca="1"/>
        <v>Bad</v>
      </c>
    </row>
    <row r="1697" spans="2:34" x14ac:dyDescent="0.2">
      <c r="B1697" s="2">
        <f ca="1"/>
        <v>0.65482757346235787</v>
      </c>
      <c r="O1697" s="2">
        <f ca="1"/>
        <v>0.41327260534660265</v>
      </c>
      <c r="X1697" s="2">
        <f ca="1"/>
        <v>46.846593953520077</v>
      </c>
      <c r="AG1697" s="2">
        <f ca="1"/>
        <v>0.66385605295069117</v>
      </c>
      <c r="AH1697" s="2" t="str">
        <f ca="1"/>
        <v>Bad</v>
      </c>
    </row>
    <row r="1698" spans="2:34" x14ac:dyDescent="0.2">
      <c r="B1698" s="2">
        <f ca="1"/>
        <v>0.14422632284504067</v>
      </c>
      <c r="O1698" s="2">
        <f ca="1"/>
        <v>0.3619755321168564</v>
      </c>
      <c r="X1698" s="2">
        <f ca="1"/>
        <v>44.828863203667666</v>
      </c>
      <c r="AG1698" s="2">
        <f ca="1"/>
        <v>0.21932355128019165</v>
      </c>
      <c r="AH1698" s="2" t="str">
        <f ca="1"/>
        <v>OK</v>
      </c>
    </row>
    <row r="1699" spans="2:34" x14ac:dyDescent="0.2">
      <c r="B1699" s="2">
        <f ca="1"/>
        <v>0.66072026612096013</v>
      </c>
      <c r="O1699" s="2">
        <f ca="1"/>
        <v>-0.36441791966588227</v>
      </c>
      <c r="X1699" s="2">
        <f ca="1"/>
        <v>17.096370751322013</v>
      </c>
      <c r="AG1699" s="2">
        <f ca="1"/>
        <v>0.98843066771552635</v>
      </c>
      <c r="AH1699" s="2" t="str">
        <f ca="1"/>
        <v>Bad</v>
      </c>
    </row>
    <row r="1700" spans="2:34" x14ac:dyDescent="0.2">
      <c r="B1700" s="2">
        <f ca="1"/>
        <v>0.60519336570679161</v>
      </c>
      <c r="O1700" s="2">
        <f ca="1"/>
        <v>-0.59647078095896333</v>
      </c>
      <c r="X1700" s="2">
        <f ca="1"/>
        <v>57.898004161343721</v>
      </c>
      <c r="AG1700" s="2">
        <f ca="1"/>
        <v>0.57944886059337408</v>
      </c>
      <c r="AH1700" s="2" t="str">
        <f ca="1"/>
        <v>Bad</v>
      </c>
    </row>
    <row r="1701" spans="2:34" x14ac:dyDescent="0.2">
      <c r="B1701" s="2">
        <f ca="1"/>
        <v>0.27912048080809249</v>
      </c>
      <c r="O1701" s="2">
        <f ca="1"/>
        <v>2.4507709205826727</v>
      </c>
      <c r="X1701" s="2">
        <f ca="1"/>
        <v>54.854928201810168</v>
      </c>
      <c r="AG1701" s="2">
        <f ca="1"/>
        <v>0.36248502929170412</v>
      </c>
      <c r="AH1701" s="2" t="str">
        <f ca="1"/>
        <v>OK</v>
      </c>
    </row>
    <row r="1702" spans="2:34" x14ac:dyDescent="0.2">
      <c r="B1702" s="2">
        <f ca="1"/>
        <v>0.33197764319533252</v>
      </c>
      <c r="O1702" s="2">
        <f ca="1"/>
        <v>-0.49032667972314747</v>
      </c>
      <c r="X1702" s="2">
        <f ca="1"/>
        <v>62.221656713992004</v>
      </c>
      <c r="AG1702" s="2">
        <f ca="1"/>
        <v>0.81346413565560294</v>
      </c>
      <c r="AH1702" s="2" t="str">
        <f ca="1"/>
        <v>Bad</v>
      </c>
    </row>
    <row r="1703" spans="2:34" x14ac:dyDescent="0.2">
      <c r="B1703" s="2">
        <f ca="1"/>
        <v>0.44431430439630626</v>
      </c>
      <c r="O1703" s="2">
        <f ca="1"/>
        <v>-0.76511711165275453</v>
      </c>
      <c r="X1703" s="2">
        <f ca="1"/>
        <v>47.556298763393769</v>
      </c>
      <c r="AG1703" s="2">
        <f ca="1"/>
        <v>0.65423272065151239</v>
      </c>
      <c r="AH1703" s="2" t="str">
        <f ca="1"/>
        <v>Bad</v>
      </c>
    </row>
    <row r="1704" spans="2:34" x14ac:dyDescent="0.2">
      <c r="B1704" s="2">
        <f ca="1"/>
        <v>0.70231331426033505</v>
      </c>
      <c r="O1704" s="2">
        <f ca="1"/>
        <v>1.0621040055108357</v>
      </c>
      <c r="X1704" s="2">
        <f ca="1"/>
        <v>50.427207862960188</v>
      </c>
      <c r="AG1704" s="2">
        <f ca="1"/>
        <v>0.49241228770005274</v>
      </c>
      <c r="AH1704" s="2" t="str">
        <f ca="1"/>
        <v>Bad</v>
      </c>
    </row>
    <row r="1705" spans="2:34" x14ac:dyDescent="0.2">
      <c r="B1705" s="2">
        <f ca="1"/>
        <v>0.78341704173475502</v>
      </c>
      <c r="O1705" s="2">
        <f ca="1"/>
        <v>-0.47160034360712744</v>
      </c>
      <c r="X1705" s="2">
        <f ca="1"/>
        <v>51.577445313540565</v>
      </c>
      <c r="AG1705" s="2">
        <f ca="1"/>
        <v>0.97884814725002078</v>
      </c>
      <c r="AH1705" s="2" t="str">
        <f ca="1"/>
        <v>Bad</v>
      </c>
    </row>
    <row r="1706" spans="2:34" x14ac:dyDescent="0.2">
      <c r="B1706" s="2">
        <f ca="1"/>
        <v>0.72728220044499792</v>
      </c>
      <c r="O1706" s="2">
        <f ca="1"/>
        <v>1.0392982626891709</v>
      </c>
      <c r="X1706" s="2">
        <f ca="1"/>
        <v>30.283176017123651</v>
      </c>
      <c r="AG1706" s="2">
        <f ca="1"/>
        <v>0.79932309684551872</v>
      </c>
      <c r="AH1706" s="2" t="str">
        <f ca="1"/>
        <v>Bad</v>
      </c>
    </row>
    <row r="1707" spans="2:34" x14ac:dyDescent="0.2">
      <c r="B1707" s="2">
        <f ca="1"/>
        <v>0.32563383255928291</v>
      </c>
      <c r="O1707" s="2">
        <f ca="1"/>
        <v>-0.21638876329119322</v>
      </c>
      <c r="X1707" s="2">
        <f ca="1"/>
        <v>60.812374184910205</v>
      </c>
      <c r="AG1707" s="2">
        <f ca="1"/>
        <v>0.26671967955639331</v>
      </c>
      <c r="AH1707" s="2" t="str">
        <f ca="1"/>
        <v>OK</v>
      </c>
    </row>
    <row r="1708" spans="2:34" x14ac:dyDescent="0.2">
      <c r="B1708" s="2">
        <f ca="1"/>
        <v>0.36735001517539123</v>
      </c>
      <c r="O1708" s="2">
        <f ca="1"/>
        <v>-0.42060082050406872</v>
      </c>
      <c r="X1708" s="2">
        <f ca="1"/>
        <v>51.101500245068124</v>
      </c>
      <c r="AG1708" s="2">
        <f ca="1"/>
        <v>0.64900672718084995</v>
      </c>
      <c r="AH1708" s="2" t="str">
        <f ca="1"/>
        <v>Bad</v>
      </c>
    </row>
    <row r="1709" spans="2:34" x14ac:dyDescent="0.2">
      <c r="B1709" s="2">
        <f ca="1"/>
        <v>0.99161768291038777</v>
      </c>
      <c r="O1709" s="2">
        <f ca="1"/>
        <v>-0.83064306841391489</v>
      </c>
      <c r="X1709" s="2">
        <f ca="1"/>
        <v>83.557495408917518</v>
      </c>
      <c r="AG1709" s="2">
        <f ca="1"/>
        <v>0.32980613299320227</v>
      </c>
      <c r="AH1709" s="2" t="str">
        <f ca="1"/>
        <v>OK</v>
      </c>
    </row>
    <row r="1710" spans="2:34" x14ac:dyDescent="0.2">
      <c r="B1710" s="2">
        <f ca="1"/>
        <v>0.75252050163216078</v>
      </c>
      <c r="O1710" s="2">
        <f ca="1"/>
        <v>0.75294996527758895</v>
      </c>
      <c r="X1710" s="2">
        <f ca="1"/>
        <v>65.453398132135021</v>
      </c>
      <c r="AG1710" s="2">
        <f ca="1"/>
        <v>0.68642979418856354</v>
      </c>
      <c r="AH1710" s="2" t="str">
        <f ca="1"/>
        <v>Bad</v>
      </c>
    </row>
    <row r="1711" spans="2:34" x14ac:dyDescent="0.2">
      <c r="B1711" s="2">
        <f ca="1"/>
        <v>0.24472776144016506</v>
      </c>
      <c r="O1711" s="2">
        <f ca="1"/>
        <v>-1.6192442553395761</v>
      </c>
      <c r="X1711" s="2">
        <f ca="1"/>
        <v>68.308460982796646</v>
      </c>
      <c r="AG1711" s="2">
        <f ca="1"/>
        <v>0.65350058075437012</v>
      </c>
      <c r="AH1711" s="2" t="str">
        <f ca="1"/>
        <v>Bad</v>
      </c>
    </row>
    <row r="1712" spans="2:34" x14ac:dyDescent="0.2">
      <c r="B1712" s="2">
        <f ca="1"/>
        <v>0.43979639741608323</v>
      </c>
      <c r="O1712" s="2">
        <f ca="1"/>
        <v>2.0563481665052876</v>
      </c>
      <c r="X1712" s="2">
        <f ca="1"/>
        <v>72.38023803594804</v>
      </c>
      <c r="AG1712" s="2">
        <f ca="1"/>
        <v>0.68807432411378167</v>
      </c>
      <c r="AH1712" s="2" t="str">
        <f ca="1"/>
        <v>Bad</v>
      </c>
    </row>
    <row r="1713" spans="2:34" x14ac:dyDescent="0.2">
      <c r="B1713" s="2">
        <f ca="1"/>
        <v>0.65410860027419626</v>
      </c>
      <c r="O1713" s="2">
        <f ca="1"/>
        <v>-0.5972878559828535</v>
      </c>
      <c r="X1713" s="2">
        <f ca="1"/>
        <v>26.660635895276798</v>
      </c>
      <c r="AG1713" s="2">
        <f ca="1"/>
        <v>0.53635240031158715</v>
      </c>
      <c r="AH1713" s="2" t="str">
        <f ca="1"/>
        <v>Bad</v>
      </c>
    </row>
    <row r="1714" spans="2:34" x14ac:dyDescent="0.2">
      <c r="B1714" s="2">
        <f ca="1"/>
        <v>0.36372919391979952</v>
      </c>
      <c r="O1714" s="2">
        <f ca="1"/>
        <v>1.3255212035191566</v>
      </c>
      <c r="X1714" s="2">
        <f ca="1"/>
        <v>35.233631993404444</v>
      </c>
      <c r="AG1714" s="2">
        <f ca="1"/>
        <v>0.36450598935816059</v>
      </c>
      <c r="AH1714" s="2" t="str">
        <f ca="1"/>
        <v>OK</v>
      </c>
    </row>
    <row r="1715" spans="2:34" x14ac:dyDescent="0.2">
      <c r="B1715" s="2">
        <f ca="1"/>
        <v>0.33662154722172999</v>
      </c>
      <c r="O1715" s="2">
        <f ca="1"/>
        <v>-0.80328617025711524</v>
      </c>
      <c r="X1715" s="2">
        <f ca="1"/>
        <v>31.832265053902642</v>
      </c>
      <c r="AG1715" s="2">
        <f ca="1"/>
        <v>6.1509204652991922E-3</v>
      </c>
      <c r="AH1715" s="2" t="str">
        <f ca="1"/>
        <v>Good</v>
      </c>
    </row>
    <row r="1716" spans="2:34" x14ac:dyDescent="0.2">
      <c r="B1716" s="2">
        <f ca="1"/>
        <v>0.51918822095007533</v>
      </c>
      <c r="O1716" s="2">
        <f ca="1"/>
        <v>-0.18685670293239928</v>
      </c>
      <c r="X1716" s="2">
        <f ca="1"/>
        <v>23.204769130357946</v>
      </c>
      <c r="AG1716" s="2">
        <f ca="1"/>
        <v>0.63497256806755287</v>
      </c>
      <c r="AH1716" s="2" t="str">
        <f ca="1"/>
        <v>Bad</v>
      </c>
    </row>
    <row r="1717" spans="2:34" x14ac:dyDescent="0.2">
      <c r="B1717" s="2">
        <f ca="1"/>
        <v>0.76689644814824276</v>
      </c>
      <c r="O1717" s="2">
        <f ca="1"/>
        <v>0.92023862938503154</v>
      </c>
      <c r="X1717" s="2">
        <f ca="1"/>
        <v>40.637445402572219</v>
      </c>
      <c r="AG1717" s="2">
        <f ca="1"/>
        <v>0.14049369888107943</v>
      </c>
      <c r="AH1717" s="2" t="str">
        <f ca="1"/>
        <v>OK</v>
      </c>
    </row>
    <row r="1718" spans="2:34" x14ac:dyDescent="0.2">
      <c r="B1718" s="2">
        <f ca="1"/>
        <v>0.25145776464889336</v>
      </c>
      <c r="O1718" s="2">
        <f ca="1"/>
        <v>0.89408548773283791</v>
      </c>
      <c r="X1718" s="2">
        <f ca="1"/>
        <v>49.195968912046766</v>
      </c>
      <c r="AG1718" s="2">
        <f ca="1"/>
        <v>0.9624358724821962</v>
      </c>
      <c r="AH1718" s="2" t="str">
        <f ca="1"/>
        <v>Bad</v>
      </c>
    </row>
    <row r="1719" spans="2:34" x14ac:dyDescent="0.2">
      <c r="B1719" s="2">
        <f ca="1"/>
        <v>0.24377311461627649</v>
      </c>
      <c r="O1719" s="2">
        <f ca="1"/>
        <v>-2.7636134828621803E-2</v>
      </c>
      <c r="X1719" s="2">
        <f ca="1"/>
        <v>43.256808588893954</v>
      </c>
      <c r="AG1719" s="2">
        <f ca="1"/>
        <v>0.39449966676346304</v>
      </c>
      <c r="AH1719" s="2" t="str">
        <f ca="1"/>
        <v>OK</v>
      </c>
    </row>
    <row r="1720" spans="2:34" x14ac:dyDescent="0.2">
      <c r="B1720" s="2">
        <f ca="1"/>
        <v>0.17092824770025161</v>
      </c>
      <c r="O1720" s="2">
        <f ca="1"/>
        <v>-6.7151991386232915E-2</v>
      </c>
      <c r="X1720" s="2">
        <f ca="1"/>
        <v>64.659968344672038</v>
      </c>
      <c r="AG1720" s="2">
        <f ca="1"/>
        <v>4.8400150898125993E-2</v>
      </c>
      <c r="AH1720" s="2" t="str">
        <f ca="1"/>
        <v>Good</v>
      </c>
    </row>
    <row r="1721" spans="2:34" x14ac:dyDescent="0.2">
      <c r="B1721" s="2">
        <f ca="1"/>
        <v>0.45712055980081745</v>
      </c>
      <c r="O1721" s="2">
        <f ca="1"/>
        <v>-1.5591873825751792</v>
      </c>
      <c r="X1721" s="2">
        <f ca="1"/>
        <v>53.898594195481884</v>
      </c>
      <c r="AG1721" s="2">
        <f ca="1"/>
        <v>0.15916449029944846</v>
      </c>
      <c r="AH1721" s="2" t="str">
        <f ca="1"/>
        <v>OK</v>
      </c>
    </row>
    <row r="1722" spans="2:34" x14ac:dyDescent="0.2">
      <c r="B1722" s="2">
        <f ca="1"/>
        <v>0.66961515849160258</v>
      </c>
      <c r="O1722" s="2">
        <f ca="1"/>
        <v>0.41648253033504867</v>
      </c>
      <c r="X1722" s="2">
        <f ca="1"/>
        <v>51.485732363463498</v>
      </c>
      <c r="AG1722" s="2">
        <f ca="1"/>
        <v>0.68899448307402622</v>
      </c>
      <c r="AH1722" s="2" t="str">
        <f ca="1"/>
        <v>Bad</v>
      </c>
    </row>
    <row r="1723" spans="2:34" x14ac:dyDescent="0.2">
      <c r="B1723" s="2">
        <f ca="1"/>
        <v>0.28633544796166976</v>
      </c>
      <c r="O1723" s="2">
        <f ca="1"/>
        <v>-0.17766688266465749</v>
      </c>
      <c r="X1723" s="2">
        <f ca="1"/>
        <v>73.261587478257582</v>
      </c>
      <c r="AG1723" s="2">
        <f ca="1"/>
        <v>0.84821145924608921</v>
      </c>
      <c r="AH1723" s="2" t="str">
        <f ca="1"/>
        <v>Bad</v>
      </c>
    </row>
    <row r="1724" spans="2:34" x14ac:dyDescent="0.2">
      <c r="B1724" s="2">
        <f ca="1"/>
        <v>0.88459410688816154</v>
      </c>
      <c r="O1724" s="2">
        <f ca="1"/>
        <v>0.78332843888863435</v>
      </c>
      <c r="X1724" s="2">
        <f ca="1"/>
        <v>63.085947381525934</v>
      </c>
      <c r="AG1724" s="2">
        <f ca="1"/>
        <v>0.73136408471862691</v>
      </c>
      <c r="AH1724" s="2" t="str">
        <f ca="1"/>
        <v>Bad</v>
      </c>
    </row>
    <row r="1725" spans="2:34" x14ac:dyDescent="0.2">
      <c r="B1725" s="2">
        <f ca="1"/>
        <v>0.46395992367929995</v>
      </c>
      <c r="O1725" s="2">
        <f ca="1"/>
        <v>-1.39440510424701</v>
      </c>
      <c r="X1725" s="2">
        <f ca="1"/>
        <v>47.870236940475124</v>
      </c>
      <c r="AG1725" s="2">
        <f ca="1"/>
        <v>0.40996277262667902</v>
      </c>
      <c r="AH1725" s="2" t="str">
        <f ca="1"/>
        <v>Bad</v>
      </c>
    </row>
    <row r="1726" spans="2:34" x14ac:dyDescent="0.2">
      <c r="B1726" s="2">
        <f ca="1"/>
        <v>0.2916995295952467</v>
      </c>
      <c r="O1726" s="2">
        <f ca="1"/>
        <v>-0.86155352274240127</v>
      </c>
      <c r="X1726" s="2">
        <f ca="1"/>
        <v>55.02855908343421</v>
      </c>
      <c r="AG1726" s="2">
        <f ca="1"/>
        <v>0.97470588048295692</v>
      </c>
      <c r="AH1726" s="2" t="str">
        <f ca="1"/>
        <v>Bad</v>
      </c>
    </row>
    <row r="1727" spans="2:34" x14ac:dyDescent="0.2">
      <c r="B1727" s="2">
        <f ca="1"/>
        <v>0.91112315783783759</v>
      </c>
      <c r="O1727" s="2">
        <f ca="1"/>
        <v>-1.1828335532574221</v>
      </c>
      <c r="X1727" s="2">
        <f ca="1"/>
        <v>39.395213097156663</v>
      </c>
      <c r="AG1727" s="2">
        <f ca="1"/>
        <v>0.58625477137446524</v>
      </c>
      <c r="AH1727" s="2" t="str">
        <f ca="1"/>
        <v>Bad</v>
      </c>
    </row>
    <row r="1728" spans="2:34" x14ac:dyDescent="0.2">
      <c r="B1728" s="2">
        <f ca="1"/>
        <v>0.36261260038619292</v>
      </c>
      <c r="O1728" s="2">
        <f ca="1"/>
        <v>0.24201310957575839</v>
      </c>
      <c r="X1728" s="2">
        <f ca="1"/>
        <v>40.969690182968563</v>
      </c>
      <c r="AG1728" s="2">
        <f ca="1"/>
        <v>0.38339218991131419</v>
      </c>
      <c r="AH1728" s="2" t="str">
        <f ca="1"/>
        <v>OK</v>
      </c>
    </row>
    <row r="1729" spans="2:34" x14ac:dyDescent="0.2">
      <c r="B1729" s="2">
        <f ca="1"/>
        <v>3.6921870143743707E-2</v>
      </c>
      <c r="O1729" s="2">
        <f ca="1"/>
        <v>0.88324663823428007</v>
      </c>
      <c r="X1729" s="2">
        <f ca="1"/>
        <v>35.162878446869328</v>
      </c>
      <c r="AG1729" s="2">
        <f ca="1"/>
        <v>0.37921379400006883</v>
      </c>
      <c r="AH1729" s="2" t="str">
        <f ca="1"/>
        <v>OK</v>
      </c>
    </row>
    <row r="1730" spans="2:34" x14ac:dyDescent="0.2">
      <c r="B1730" s="2">
        <f ca="1"/>
        <v>6.0373058879143349E-2</v>
      </c>
      <c r="O1730" s="2">
        <f ca="1"/>
        <v>-0.72296058396568563</v>
      </c>
      <c r="X1730" s="2">
        <f ca="1"/>
        <v>58.713783583411669</v>
      </c>
      <c r="AG1730" s="2">
        <f ca="1"/>
        <v>0.54615077307230786</v>
      </c>
      <c r="AH1730" s="2" t="str">
        <f ca="1"/>
        <v>Bad</v>
      </c>
    </row>
    <row r="1731" spans="2:34" x14ac:dyDescent="0.2">
      <c r="B1731" s="2">
        <f ca="1"/>
        <v>0.17301716362599562</v>
      </c>
      <c r="O1731" s="2">
        <f ca="1"/>
        <v>-1.0051287202785766</v>
      </c>
      <c r="X1731" s="2">
        <f ca="1"/>
        <v>36.522513368032399</v>
      </c>
      <c r="AG1731" s="2">
        <f ca="1"/>
        <v>0.8829692865705312</v>
      </c>
      <c r="AH1731" s="2" t="str">
        <f ca="1"/>
        <v>Bad</v>
      </c>
    </row>
    <row r="1732" spans="2:34" x14ac:dyDescent="0.2">
      <c r="B1732" s="2">
        <f ca="1"/>
        <v>0.26346644948205444</v>
      </c>
      <c r="O1732" s="2">
        <f ca="1"/>
        <v>1.7759532370687938</v>
      </c>
      <c r="X1732" s="2">
        <f ca="1"/>
        <v>35.161726776826164</v>
      </c>
      <c r="AG1732" s="2">
        <f ca="1"/>
        <v>0.70630471026146036</v>
      </c>
      <c r="AH1732" s="2" t="str">
        <f ca="1"/>
        <v>Bad</v>
      </c>
    </row>
    <row r="1733" spans="2:34" x14ac:dyDescent="0.2">
      <c r="B1733" s="2">
        <f ca="1"/>
        <v>9.3999912786562279E-2</v>
      </c>
      <c r="O1733" s="2">
        <f ca="1"/>
        <v>-0.12154701269684055</v>
      </c>
      <c r="X1733" s="2">
        <f ca="1"/>
        <v>60.884929039379031</v>
      </c>
      <c r="AG1733" s="2">
        <f ca="1"/>
        <v>0.62191869167220282</v>
      </c>
      <c r="AH1733" s="2" t="str">
        <f ca="1"/>
        <v>Bad</v>
      </c>
    </row>
    <row r="1734" spans="2:34" x14ac:dyDescent="0.2">
      <c r="B1734" s="2">
        <f ca="1"/>
        <v>0.85956118348026878</v>
      </c>
      <c r="O1734" s="2">
        <f ca="1"/>
        <v>-4.7917440944973098E-2</v>
      </c>
      <c r="X1734" s="2">
        <f ca="1"/>
        <v>60.420556643835369</v>
      </c>
      <c r="AG1734" s="2">
        <f ca="1"/>
        <v>0.30631174947328144</v>
      </c>
      <c r="AH1734" s="2" t="str">
        <f ca="1"/>
        <v>OK</v>
      </c>
    </row>
    <row r="1735" spans="2:34" x14ac:dyDescent="0.2">
      <c r="B1735" s="2">
        <f ca="1"/>
        <v>0.88859088333392688</v>
      </c>
      <c r="O1735" s="2">
        <f ca="1"/>
        <v>1.6688521904335956</v>
      </c>
      <c r="X1735" s="2">
        <f ca="1"/>
        <v>58.184932078717679</v>
      </c>
      <c r="AG1735" s="2">
        <f ca="1"/>
        <v>0.3908770536770374</v>
      </c>
      <c r="AH1735" s="2" t="str">
        <f ca="1"/>
        <v>OK</v>
      </c>
    </row>
    <row r="1736" spans="2:34" x14ac:dyDescent="0.2">
      <c r="B1736" s="2">
        <f ca="1"/>
        <v>0.11275027135102844</v>
      </c>
      <c r="O1736" s="2">
        <f ca="1"/>
        <v>0.41016447644561688</v>
      </c>
      <c r="X1736" s="2">
        <f ca="1"/>
        <v>79.476126468755893</v>
      </c>
      <c r="AG1736" s="2">
        <f ca="1"/>
        <v>0.39534178883767335</v>
      </c>
      <c r="AH1736" s="2" t="str">
        <f ca="1"/>
        <v>OK</v>
      </c>
    </row>
    <row r="1737" spans="2:34" x14ac:dyDescent="0.2">
      <c r="B1737" s="2">
        <f ca="1"/>
        <v>0.32840060867207432</v>
      </c>
      <c r="O1737" s="2">
        <f ca="1"/>
        <v>-1.4762687215018155</v>
      </c>
      <c r="X1737" s="2">
        <f ca="1"/>
        <v>57.075043189166465</v>
      </c>
      <c r="AG1737" s="2">
        <f ca="1"/>
        <v>0.41264775526900399</v>
      </c>
      <c r="AH1737" s="2" t="str">
        <f ca="1"/>
        <v>Bad</v>
      </c>
    </row>
    <row r="1738" spans="2:34" x14ac:dyDescent="0.2">
      <c r="B1738" s="2">
        <f ca="1"/>
        <v>0.42901859638053241</v>
      </c>
      <c r="O1738" s="2">
        <f ca="1"/>
        <v>-0.70899058878359644</v>
      </c>
      <c r="X1738" s="2">
        <f ca="1"/>
        <v>57.336875389801719</v>
      </c>
      <c r="AG1738" s="2">
        <f ca="1"/>
        <v>0.82251534094460843</v>
      </c>
      <c r="AH1738" s="2" t="str">
        <f ca="1"/>
        <v>Bad</v>
      </c>
    </row>
    <row r="1739" spans="2:34" x14ac:dyDescent="0.2">
      <c r="B1739" s="2">
        <f ca="1"/>
        <v>0.21624723835478332</v>
      </c>
      <c r="O1739" s="2">
        <f ca="1"/>
        <v>-1.0180793991823456</v>
      </c>
      <c r="X1739" s="2">
        <f ca="1"/>
        <v>51.209579285481851</v>
      </c>
      <c r="AG1739" s="2">
        <f ca="1"/>
        <v>0.84714404655634756</v>
      </c>
      <c r="AH1739" s="2" t="str">
        <f ca="1"/>
        <v>Bad</v>
      </c>
    </row>
    <row r="1740" spans="2:34" x14ac:dyDescent="0.2">
      <c r="B1740" s="2">
        <f ca="1"/>
        <v>0.46669990244730175</v>
      </c>
      <c r="O1740" s="2">
        <f ca="1"/>
        <v>-1.2645166672766357</v>
      </c>
      <c r="X1740" s="2">
        <f ca="1"/>
        <v>51.970066312889386</v>
      </c>
      <c r="AG1740" s="2">
        <f ca="1"/>
        <v>0.37538048545115155</v>
      </c>
      <c r="AH1740" s="2" t="str">
        <f ca="1"/>
        <v>OK</v>
      </c>
    </row>
    <row r="1741" spans="2:34" x14ac:dyDescent="0.2">
      <c r="B1741" s="2">
        <f ca="1"/>
        <v>0.35934504116692234</v>
      </c>
      <c r="O1741" s="2">
        <f ca="1"/>
        <v>1.0581091460461234</v>
      </c>
      <c r="X1741" s="2">
        <f ca="1"/>
        <v>39.807222421401157</v>
      </c>
      <c r="AG1741" s="2">
        <f ca="1"/>
        <v>0.43712057373786672</v>
      </c>
      <c r="AH1741" s="2" t="str">
        <f ca="1"/>
        <v>Bad</v>
      </c>
    </row>
    <row r="1742" spans="2:34" x14ac:dyDescent="0.2">
      <c r="B1742" s="2">
        <f ca="1"/>
        <v>0.24006572492752198</v>
      </c>
      <c r="O1742" s="2">
        <f ca="1"/>
        <v>0.83068544096759445</v>
      </c>
      <c r="X1742" s="2">
        <f ca="1"/>
        <v>36.242724358956309</v>
      </c>
      <c r="AG1742" s="2">
        <f ca="1"/>
        <v>0.61600073066227501</v>
      </c>
      <c r="AH1742" s="2" t="str">
        <f ca="1"/>
        <v>Bad</v>
      </c>
    </row>
    <row r="1743" spans="2:34" x14ac:dyDescent="0.2">
      <c r="B1743" s="2">
        <f ca="1"/>
        <v>0.28315899361194941</v>
      </c>
      <c r="O1743" s="2">
        <f ca="1"/>
        <v>1.6583442844682514</v>
      </c>
      <c r="X1743" s="2">
        <f ca="1"/>
        <v>43.456599466703132</v>
      </c>
      <c r="AG1743" s="2">
        <f ca="1"/>
        <v>0.14865506545874796</v>
      </c>
      <c r="AH1743" s="2" t="str">
        <f ca="1"/>
        <v>OK</v>
      </c>
    </row>
    <row r="1744" spans="2:34" x14ac:dyDescent="0.2">
      <c r="B1744" s="2">
        <f ca="1"/>
        <v>0.28092912872933118</v>
      </c>
      <c r="O1744" s="2">
        <f ca="1"/>
        <v>0.99319538136205621</v>
      </c>
      <c r="X1744" s="2">
        <f ca="1"/>
        <v>46.007689207749522</v>
      </c>
      <c r="AG1744" s="2">
        <f ca="1"/>
        <v>0.68924248011128553</v>
      </c>
      <c r="AH1744" s="2" t="str">
        <f ca="1"/>
        <v>Bad</v>
      </c>
    </row>
    <row r="1745" spans="2:34" x14ac:dyDescent="0.2">
      <c r="B1745" s="2">
        <f ca="1"/>
        <v>0.89635849260299638</v>
      </c>
      <c r="O1745" s="2">
        <f ca="1"/>
        <v>-1.4105939425438945</v>
      </c>
      <c r="X1745" s="2">
        <f ca="1"/>
        <v>30.16292987323029</v>
      </c>
      <c r="AG1745" s="2">
        <f ca="1"/>
        <v>1.4294993961473379E-2</v>
      </c>
      <c r="AH1745" s="2" t="str">
        <f ca="1"/>
        <v>Good</v>
      </c>
    </row>
    <row r="1746" spans="2:34" x14ac:dyDescent="0.2">
      <c r="B1746" s="2">
        <f ca="1"/>
        <v>0.88451592959407099</v>
      </c>
      <c r="O1746" s="2">
        <f ca="1"/>
        <v>-0.78906286783420831</v>
      </c>
      <c r="X1746" s="2">
        <f ca="1"/>
        <v>56.133490434013773</v>
      </c>
      <c r="AG1746" s="2">
        <f ca="1"/>
        <v>0.53997126073798429</v>
      </c>
      <c r="AH1746" s="2" t="str">
        <f ca="1"/>
        <v>Bad</v>
      </c>
    </row>
    <row r="1747" spans="2:34" x14ac:dyDescent="0.2">
      <c r="B1747" s="2">
        <f ca="1"/>
        <v>0.68858944563018554</v>
      </c>
      <c r="O1747" s="2">
        <f ca="1"/>
        <v>-1.8406801066417942</v>
      </c>
      <c r="X1747" s="2">
        <f ca="1"/>
        <v>49.242112935984814</v>
      </c>
      <c r="AG1747" s="2">
        <f ca="1"/>
        <v>9.3162432417266405E-2</v>
      </c>
      <c r="AH1747" s="2" t="str">
        <f ca="1"/>
        <v>OK</v>
      </c>
    </row>
    <row r="1748" spans="2:34" x14ac:dyDescent="0.2">
      <c r="B1748" s="2">
        <f ca="1"/>
        <v>0.96355797997312997</v>
      </c>
      <c r="O1748" s="2">
        <f ca="1"/>
        <v>-0.62638603752625188</v>
      </c>
      <c r="X1748" s="2">
        <f ca="1"/>
        <v>62.800378271631665</v>
      </c>
      <c r="AG1748" s="2">
        <f ca="1"/>
        <v>1.9973841135118464E-2</v>
      </c>
      <c r="AH1748" s="2" t="str">
        <f ca="1"/>
        <v>Good</v>
      </c>
    </row>
    <row r="1749" spans="2:34" x14ac:dyDescent="0.2">
      <c r="B1749" s="2">
        <f ca="1"/>
        <v>0.91777298699006882</v>
      </c>
      <c r="O1749" s="2">
        <f ca="1"/>
        <v>-0.86918490689460082</v>
      </c>
      <c r="X1749" s="2">
        <f ca="1"/>
        <v>31.60849917561519</v>
      </c>
      <c r="AG1749" s="2">
        <f ca="1"/>
        <v>0.83832796538614685</v>
      </c>
      <c r="AH1749" s="2" t="str">
        <f ca="1"/>
        <v>Bad</v>
      </c>
    </row>
    <row r="1750" spans="2:34" x14ac:dyDescent="0.2">
      <c r="B1750" s="2">
        <f ca="1"/>
        <v>0.21748050276598696</v>
      </c>
      <c r="O1750" s="2">
        <f ca="1"/>
        <v>-1.1539578517765174</v>
      </c>
      <c r="X1750" s="2">
        <f ca="1"/>
        <v>19.577856008061246</v>
      </c>
      <c r="AG1750" s="2">
        <f ca="1"/>
        <v>0.48504857897389875</v>
      </c>
      <c r="AH1750" s="2" t="str">
        <f ca="1"/>
        <v>Bad</v>
      </c>
    </row>
    <row r="1751" spans="2:34" x14ac:dyDescent="0.2">
      <c r="B1751" s="2">
        <f ca="1"/>
        <v>0.48503835514953964</v>
      </c>
      <c r="O1751" s="2">
        <f ca="1"/>
        <v>-0.51382424606199761</v>
      </c>
      <c r="X1751" s="2">
        <f ca="1"/>
        <v>73.055152416712886</v>
      </c>
      <c r="AG1751" s="2">
        <f ca="1"/>
        <v>0.18977299778454482</v>
      </c>
      <c r="AH1751" s="2" t="str">
        <f ca="1"/>
        <v>OK</v>
      </c>
    </row>
    <row r="1752" spans="2:34" x14ac:dyDescent="0.2">
      <c r="B1752" s="2">
        <f ca="1"/>
        <v>0.59670957294736549</v>
      </c>
      <c r="O1752" s="2">
        <f ca="1"/>
        <v>0.5982533922161275</v>
      </c>
      <c r="X1752" s="2">
        <f ca="1"/>
        <v>57.430236750590993</v>
      </c>
      <c r="AG1752" s="2">
        <f ca="1"/>
        <v>0.37205162437406569</v>
      </c>
      <c r="AH1752" s="2" t="str">
        <f ca="1"/>
        <v>OK</v>
      </c>
    </row>
    <row r="1753" spans="2:34" x14ac:dyDescent="0.2">
      <c r="B1753" s="2">
        <f ca="1"/>
        <v>0.53326408119779556</v>
      </c>
      <c r="O1753" s="2">
        <f ca="1"/>
        <v>1.1046668508577138</v>
      </c>
      <c r="X1753" s="2">
        <f ca="1"/>
        <v>72.74592840853542</v>
      </c>
      <c r="AG1753" s="2">
        <f ca="1"/>
        <v>0.44917899949326023</v>
      </c>
      <c r="AH1753" s="2" t="str">
        <f ca="1"/>
        <v>Bad</v>
      </c>
    </row>
    <row r="1754" spans="2:34" x14ac:dyDescent="0.2">
      <c r="B1754" s="2">
        <f ca="1"/>
        <v>0.79066971101933037</v>
      </c>
      <c r="O1754" s="2">
        <f ca="1"/>
        <v>1.2446536603778344</v>
      </c>
      <c r="X1754" s="2">
        <f ca="1"/>
        <v>58.472081360152295</v>
      </c>
      <c r="AG1754" s="2">
        <f ca="1"/>
        <v>0.73702258014690258</v>
      </c>
      <c r="AH1754" s="2" t="str">
        <f ca="1"/>
        <v>Bad</v>
      </c>
    </row>
    <row r="1755" spans="2:34" x14ac:dyDescent="0.2">
      <c r="B1755" s="2">
        <f ca="1"/>
        <v>0.42796569411710439</v>
      </c>
      <c r="O1755" s="2">
        <f ca="1"/>
        <v>0.66143193572038972</v>
      </c>
      <c r="X1755" s="2">
        <f ca="1"/>
        <v>37.605630442528494</v>
      </c>
      <c r="AG1755" s="2">
        <f ca="1"/>
        <v>0.70152498175944222</v>
      </c>
      <c r="AH1755" s="2" t="str">
        <f ca="1"/>
        <v>Bad</v>
      </c>
    </row>
    <row r="1756" spans="2:34" x14ac:dyDescent="0.2">
      <c r="B1756" s="2">
        <f ca="1"/>
        <v>0.83722994861806233</v>
      </c>
      <c r="O1756" s="2">
        <f ca="1"/>
        <v>0.90419374211463333</v>
      </c>
      <c r="X1756" s="2">
        <f ca="1"/>
        <v>21.521558447921784</v>
      </c>
      <c r="AG1756" s="2">
        <f ca="1"/>
        <v>0.75181699059804896</v>
      </c>
      <c r="AH1756" s="2" t="str">
        <f ca="1"/>
        <v>Bad</v>
      </c>
    </row>
    <row r="1757" spans="2:34" x14ac:dyDescent="0.2">
      <c r="B1757" s="2">
        <f ca="1"/>
        <v>0.38448969059741911</v>
      </c>
      <c r="O1757" s="2">
        <f ca="1"/>
        <v>1.8368003174092584</v>
      </c>
      <c r="X1757" s="2">
        <f ca="1"/>
        <v>44.044814351724057</v>
      </c>
      <c r="AG1757" s="2">
        <f ca="1"/>
        <v>0.51621267518721847</v>
      </c>
      <c r="AH1757" s="2" t="str">
        <f ca="1"/>
        <v>Bad</v>
      </c>
    </row>
    <row r="1758" spans="2:34" x14ac:dyDescent="0.2">
      <c r="B1758" s="2">
        <f ca="1"/>
        <v>5.7354951279217747E-2</v>
      </c>
      <c r="O1758" s="2">
        <f ca="1"/>
        <v>-0.88630525896364187</v>
      </c>
      <c r="X1758" s="2">
        <f ca="1"/>
        <v>45.447309572331619</v>
      </c>
      <c r="AG1758" s="2">
        <f ca="1"/>
        <v>0.95974782025885941</v>
      </c>
      <c r="AH1758" s="2" t="str">
        <f ca="1"/>
        <v>Bad</v>
      </c>
    </row>
    <row r="1759" spans="2:34" x14ac:dyDescent="0.2">
      <c r="B1759" s="2">
        <f ca="1"/>
        <v>0.83286516740376881</v>
      </c>
      <c r="O1759" s="2">
        <f ca="1"/>
        <v>2.8547976827060855</v>
      </c>
      <c r="X1759" s="2">
        <f ca="1"/>
        <v>50.928299865981131</v>
      </c>
      <c r="AG1759" s="2">
        <f ca="1"/>
        <v>0.1856017941948831</v>
      </c>
      <c r="AH1759" s="2" t="str">
        <f ca="1"/>
        <v>OK</v>
      </c>
    </row>
    <row r="1760" spans="2:34" x14ac:dyDescent="0.2">
      <c r="B1760" s="2">
        <f ca="1"/>
        <v>0.45248052587011589</v>
      </c>
      <c r="O1760" s="2">
        <f ca="1"/>
        <v>0.80191022769201203</v>
      </c>
      <c r="X1760" s="2">
        <f ca="1"/>
        <v>58.85223035936896</v>
      </c>
      <c r="AG1760" s="2">
        <f ca="1"/>
        <v>0.79585184602460401</v>
      </c>
      <c r="AH1760" s="2" t="str">
        <f ca="1"/>
        <v>Bad</v>
      </c>
    </row>
    <row r="1761" spans="2:34" x14ac:dyDescent="0.2">
      <c r="B1761" s="2">
        <f ca="1"/>
        <v>4.4699972700731117E-2</v>
      </c>
      <c r="O1761" s="2">
        <f ca="1"/>
        <v>-1.0218237767804645</v>
      </c>
      <c r="X1761" s="2">
        <f ca="1"/>
        <v>27.124023596143431</v>
      </c>
      <c r="AG1761" s="2">
        <f ca="1"/>
        <v>0.96272516330488611</v>
      </c>
      <c r="AH1761" s="2" t="str">
        <f ca="1"/>
        <v>Bad</v>
      </c>
    </row>
    <row r="1762" spans="2:34" x14ac:dyDescent="0.2">
      <c r="B1762" s="2">
        <f ca="1"/>
        <v>0.77321718517964855</v>
      </c>
      <c r="O1762" s="2">
        <f ca="1"/>
        <v>0.42889105160383195</v>
      </c>
      <c r="X1762" s="2">
        <f ca="1"/>
        <v>41.583668375049754</v>
      </c>
      <c r="AG1762" s="2">
        <f ca="1"/>
        <v>0.99828151258273956</v>
      </c>
      <c r="AH1762" s="2" t="str">
        <f ca="1"/>
        <v>Bad</v>
      </c>
    </row>
    <row r="1763" spans="2:34" x14ac:dyDescent="0.2">
      <c r="B1763" s="2">
        <f ca="1"/>
        <v>0.71551521078256175</v>
      </c>
      <c r="O1763" s="2">
        <f ca="1"/>
        <v>1.056992751928916</v>
      </c>
      <c r="X1763" s="2">
        <f ca="1"/>
        <v>48.583389350431872</v>
      </c>
      <c r="AG1763" s="2">
        <f ca="1"/>
        <v>0.43108166844493456</v>
      </c>
      <c r="AH1763" s="2" t="str">
        <f ca="1"/>
        <v>Bad</v>
      </c>
    </row>
    <row r="1764" spans="2:34" x14ac:dyDescent="0.2">
      <c r="B1764" s="2">
        <f ca="1"/>
        <v>0.18873495357084025</v>
      </c>
      <c r="O1764" s="2">
        <f ca="1"/>
        <v>-1.3293603935481835</v>
      </c>
      <c r="X1764" s="2">
        <f ca="1"/>
        <v>46.712296824916663</v>
      </c>
      <c r="AG1764" s="2">
        <f ca="1"/>
        <v>5.1379909321871642E-2</v>
      </c>
      <c r="AH1764" s="2" t="str">
        <f ca="1"/>
        <v>OK</v>
      </c>
    </row>
    <row r="1765" spans="2:34" x14ac:dyDescent="0.2">
      <c r="B1765" s="2">
        <f ca="1"/>
        <v>0.51103518123052361</v>
      </c>
      <c r="O1765" s="2">
        <f ca="1"/>
        <v>-0.81197489864670314</v>
      </c>
      <c r="X1765" s="2">
        <f ca="1"/>
        <v>63.771560779634157</v>
      </c>
      <c r="AG1765" s="2">
        <f ca="1"/>
        <v>0.37985346719113222</v>
      </c>
      <c r="AH1765" s="2" t="str">
        <f ca="1"/>
        <v>OK</v>
      </c>
    </row>
    <row r="1766" spans="2:34" x14ac:dyDescent="0.2">
      <c r="B1766" s="2">
        <f ca="1"/>
        <v>0.55046546520693918</v>
      </c>
      <c r="O1766" s="2">
        <f ca="1"/>
        <v>-0.82167141570668079</v>
      </c>
      <c r="X1766" s="2">
        <f ca="1"/>
        <v>44.572302598584336</v>
      </c>
      <c r="AG1766" s="2">
        <f ca="1"/>
        <v>0.96870968738691254</v>
      </c>
      <c r="AH1766" s="2" t="str">
        <f ca="1"/>
        <v>Bad</v>
      </c>
    </row>
    <row r="1767" spans="2:34" x14ac:dyDescent="0.2">
      <c r="B1767" s="2">
        <f ca="1"/>
        <v>0.98624721092660939</v>
      </c>
      <c r="O1767" s="2">
        <f ca="1"/>
        <v>0.25215372565226418</v>
      </c>
      <c r="X1767" s="2">
        <f ca="1"/>
        <v>38.616216783230286</v>
      </c>
      <c r="AG1767" s="2">
        <f ca="1"/>
        <v>0.25032561760981964</v>
      </c>
      <c r="AH1767" s="2" t="str">
        <f ca="1"/>
        <v>OK</v>
      </c>
    </row>
    <row r="1768" spans="2:34" x14ac:dyDescent="0.2">
      <c r="B1768" s="2">
        <f ca="1"/>
        <v>0.73667856602579085</v>
      </c>
      <c r="O1768" s="2">
        <f ca="1"/>
        <v>1.5319997144054829</v>
      </c>
      <c r="X1768" s="2">
        <f ca="1"/>
        <v>66.886541965832023</v>
      </c>
      <c r="AG1768" s="2">
        <f ca="1"/>
        <v>0.57970711360213723</v>
      </c>
      <c r="AH1768" s="2" t="str">
        <f ca="1"/>
        <v>Bad</v>
      </c>
    </row>
    <row r="1769" spans="2:34" x14ac:dyDescent="0.2">
      <c r="B1769" s="2">
        <f ca="1"/>
        <v>0.65075929826752255</v>
      </c>
      <c r="O1769" s="2">
        <f ca="1"/>
        <v>-0.98060364632945918</v>
      </c>
      <c r="X1769" s="2">
        <f ca="1"/>
        <v>72.534103689866996</v>
      </c>
      <c r="AG1769" s="2">
        <f ca="1"/>
        <v>0.66172552161224596</v>
      </c>
      <c r="AH1769" s="2" t="str">
        <f ca="1"/>
        <v>Bad</v>
      </c>
    </row>
    <row r="1770" spans="2:34" x14ac:dyDescent="0.2">
      <c r="B1770" s="2">
        <f ca="1"/>
        <v>0.28466661200274523</v>
      </c>
      <c r="O1770" s="2">
        <f ca="1"/>
        <v>1.1233907100794616</v>
      </c>
      <c r="X1770" s="2">
        <f ca="1"/>
        <v>38.997033839707136</v>
      </c>
      <c r="AG1770" s="2">
        <f ca="1"/>
        <v>0.97433387040259567</v>
      </c>
      <c r="AH1770" s="2" t="str">
        <f ca="1"/>
        <v>Bad</v>
      </c>
    </row>
    <row r="1771" spans="2:34" x14ac:dyDescent="0.2">
      <c r="B1771" s="2">
        <f ca="1"/>
        <v>0.96205466735762579</v>
      </c>
      <c r="O1771" s="2">
        <f ca="1"/>
        <v>1.4888671810429626</v>
      </c>
      <c r="X1771" s="2">
        <f ca="1"/>
        <v>49.286476703298902</v>
      </c>
      <c r="AG1771" s="2">
        <f ca="1"/>
        <v>0.12778377675761043</v>
      </c>
      <c r="AH1771" s="2" t="str">
        <f ca="1"/>
        <v>OK</v>
      </c>
    </row>
    <row r="1772" spans="2:34" x14ac:dyDescent="0.2">
      <c r="B1772" s="2">
        <f ca="1"/>
        <v>0.14386367186123761</v>
      </c>
      <c r="O1772" s="2">
        <f ca="1"/>
        <v>-1.3225732820841811</v>
      </c>
      <c r="X1772" s="2">
        <f ca="1"/>
        <v>44.96558117984965</v>
      </c>
      <c r="AG1772" s="2">
        <f ca="1"/>
        <v>0.35692053308049831</v>
      </c>
      <c r="AH1772" s="2" t="str">
        <f ca="1"/>
        <v>OK</v>
      </c>
    </row>
    <row r="1773" spans="2:34" x14ac:dyDescent="0.2">
      <c r="B1773" s="2">
        <f ca="1"/>
        <v>0.53138920341846485</v>
      </c>
      <c r="O1773" s="2">
        <f ca="1"/>
        <v>0.93169641302730322</v>
      </c>
      <c r="X1773" s="2">
        <f ca="1"/>
        <v>73.357318426362909</v>
      </c>
      <c r="AG1773" s="2">
        <f ca="1"/>
        <v>0.20970783938351767</v>
      </c>
      <c r="AH1773" s="2" t="str">
        <f ca="1"/>
        <v>OK</v>
      </c>
    </row>
    <row r="1774" spans="2:34" x14ac:dyDescent="0.2">
      <c r="B1774" s="2">
        <f ca="1"/>
        <v>0.61030183647390701</v>
      </c>
      <c r="O1774" s="2">
        <f ca="1"/>
        <v>-1.0685587648254227</v>
      </c>
      <c r="X1774" s="2">
        <f ca="1"/>
        <v>102.65003316999751</v>
      </c>
      <c r="AG1774" s="2">
        <f ca="1"/>
        <v>6.6895394486143234E-2</v>
      </c>
      <c r="AH1774" s="2" t="str">
        <f ca="1"/>
        <v>OK</v>
      </c>
    </row>
    <row r="1775" spans="2:34" x14ac:dyDescent="0.2">
      <c r="B1775" s="2">
        <f ca="1"/>
        <v>0.80727616506596656</v>
      </c>
      <c r="O1775" s="2">
        <f ca="1"/>
        <v>-1.1538811145240526</v>
      </c>
      <c r="X1775" s="2">
        <f ca="1"/>
        <v>44.287594027897292</v>
      </c>
      <c r="AG1775" s="2">
        <f ca="1"/>
        <v>0.78388322186973558</v>
      </c>
      <c r="AH1775" s="2" t="str">
        <f ca="1"/>
        <v>Bad</v>
      </c>
    </row>
    <row r="1776" spans="2:34" x14ac:dyDescent="0.2">
      <c r="B1776" s="2">
        <f ca="1"/>
        <v>0.39694536935364466</v>
      </c>
      <c r="O1776" s="2">
        <f ca="1"/>
        <v>0.36106687221011291</v>
      </c>
      <c r="X1776" s="2">
        <f ca="1"/>
        <v>71.20234042364288</v>
      </c>
      <c r="AG1776" s="2">
        <f ca="1"/>
        <v>0.76060602290856516</v>
      </c>
      <c r="AH1776" s="2" t="str">
        <f ca="1"/>
        <v>Bad</v>
      </c>
    </row>
    <row r="1777" spans="2:34" x14ac:dyDescent="0.2">
      <c r="B1777" s="2">
        <f ca="1"/>
        <v>0.52292021340188</v>
      </c>
      <c r="O1777" s="2">
        <f ca="1"/>
        <v>-1.0870524066779419</v>
      </c>
      <c r="X1777" s="2">
        <f ca="1"/>
        <v>54.272757706883333</v>
      </c>
      <c r="AG1777" s="2">
        <f ca="1"/>
        <v>0.20421670860269958</v>
      </c>
      <c r="AH1777" s="2" t="str">
        <f ca="1"/>
        <v>OK</v>
      </c>
    </row>
    <row r="1778" spans="2:34" x14ac:dyDescent="0.2">
      <c r="B1778" s="2">
        <f ca="1"/>
        <v>0.75862446923064919</v>
      </c>
      <c r="O1778" s="2">
        <f ca="1"/>
        <v>0.61093550524045481</v>
      </c>
      <c r="X1778" s="2">
        <f ca="1"/>
        <v>58.327011474354393</v>
      </c>
      <c r="AG1778" s="2">
        <f ca="1"/>
        <v>0.78305358579394801</v>
      </c>
      <c r="AH1778" s="2" t="str">
        <f ca="1"/>
        <v>Bad</v>
      </c>
    </row>
    <row r="1779" spans="2:34" x14ac:dyDescent="0.2">
      <c r="B1779" s="2">
        <f ca="1"/>
        <v>0.46901226238198435</v>
      </c>
      <c r="O1779" s="2">
        <f ca="1"/>
        <v>-0.89369214794007357</v>
      </c>
      <c r="X1779" s="2">
        <f ca="1"/>
        <v>39.279485381942244</v>
      </c>
      <c r="AG1779" s="2">
        <f ca="1"/>
        <v>0.86072671195656225</v>
      </c>
      <c r="AH1779" s="2" t="str">
        <f ca="1"/>
        <v>Bad</v>
      </c>
    </row>
    <row r="1780" spans="2:34" x14ac:dyDescent="0.2">
      <c r="B1780" s="2">
        <f ca="1"/>
        <v>0.89170136911378006</v>
      </c>
      <c r="O1780" s="2">
        <f ca="1"/>
        <v>0.20479060363298021</v>
      </c>
      <c r="X1780" s="2">
        <f ca="1"/>
        <v>39.55866024817287</v>
      </c>
      <c r="AG1780" s="2">
        <f ca="1"/>
        <v>0.8958948475035784</v>
      </c>
      <c r="AH1780" s="2" t="str">
        <f ca="1"/>
        <v>Bad</v>
      </c>
    </row>
    <row r="1781" spans="2:34" x14ac:dyDescent="0.2">
      <c r="B1781" s="2">
        <f ca="1"/>
        <v>0.3620908475979403</v>
      </c>
      <c r="O1781" s="2">
        <f ca="1"/>
        <v>-1.4863574445587788</v>
      </c>
      <c r="X1781" s="2">
        <f ca="1"/>
        <v>44.616942584859061</v>
      </c>
      <c r="AG1781" s="2">
        <f ca="1"/>
        <v>0.99553255545484931</v>
      </c>
      <c r="AH1781" s="2" t="str">
        <f ca="1"/>
        <v>Bad</v>
      </c>
    </row>
    <row r="1782" spans="2:34" x14ac:dyDescent="0.2">
      <c r="B1782" s="2">
        <f ca="1"/>
        <v>0.64366296872320961</v>
      </c>
      <c r="O1782" s="2">
        <f ca="1"/>
        <v>-0.39462175863357363</v>
      </c>
      <c r="X1782" s="2">
        <f ca="1"/>
        <v>36.447963506946223</v>
      </c>
      <c r="AG1782" s="2">
        <f ca="1"/>
        <v>0.58110469887168725</v>
      </c>
      <c r="AH1782" s="2" t="str">
        <f ca="1"/>
        <v>Bad</v>
      </c>
    </row>
    <row r="1783" spans="2:34" x14ac:dyDescent="0.2">
      <c r="B1783" s="2">
        <f ca="1"/>
        <v>0.16693518788397443</v>
      </c>
      <c r="O1783" s="2">
        <f ca="1"/>
        <v>1.7768160580096579</v>
      </c>
      <c r="X1783" s="2">
        <f ca="1"/>
        <v>45.177369379545837</v>
      </c>
      <c r="AG1783" s="2">
        <f ca="1"/>
        <v>0.29057679856206642</v>
      </c>
      <c r="AH1783" s="2" t="str">
        <f ca="1"/>
        <v>OK</v>
      </c>
    </row>
    <row r="1784" spans="2:34" x14ac:dyDescent="0.2">
      <c r="B1784" s="2">
        <f ca="1"/>
        <v>0.35491638507566425</v>
      </c>
      <c r="O1784" s="2">
        <f ca="1"/>
        <v>0.34583921453689531</v>
      </c>
      <c r="X1784" s="2">
        <f ca="1"/>
        <v>33.859759119804728</v>
      </c>
      <c r="AG1784" s="2">
        <f ca="1"/>
        <v>0.47312550695821143</v>
      </c>
      <c r="AH1784" s="2" t="str">
        <f ca="1"/>
        <v>Bad</v>
      </c>
    </row>
    <row r="1785" spans="2:34" x14ac:dyDescent="0.2">
      <c r="B1785" s="2">
        <f ca="1"/>
        <v>0.46435239702097753</v>
      </c>
      <c r="O1785" s="2">
        <f ca="1"/>
        <v>-0.1081872428078109</v>
      </c>
      <c r="X1785" s="2">
        <f ca="1"/>
        <v>49.932362254985527</v>
      </c>
      <c r="AG1785" s="2">
        <f ca="1"/>
        <v>0.40191296104414831</v>
      </c>
      <c r="AH1785" s="2" t="str">
        <f ca="1"/>
        <v>Bad</v>
      </c>
    </row>
    <row r="1786" spans="2:34" x14ac:dyDescent="0.2">
      <c r="B1786" s="2">
        <f ca="1"/>
        <v>0.69855810564967857</v>
      </c>
      <c r="O1786" s="2">
        <f ca="1"/>
        <v>-1.2935838721823825</v>
      </c>
      <c r="X1786" s="2">
        <f ca="1"/>
        <v>30.9450660304643</v>
      </c>
      <c r="AG1786" s="2">
        <f ca="1"/>
        <v>0.78672745638031416</v>
      </c>
      <c r="AH1786" s="2" t="str">
        <f ca="1"/>
        <v>Bad</v>
      </c>
    </row>
    <row r="1787" spans="2:34" x14ac:dyDescent="0.2">
      <c r="B1787" s="2">
        <f ca="1"/>
        <v>0.90928282120646009</v>
      </c>
      <c r="O1787" s="2">
        <f ca="1"/>
        <v>0.60683417731237344</v>
      </c>
      <c r="X1787" s="2">
        <f ca="1"/>
        <v>53.389150641341345</v>
      </c>
      <c r="AG1787" s="2">
        <f ca="1"/>
        <v>0.72191166797380379</v>
      </c>
      <c r="AH1787" s="2" t="str">
        <f ca="1"/>
        <v>Bad</v>
      </c>
    </row>
    <row r="1788" spans="2:34" x14ac:dyDescent="0.2">
      <c r="B1788" s="2">
        <f ca="1"/>
        <v>1.5041292212883306E-2</v>
      </c>
      <c r="O1788" s="2">
        <f ca="1"/>
        <v>-0.73120158006373759</v>
      </c>
      <c r="X1788" s="2">
        <f ca="1"/>
        <v>47.862072752743472</v>
      </c>
      <c r="AG1788" s="2">
        <f ca="1"/>
        <v>0.49428972385410974</v>
      </c>
      <c r="AH1788" s="2" t="str">
        <f ca="1"/>
        <v>Bad</v>
      </c>
    </row>
    <row r="1789" spans="2:34" x14ac:dyDescent="0.2">
      <c r="B1789" s="2">
        <f ca="1"/>
        <v>0.88464897552032795</v>
      </c>
      <c r="O1789" s="2">
        <f ca="1"/>
        <v>1.4637446640643605</v>
      </c>
      <c r="X1789" s="2">
        <f ca="1"/>
        <v>38.016961797847671</v>
      </c>
      <c r="AG1789" s="2">
        <f ca="1"/>
        <v>5.1270916687713664E-2</v>
      </c>
      <c r="AH1789" s="2" t="str">
        <f ca="1"/>
        <v>OK</v>
      </c>
    </row>
    <row r="1790" spans="2:34" x14ac:dyDescent="0.2">
      <c r="B1790" s="2">
        <f ca="1"/>
        <v>0.70623603417163827</v>
      </c>
      <c r="O1790" s="2">
        <f ca="1"/>
        <v>-0.7535639444816693</v>
      </c>
      <c r="X1790" s="2">
        <f ca="1"/>
        <v>93.484799291695992</v>
      </c>
      <c r="AG1790" s="2">
        <f ca="1"/>
        <v>0.54822038747399038</v>
      </c>
      <c r="AH1790" s="2" t="str">
        <f ca="1"/>
        <v>Bad</v>
      </c>
    </row>
    <row r="1791" spans="2:34" x14ac:dyDescent="0.2">
      <c r="B1791" s="2">
        <f ca="1"/>
        <v>4.5144239669798747E-3</v>
      </c>
      <c r="O1791" s="2">
        <f ca="1"/>
        <v>1.0705948229174922</v>
      </c>
      <c r="X1791" s="2">
        <f ca="1"/>
        <v>61.422455128853557</v>
      </c>
      <c r="AG1791" s="2">
        <f ca="1"/>
        <v>0.5141583696727523</v>
      </c>
      <c r="AH1791" s="2" t="str">
        <f ca="1"/>
        <v>Bad</v>
      </c>
    </row>
    <row r="1792" spans="2:34" x14ac:dyDescent="0.2">
      <c r="B1792" s="2">
        <f ca="1"/>
        <v>0.67225371367608044</v>
      </c>
      <c r="O1792" s="2">
        <f ca="1"/>
        <v>-0.26707838672300632</v>
      </c>
      <c r="X1792" s="2">
        <f ca="1"/>
        <v>21.724038528152107</v>
      </c>
      <c r="AG1792" s="2">
        <f ca="1"/>
        <v>3.198144082460419E-2</v>
      </c>
      <c r="AH1792" s="2" t="str">
        <f ca="1"/>
        <v>Good</v>
      </c>
    </row>
    <row r="1793" spans="2:34" x14ac:dyDescent="0.2">
      <c r="B1793" s="2">
        <f ca="1"/>
        <v>0.84207861634743963</v>
      </c>
      <c r="O1793" s="2">
        <f ca="1"/>
        <v>-1.9957645168365767</v>
      </c>
      <c r="X1793" s="2">
        <f ca="1"/>
        <v>37.151223890867783</v>
      </c>
      <c r="AG1793" s="2">
        <f ca="1"/>
        <v>0.54784619189548889</v>
      </c>
      <c r="AH1793" s="2" t="str">
        <f ca="1"/>
        <v>Bad</v>
      </c>
    </row>
    <row r="1794" spans="2:34" x14ac:dyDescent="0.2">
      <c r="B1794" s="2">
        <f ca="1"/>
        <v>6.5054699212761191E-2</v>
      </c>
      <c r="O1794" s="2">
        <f ca="1"/>
        <v>0.76932518120426463</v>
      </c>
      <c r="X1794" s="2">
        <f ca="1"/>
        <v>38.060421911407914</v>
      </c>
      <c r="AG1794" s="2">
        <f ca="1"/>
        <v>0.14183893034122175</v>
      </c>
      <c r="AH1794" s="2" t="str">
        <f ca="1"/>
        <v>OK</v>
      </c>
    </row>
    <row r="1795" spans="2:34" x14ac:dyDescent="0.2">
      <c r="B1795" s="2">
        <f ca="1"/>
        <v>0.31172136100695158</v>
      </c>
      <c r="O1795" s="2">
        <f ca="1"/>
        <v>-1.2015336579625415</v>
      </c>
      <c r="X1795" s="2">
        <f ca="1"/>
        <v>92.904062607816869</v>
      </c>
      <c r="AG1795" s="2">
        <f ca="1"/>
        <v>0.92282634050455026</v>
      </c>
      <c r="AH1795" s="2" t="str">
        <f ca="1"/>
        <v>Bad</v>
      </c>
    </row>
    <row r="1796" spans="2:34" x14ac:dyDescent="0.2">
      <c r="B1796" s="2">
        <f ca="1"/>
        <v>0.66793525200703319</v>
      </c>
      <c r="O1796" s="2">
        <f ca="1"/>
        <v>-1.0016617860618167</v>
      </c>
      <c r="X1796" s="2">
        <f ca="1"/>
        <v>68.249979414874261</v>
      </c>
      <c r="AG1796" s="2">
        <f ca="1"/>
        <v>0.63713981244101481</v>
      </c>
      <c r="AH1796" s="2" t="str">
        <f ca="1"/>
        <v>Bad</v>
      </c>
    </row>
    <row r="1797" spans="2:34" x14ac:dyDescent="0.2">
      <c r="B1797" s="2">
        <f ca="1"/>
        <v>0.79744592144514459</v>
      </c>
      <c r="O1797" s="2">
        <f ca="1"/>
        <v>-0.15206879353702918</v>
      </c>
      <c r="X1797" s="2">
        <f ca="1"/>
        <v>39.267774893597817</v>
      </c>
      <c r="AG1797" s="2">
        <f ca="1"/>
        <v>0.18167452816643404</v>
      </c>
      <c r="AH1797" s="2" t="str">
        <f ca="1"/>
        <v>OK</v>
      </c>
    </row>
    <row r="1798" spans="2:34" x14ac:dyDescent="0.2">
      <c r="B1798" s="2">
        <f ca="1"/>
        <v>1.5192567789679812E-2</v>
      </c>
      <c r="O1798" s="2">
        <f ca="1"/>
        <v>-0.60274281000599106</v>
      </c>
      <c r="X1798" s="2">
        <f ca="1"/>
        <v>62.899268876879866</v>
      </c>
      <c r="AG1798" s="2">
        <f ca="1"/>
        <v>0.67714407638788487</v>
      </c>
      <c r="AH1798" s="2" t="str">
        <f ca="1"/>
        <v>Bad</v>
      </c>
    </row>
    <row r="1799" spans="2:34" x14ac:dyDescent="0.2">
      <c r="B1799" s="2">
        <f ca="1"/>
        <v>0.4786190840574438</v>
      </c>
      <c r="O1799" s="2">
        <f ca="1"/>
        <v>-0.37592674366529516</v>
      </c>
      <c r="X1799" s="2">
        <f ca="1"/>
        <v>56.425167776633891</v>
      </c>
      <c r="AG1799" s="2">
        <f ca="1"/>
        <v>0.90751370939406484</v>
      </c>
      <c r="AH1799" s="2" t="str">
        <f ca="1"/>
        <v>Bad</v>
      </c>
    </row>
    <row r="1800" spans="2:34" x14ac:dyDescent="0.2">
      <c r="B1800" s="2">
        <f ca="1"/>
        <v>0.46394717048690093</v>
      </c>
      <c r="O1800" s="2">
        <f ca="1"/>
        <v>1.2612648110853828</v>
      </c>
      <c r="X1800" s="2">
        <f ca="1"/>
        <v>43.312907853378547</v>
      </c>
      <c r="AG1800" s="2">
        <f ca="1"/>
        <v>0.54617075602050069</v>
      </c>
      <c r="AH1800" s="2" t="str">
        <f ca="1"/>
        <v>Bad</v>
      </c>
    </row>
    <row r="1801" spans="2:34" x14ac:dyDescent="0.2">
      <c r="B1801" s="2">
        <f ca="1"/>
        <v>0.61553431869274533</v>
      </c>
      <c r="O1801" s="2">
        <f ca="1"/>
        <v>7.7781136098809392E-2</v>
      </c>
      <c r="X1801" s="2">
        <f ca="1"/>
        <v>57.067586180698655</v>
      </c>
      <c r="AG1801" s="2">
        <f ca="1"/>
        <v>0.86028934004156365</v>
      </c>
      <c r="AH1801" s="2" t="str">
        <f ca="1"/>
        <v>Bad</v>
      </c>
    </row>
    <row r="1802" spans="2:34" x14ac:dyDescent="0.2">
      <c r="B1802" s="2">
        <f ca="1"/>
        <v>0.56583074307348724</v>
      </c>
      <c r="O1802" s="2">
        <f ca="1"/>
        <v>-0.11587590151503641</v>
      </c>
      <c r="X1802" s="2">
        <f ca="1"/>
        <v>38.246353954998519</v>
      </c>
      <c r="AG1802" s="2">
        <f ca="1"/>
        <v>0.93084955731317454</v>
      </c>
      <c r="AH1802" s="2" t="str">
        <f ca="1"/>
        <v>Bad</v>
      </c>
    </row>
    <row r="1803" spans="2:34" x14ac:dyDescent="0.2">
      <c r="B1803" s="2">
        <f ca="1"/>
        <v>0.55001776599246033</v>
      </c>
      <c r="O1803" s="2">
        <f ca="1"/>
        <v>2.0212297293637422</v>
      </c>
      <c r="X1803" s="2">
        <f ca="1"/>
        <v>66.482034404710603</v>
      </c>
      <c r="AG1803" s="2">
        <f ca="1"/>
        <v>0.63587526947362916</v>
      </c>
      <c r="AH1803" s="2" t="str">
        <f ca="1"/>
        <v>Bad</v>
      </c>
    </row>
    <row r="1804" spans="2:34" x14ac:dyDescent="0.2">
      <c r="B1804" s="2">
        <f ca="1"/>
        <v>0.26536659501118698</v>
      </c>
      <c r="O1804" s="2">
        <f ca="1"/>
        <v>1.9952850643426203</v>
      </c>
      <c r="X1804" s="2">
        <f ca="1"/>
        <v>31.895277544497173</v>
      </c>
      <c r="AG1804" s="2">
        <f ca="1"/>
        <v>0.11682742999261442</v>
      </c>
      <c r="AH1804" s="2" t="str">
        <f ca="1"/>
        <v>OK</v>
      </c>
    </row>
    <row r="1805" spans="2:34" x14ac:dyDescent="0.2">
      <c r="B1805" s="2">
        <f ca="1"/>
        <v>0.73403202704988724</v>
      </c>
      <c r="O1805" s="2">
        <f ca="1"/>
        <v>1.6865204381806462</v>
      </c>
      <c r="X1805" s="2">
        <f ca="1"/>
        <v>72.584576286891519</v>
      </c>
      <c r="AG1805" s="2">
        <f ca="1"/>
        <v>0.40993817662875909</v>
      </c>
      <c r="AH1805" s="2" t="str">
        <f ca="1"/>
        <v>Bad</v>
      </c>
    </row>
    <row r="1806" spans="2:34" x14ac:dyDescent="0.2">
      <c r="B1806" s="2">
        <f ca="1"/>
        <v>0.83291646593735136</v>
      </c>
      <c r="O1806" s="2">
        <f ca="1"/>
        <v>-0.26994820161479244</v>
      </c>
      <c r="X1806" s="2">
        <f ca="1"/>
        <v>80.323894373789841</v>
      </c>
      <c r="AG1806" s="2">
        <f ca="1"/>
        <v>0.29261795429171933</v>
      </c>
      <c r="AH1806" s="2" t="str">
        <f ca="1"/>
        <v>OK</v>
      </c>
    </row>
    <row r="1807" spans="2:34" x14ac:dyDescent="0.2">
      <c r="B1807" s="2">
        <f ca="1"/>
        <v>0.49721752866126456</v>
      </c>
      <c r="O1807" s="2">
        <f ca="1"/>
        <v>-0.16998028696352199</v>
      </c>
      <c r="X1807" s="2">
        <f ca="1"/>
        <v>74.300168739743867</v>
      </c>
      <c r="AG1807" s="2">
        <f ca="1"/>
        <v>0.24060213611809278</v>
      </c>
      <c r="AH1807" s="2" t="str">
        <f ca="1"/>
        <v>OK</v>
      </c>
    </row>
    <row r="1808" spans="2:34" x14ac:dyDescent="0.2">
      <c r="B1808" s="2">
        <f ca="1"/>
        <v>0.51476851299985604</v>
      </c>
      <c r="O1808" s="2">
        <f ca="1"/>
        <v>0.37855819836628946</v>
      </c>
      <c r="X1808" s="2">
        <f ca="1"/>
        <v>34.655135162105459</v>
      </c>
      <c r="AG1808" s="2">
        <f ca="1"/>
        <v>0.31128472647645067</v>
      </c>
      <c r="AH1808" s="2" t="str">
        <f ca="1"/>
        <v>OK</v>
      </c>
    </row>
    <row r="1809" spans="2:34" x14ac:dyDescent="0.2">
      <c r="B1809" s="2">
        <f ca="1"/>
        <v>0.70774465789566632</v>
      </c>
      <c r="O1809" s="2">
        <f ca="1"/>
        <v>0.48896621734613238</v>
      </c>
      <c r="X1809" s="2">
        <f ca="1"/>
        <v>64.925840920437224</v>
      </c>
      <c r="AG1809" s="2">
        <f ca="1"/>
        <v>0.52384081605297195</v>
      </c>
      <c r="AH1809" s="2" t="str">
        <f ca="1"/>
        <v>Bad</v>
      </c>
    </row>
    <row r="1810" spans="2:34" x14ac:dyDescent="0.2">
      <c r="B1810" s="2">
        <f ca="1"/>
        <v>6.5289913516548115E-2</v>
      </c>
      <c r="O1810" s="2">
        <f ca="1"/>
        <v>0.74305048459550094</v>
      </c>
      <c r="X1810" s="2">
        <f ca="1"/>
        <v>55.427181307240488</v>
      </c>
      <c r="AG1810" s="2">
        <f ca="1"/>
        <v>0.79858877496343617</v>
      </c>
      <c r="AH1810" s="2" t="str">
        <f ca="1"/>
        <v>Bad</v>
      </c>
    </row>
    <row r="1811" spans="2:34" x14ac:dyDescent="0.2">
      <c r="B1811" s="2">
        <f ca="1"/>
        <v>0.42723873722797179</v>
      </c>
      <c r="O1811" s="2">
        <f ca="1"/>
        <v>9.8534247127519722E-2</v>
      </c>
      <c r="X1811" s="2">
        <f ca="1"/>
        <v>36.463755275032256</v>
      </c>
      <c r="AG1811" s="2">
        <f ca="1"/>
        <v>3.9227457381411313E-2</v>
      </c>
      <c r="AH1811" s="2" t="str">
        <f ca="1"/>
        <v>Good</v>
      </c>
    </row>
    <row r="1812" spans="2:34" x14ac:dyDescent="0.2">
      <c r="B1812" s="2">
        <f ca="1"/>
        <v>0.79195587234616993</v>
      </c>
      <c r="O1812" s="2">
        <f ca="1"/>
        <v>0.26968399948404348</v>
      </c>
      <c r="X1812" s="2">
        <f ca="1"/>
        <v>57.346114246045339</v>
      </c>
      <c r="AG1812" s="2">
        <f ca="1"/>
        <v>0.51162342618753853</v>
      </c>
      <c r="AH1812" s="2" t="str">
        <f ca="1"/>
        <v>Bad</v>
      </c>
    </row>
    <row r="1813" spans="2:34" x14ac:dyDescent="0.2">
      <c r="B1813" s="2">
        <f ca="1"/>
        <v>0.26586847259448998</v>
      </c>
      <c r="O1813" s="2">
        <f ca="1"/>
        <v>-0.67566848429180282</v>
      </c>
      <c r="X1813" s="2">
        <f ca="1"/>
        <v>45.517794859408781</v>
      </c>
      <c r="AG1813" s="2">
        <f ca="1"/>
        <v>0.86981064566525546</v>
      </c>
      <c r="AH1813" s="2" t="str">
        <f ca="1"/>
        <v>Bad</v>
      </c>
    </row>
    <row r="1814" spans="2:34" x14ac:dyDescent="0.2">
      <c r="B1814" s="2">
        <f ca="1"/>
        <v>0.69378347093022419</v>
      </c>
      <c r="O1814" s="2">
        <f ca="1"/>
        <v>0.55823214328684634</v>
      </c>
      <c r="X1814" s="2">
        <f ca="1"/>
        <v>32.955783381150631</v>
      </c>
      <c r="AG1814" s="2">
        <f ca="1"/>
        <v>0.19723997522848125</v>
      </c>
      <c r="AH1814" s="2" t="str">
        <f ca="1"/>
        <v>OK</v>
      </c>
    </row>
    <row r="1815" spans="2:34" x14ac:dyDescent="0.2">
      <c r="B1815" s="2">
        <f ca="1"/>
        <v>0.79271394380439442</v>
      </c>
      <c r="O1815" s="2">
        <f ca="1"/>
        <v>0.28038676777520583</v>
      </c>
      <c r="X1815" s="2">
        <f ca="1"/>
        <v>56.165431744974732</v>
      </c>
      <c r="AG1815" s="2">
        <f ca="1"/>
        <v>0.2598926532243373</v>
      </c>
      <c r="AH1815" s="2" t="str">
        <f ca="1"/>
        <v>OK</v>
      </c>
    </row>
    <row r="1816" spans="2:34" x14ac:dyDescent="0.2">
      <c r="B1816" s="2">
        <f ca="1"/>
        <v>0.99064490409167583</v>
      </c>
      <c r="O1816" s="2">
        <f ca="1"/>
        <v>-1.6644680206181055</v>
      </c>
      <c r="X1816" s="2">
        <f ca="1"/>
        <v>65.626943622214185</v>
      </c>
      <c r="AG1816" s="2">
        <f ca="1"/>
        <v>0.10373973169889283</v>
      </c>
      <c r="AH1816" s="2" t="str">
        <f ca="1"/>
        <v>OK</v>
      </c>
    </row>
    <row r="1817" spans="2:34" x14ac:dyDescent="0.2">
      <c r="B1817" s="2">
        <f ca="1"/>
        <v>0.56109023189519269</v>
      </c>
      <c r="O1817" s="2">
        <f ca="1"/>
        <v>6.4684381741470592E-2</v>
      </c>
      <c r="X1817" s="2">
        <f ca="1"/>
        <v>56.475248995901943</v>
      </c>
      <c r="AG1817" s="2">
        <f ca="1"/>
        <v>0.27506635386935763</v>
      </c>
      <c r="AH1817" s="2" t="str">
        <f ca="1"/>
        <v>OK</v>
      </c>
    </row>
    <row r="1818" spans="2:34" x14ac:dyDescent="0.2">
      <c r="B1818" s="2">
        <f ca="1"/>
        <v>0.40474070546669982</v>
      </c>
      <c r="O1818" s="2">
        <f ca="1"/>
        <v>-1.7044989355215314</v>
      </c>
      <c r="X1818" s="2">
        <f ca="1"/>
        <v>52.26760201753202</v>
      </c>
      <c r="AG1818" s="2">
        <f ca="1"/>
        <v>0.24347723613448502</v>
      </c>
      <c r="AH1818" s="2" t="str">
        <f ca="1"/>
        <v>OK</v>
      </c>
    </row>
    <row r="1819" spans="2:34" x14ac:dyDescent="0.2">
      <c r="B1819" s="2">
        <f ca="1"/>
        <v>0.41480146955350294</v>
      </c>
      <c r="O1819" s="2">
        <f ca="1"/>
        <v>-1.5190337983812137</v>
      </c>
      <c r="X1819" s="2">
        <f ca="1"/>
        <v>49.026416528127925</v>
      </c>
      <c r="AG1819" s="2">
        <f ca="1"/>
        <v>0.64737129986955066</v>
      </c>
      <c r="AH1819" s="2" t="str">
        <f ca="1"/>
        <v>Bad</v>
      </c>
    </row>
    <row r="1820" spans="2:34" x14ac:dyDescent="0.2">
      <c r="B1820" s="2">
        <f ca="1"/>
        <v>4.6720758927978556E-2</v>
      </c>
      <c r="O1820" s="2">
        <f ca="1"/>
        <v>-1.1605940216547335</v>
      </c>
      <c r="X1820" s="2">
        <f ca="1"/>
        <v>37.038434027485323</v>
      </c>
      <c r="AG1820" s="2">
        <f ca="1"/>
        <v>0.87289418200780977</v>
      </c>
      <c r="AH1820" s="2" t="str">
        <f ca="1"/>
        <v>Bad</v>
      </c>
    </row>
    <row r="1821" spans="2:34" x14ac:dyDescent="0.2">
      <c r="B1821" s="2">
        <f ca="1"/>
        <v>0.66192456223969565</v>
      </c>
      <c r="O1821" s="2">
        <f ca="1"/>
        <v>-0.69810739888830475</v>
      </c>
      <c r="X1821" s="2">
        <f ca="1"/>
        <v>73.04294014319423</v>
      </c>
      <c r="AG1821" s="2">
        <f ca="1"/>
        <v>0.61931558415605203</v>
      </c>
      <c r="AH1821" s="2" t="str">
        <f ca="1"/>
        <v>Bad</v>
      </c>
    </row>
    <row r="1822" spans="2:34" x14ac:dyDescent="0.2">
      <c r="B1822" s="2">
        <f ca="1"/>
        <v>0.51692728173281322</v>
      </c>
      <c r="O1822" s="2">
        <f ca="1"/>
        <v>0.15629978727042074</v>
      </c>
      <c r="X1822" s="2">
        <f ca="1"/>
        <v>41.584416302897857</v>
      </c>
      <c r="AG1822" s="2">
        <f ca="1"/>
        <v>0.53762062187502835</v>
      </c>
      <c r="AH1822" s="2" t="str">
        <f ca="1"/>
        <v>Bad</v>
      </c>
    </row>
    <row r="1823" spans="2:34" x14ac:dyDescent="0.2">
      <c r="B1823" s="2">
        <f ca="1"/>
        <v>0.65376264368843584</v>
      </c>
      <c r="O1823" s="2">
        <f ca="1"/>
        <v>1.449360152281812</v>
      </c>
      <c r="X1823" s="2">
        <f ca="1"/>
        <v>34.164598075279166</v>
      </c>
      <c r="AG1823" s="2">
        <f ca="1"/>
        <v>0.66079285999856685</v>
      </c>
      <c r="AH1823" s="2" t="str">
        <f ca="1"/>
        <v>Bad</v>
      </c>
    </row>
    <row r="1824" spans="2:34" x14ac:dyDescent="0.2">
      <c r="B1824" s="2">
        <f ca="1"/>
        <v>0.70783528280813113</v>
      </c>
      <c r="O1824" s="2">
        <f ca="1"/>
        <v>-0.57355271775596739</v>
      </c>
      <c r="X1824" s="2">
        <f ca="1"/>
        <v>40.197517211928826</v>
      </c>
      <c r="AG1824" s="2">
        <f ca="1"/>
        <v>0.96665848156339296</v>
      </c>
      <c r="AH1824" s="2" t="str">
        <f ca="1"/>
        <v>Bad</v>
      </c>
    </row>
    <row r="1825" spans="2:34" x14ac:dyDescent="0.2">
      <c r="B1825" s="2">
        <f ca="1"/>
        <v>0.24420919883926384</v>
      </c>
      <c r="O1825" s="2">
        <f ca="1"/>
        <v>0.3471725140696324</v>
      </c>
      <c r="X1825" s="2">
        <f ca="1"/>
        <v>41.162218536570009</v>
      </c>
      <c r="AG1825" s="2">
        <f ca="1"/>
        <v>0.61175163706967295</v>
      </c>
      <c r="AH1825" s="2" t="str">
        <f ca="1"/>
        <v>Bad</v>
      </c>
    </row>
    <row r="1826" spans="2:34" x14ac:dyDescent="0.2">
      <c r="B1826" s="2">
        <f ca="1"/>
        <v>0.7572613374125392</v>
      </c>
      <c r="O1826" s="2">
        <f ca="1"/>
        <v>-0.14388664688667893</v>
      </c>
      <c r="X1826" s="2">
        <f ca="1"/>
        <v>41.645133542636479</v>
      </c>
      <c r="AG1826" s="2">
        <f ca="1"/>
        <v>0.68658621875297898</v>
      </c>
      <c r="AH1826" s="2" t="str">
        <f ca="1"/>
        <v>Bad</v>
      </c>
    </row>
    <row r="1827" spans="2:34" x14ac:dyDescent="0.2">
      <c r="B1827" s="2">
        <f ca="1"/>
        <v>7.707469269452516E-2</v>
      </c>
      <c r="O1827" s="2">
        <f ca="1"/>
        <v>-1.5402140807203857</v>
      </c>
      <c r="X1827" s="2">
        <f ca="1"/>
        <v>60.250994270551274</v>
      </c>
      <c r="AG1827" s="2">
        <f ca="1"/>
        <v>0.94048339416749638</v>
      </c>
      <c r="AH1827" s="2" t="str">
        <f ca="1"/>
        <v>Bad</v>
      </c>
    </row>
    <row r="1828" spans="2:34" x14ac:dyDescent="0.2">
      <c r="B1828" s="2">
        <f ca="1"/>
        <v>0.85869926032147625</v>
      </c>
      <c r="O1828" s="2">
        <f ca="1"/>
        <v>-1.6455613147600339</v>
      </c>
      <c r="X1828" s="2">
        <f ca="1"/>
        <v>44.918872698457683</v>
      </c>
      <c r="AG1828" s="2">
        <f ca="1"/>
        <v>0.82941396895685071</v>
      </c>
      <c r="AH1828" s="2" t="str">
        <f ca="1"/>
        <v>Bad</v>
      </c>
    </row>
    <row r="1829" spans="2:34" x14ac:dyDescent="0.2">
      <c r="B1829" s="2">
        <f ca="1"/>
        <v>0.19514530622652582</v>
      </c>
      <c r="O1829" s="2">
        <f ca="1"/>
        <v>-0.34543846326690292</v>
      </c>
      <c r="X1829" s="2">
        <f ca="1"/>
        <v>78.07979153314065</v>
      </c>
      <c r="AG1829" s="2">
        <f ca="1"/>
        <v>0.67074910828403422</v>
      </c>
      <c r="AH1829" s="2" t="str">
        <f ca="1"/>
        <v>Bad</v>
      </c>
    </row>
    <row r="1830" spans="2:34" x14ac:dyDescent="0.2">
      <c r="B1830" s="2">
        <f ca="1"/>
        <v>0.63437467566341543</v>
      </c>
      <c r="O1830" s="2">
        <f ca="1"/>
        <v>-0.4598426553688672</v>
      </c>
      <c r="X1830" s="2">
        <f ca="1"/>
        <v>56.108679150511385</v>
      </c>
      <c r="AG1830" s="2">
        <f ca="1"/>
        <v>0.21974083608436779</v>
      </c>
      <c r="AH1830" s="2" t="str">
        <f ca="1"/>
        <v>OK</v>
      </c>
    </row>
    <row r="1831" spans="2:34" x14ac:dyDescent="0.2">
      <c r="B1831" s="2">
        <f ca="1"/>
        <v>0.43224394874585914</v>
      </c>
      <c r="O1831" s="2">
        <f ca="1"/>
        <v>-9.6391776107532905E-3</v>
      </c>
      <c r="X1831" s="2">
        <f ca="1"/>
        <v>40.356809675111549</v>
      </c>
      <c r="AG1831" s="2">
        <f ca="1"/>
        <v>0.48122246973845617</v>
      </c>
      <c r="AH1831" s="2" t="str">
        <f ca="1"/>
        <v>Bad</v>
      </c>
    </row>
    <row r="1832" spans="2:34" x14ac:dyDescent="0.2">
      <c r="B1832" s="2">
        <f ca="1"/>
        <v>0.77242817129290464</v>
      </c>
      <c r="O1832" s="2">
        <f ca="1"/>
        <v>1.8874292391613963</v>
      </c>
      <c r="X1832" s="2">
        <f ca="1"/>
        <v>70.210488625474767</v>
      </c>
      <c r="AG1832" s="2">
        <f ca="1"/>
        <v>5.8477132814543697E-2</v>
      </c>
      <c r="AH1832" s="2" t="str">
        <f ca="1"/>
        <v>OK</v>
      </c>
    </row>
    <row r="1833" spans="2:34" x14ac:dyDescent="0.2">
      <c r="B1833" s="2">
        <f ca="1"/>
        <v>0.56594078125352176</v>
      </c>
      <c r="O1833" s="2">
        <f ca="1"/>
        <v>-1.4481355322974405</v>
      </c>
      <c r="X1833" s="2">
        <f ca="1"/>
        <v>43.071080687191738</v>
      </c>
      <c r="AG1833" s="2">
        <f ca="1"/>
        <v>0.36232151969226778</v>
      </c>
      <c r="AH1833" s="2" t="str">
        <f ca="1"/>
        <v>OK</v>
      </c>
    </row>
    <row r="1834" spans="2:34" x14ac:dyDescent="0.2">
      <c r="B1834" s="2">
        <f ca="1"/>
        <v>0.70488823519968591</v>
      </c>
      <c r="O1834" s="2">
        <f ca="1"/>
        <v>0.74910422021272383</v>
      </c>
      <c r="X1834" s="2">
        <f ca="1"/>
        <v>32.987275442495935</v>
      </c>
      <c r="AG1834" s="2">
        <f ca="1"/>
        <v>0.28970396844504309</v>
      </c>
      <c r="AH1834" s="2" t="str">
        <f ca="1"/>
        <v>OK</v>
      </c>
    </row>
    <row r="1835" spans="2:34" x14ac:dyDescent="0.2">
      <c r="B1835" s="2">
        <f ca="1"/>
        <v>0.93919441342798748</v>
      </c>
      <c r="O1835" s="2">
        <f ca="1"/>
        <v>-1.1019376382973267</v>
      </c>
      <c r="X1835" s="2">
        <f ca="1"/>
        <v>76.02364720636858</v>
      </c>
      <c r="AG1835" s="2">
        <f ca="1"/>
        <v>0.61208103731855945</v>
      </c>
      <c r="AH1835" s="2" t="str">
        <f ca="1"/>
        <v>Bad</v>
      </c>
    </row>
    <row r="1836" spans="2:34" x14ac:dyDescent="0.2">
      <c r="B1836" s="2">
        <f ca="1"/>
        <v>0.79956105630535812</v>
      </c>
      <c r="O1836" s="2">
        <f ca="1"/>
        <v>0.40427649430785584</v>
      </c>
      <c r="X1836" s="2">
        <f ca="1"/>
        <v>55.307842973375323</v>
      </c>
      <c r="AG1836" s="2">
        <f ca="1"/>
        <v>0.33897051354848018</v>
      </c>
      <c r="AH1836" s="2" t="str">
        <f ca="1"/>
        <v>OK</v>
      </c>
    </row>
    <row r="1837" spans="2:34" x14ac:dyDescent="0.2">
      <c r="B1837" s="2">
        <f ca="1"/>
        <v>0.85874943377849977</v>
      </c>
      <c r="O1837" s="2">
        <f ca="1"/>
        <v>3.8942008426135167E-3</v>
      </c>
      <c r="X1837" s="2">
        <f ca="1"/>
        <v>62.129804655857271</v>
      </c>
      <c r="AG1837" s="2">
        <f ca="1"/>
        <v>1.6060802915514705E-2</v>
      </c>
      <c r="AH1837" s="2" t="str">
        <f ca="1"/>
        <v>Good</v>
      </c>
    </row>
    <row r="1838" spans="2:34" x14ac:dyDescent="0.2">
      <c r="B1838" s="2">
        <f ca="1"/>
        <v>8.6596645762862634E-2</v>
      </c>
      <c r="O1838" s="2">
        <f ca="1"/>
        <v>-1.1667318077552613</v>
      </c>
      <c r="X1838" s="2">
        <f ca="1"/>
        <v>17.354577395228233</v>
      </c>
      <c r="AG1838" s="2">
        <f ca="1"/>
        <v>0.44092220960186457</v>
      </c>
      <c r="AH1838" s="2" t="str">
        <f ca="1"/>
        <v>Bad</v>
      </c>
    </row>
    <row r="1839" spans="2:34" x14ac:dyDescent="0.2">
      <c r="B1839" s="2">
        <f ca="1"/>
        <v>0.98699149316871027</v>
      </c>
      <c r="O1839" s="2">
        <f ca="1"/>
        <v>-2.1788880640120816</v>
      </c>
      <c r="X1839" s="2">
        <f ca="1"/>
        <v>50.971448102896005</v>
      </c>
      <c r="AG1839" s="2">
        <f ca="1"/>
        <v>0.48808348571421201</v>
      </c>
      <c r="AH1839" s="2" t="str">
        <f ca="1"/>
        <v>Bad</v>
      </c>
    </row>
    <row r="1840" spans="2:34" x14ac:dyDescent="0.2">
      <c r="B1840" s="2">
        <f ca="1"/>
        <v>0.70805732863989568</v>
      </c>
      <c r="O1840" s="2">
        <f ca="1"/>
        <v>-0.78038603799485251</v>
      </c>
      <c r="X1840" s="2">
        <f ca="1"/>
        <v>26.827927583620763</v>
      </c>
      <c r="AG1840" s="2">
        <f ca="1"/>
        <v>0.89185453155476435</v>
      </c>
      <c r="AH1840" s="2" t="str">
        <f ca="1"/>
        <v>Bad</v>
      </c>
    </row>
    <row r="1841" spans="2:34" x14ac:dyDescent="0.2">
      <c r="B1841" s="2">
        <f ca="1"/>
        <v>0.23630945672468284</v>
      </c>
      <c r="O1841" s="2">
        <f ca="1"/>
        <v>0.76983427017230666</v>
      </c>
      <c r="X1841" s="2">
        <f ca="1"/>
        <v>52.617295023694417</v>
      </c>
      <c r="AG1841" s="2">
        <f ca="1"/>
        <v>0.35341065078296707</v>
      </c>
      <c r="AH1841" s="2" t="str">
        <f ca="1"/>
        <v>OK</v>
      </c>
    </row>
    <row r="1842" spans="2:34" x14ac:dyDescent="0.2">
      <c r="B1842" s="2">
        <f ca="1"/>
        <v>0.95518031179920437</v>
      </c>
      <c r="O1842" s="2">
        <f ca="1"/>
        <v>1.8570022944937892</v>
      </c>
      <c r="X1842" s="2">
        <f ca="1"/>
        <v>43.850606552006525</v>
      </c>
      <c r="AG1842" s="2">
        <f ca="1"/>
        <v>0.62616885545013989</v>
      </c>
      <c r="AH1842" s="2" t="str">
        <f ca="1"/>
        <v>Bad</v>
      </c>
    </row>
    <row r="1843" spans="2:34" x14ac:dyDescent="0.2">
      <c r="B1843" s="2">
        <f ca="1"/>
        <v>0.98276135521174757</v>
      </c>
      <c r="O1843" s="2">
        <f ca="1"/>
        <v>-1.1711986398201413</v>
      </c>
      <c r="X1843" s="2">
        <f ca="1"/>
        <v>58.404925815374476</v>
      </c>
      <c r="AG1843" s="2">
        <f ca="1"/>
        <v>0.2785599751225214</v>
      </c>
      <c r="AH1843" s="2" t="str">
        <f ca="1"/>
        <v>OK</v>
      </c>
    </row>
    <row r="1844" spans="2:34" x14ac:dyDescent="0.2">
      <c r="B1844" s="2">
        <f ca="1"/>
        <v>0.16082275874767626</v>
      </c>
      <c r="O1844" s="2">
        <f ca="1"/>
        <v>0.78409032681636726</v>
      </c>
      <c r="X1844" s="2">
        <f ca="1"/>
        <v>43.466058823525913</v>
      </c>
      <c r="AG1844" s="2">
        <f ca="1"/>
        <v>0.85735452323158134</v>
      </c>
      <c r="AH1844" s="2" t="str">
        <f ca="1"/>
        <v>Bad</v>
      </c>
    </row>
    <row r="1845" spans="2:34" x14ac:dyDescent="0.2">
      <c r="B1845" s="2">
        <f ca="1"/>
        <v>0.6519144602832383</v>
      </c>
      <c r="O1845" s="2">
        <f ca="1"/>
        <v>0.87711547966687342</v>
      </c>
      <c r="X1845" s="2">
        <f ca="1"/>
        <v>54.040393323557623</v>
      </c>
      <c r="AG1845" s="2">
        <f ca="1"/>
        <v>0.90227058140748406</v>
      </c>
      <c r="AH1845" s="2" t="str">
        <f ca="1"/>
        <v>Bad</v>
      </c>
    </row>
    <row r="1846" spans="2:34" x14ac:dyDescent="0.2">
      <c r="B1846" s="2">
        <f ca="1"/>
        <v>4.9486662553856142E-2</v>
      </c>
      <c r="O1846" s="2">
        <f ca="1"/>
        <v>3.0943812947666887E-2</v>
      </c>
      <c r="X1846" s="2">
        <f ca="1"/>
        <v>44.514980637307062</v>
      </c>
      <c r="AG1846" s="2">
        <f ca="1"/>
        <v>0.56649428944180058</v>
      </c>
      <c r="AH1846" s="2" t="str">
        <f ca="1"/>
        <v>Bad</v>
      </c>
    </row>
    <row r="1847" spans="2:34" x14ac:dyDescent="0.2">
      <c r="B1847" s="2">
        <f ca="1"/>
        <v>0.23169369928830985</v>
      </c>
      <c r="O1847" s="2">
        <f ca="1"/>
        <v>-1.1761499778641389</v>
      </c>
      <c r="X1847" s="2">
        <f ca="1"/>
        <v>30.753740312240776</v>
      </c>
      <c r="AG1847" s="2">
        <f ca="1"/>
        <v>0.80644567349575746</v>
      </c>
      <c r="AH1847" s="2" t="str">
        <f ca="1"/>
        <v>Bad</v>
      </c>
    </row>
    <row r="1848" spans="2:34" x14ac:dyDescent="0.2">
      <c r="B1848" s="2">
        <f ca="1"/>
        <v>0.10205477618640768</v>
      </c>
      <c r="O1848" s="2">
        <f ca="1"/>
        <v>2.2948851995601243</v>
      </c>
      <c r="X1848" s="2">
        <f ca="1"/>
        <v>38.553278513170667</v>
      </c>
      <c r="AG1848" s="2">
        <f ca="1"/>
        <v>0.33759675478188944</v>
      </c>
      <c r="AH1848" s="2" t="str">
        <f ca="1"/>
        <v>OK</v>
      </c>
    </row>
    <row r="1849" spans="2:34" x14ac:dyDescent="0.2">
      <c r="B1849" s="2">
        <f ca="1"/>
        <v>0.98803732056810101</v>
      </c>
      <c r="O1849" s="2">
        <f ca="1"/>
        <v>1.4011670852354496</v>
      </c>
      <c r="X1849" s="2">
        <f ca="1"/>
        <v>68.68082111886909</v>
      </c>
      <c r="AG1849" s="2">
        <f ca="1"/>
        <v>0.80384452870674461</v>
      </c>
      <c r="AH1849" s="2" t="str">
        <f ca="1"/>
        <v>Bad</v>
      </c>
    </row>
    <row r="1850" spans="2:34" x14ac:dyDescent="0.2">
      <c r="B1850" s="2">
        <f ca="1"/>
        <v>0.44267818142644755</v>
      </c>
      <c r="O1850" s="2">
        <f ca="1"/>
        <v>1.7665436456577468</v>
      </c>
      <c r="X1850" s="2">
        <f ca="1"/>
        <v>55.871302218686111</v>
      </c>
      <c r="AG1850" s="2">
        <f ca="1"/>
        <v>4.4671985356754096E-2</v>
      </c>
      <c r="AH1850" s="2" t="str">
        <f ca="1"/>
        <v>Good</v>
      </c>
    </row>
    <row r="1851" spans="2:34" x14ac:dyDescent="0.2">
      <c r="B1851" s="2">
        <f ca="1"/>
        <v>0.82693340647774072</v>
      </c>
      <c r="O1851" s="2">
        <f ca="1"/>
        <v>-1.9145384132491257</v>
      </c>
      <c r="X1851" s="2">
        <f ca="1"/>
        <v>48.648524311922905</v>
      </c>
      <c r="AG1851" s="2">
        <f ca="1"/>
        <v>1.6642105909738802E-2</v>
      </c>
      <c r="AH1851" s="2" t="str">
        <f ca="1"/>
        <v>Good</v>
      </c>
    </row>
    <row r="1852" spans="2:34" x14ac:dyDescent="0.2">
      <c r="B1852" s="2">
        <f ca="1"/>
        <v>0.38797035639497057</v>
      </c>
      <c r="O1852" s="2">
        <f ca="1"/>
        <v>-0.81586314900308476</v>
      </c>
      <c r="X1852" s="2">
        <f ca="1"/>
        <v>44.26989696694082</v>
      </c>
      <c r="AG1852" s="2">
        <f ca="1"/>
        <v>0.77857296910473472</v>
      </c>
      <c r="AH1852" s="2" t="str">
        <f ca="1"/>
        <v>Bad</v>
      </c>
    </row>
    <row r="1853" spans="2:34" x14ac:dyDescent="0.2">
      <c r="B1853" s="2">
        <f ca="1"/>
        <v>5.8975100307657957E-2</v>
      </c>
      <c r="O1853" s="2">
        <f ca="1"/>
        <v>0.98376973585215532</v>
      </c>
      <c r="X1853" s="2">
        <f ca="1"/>
        <v>86.272894519531746</v>
      </c>
      <c r="AG1853" s="2">
        <f ca="1"/>
        <v>0.42233782682358378</v>
      </c>
      <c r="AH1853" s="2" t="str">
        <f ca="1"/>
        <v>Bad</v>
      </c>
    </row>
    <row r="1854" spans="2:34" x14ac:dyDescent="0.2">
      <c r="B1854" s="2">
        <f ca="1"/>
        <v>0.38374800775987228</v>
      </c>
      <c r="O1854" s="2">
        <f ca="1"/>
        <v>-1.5234141865257715</v>
      </c>
      <c r="X1854" s="2">
        <f ca="1"/>
        <v>76.450749410032699</v>
      </c>
      <c r="AG1854" s="2">
        <f ca="1"/>
        <v>0.83473474127607084</v>
      </c>
      <c r="AH1854" s="2" t="str">
        <f ca="1"/>
        <v>Bad</v>
      </c>
    </row>
    <row r="1855" spans="2:34" x14ac:dyDescent="0.2">
      <c r="B1855" s="2">
        <f ca="1"/>
        <v>0.29868386514413814</v>
      </c>
      <c r="O1855" s="2">
        <f ca="1"/>
        <v>-0.15156394593636574</v>
      </c>
      <c r="X1855" s="2">
        <f ca="1"/>
        <v>46.583028447729177</v>
      </c>
      <c r="AG1855" s="2">
        <f ca="1"/>
        <v>7.2108138251931742E-3</v>
      </c>
      <c r="AH1855" s="2" t="str">
        <f ca="1"/>
        <v>Good</v>
      </c>
    </row>
    <row r="1856" spans="2:34" x14ac:dyDescent="0.2">
      <c r="B1856" s="2">
        <f ca="1"/>
        <v>0.44137681656101679</v>
      </c>
      <c r="O1856" s="2">
        <f ca="1"/>
        <v>-1.0869615309486724</v>
      </c>
      <c r="X1856" s="2">
        <f ca="1"/>
        <v>77.025286180241125</v>
      </c>
      <c r="AG1856" s="2">
        <f ca="1"/>
        <v>0.77013346808495697</v>
      </c>
      <c r="AH1856" s="2" t="str">
        <f ca="1"/>
        <v>Bad</v>
      </c>
    </row>
    <row r="1857" spans="2:34" x14ac:dyDescent="0.2">
      <c r="B1857" s="2">
        <f ca="1"/>
        <v>0.14134390239789885</v>
      </c>
      <c r="O1857" s="2">
        <f ca="1"/>
        <v>0.66936737627757681</v>
      </c>
      <c r="X1857" s="2">
        <f ca="1"/>
        <v>47.499664248776376</v>
      </c>
      <c r="AG1857" s="2">
        <f ca="1"/>
        <v>0.43512543929741532</v>
      </c>
      <c r="AH1857" s="2" t="str">
        <f ca="1"/>
        <v>Bad</v>
      </c>
    </row>
    <row r="1858" spans="2:34" x14ac:dyDescent="0.2">
      <c r="B1858" s="2">
        <f ca="1"/>
        <v>0.26219574352297847</v>
      </c>
      <c r="O1858" s="2">
        <f ca="1"/>
        <v>-1.5903757002316936</v>
      </c>
      <c r="X1858" s="2">
        <f ca="1"/>
        <v>59.304479401222778</v>
      </c>
      <c r="AG1858" s="2">
        <f ca="1"/>
        <v>0.53444479654633148</v>
      </c>
      <c r="AH1858" s="2" t="str">
        <f ca="1"/>
        <v>Bad</v>
      </c>
    </row>
    <row r="1859" spans="2:34" x14ac:dyDescent="0.2">
      <c r="B1859" s="2">
        <f ca="1"/>
        <v>0.93700620332976592</v>
      </c>
      <c r="O1859" s="2">
        <f ca="1"/>
        <v>1.7667679696950864</v>
      </c>
      <c r="X1859" s="2">
        <f ca="1"/>
        <v>100.0556660342578</v>
      </c>
      <c r="AG1859" s="2">
        <f ca="1"/>
        <v>3.2052510746194196E-2</v>
      </c>
      <c r="AH1859" s="2" t="str">
        <f ca="1"/>
        <v>Good</v>
      </c>
    </row>
    <row r="1860" spans="2:34" x14ac:dyDescent="0.2">
      <c r="B1860" s="2">
        <f ca="1"/>
        <v>0.98447956127794467</v>
      </c>
      <c r="O1860" s="2">
        <f ca="1"/>
        <v>-0.39104330068085164</v>
      </c>
      <c r="X1860" s="2">
        <f ca="1"/>
        <v>44.393315760687209</v>
      </c>
      <c r="AG1860" s="2">
        <f ca="1"/>
        <v>0.91631597202770143</v>
      </c>
      <c r="AH1860" s="2" t="str">
        <f ca="1"/>
        <v>Bad</v>
      </c>
    </row>
    <row r="1861" spans="2:34" x14ac:dyDescent="0.2">
      <c r="B1861" s="2">
        <f ca="1"/>
        <v>0.77932034845331533</v>
      </c>
      <c r="O1861" s="2">
        <f ca="1"/>
        <v>-6.3303582355590304E-2</v>
      </c>
      <c r="X1861" s="2">
        <f ca="1"/>
        <v>67.590067946919888</v>
      </c>
      <c r="AG1861" s="2">
        <f ca="1"/>
        <v>0.97771308917051591</v>
      </c>
      <c r="AH1861" s="2" t="str">
        <f ca="1"/>
        <v>Bad</v>
      </c>
    </row>
    <row r="1862" spans="2:34" x14ac:dyDescent="0.2">
      <c r="B1862" s="2">
        <f ca="1"/>
        <v>0.38805707489489971</v>
      </c>
      <c r="O1862" s="2">
        <f ca="1"/>
        <v>-1.3644278207504594</v>
      </c>
      <c r="X1862" s="2">
        <f ca="1"/>
        <v>30.428192009925624</v>
      </c>
      <c r="AG1862" s="2">
        <f ca="1"/>
        <v>0.40558806079514076</v>
      </c>
      <c r="AH1862" s="2" t="str">
        <f ca="1"/>
        <v>Bad</v>
      </c>
    </row>
    <row r="1863" spans="2:34" x14ac:dyDescent="0.2">
      <c r="B1863" s="2">
        <f ca="1"/>
        <v>0.60853694947108772</v>
      </c>
      <c r="O1863" s="2">
        <f ca="1"/>
        <v>0.29812096516037101</v>
      </c>
      <c r="X1863" s="2">
        <f ca="1"/>
        <v>53.114271456086371</v>
      </c>
      <c r="AG1863" s="2">
        <f ca="1"/>
        <v>0.93271905603121064</v>
      </c>
      <c r="AH1863" s="2" t="str">
        <f ca="1"/>
        <v>Bad</v>
      </c>
    </row>
    <row r="1864" spans="2:34" x14ac:dyDescent="0.2">
      <c r="B1864" s="2">
        <f ca="1"/>
        <v>3.9000204909810821E-2</v>
      </c>
      <c r="O1864" s="2">
        <f ca="1"/>
        <v>-1.0658831988344011</v>
      </c>
      <c r="X1864" s="2">
        <f ca="1"/>
        <v>35.592821302646662</v>
      </c>
      <c r="AG1864" s="2">
        <f ca="1"/>
        <v>0.18423522896669753</v>
      </c>
      <c r="AH1864" s="2" t="str">
        <f ca="1"/>
        <v>OK</v>
      </c>
    </row>
    <row r="1865" spans="2:34" x14ac:dyDescent="0.2">
      <c r="B1865" s="2">
        <f ca="1"/>
        <v>0.92702262823972426</v>
      </c>
      <c r="O1865" s="2">
        <f ca="1"/>
        <v>1.6268930068641478</v>
      </c>
      <c r="X1865" s="2">
        <f ca="1"/>
        <v>38.481387720772091</v>
      </c>
      <c r="AG1865" s="2">
        <f ca="1"/>
        <v>0.8306594598764041</v>
      </c>
      <c r="AH1865" s="2" t="str">
        <f ca="1"/>
        <v>Bad</v>
      </c>
    </row>
    <row r="1866" spans="2:34" x14ac:dyDescent="0.2">
      <c r="B1866" s="2">
        <f ca="1"/>
        <v>0.22397765185056606</v>
      </c>
      <c r="O1866" s="2">
        <f ca="1"/>
        <v>-1.5154671495000716</v>
      </c>
      <c r="X1866" s="2">
        <f ca="1"/>
        <v>37.176746658983419</v>
      </c>
      <c r="AG1866" s="2">
        <f ca="1"/>
        <v>0.84299324672564868</v>
      </c>
      <c r="AH1866" s="2" t="str">
        <f ca="1"/>
        <v>Bad</v>
      </c>
    </row>
    <row r="1867" spans="2:34" x14ac:dyDescent="0.2">
      <c r="B1867" s="2">
        <f ca="1"/>
        <v>0.54130862466722607</v>
      </c>
      <c r="O1867" s="2">
        <f ca="1"/>
        <v>-5.9301243113979531E-2</v>
      </c>
      <c r="X1867" s="2">
        <f ca="1"/>
        <v>89.910650082040803</v>
      </c>
      <c r="AG1867" s="2">
        <f ca="1"/>
        <v>0.67886809469620468</v>
      </c>
      <c r="AH1867" s="2" t="str">
        <f ca="1"/>
        <v>Bad</v>
      </c>
    </row>
    <row r="1868" spans="2:34" x14ac:dyDescent="0.2">
      <c r="B1868" s="2">
        <f ca="1"/>
        <v>0.47833891349580937</v>
      </c>
      <c r="O1868" s="2">
        <f ca="1"/>
        <v>-0.37862643121675732</v>
      </c>
      <c r="X1868" s="2">
        <f ca="1"/>
        <v>63.895705932640247</v>
      </c>
      <c r="AG1868" s="2">
        <f ca="1"/>
        <v>0.64565560885254158</v>
      </c>
      <c r="AH1868" s="2" t="str">
        <f ca="1"/>
        <v>Bad</v>
      </c>
    </row>
    <row r="1869" spans="2:34" x14ac:dyDescent="0.2">
      <c r="B1869" s="2">
        <f ca="1"/>
        <v>0.79764320329663607</v>
      </c>
      <c r="O1869" s="2">
        <f ca="1"/>
        <v>-0.92774680089884287</v>
      </c>
      <c r="X1869" s="2">
        <f ca="1"/>
        <v>49.436847381244647</v>
      </c>
      <c r="AG1869" s="2">
        <f ca="1"/>
        <v>0.58540742008420721</v>
      </c>
      <c r="AH1869" s="2" t="str">
        <f ca="1"/>
        <v>Bad</v>
      </c>
    </row>
    <row r="1870" spans="2:34" x14ac:dyDescent="0.2">
      <c r="B1870" s="2">
        <f ca="1"/>
        <v>0.22124968535699496</v>
      </c>
      <c r="O1870" s="2">
        <f ca="1"/>
        <v>1.0210757792240082</v>
      </c>
      <c r="X1870" s="2">
        <f ca="1"/>
        <v>64.284305318988714</v>
      </c>
      <c r="AG1870" s="2">
        <f ca="1"/>
        <v>0.58847575295391663</v>
      </c>
      <c r="AH1870" s="2" t="str">
        <f ca="1"/>
        <v>Bad</v>
      </c>
    </row>
    <row r="1871" spans="2:34" x14ac:dyDescent="0.2">
      <c r="B1871" s="2">
        <f ca="1"/>
        <v>0.88702568992586572</v>
      </c>
      <c r="O1871" s="2">
        <f ca="1"/>
        <v>1.1545526294372304</v>
      </c>
      <c r="X1871" s="2">
        <f ca="1"/>
        <v>31.956475129825222</v>
      </c>
      <c r="AG1871" s="2">
        <f ca="1"/>
        <v>0.41193716436365246</v>
      </c>
      <c r="AH1871" s="2" t="str">
        <f ca="1"/>
        <v>Bad</v>
      </c>
    </row>
    <row r="1872" spans="2:34" x14ac:dyDescent="0.2">
      <c r="B1872" s="2">
        <f ca="1"/>
        <v>0.30935098567990971</v>
      </c>
      <c r="O1872" s="2">
        <f ca="1"/>
        <v>-1.5167623403387089</v>
      </c>
      <c r="X1872" s="2">
        <f ca="1"/>
        <v>43.092860596594988</v>
      </c>
      <c r="AG1872" s="2">
        <f ca="1"/>
        <v>0.33488373835383278</v>
      </c>
      <c r="AH1872" s="2" t="str">
        <f ca="1"/>
        <v>OK</v>
      </c>
    </row>
    <row r="1873" spans="2:34" x14ac:dyDescent="0.2">
      <c r="B1873" s="2">
        <f ca="1"/>
        <v>0.55890745861746427</v>
      </c>
      <c r="O1873" s="2">
        <f ca="1"/>
        <v>1.4705695375303967</v>
      </c>
      <c r="X1873" s="2">
        <f ca="1"/>
        <v>28.85796179647123</v>
      </c>
      <c r="AG1873" s="2">
        <f ca="1"/>
        <v>0.7809559869308409</v>
      </c>
      <c r="AH1873" s="2" t="str">
        <f ca="1"/>
        <v>Bad</v>
      </c>
    </row>
    <row r="1874" spans="2:34" x14ac:dyDescent="0.2">
      <c r="B1874" s="2">
        <f ca="1"/>
        <v>0.95589890054395843</v>
      </c>
      <c r="O1874" s="2">
        <f ca="1"/>
        <v>0.15161303839365142</v>
      </c>
      <c r="X1874" s="2">
        <f ca="1"/>
        <v>41.224010490773104</v>
      </c>
      <c r="AG1874" s="2">
        <f ca="1"/>
        <v>0.3610231279895062</v>
      </c>
      <c r="AH1874" s="2" t="str">
        <f ca="1"/>
        <v>OK</v>
      </c>
    </row>
    <row r="1875" spans="2:34" x14ac:dyDescent="0.2">
      <c r="B1875" s="2">
        <f ca="1"/>
        <v>0.49955902931489971</v>
      </c>
      <c r="O1875" s="2">
        <f ca="1"/>
        <v>0.6111570675175988</v>
      </c>
      <c r="X1875" s="2">
        <f ca="1"/>
        <v>84.278385314625183</v>
      </c>
      <c r="AG1875" s="2">
        <f ca="1"/>
        <v>0.21068138807508174</v>
      </c>
      <c r="AH1875" s="2" t="str">
        <f ca="1"/>
        <v>OK</v>
      </c>
    </row>
    <row r="1876" spans="2:34" x14ac:dyDescent="0.2">
      <c r="B1876" s="2">
        <f ca="1"/>
        <v>6.6736809335234515E-2</v>
      </c>
      <c r="O1876" s="2">
        <f ca="1"/>
        <v>-1.4549144760462149</v>
      </c>
      <c r="X1876" s="2">
        <f ca="1"/>
        <v>36.535757024203569</v>
      </c>
      <c r="AG1876" s="2">
        <f ca="1"/>
        <v>0.18073797951895565</v>
      </c>
      <c r="AH1876" s="2" t="str">
        <f ca="1"/>
        <v>OK</v>
      </c>
    </row>
    <row r="1877" spans="2:34" x14ac:dyDescent="0.2">
      <c r="B1877" s="2">
        <f ca="1"/>
        <v>0.65932545782891716</v>
      </c>
      <c r="O1877" s="2">
        <f ca="1"/>
        <v>-1.4173953491267655</v>
      </c>
      <c r="X1877" s="2">
        <f ca="1"/>
        <v>36.65684425530263</v>
      </c>
      <c r="AG1877" s="2">
        <f ca="1"/>
        <v>0.25523369564518927</v>
      </c>
      <c r="AH1877" s="2" t="str">
        <f ca="1"/>
        <v>OK</v>
      </c>
    </row>
    <row r="1878" spans="2:34" x14ac:dyDescent="0.2">
      <c r="B1878" s="2">
        <f ca="1"/>
        <v>0.1939600120859708</v>
      </c>
      <c r="O1878" s="2">
        <f ca="1"/>
        <v>0.88343363906970551</v>
      </c>
      <c r="X1878" s="2">
        <f ca="1"/>
        <v>36.53423443902885</v>
      </c>
      <c r="AG1878" s="2">
        <f ca="1"/>
        <v>0.81302953697624836</v>
      </c>
      <c r="AH1878" s="2" t="str">
        <f ca="1"/>
        <v>Bad</v>
      </c>
    </row>
    <row r="1879" spans="2:34" x14ac:dyDescent="0.2">
      <c r="B1879" s="2">
        <f ca="1"/>
        <v>0.17930520240629355</v>
      </c>
      <c r="O1879" s="2">
        <f ca="1"/>
        <v>-1.8622183009652236</v>
      </c>
      <c r="X1879" s="2">
        <f ca="1"/>
        <v>31.165303266551692</v>
      </c>
      <c r="AG1879" s="2">
        <f ca="1"/>
        <v>8.7122915703973236E-2</v>
      </c>
      <c r="AH1879" s="2" t="str">
        <f ca="1"/>
        <v>OK</v>
      </c>
    </row>
    <row r="1880" spans="2:34" x14ac:dyDescent="0.2">
      <c r="B1880" s="2">
        <f ca="1"/>
        <v>0.10289882250737836</v>
      </c>
      <c r="O1880" s="2">
        <f ca="1"/>
        <v>0.12653468312202204</v>
      </c>
      <c r="X1880" s="2">
        <f ca="1"/>
        <v>81.092311778248032</v>
      </c>
      <c r="AG1880" s="2">
        <f ca="1"/>
        <v>0.960649326255268</v>
      </c>
      <c r="AH1880" s="2" t="str">
        <f ca="1"/>
        <v>Bad</v>
      </c>
    </row>
    <row r="1881" spans="2:34" x14ac:dyDescent="0.2">
      <c r="B1881" s="2">
        <f ca="1"/>
        <v>0.93391928825807113</v>
      </c>
      <c r="O1881" s="2">
        <f ca="1"/>
        <v>-0.68330634725685624</v>
      </c>
      <c r="X1881" s="2">
        <f ca="1"/>
        <v>48.036726606556606</v>
      </c>
      <c r="AG1881" s="2">
        <f ca="1"/>
        <v>0.72817040280188072</v>
      </c>
      <c r="AH1881" s="2" t="str">
        <f ca="1"/>
        <v>Bad</v>
      </c>
    </row>
    <row r="1882" spans="2:34" x14ac:dyDescent="0.2">
      <c r="B1882" s="2">
        <f ca="1"/>
        <v>0.58702827647454803</v>
      </c>
      <c r="O1882" s="2">
        <f ca="1"/>
        <v>-0.99944089880506259</v>
      </c>
      <c r="X1882" s="2">
        <f ca="1"/>
        <v>77.090300358086978</v>
      </c>
      <c r="AG1882" s="2">
        <f ca="1"/>
        <v>0.6911598673337489</v>
      </c>
      <c r="AH1882" s="2" t="str">
        <f ca="1"/>
        <v>Bad</v>
      </c>
    </row>
    <row r="1883" spans="2:34" x14ac:dyDescent="0.2">
      <c r="B1883" s="2">
        <f ca="1"/>
        <v>0.43627683932251049</v>
      </c>
      <c r="O1883" s="2">
        <f ca="1"/>
        <v>1.6198550737478203</v>
      </c>
      <c r="X1883" s="2">
        <f ca="1"/>
        <v>59.688072164436022</v>
      </c>
      <c r="AG1883" s="2">
        <f ca="1"/>
        <v>0.42710946298344998</v>
      </c>
      <c r="AH1883" s="2" t="str">
        <f ca="1"/>
        <v>Bad</v>
      </c>
    </row>
    <row r="1884" spans="2:34" x14ac:dyDescent="0.2">
      <c r="B1884" s="2">
        <f ca="1"/>
        <v>0.75473755289363709</v>
      </c>
      <c r="O1884" s="2">
        <f ca="1"/>
        <v>0.43735088698441033</v>
      </c>
      <c r="X1884" s="2">
        <f ca="1"/>
        <v>36.744187626219535</v>
      </c>
      <c r="AG1884" s="2">
        <f ca="1"/>
        <v>0.22482122281286032</v>
      </c>
      <c r="AH1884" s="2" t="str">
        <f ca="1"/>
        <v>OK</v>
      </c>
    </row>
    <row r="1885" spans="2:34" x14ac:dyDescent="0.2">
      <c r="B1885" s="2">
        <f ca="1"/>
        <v>0.15676710441280806</v>
      </c>
      <c r="O1885" s="2">
        <f ca="1"/>
        <v>7.1388715773920502E-2</v>
      </c>
      <c r="X1885" s="2">
        <f ca="1"/>
        <v>44.359129767945902</v>
      </c>
      <c r="AG1885" s="2">
        <f ca="1"/>
        <v>0.71987592993440974</v>
      </c>
      <c r="AH1885" s="2" t="str">
        <f ca="1"/>
        <v>Bad</v>
      </c>
    </row>
    <row r="1886" spans="2:34" x14ac:dyDescent="0.2">
      <c r="B1886" s="2">
        <f ca="1"/>
        <v>0.88673837661140031</v>
      </c>
      <c r="O1886" s="2">
        <f ca="1"/>
        <v>1.3634401899310329</v>
      </c>
      <c r="X1886" s="2">
        <f ca="1"/>
        <v>49.104669692493445</v>
      </c>
      <c r="AG1886" s="2">
        <f ca="1"/>
        <v>0.86999584486801096</v>
      </c>
      <c r="AH1886" s="2" t="str">
        <f ca="1"/>
        <v>Bad</v>
      </c>
    </row>
    <row r="1887" spans="2:34" x14ac:dyDescent="0.2">
      <c r="B1887" s="2">
        <f ca="1"/>
        <v>0.98490413268931776</v>
      </c>
      <c r="O1887" s="2">
        <f ca="1"/>
        <v>1.6160725122741659</v>
      </c>
      <c r="X1887" s="2">
        <f ca="1"/>
        <v>22.066106622333869</v>
      </c>
      <c r="AG1887" s="2">
        <f ca="1"/>
        <v>0.61680327045755834</v>
      </c>
      <c r="AH1887" s="2" t="str">
        <f ca="1"/>
        <v>Bad</v>
      </c>
    </row>
    <row r="1888" spans="2:34" x14ac:dyDescent="0.2">
      <c r="B1888" s="2">
        <f ca="1"/>
        <v>0.4678709204268201</v>
      </c>
      <c r="O1888" s="2">
        <f ca="1"/>
        <v>9.3840788467658975E-2</v>
      </c>
      <c r="X1888" s="2">
        <f ca="1"/>
        <v>24.807620881931278</v>
      </c>
      <c r="AG1888" s="2">
        <f ca="1"/>
        <v>4.3639364105324763E-2</v>
      </c>
      <c r="AH1888" s="2" t="str">
        <f ca="1"/>
        <v>Good</v>
      </c>
    </row>
    <row r="1889" spans="2:34" x14ac:dyDescent="0.2">
      <c r="B1889" s="2">
        <f ca="1"/>
        <v>0.568743182324426</v>
      </c>
      <c r="O1889" s="2">
        <f ca="1"/>
        <v>-1.0268969299774928</v>
      </c>
      <c r="X1889" s="2">
        <f ca="1"/>
        <v>44.529966478942988</v>
      </c>
      <c r="AG1889" s="2">
        <f ca="1"/>
        <v>1.5669320971583023E-3</v>
      </c>
      <c r="AH1889" s="2" t="str">
        <f ca="1"/>
        <v>Good</v>
      </c>
    </row>
    <row r="1890" spans="2:34" x14ac:dyDescent="0.2">
      <c r="B1890" s="2">
        <f ca="1"/>
        <v>0.13149979127951483</v>
      </c>
      <c r="O1890" s="2">
        <f ca="1"/>
        <v>0.60744179470745241</v>
      </c>
      <c r="X1890" s="2">
        <f ca="1"/>
        <v>54.803700399938677</v>
      </c>
      <c r="AG1890" s="2">
        <f ca="1"/>
        <v>0.76666873464768215</v>
      </c>
      <c r="AH1890" s="2" t="str">
        <f ca="1"/>
        <v>Bad</v>
      </c>
    </row>
    <row r="1891" spans="2:34" x14ac:dyDescent="0.2">
      <c r="B1891" s="2">
        <f ca="1"/>
        <v>4.526034014670044E-2</v>
      </c>
      <c r="O1891" s="2">
        <f ca="1"/>
        <v>0.70131635147784921</v>
      </c>
      <c r="X1891" s="2">
        <f ca="1"/>
        <v>69.784687377020632</v>
      </c>
      <c r="AG1891" s="2">
        <f ca="1"/>
        <v>0.47009959793640732</v>
      </c>
      <c r="AH1891" s="2" t="str">
        <f ca="1"/>
        <v>Bad</v>
      </c>
    </row>
    <row r="1892" spans="2:34" x14ac:dyDescent="0.2">
      <c r="B1892" s="2">
        <f ca="1"/>
        <v>0.26026832244164932</v>
      </c>
      <c r="O1892" s="2">
        <f ca="1"/>
        <v>-0.5189107741844019</v>
      </c>
      <c r="X1892" s="2">
        <f ca="1"/>
        <v>43.986725837239511</v>
      </c>
      <c r="AG1892" s="2">
        <f ca="1"/>
        <v>0.43281575981234566</v>
      </c>
      <c r="AH1892" s="2" t="str">
        <f ca="1"/>
        <v>Bad</v>
      </c>
    </row>
    <row r="1893" spans="2:34" x14ac:dyDescent="0.2">
      <c r="B1893" s="2">
        <f ca="1"/>
        <v>0.37278538969826336</v>
      </c>
      <c r="O1893" s="2">
        <f ca="1"/>
        <v>0.47856031264767723</v>
      </c>
      <c r="X1893" s="2">
        <f ca="1"/>
        <v>55.696694311374877</v>
      </c>
      <c r="AG1893" s="2">
        <f ca="1"/>
        <v>0.41836054816344737</v>
      </c>
      <c r="AH1893" s="2" t="str">
        <f ca="1"/>
        <v>Bad</v>
      </c>
    </row>
    <row r="1894" spans="2:34" x14ac:dyDescent="0.2">
      <c r="B1894" s="2">
        <f ca="1"/>
        <v>0.48757474298809123</v>
      </c>
      <c r="O1894" s="2">
        <f ca="1"/>
        <v>-0.26463100189510064</v>
      </c>
      <c r="X1894" s="2">
        <f ca="1"/>
        <v>72.595970308697346</v>
      </c>
      <c r="AG1894" s="2">
        <f ca="1"/>
        <v>0.62270904681499606</v>
      </c>
      <c r="AH1894" s="2" t="str">
        <f ca="1"/>
        <v>Bad</v>
      </c>
    </row>
    <row r="1895" spans="2:34" x14ac:dyDescent="0.2">
      <c r="B1895" s="2">
        <f ca="1"/>
        <v>0.3941155955366189</v>
      </c>
      <c r="O1895" s="2">
        <f ca="1"/>
        <v>1.3265294348015861</v>
      </c>
      <c r="X1895" s="2">
        <f ca="1"/>
        <v>41.171176193459821</v>
      </c>
      <c r="AG1895" s="2">
        <f ca="1"/>
        <v>0.6357057518553999</v>
      </c>
      <c r="AH1895" s="2" t="str">
        <f ca="1"/>
        <v>Bad</v>
      </c>
    </row>
    <row r="1896" spans="2:34" x14ac:dyDescent="0.2">
      <c r="B1896" s="2">
        <f ca="1"/>
        <v>0.72019302099749205</v>
      </c>
      <c r="O1896" s="2">
        <f ca="1"/>
        <v>0.72021513046809083</v>
      </c>
      <c r="X1896" s="2">
        <f ca="1"/>
        <v>53.273833634696082</v>
      </c>
      <c r="AG1896" s="2">
        <f ca="1"/>
        <v>0.89811103774852374</v>
      </c>
      <c r="AH1896" s="2" t="str">
        <f ca="1"/>
        <v>Bad</v>
      </c>
    </row>
    <row r="1897" spans="2:34" x14ac:dyDescent="0.2">
      <c r="B1897" s="2">
        <f ca="1"/>
        <v>0.49559582725844065</v>
      </c>
      <c r="O1897" s="2">
        <f ca="1"/>
        <v>0.59010796742993388</v>
      </c>
      <c r="X1897" s="2">
        <f ca="1"/>
        <v>52.589381863861092</v>
      </c>
      <c r="AG1897" s="2">
        <f ca="1"/>
        <v>0.55888193720403967</v>
      </c>
      <c r="AH1897" s="2" t="str">
        <f ca="1"/>
        <v>Bad</v>
      </c>
    </row>
    <row r="1898" spans="2:34" x14ac:dyDescent="0.2">
      <c r="B1898" s="2">
        <f ca="1"/>
        <v>0.71129355774632308</v>
      </c>
      <c r="O1898" s="2">
        <f ca="1"/>
        <v>1.1064484546762308</v>
      </c>
      <c r="X1898" s="2">
        <f ca="1"/>
        <v>49.443346645174316</v>
      </c>
      <c r="AG1898" s="2">
        <f ca="1"/>
        <v>0.56657099176515779</v>
      </c>
      <c r="AH1898" s="2" t="str">
        <f ca="1"/>
        <v>Bad</v>
      </c>
    </row>
    <row r="1899" spans="2:34" x14ac:dyDescent="0.2">
      <c r="B1899" s="2">
        <f ca="1"/>
        <v>9.7455348830540522E-2</v>
      </c>
      <c r="O1899" s="2">
        <f ca="1"/>
        <v>0.71604130817344358</v>
      </c>
      <c r="X1899" s="2">
        <f ca="1"/>
        <v>25.297236755044427</v>
      </c>
      <c r="AG1899" s="2">
        <f ca="1"/>
        <v>0.49547144905384433</v>
      </c>
      <c r="AH1899" s="2" t="str">
        <f ca="1"/>
        <v>Bad</v>
      </c>
    </row>
    <row r="1900" spans="2:34" x14ac:dyDescent="0.2">
      <c r="B1900" s="2">
        <f ca="1"/>
        <v>0.5282734403809155</v>
      </c>
      <c r="O1900" s="2">
        <f ca="1"/>
        <v>0.78753394137380106</v>
      </c>
      <c r="X1900" s="2">
        <f ca="1"/>
        <v>56.49150276516572</v>
      </c>
      <c r="AG1900" s="2">
        <f ca="1"/>
        <v>0.1329131392076397</v>
      </c>
      <c r="AH1900" s="2" t="str">
        <f ca="1"/>
        <v>OK</v>
      </c>
    </row>
    <row r="1901" spans="2:34" x14ac:dyDescent="0.2">
      <c r="B1901" s="2">
        <f ca="1"/>
        <v>0.46293291724588048</v>
      </c>
      <c r="O1901" s="2">
        <f ca="1"/>
        <v>1.0602370817059807</v>
      </c>
      <c r="X1901" s="2">
        <f ca="1"/>
        <v>56.011548320472386</v>
      </c>
      <c r="AG1901" s="2">
        <f ca="1"/>
        <v>0.29895621060575017</v>
      </c>
      <c r="AH1901" s="2" t="str">
        <f ca="1"/>
        <v>OK</v>
      </c>
    </row>
    <row r="1902" spans="2:34" x14ac:dyDescent="0.2">
      <c r="B1902" s="2">
        <f ca="1"/>
        <v>0.41033819972134267</v>
      </c>
      <c r="O1902" s="2">
        <f ca="1"/>
        <v>-1.216472967383488</v>
      </c>
      <c r="X1902" s="2">
        <f ca="1"/>
        <v>61.234565441186604</v>
      </c>
      <c r="AG1902" s="2">
        <f ca="1"/>
        <v>0.54580045954191281</v>
      </c>
      <c r="AH1902" s="2" t="str">
        <f ca="1"/>
        <v>Bad</v>
      </c>
    </row>
    <row r="1903" spans="2:34" x14ac:dyDescent="0.2">
      <c r="B1903" s="2">
        <f ca="1"/>
        <v>0.11250855567920071</v>
      </c>
      <c r="O1903" s="2">
        <f ca="1"/>
        <v>-1.2706447637309946</v>
      </c>
      <c r="X1903" s="2">
        <f ca="1"/>
        <v>53.943553780195714</v>
      </c>
      <c r="AG1903" s="2">
        <f ca="1"/>
        <v>3.5054898307516735E-2</v>
      </c>
      <c r="AH1903" s="2" t="str">
        <f ca="1"/>
        <v>Good</v>
      </c>
    </row>
    <row r="1904" spans="2:34" x14ac:dyDescent="0.2">
      <c r="B1904" s="2">
        <f ca="1"/>
        <v>0.61028912105572175</v>
      </c>
      <c r="O1904" s="2">
        <f ca="1"/>
        <v>1.0259294739259122</v>
      </c>
      <c r="X1904" s="2">
        <f ca="1"/>
        <v>53.414683677879822</v>
      </c>
      <c r="AG1904" s="2">
        <f ca="1"/>
        <v>0.82275284074614397</v>
      </c>
      <c r="AH1904" s="2" t="str">
        <f ca="1"/>
        <v>Bad</v>
      </c>
    </row>
    <row r="1905" spans="2:34" x14ac:dyDescent="0.2">
      <c r="B1905" s="2">
        <f ca="1"/>
        <v>0.32452046560341552</v>
      </c>
      <c r="O1905" s="2">
        <f ca="1"/>
        <v>1.2703924487763965</v>
      </c>
      <c r="X1905" s="2">
        <f ca="1"/>
        <v>36.861921330618479</v>
      </c>
      <c r="AG1905" s="2">
        <f ca="1"/>
        <v>0.25505352539555526</v>
      </c>
      <c r="AH1905" s="2" t="str">
        <f ca="1"/>
        <v>OK</v>
      </c>
    </row>
    <row r="1906" spans="2:34" x14ac:dyDescent="0.2">
      <c r="B1906" s="2">
        <f ca="1"/>
        <v>0.76068085535218311</v>
      </c>
      <c r="O1906" s="2">
        <f ca="1"/>
        <v>0.47650893808060146</v>
      </c>
      <c r="X1906" s="2">
        <f ca="1"/>
        <v>48.246839534794574</v>
      </c>
      <c r="AG1906" s="2">
        <f ca="1"/>
        <v>0.8784692281778852</v>
      </c>
      <c r="AH1906" s="2" t="str">
        <f ca="1"/>
        <v>Bad</v>
      </c>
    </row>
    <row r="1907" spans="2:34" x14ac:dyDescent="0.2">
      <c r="B1907" s="2">
        <f ca="1"/>
        <v>0.22671108163570408</v>
      </c>
      <c r="O1907" s="2">
        <f ca="1"/>
        <v>-5.4402110205742281E-2</v>
      </c>
      <c r="X1907" s="2">
        <f ca="1"/>
        <v>51.734034474756932</v>
      </c>
      <c r="AG1907" s="2">
        <f ca="1"/>
        <v>0.15817755178804815</v>
      </c>
      <c r="AH1907" s="2" t="str">
        <f ca="1"/>
        <v>OK</v>
      </c>
    </row>
    <row r="1908" spans="2:34" x14ac:dyDescent="0.2">
      <c r="B1908" s="2">
        <f ca="1"/>
        <v>0.34102076998031672</v>
      </c>
      <c r="O1908" s="2">
        <f ca="1"/>
        <v>1.6708163437188044</v>
      </c>
      <c r="X1908" s="2">
        <f ca="1"/>
        <v>57.986730394473575</v>
      </c>
      <c r="AG1908" s="2">
        <f ca="1"/>
        <v>0.98254981625918636</v>
      </c>
      <c r="AH1908" s="2" t="str">
        <f ca="1"/>
        <v>Bad</v>
      </c>
    </row>
    <row r="1909" spans="2:34" x14ac:dyDescent="0.2">
      <c r="B1909" s="2">
        <f ca="1"/>
        <v>0.89274841158166418</v>
      </c>
      <c r="O1909" s="2">
        <f ca="1"/>
        <v>-0.88972494457112927</v>
      </c>
      <c r="X1909" s="2">
        <f ca="1"/>
        <v>45.922803952377542</v>
      </c>
      <c r="AG1909" s="2">
        <f ca="1"/>
        <v>0.73708926807412634</v>
      </c>
      <c r="AH1909" s="2" t="str">
        <f ca="1"/>
        <v>Bad</v>
      </c>
    </row>
    <row r="1910" spans="2:34" x14ac:dyDescent="0.2">
      <c r="B1910" s="2">
        <f ca="1"/>
        <v>0.70008490225635045</v>
      </c>
      <c r="O1910" s="2">
        <f ca="1"/>
        <v>-0.1259414599236641</v>
      </c>
      <c r="X1910" s="2">
        <f ca="1"/>
        <v>37.270858619616462</v>
      </c>
      <c r="AG1910" s="2">
        <f ca="1"/>
        <v>3.4925642623008013E-2</v>
      </c>
      <c r="AH1910" s="2" t="str">
        <f ca="1"/>
        <v>Good</v>
      </c>
    </row>
    <row r="1911" spans="2:34" x14ac:dyDescent="0.2">
      <c r="B1911" s="2">
        <f ca="1"/>
        <v>0.34637588210112935</v>
      </c>
      <c r="O1911" s="2">
        <f ca="1"/>
        <v>-4.0196211709597918E-2</v>
      </c>
      <c r="X1911" s="2">
        <f ca="1"/>
        <v>36.987204256039028</v>
      </c>
      <c r="AG1911" s="2">
        <f ca="1"/>
        <v>0.77259698111606756</v>
      </c>
      <c r="AH1911" s="2" t="str">
        <f ca="1"/>
        <v>Bad</v>
      </c>
    </row>
    <row r="1912" spans="2:34" x14ac:dyDescent="0.2">
      <c r="B1912" s="2">
        <f ca="1"/>
        <v>0.30755334548504076</v>
      </c>
      <c r="O1912" s="2">
        <f ca="1"/>
        <v>-0.89826459536515402</v>
      </c>
      <c r="X1912" s="2">
        <f ca="1"/>
        <v>48.568118232273932</v>
      </c>
      <c r="AG1912" s="2">
        <f ca="1"/>
        <v>0.74223602530813793</v>
      </c>
      <c r="AH1912" s="2" t="str">
        <f ca="1"/>
        <v>Bad</v>
      </c>
    </row>
    <row r="1913" spans="2:34" x14ac:dyDescent="0.2">
      <c r="B1913" s="2">
        <f ca="1"/>
        <v>0.60343993797139328</v>
      </c>
      <c r="O1913" s="2">
        <f ca="1"/>
        <v>-1.74938319997392</v>
      </c>
      <c r="X1913" s="2">
        <f ca="1"/>
        <v>54.634533729117294</v>
      </c>
      <c r="AG1913" s="2">
        <f ca="1"/>
        <v>0.31129380093405579</v>
      </c>
      <c r="AH1913" s="2" t="str">
        <f ca="1"/>
        <v>OK</v>
      </c>
    </row>
    <row r="1914" spans="2:34" x14ac:dyDescent="0.2">
      <c r="B1914" s="2">
        <f ca="1"/>
        <v>0.31107281022842859</v>
      </c>
      <c r="O1914" s="2">
        <f ca="1"/>
        <v>-0.69369193550299091</v>
      </c>
      <c r="X1914" s="2">
        <f ca="1"/>
        <v>62.519113597509978</v>
      </c>
      <c r="AG1914" s="2">
        <f ca="1"/>
        <v>0.483964840888921</v>
      </c>
      <c r="AH1914" s="2" t="str">
        <f ca="1"/>
        <v>Bad</v>
      </c>
    </row>
    <row r="1915" spans="2:34" x14ac:dyDescent="0.2">
      <c r="B1915" s="2">
        <f ca="1"/>
        <v>2.676951845895692E-2</v>
      </c>
      <c r="O1915" s="2">
        <f ca="1"/>
        <v>0.71079719521642049</v>
      </c>
      <c r="X1915" s="2">
        <f ca="1"/>
        <v>54.463901269456883</v>
      </c>
      <c r="AG1915" s="2">
        <f ca="1"/>
        <v>0.81126700304899702</v>
      </c>
      <c r="AH1915" s="2" t="str">
        <f ca="1"/>
        <v>Bad</v>
      </c>
    </row>
    <row r="1916" spans="2:34" x14ac:dyDescent="0.2">
      <c r="B1916" s="2">
        <f ca="1"/>
        <v>0.20731991181096476</v>
      </c>
      <c r="O1916" s="2">
        <f ca="1"/>
        <v>1.1934700452568408</v>
      </c>
      <c r="X1916" s="2">
        <f ca="1"/>
        <v>64.837912062347968</v>
      </c>
      <c r="AG1916" s="2">
        <f ca="1"/>
        <v>0.27835114046565934</v>
      </c>
      <c r="AH1916" s="2" t="str">
        <f ca="1"/>
        <v>OK</v>
      </c>
    </row>
    <row r="1917" spans="2:34" x14ac:dyDescent="0.2">
      <c r="B1917" s="2">
        <f ca="1"/>
        <v>0.36431573035468867</v>
      </c>
      <c r="O1917" s="2">
        <f ca="1"/>
        <v>1.1438855977480544</v>
      </c>
      <c r="X1917" s="2">
        <f ca="1"/>
        <v>50.526225036508123</v>
      </c>
      <c r="AG1917" s="2">
        <f ca="1"/>
        <v>5.1465810417221647E-2</v>
      </c>
      <c r="AH1917" s="2" t="str">
        <f ca="1"/>
        <v>OK</v>
      </c>
    </row>
    <row r="1918" spans="2:34" x14ac:dyDescent="0.2">
      <c r="B1918" s="2">
        <f ca="1"/>
        <v>0.99383439279982499</v>
      </c>
      <c r="O1918" s="2">
        <f ca="1"/>
        <v>1.4359471963163437</v>
      </c>
      <c r="X1918" s="2">
        <f ca="1"/>
        <v>49.272723456882808</v>
      </c>
      <c r="AG1918" s="2">
        <f ca="1"/>
        <v>0.66121044439000931</v>
      </c>
      <c r="AH1918" s="2" t="str">
        <f ca="1"/>
        <v>Bad</v>
      </c>
    </row>
    <row r="1919" spans="2:34" x14ac:dyDescent="0.2">
      <c r="B1919" s="2">
        <f ca="1"/>
        <v>0.32545444175670579</v>
      </c>
      <c r="O1919" s="2">
        <f ca="1"/>
        <v>0.3473152267868535</v>
      </c>
      <c r="X1919" s="2">
        <f ca="1"/>
        <v>33.855833843332725</v>
      </c>
      <c r="AG1919" s="2">
        <f ca="1"/>
        <v>0.11426260765406093</v>
      </c>
      <c r="AH1919" s="2" t="str">
        <f ca="1"/>
        <v>OK</v>
      </c>
    </row>
    <row r="1920" spans="2:34" x14ac:dyDescent="0.2">
      <c r="B1920" s="2">
        <f ca="1"/>
        <v>0.29552717309520005</v>
      </c>
      <c r="O1920" s="2">
        <f ca="1"/>
        <v>-1.2998573475306803</v>
      </c>
      <c r="X1920" s="2">
        <f ca="1"/>
        <v>58.309411635273143</v>
      </c>
      <c r="AG1920" s="2">
        <f ca="1"/>
        <v>0.88965098075072491</v>
      </c>
      <c r="AH1920" s="2" t="str">
        <f ca="1"/>
        <v>Bad</v>
      </c>
    </row>
    <row r="1921" spans="2:34" x14ac:dyDescent="0.2">
      <c r="B1921" s="2">
        <f ca="1"/>
        <v>0.3353716042990349</v>
      </c>
      <c r="O1921" s="2">
        <f ca="1"/>
        <v>0.83520440886423963</v>
      </c>
      <c r="X1921" s="2">
        <f ca="1"/>
        <v>70.833810907872831</v>
      </c>
      <c r="AG1921" s="2">
        <f ca="1"/>
        <v>0.31861099468561571</v>
      </c>
      <c r="AH1921" s="2" t="str">
        <f ca="1"/>
        <v>OK</v>
      </c>
    </row>
    <row r="1922" spans="2:34" x14ac:dyDescent="0.2">
      <c r="B1922" s="2">
        <f ca="1"/>
        <v>0.34701483937834698</v>
      </c>
      <c r="O1922" s="2">
        <f ca="1"/>
        <v>-0.31563559645643624</v>
      </c>
      <c r="X1922" s="2">
        <f ca="1"/>
        <v>26.531298735437581</v>
      </c>
      <c r="AG1922" s="2">
        <f ca="1"/>
        <v>0.10061883597654786</v>
      </c>
      <c r="AH1922" s="2" t="str">
        <f ca="1"/>
        <v>OK</v>
      </c>
    </row>
    <row r="1923" spans="2:34" x14ac:dyDescent="0.2">
      <c r="B1923" s="2">
        <f ca="1"/>
        <v>0.71112232038081125</v>
      </c>
      <c r="O1923" s="2">
        <f ca="1"/>
        <v>-1.3457999226102975</v>
      </c>
      <c r="X1923" s="2">
        <f ca="1"/>
        <v>66.91495413360748</v>
      </c>
      <c r="AG1923" s="2">
        <f ca="1"/>
        <v>0.28170542987331504</v>
      </c>
      <c r="AH1923" s="2" t="str">
        <f ca="1"/>
        <v>OK</v>
      </c>
    </row>
    <row r="1924" spans="2:34" x14ac:dyDescent="0.2">
      <c r="B1924" s="2">
        <f ca="1"/>
        <v>0.71703963379261437</v>
      </c>
      <c r="O1924" s="2">
        <f ca="1"/>
        <v>0.45421967514880313</v>
      </c>
      <c r="X1924" s="2">
        <f ca="1"/>
        <v>51.376896105600416</v>
      </c>
      <c r="AG1924" s="2">
        <f ca="1"/>
        <v>0.20245076089045555</v>
      </c>
      <c r="AH1924" s="2" t="str">
        <f ca="1"/>
        <v>OK</v>
      </c>
    </row>
    <row r="1925" spans="2:34" x14ac:dyDescent="0.2">
      <c r="B1925" s="2">
        <f ca="1"/>
        <v>0.83270702883626013</v>
      </c>
      <c r="O1925" s="2">
        <f ca="1"/>
        <v>1.3290739564367626</v>
      </c>
      <c r="X1925" s="2">
        <f ca="1"/>
        <v>28.884010544811055</v>
      </c>
      <c r="AG1925" s="2">
        <f ca="1"/>
        <v>0.33355262727131585</v>
      </c>
      <c r="AH1925" s="2" t="str">
        <f ca="1"/>
        <v>OK</v>
      </c>
    </row>
    <row r="1926" spans="2:34" x14ac:dyDescent="0.2">
      <c r="B1926" s="2">
        <f ca="1"/>
        <v>0.27709679007445565</v>
      </c>
      <c r="O1926" s="2">
        <f ca="1"/>
        <v>0.37159112398307204</v>
      </c>
      <c r="X1926" s="2">
        <f ca="1"/>
        <v>39.338415176771576</v>
      </c>
      <c r="AG1926" s="2">
        <f ca="1"/>
        <v>2.970793466762256E-2</v>
      </c>
      <c r="AH1926" s="2" t="str">
        <f ca="1"/>
        <v>Good</v>
      </c>
    </row>
    <row r="1927" spans="2:34" x14ac:dyDescent="0.2">
      <c r="B1927" s="2">
        <f ca="1"/>
        <v>0.28712636400296798</v>
      </c>
      <c r="O1927" s="2">
        <f ca="1"/>
        <v>-0.36202314282667658</v>
      </c>
      <c r="X1927" s="2">
        <f ca="1"/>
        <v>49.358917917233079</v>
      </c>
      <c r="AG1927" s="2">
        <f ca="1"/>
        <v>0.1585382454664952</v>
      </c>
      <c r="AH1927" s="2" t="str">
        <f ca="1"/>
        <v>OK</v>
      </c>
    </row>
    <row r="1928" spans="2:34" x14ac:dyDescent="0.2">
      <c r="B1928" s="2">
        <f ca="1"/>
        <v>0.8162691266524924</v>
      </c>
      <c r="O1928" s="2">
        <f ca="1"/>
        <v>8.0397226257914844E-2</v>
      </c>
      <c r="X1928" s="2">
        <f ca="1"/>
        <v>57.402419942938124</v>
      </c>
      <c r="AG1928" s="2">
        <f ca="1"/>
        <v>0.16350138436683337</v>
      </c>
      <c r="AH1928" s="2" t="str">
        <f ca="1"/>
        <v>OK</v>
      </c>
    </row>
    <row r="1929" spans="2:34" x14ac:dyDescent="0.2">
      <c r="B1929" s="2">
        <f ca="1"/>
        <v>0.28203872274320707</v>
      </c>
      <c r="O1929" s="2">
        <f ca="1"/>
        <v>0.31209529783956674</v>
      </c>
      <c r="X1929" s="2">
        <f ca="1"/>
        <v>64.518529743363644</v>
      </c>
      <c r="AG1929" s="2">
        <f ca="1"/>
        <v>0.96730817127969559</v>
      </c>
      <c r="AH1929" s="2" t="str">
        <f ca="1"/>
        <v>Bad</v>
      </c>
    </row>
    <row r="1930" spans="2:34" x14ac:dyDescent="0.2">
      <c r="B1930" s="2">
        <f ca="1"/>
        <v>0.99760324840885595</v>
      </c>
      <c r="O1930" s="2">
        <f ca="1"/>
        <v>0.67366544768294456</v>
      </c>
      <c r="X1930" s="2">
        <f ca="1"/>
        <v>69.25368443482698</v>
      </c>
      <c r="AG1930" s="2">
        <f ca="1"/>
        <v>0.14478353518552423</v>
      </c>
      <c r="AH1930" s="2" t="str">
        <f ca="1"/>
        <v>OK</v>
      </c>
    </row>
    <row r="1931" spans="2:34" x14ac:dyDescent="0.2">
      <c r="B1931" s="2">
        <f ca="1"/>
        <v>0.90005103878684944</v>
      </c>
      <c r="O1931" s="2">
        <f ca="1"/>
        <v>-1.509174572072135</v>
      </c>
      <c r="X1931" s="2">
        <f ca="1"/>
        <v>80.055663576903044</v>
      </c>
      <c r="AG1931" s="2">
        <f ca="1"/>
        <v>0.64700049622732325</v>
      </c>
      <c r="AH1931" s="2" t="str">
        <f ca="1"/>
        <v>Bad</v>
      </c>
    </row>
    <row r="1932" spans="2:34" x14ac:dyDescent="0.2">
      <c r="B1932" s="2">
        <f ca="1"/>
        <v>1.1249157453166347E-2</v>
      </c>
      <c r="O1932" s="2">
        <f ca="1"/>
        <v>-0.59295636439659394</v>
      </c>
      <c r="X1932" s="2">
        <f ca="1"/>
        <v>51.224165669188118</v>
      </c>
      <c r="AG1932" s="2">
        <f ca="1"/>
        <v>0.97294559172940787</v>
      </c>
      <c r="AH1932" s="2" t="str">
        <f ca="1"/>
        <v>Bad</v>
      </c>
    </row>
    <row r="1933" spans="2:34" x14ac:dyDescent="0.2">
      <c r="B1933" s="2">
        <f ca="1"/>
        <v>0.51127435541775035</v>
      </c>
      <c r="O1933" s="2">
        <f ca="1"/>
        <v>-2.0777135359981784</v>
      </c>
      <c r="X1933" s="2">
        <f ca="1"/>
        <v>26.941512432427661</v>
      </c>
      <c r="AG1933" s="2">
        <f ca="1"/>
        <v>0.26630079883104441</v>
      </c>
      <c r="AH1933" s="2" t="str">
        <f ca="1"/>
        <v>OK</v>
      </c>
    </row>
    <row r="1934" spans="2:34" x14ac:dyDescent="0.2">
      <c r="B1934" s="2">
        <f ca="1"/>
        <v>0.26136197557863405</v>
      </c>
      <c r="O1934" s="2">
        <f ca="1"/>
        <v>-0.29054212784107353</v>
      </c>
      <c r="X1934" s="2">
        <f ca="1"/>
        <v>65.476247766364878</v>
      </c>
      <c r="AG1934" s="2">
        <f ca="1"/>
        <v>0.31050898486969181</v>
      </c>
      <c r="AH1934" s="2" t="str">
        <f ca="1"/>
        <v>OK</v>
      </c>
    </row>
    <row r="1935" spans="2:34" x14ac:dyDescent="0.2">
      <c r="B1935" s="2">
        <f ca="1"/>
        <v>0.36394851565584707</v>
      </c>
      <c r="O1935" s="2">
        <f ca="1"/>
        <v>-0.28188649790138098</v>
      </c>
      <c r="X1935" s="2">
        <f ca="1"/>
        <v>45.884503877682114</v>
      </c>
      <c r="AG1935" s="2">
        <f ca="1"/>
        <v>0.13000133501039168</v>
      </c>
      <c r="AH1935" s="2" t="str">
        <f ca="1"/>
        <v>OK</v>
      </c>
    </row>
    <row r="1936" spans="2:34" x14ac:dyDescent="0.2">
      <c r="B1936" s="2">
        <f ca="1"/>
        <v>0.23592275609208846</v>
      </c>
      <c r="O1936" s="2">
        <f ca="1"/>
        <v>1.5364838822974067</v>
      </c>
      <c r="X1936" s="2">
        <f ca="1"/>
        <v>71.514316205566615</v>
      </c>
      <c r="AG1936" s="2">
        <f ca="1"/>
        <v>0.28564945593999846</v>
      </c>
      <c r="AH1936" s="2" t="str">
        <f ca="1"/>
        <v>OK</v>
      </c>
    </row>
    <row r="1937" spans="2:34" x14ac:dyDescent="0.2">
      <c r="B1937" s="2">
        <f ca="1"/>
        <v>0.25767732239323582</v>
      </c>
      <c r="O1937" s="2">
        <f ca="1"/>
        <v>-0.45749810492307152</v>
      </c>
      <c r="X1937" s="2">
        <f ca="1"/>
        <v>45.858918266627043</v>
      </c>
      <c r="AG1937" s="2">
        <f ca="1"/>
        <v>0.83569314513059378</v>
      </c>
      <c r="AH1937" s="2" t="str">
        <f ca="1"/>
        <v>Bad</v>
      </c>
    </row>
    <row r="1938" spans="2:34" x14ac:dyDescent="0.2">
      <c r="B1938" s="2">
        <f ca="1"/>
        <v>0.45703621633154423</v>
      </c>
      <c r="O1938" s="2">
        <f ca="1"/>
        <v>1.7453964375901749</v>
      </c>
      <c r="X1938" s="2">
        <f ca="1"/>
        <v>31.723552760304798</v>
      </c>
      <c r="AG1938" s="2">
        <f ca="1"/>
        <v>0.71514913086473131</v>
      </c>
      <c r="AH1938" s="2" t="str">
        <f ca="1"/>
        <v>Bad</v>
      </c>
    </row>
    <row r="1939" spans="2:34" x14ac:dyDescent="0.2">
      <c r="B1939" s="2">
        <f ca="1"/>
        <v>0.23315336766220107</v>
      </c>
      <c r="O1939" s="2">
        <f ca="1"/>
        <v>-2.7527487806897182</v>
      </c>
      <c r="X1939" s="2">
        <f ca="1"/>
        <v>47.94173403136314</v>
      </c>
      <c r="AG1939" s="2">
        <f ca="1"/>
        <v>0.70559292892366998</v>
      </c>
      <c r="AH1939" s="2" t="str">
        <f ca="1"/>
        <v>Bad</v>
      </c>
    </row>
    <row r="1940" spans="2:34" x14ac:dyDescent="0.2">
      <c r="B1940" s="2">
        <f ca="1"/>
        <v>0.21775056258014502</v>
      </c>
      <c r="O1940" s="2">
        <f ca="1"/>
        <v>1.3190835869354258</v>
      </c>
      <c r="X1940" s="2">
        <f ca="1"/>
        <v>54.163762458401749</v>
      </c>
      <c r="AG1940" s="2">
        <f ca="1"/>
        <v>0.72618458657141804</v>
      </c>
      <c r="AH1940" s="2" t="str">
        <f ca="1"/>
        <v>Bad</v>
      </c>
    </row>
    <row r="1941" spans="2:34" x14ac:dyDescent="0.2">
      <c r="B1941" s="2">
        <f ca="1"/>
        <v>0.53071896724067513</v>
      </c>
      <c r="O1941" s="2">
        <f ca="1"/>
        <v>1.9534984743078376</v>
      </c>
      <c r="X1941" s="2">
        <f ca="1"/>
        <v>46.224954623991231</v>
      </c>
      <c r="AG1941" s="2">
        <f ca="1"/>
        <v>0.88858853731124099</v>
      </c>
      <c r="AH1941" s="2" t="str">
        <f ca="1"/>
        <v>Bad</v>
      </c>
    </row>
    <row r="1942" spans="2:34" x14ac:dyDescent="0.2">
      <c r="B1942" s="2">
        <f ca="1"/>
        <v>0.44549175854020873</v>
      </c>
      <c r="O1942" s="2">
        <f ca="1"/>
        <v>6.2532225298304836E-2</v>
      </c>
      <c r="X1942" s="2">
        <f ca="1"/>
        <v>66.360768047869911</v>
      </c>
      <c r="AG1942" s="2">
        <f ca="1"/>
        <v>0.44465454237554547</v>
      </c>
      <c r="AH1942" s="2" t="str">
        <f ca="1"/>
        <v>Bad</v>
      </c>
    </row>
    <row r="1943" spans="2:34" x14ac:dyDescent="0.2">
      <c r="B1943" s="2">
        <f ca="1"/>
        <v>0.2274119671506909</v>
      </c>
      <c r="O1943" s="2">
        <f ca="1"/>
        <v>-0.36573698766272328</v>
      </c>
      <c r="X1943" s="2">
        <f ca="1"/>
        <v>33.156083536273314</v>
      </c>
      <c r="AG1943" s="2">
        <f ca="1"/>
        <v>0.52636763921754337</v>
      </c>
      <c r="AH1943" s="2" t="str">
        <f ca="1"/>
        <v>Bad</v>
      </c>
    </row>
    <row r="1944" spans="2:34" x14ac:dyDescent="0.2">
      <c r="B1944" s="2">
        <f ca="1"/>
        <v>3.9653709741453103E-2</v>
      </c>
      <c r="O1944" s="2">
        <f ca="1"/>
        <v>1.5052253800925794</v>
      </c>
      <c r="X1944" s="2">
        <f ca="1"/>
        <v>24.472923932442189</v>
      </c>
      <c r="AG1944" s="2">
        <f ca="1"/>
        <v>0.51606090611259958</v>
      </c>
      <c r="AH1944" s="2" t="str">
        <f ca="1"/>
        <v>Bad</v>
      </c>
    </row>
    <row r="1945" spans="2:34" x14ac:dyDescent="0.2">
      <c r="B1945" s="2">
        <f ca="1"/>
        <v>2.3572734027983433E-3</v>
      </c>
      <c r="O1945" s="2">
        <f ca="1"/>
        <v>9.7739472708552891E-2</v>
      </c>
      <c r="X1945" s="2">
        <f ca="1"/>
        <v>24.224696549797638</v>
      </c>
      <c r="AG1945" s="2">
        <f ca="1"/>
        <v>0.25990625487120123</v>
      </c>
      <c r="AH1945" s="2" t="str">
        <f ca="1"/>
        <v>OK</v>
      </c>
    </row>
    <row r="1946" spans="2:34" x14ac:dyDescent="0.2">
      <c r="B1946" s="2">
        <f ca="1"/>
        <v>0.44760573642021928</v>
      </c>
      <c r="O1946" s="2">
        <f ca="1"/>
        <v>-0.73981244773049926</v>
      </c>
      <c r="X1946" s="2">
        <f ca="1"/>
        <v>36.390889706814121</v>
      </c>
      <c r="AG1946" s="2">
        <f ca="1"/>
        <v>0.56653964060301432</v>
      </c>
      <c r="AH1946" s="2" t="str">
        <f ca="1"/>
        <v>Bad</v>
      </c>
    </row>
    <row r="1947" spans="2:34" x14ac:dyDescent="0.2">
      <c r="B1947" s="2">
        <f ca="1"/>
        <v>0.81232766893116559</v>
      </c>
      <c r="O1947" s="2">
        <f ca="1"/>
        <v>-0.82162149330615253</v>
      </c>
      <c r="X1947" s="2">
        <f ca="1"/>
        <v>56.62147612105499</v>
      </c>
      <c r="AG1947" s="2">
        <f ca="1"/>
        <v>0.67061015043761363</v>
      </c>
      <c r="AH1947" s="2" t="str">
        <f ca="1"/>
        <v>Bad</v>
      </c>
    </row>
    <row r="1948" spans="2:34" x14ac:dyDescent="0.2">
      <c r="B1948" s="2">
        <f ca="1"/>
        <v>0.56817519807466477</v>
      </c>
      <c r="O1948" s="2">
        <f ca="1"/>
        <v>-1.021072213933204</v>
      </c>
      <c r="X1948" s="2">
        <f ca="1"/>
        <v>53.050672968923422</v>
      </c>
      <c r="AG1948" s="2">
        <f ca="1"/>
        <v>0.78488959810461534</v>
      </c>
      <c r="AH1948" s="2" t="str">
        <f ca="1"/>
        <v>Bad</v>
      </c>
    </row>
    <row r="1949" spans="2:34" x14ac:dyDescent="0.2">
      <c r="B1949" s="2">
        <f ca="1"/>
        <v>0.1144531498511363</v>
      </c>
      <c r="O1949" s="2">
        <f ca="1"/>
        <v>-0.50536040531430182</v>
      </c>
      <c r="X1949" s="2">
        <f ca="1"/>
        <v>52.087590331643732</v>
      </c>
      <c r="AG1949" s="2">
        <f ca="1"/>
        <v>0.95440934260487853</v>
      </c>
      <c r="AH1949" s="2" t="str">
        <f ca="1"/>
        <v>Bad</v>
      </c>
    </row>
    <row r="1950" spans="2:34" x14ac:dyDescent="0.2">
      <c r="B1950" s="2">
        <f ca="1"/>
        <v>0.60709675617917136</v>
      </c>
      <c r="O1950" s="2">
        <f ca="1"/>
        <v>0.78744960781038287</v>
      </c>
      <c r="X1950" s="2">
        <f ca="1"/>
        <v>30.453531368474749</v>
      </c>
      <c r="AG1950" s="2">
        <f ca="1"/>
        <v>0.95668275299794447</v>
      </c>
      <c r="AH1950" s="2" t="str">
        <f ca="1"/>
        <v>Bad</v>
      </c>
    </row>
    <row r="1951" spans="2:34" x14ac:dyDescent="0.2">
      <c r="B1951" s="2">
        <f ca="1"/>
        <v>0.71372897472516406</v>
      </c>
      <c r="O1951" s="2">
        <f ca="1"/>
        <v>-1.6769558737958339</v>
      </c>
      <c r="X1951" s="2">
        <f ca="1"/>
        <v>57.771766651804384</v>
      </c>
      <c r="AG1951" s="2">
        <f ca="1"/>
        <v>0.70527087095454633</v>
      </c>
      <c r="AH1951" s="2" t="str">
        <f ca="1"/>
        <v>Bad</v>
      </c>
    </row>
    <row r="1952" spans="2:34" x14ac:dyDescent="0.2">
      <c r="B1952" s="2">
        <f ca="1"/>
        <v>0.67972015222240589</v>
      </c>
      <c r="O1952" s="2">
        <f ca="1"/>
        <v>-0.21992405594346881</v>
      </c>
      <c r="X1952" s="2">
        <f ca="1"/>
        <v>57.740337327077356</v>
      </c>
      <c r="AG1952" s="2">
        <f ca="1"/>
        <v>0.62413988528400899</v>
      </c>
      <c r="AH1952" s="2" t="str">
        <f ca="1"/>
        <v>Bad</v>
      </c>
    </row>
    <row r="1953" spans="2:34" x14ac:dyDescent="0.2">
      <c r="B1953" s="2">
        <f ca="1"/>
        <v>0.76082370385435394</v>
      </c>
      <c r="O1953" s="2">
        <f ca="1"/>
        <v>0.1827585872351439</v>
      </c>
      <c r="X1953" s="2">
        <f ca="1"/>
        <v>93.058943002136246</v>
      </c>
      <c r="AG1953" s="2">
        <f ca="1"/>
        <v>0.94855796896402822</v>
      </c>
      <c r="AH1953" s="2" t="str">
        <f ca="1"/>
        <v>Bad</v>
      </c>
    </row>
    <row r="1954" spans="2:34" x14ac:dyDescent="0.2">
      <c r="B1954" s="2">
        <f ca="1"/>
        <v>0.3330109325317625</v>
      </c>
      <c r="O1954" s="2">
        <f ca="1"/>
        <v>0.62458844519367984</v>
      </c>
      <c r="X1954" s="2">
        <f ca="1"/>
        <v>55.877453165948694</v>
      </c>
      <c r="AG1954" s="2">
        <f ca="1"/>
        <v>0.11134922775458178</v>
      </c>
      <c r="AH1954" s="2" t="str">
        <f ca="1"/>
        <v>OK</v>
      </c>
    </row>
    <row r="1955" spans="2:34" x14ac:dyDescent="0.2">
      <c r="B1955" s="2">
        <f ca="1"/>
        <v>0.13151837618689433</v>
      </c>
      <c r="O1955" s="2">
        <f ca="1"/>
        <v>-0.49755662813174717</v>
      </c>
      <c r="X1955" s="2">
        <f ca="1"/>
        <v>46.446291509695634</v>
      </c>
      <c r="AG1955" s="2">
        <f ca="1"/>
        <v>0.155729005935483</v>
      </c>
      <c r="AH1955" s="2" t="str">
        <f ca="1"/>
        <v>OK</v>
      </c>
    </row>
    <row r="1956" spans="2:34" x14ac:dyDescent="0.2">
      <c r="B1956" s="2">
        <f ca="1"/>
        <v>0.88886935797567768</v>
      </c>
      <c r="O1956" s="2">
        <f ca="1"/>
        <v>-1.2952915497072937</v>
      </c>
      <c r="X1956" s="2">
        <f ca="1"/>
        <v>46.904935288854979</v>
      </c>
      <c r="AG1956" s="2">
        <f ca="1"/>
        <v>0.24317408246358774</v>
      </c>
      <c r="AH1956" s="2" t="str">
        <f ca="1"/>
        <v>OK</v>
      </c>
    </row>
    <row r="1957" spans="2:34" x14ac:dyDescent="0.2">
      <c r="B1957" s="2">
        <f ca="1"/>
        <v>0.51006713651189961</v>
      </c>
      <c r="O1957" s="2">
        <f ca="1"/>
        <v>-0.4732033579804989</v>
      </c>
      <c r="X1957" s="2">
        <f ca="1"/>
        <v>53.938074396171828</v>
      </c>
      <c r="AG1957" s="2">
        <f ca="1"/>
        <v>0.60654549657815937</v>
      </c>
      <c r="AH1957" s="2" t="str">
        <f ca="1"/>
        <v>Bad</v>
      </c>
    </row>
    <row r="1958" spans="2:34" x14ac:dyDescent="0.2">
      <c r="B1958" s="2">
        <f ca="1"/>
        <v>0.49687642082831385</v>
      </c>
      <c r="O1958" s="2">
        <f ca="1"/>
        <v>-0.31161981490671314</v>
      </c>
      <c r="X1958" s="2">
        <f ca="1"/>
        <v>29.175015560768742</v>
      </c>
      <c r="AG1958" s="2">
        <f ca="1"/>
        <v>4.01990349675454E-2</v>
      </c>
      <c r="AH1958" s="2" t="str">
        <f ca="1"/>
        <v>Good</v>
      </c>
    </row>
    <row r="1959" spans="2:34" x14ac:dyDescent="0.2">
      <c r="B1959" s="2">
        <f ca="1"/>
        <v>0.81782088891378368</v>
      </c>
      <c r="O1959" s="2">
        <f ca="1"/>
        <v>-0.37271857110166712</v>
      </c>
      <c r="X1959" s="2">
        <f ca="1"/>
        <v>52.245918871134947</v>
      </c>
      <c r="AG1959" s="2">
        <f ca="1"/>
        <v>0.82650747134073588</v>
      </c>
      <c r="AH1959" s="2" t="str">
        <f ca="1"/>
        <v>Bad</v>
      </c>
    </row>
    <row r="1960" spans="2:34" x14ac:dyDescent="0.2">
      <c r="B1960" s="2">
        <f ca="1"/>
        <v>2.8249675182646428E-2</v>
      </c>
      <c r="O1960" s="2">
        <f ca="1"/>
        <v>-1.9808274470575533</v>
      </c>
      <c r="X1960" s="2">
        <f ca="1"/>
        <v>69.651336834397966</v>
      </c>
      <c r="AG1960" s="2">
        <f ca="1"/>
        <v>0.26769295233376966</v>
      </c>
      <c r="AH1960" s="2" t="str">
        <f ca="1"/>
        <v>OK</v>
      </c>
    </row>
    <row r="1961" spans="2:34" x14ac:dyDescent="0.2">
      <c r="B1961" s="2">
        <f ca="1"/>
        <v>4.015658325385818E-2</v>
      </c>
      <c r="O1961" s="2">
        <f ca="1"/>
        <v>0.43055733182829115</v>
      </c>
      <c r="X1961" s="2">
        <f ca="1"/>
        <v>31.677471929838248</v>
      </c>
      <c r="AG1961" s="2">
        <f ca="1"/>
        <v>0.19162938506581817</v>
      </c>
      <c r="AH1961" s="2" t="str">
        <f ca="1"/>
        <v>OK</v>
      </c>
    </row>
    <row r="1962" spans="2:34" x14ac:dyDescent="0.2">
      <c r="B1962" s="2">
        <f ca="1"/>
        <v>0.97013811123941318</v>
      </c>
      <c r="O1962" s="2">
        <f ca="1"/>
        <v>-0.47249503684094962</v>
      </c>
      <c r="X1962" s="2">
        <f ca="1"/>
        <v>48.854700230369289</v>
      </c>
      <c r="AG1962" s="2">
        <f ca="1"/>
        <v>0.73349720474775415</v>
      </c>
      <c r="AH1962" s="2" t="str">
        <f ca="1"/>
        <v>Bad</v>
      </c>
    </row>
    <row r="1963" spans="2:34" x14ac:dyDescent="0.2">
      <c r="B1963" s="2">
        <f ca="1"/>
        <v>0.44841702654202842</v>
      </c>
      <c r="O1963" s="2">
        <f ca="1"/>
        <v>0.43972469708252837</v>
      </c>
      <c r="X1963" s="2">
        <f ca="1"/>
        <v>34.679570140567762</v>
      </c>
      <c r="AG1963" s="2">
        <f ca="1"/>
        <v>0.50375256957671199</v>
      </c>
      <c r="AH1963" s="2" t="str">
        <f ca="1"/>
        <v>Bad</v>
      </c>
    </row>
    <row r="1964" spans="2:34" x14ac:dyDescent="0.2">
      <c r="B1964" s="2">
        <f ca="1"/>
        <v>0.23132067844998683</v>
      </c>
      <c r="O1964" s="2">
        <f ca="1"/>
        <v>-1.0128907497654167</v>
      </c>
      <c r="X1964" s="2">
        <f ca="1"/>
        <v>37.147161533422356</v>
      </c>
      <c r="AG1964" s="2">
        <f ca="1"/>
        <v>0.11207986364330647</v>
      </c>
      <c r="AH1964" s="2" t="str">
        <f ca="1"/>
        <v>OK</v>
      </c>
    </row>
    <row r="1965" spans="2:34" x14ac:dyDescent="0.2">
      <c r="B1965" s="2">
        <f ca="1"/>
        <v>0.21537457829032847</v>
      </c>
      <c r="O1965" s="2">
        <f ca="1"/>
        <v>0.32475889723369256</v>
      </c>
      <c r="X1965" s="2">
        <f ca="1"/>
        <v>49.688232727366895</v>
      </c>
      <c r="AG1965" s="2">
        <f ca="1"/>
        <v>0.73198395396851135</v>
      </c>
      <c r="AH1965" s="2" t="str">
        <f ca="1"/>
        <v>Bad</v>
      </c>
    </row>
    <row r="1966" spans="2:34" x14ac:dyDescent="0.2">
      <c r="B1966" s="2">
        <f ca="1"/>
        <v>0.61278142660389201</v>
      </c>
      <c r="O1966" s="2">
        <f ca="1"/>
        <v>0.23471394553591624</v>
      </c>
      <c r="X1966" s="2">
        <f ca="1"/>
        <v>30.554111463847569</v>
      </c>
      <c r="AG1966" s="2">
        <f ca="1"/>
        <v>0.28317352045385502</v>
      </c>
      <c r="AH1966" s="2" t="str">
        <f ca="1"/>
        <v>OK</v>
      </c>
    </row>
    <row r="1967" spans="2:34" x14ac:dyDescent="0.2">
      <c r="B1967" s="2">
        <f ca="1"/>
        <v>0.73032404965209596</v>
      </c>
      <c r="O1967" s="2">
        <f ca="1"/>
        <v>-1.0231518476974171</v>
      </c>
      <c r="X1967" s="2">
        <f ca="1"/>
        <v>55.18465704576932</v>
      </c>
      <c r="AG1967" s="2">
        <f ca="1"/>
        <v>0.15567948077039406</v>
      </c>
      <c r="AH1967" s="2" t="str">
        <f ca="1"/>
        <v>OK</v>
      </c>
    </row>
    <row r="1968" spans="2:34" x14ac:dyDescent="0.2">
      <c r="B1968" s="2">
        <f ca="1"/>
        <v>0.65579334015127166</v>
      </c>
      <c r="O1968" s="2">
        <f ca="1"/>
        <v>0.55676062252114633</v>
      </c>
      <c r="X1968" s="2">
        <f ca="1"/>
        <v>26.411524720014121</v>
      </c>
      <c r="AG1968" s="2">
        <f ca="1"/>
        <v>0.93987427844613358</v>
      </c>
      <c r="AH1968" s="2" t="str">
        <f ca="1"/>
        <v>Bad</v>
      </c>
    </row>
    <row r="1969" spans="2:34" x14ac:dyDescent="0.2">
      <c r="B1969" s="2">
        <f ca="1"/>
        <v>0.51016684207462237</v>
      </c>
      <c r="O1969" s="2">
        <f ca="1"/>
        <v>1.2880549390823446</v>
      </c>
      <c r="X1969" s="2">
        <f ca="1"/>
        <v>75.745555201331513</v>
      </c>
      <c r="AG1969" s="2">
        <f ca="1"/>
        <v>0.91993399567551704</v>
      </c>
      <c r="AH1969" s="2" t="str">
        <f ca="1"/>
        <v>Bad</v>
      </c>
    </row>
    <row r="1970" spans="2:34" x14ac:dyDescent="0.2">
      <c r="B1970" s="2">
        <f ca="1"/>
        <v>0.99418988454520929</v>
      </c>
      <c r="O1970" s="2">
        <f ca="1"/>
        <v>0.43499300130124191</v>
      </c>
      <c r="X1970" s="2">
        <f ca="1"/>
        <v>19.735346804056867</v>
      </c>
      <c r="AG1970" s="2">
        <f ca="1"/>
        <v>0.26856779123376828</v>
      </c>
      <c r="AH1970" s="2" t="str">
        <f ca="1"/>
        <v>OK</v>
      </c>
    </row>
    <row r="1971" spans="2:34" x14ac:dyDescent="0.2">
      <c r="B1971" s="2">
        <f ca="1"/>
        <v>0.26464533836376081</v>
      </c>
      <c r="O1971" s="2">
        <f ca="1"/>
        <v>1.1931010989488571</v>
      </c>
      <c r="X1971" s="2">
        <f ca="1"/>
        <v>34.492641380543617</v>
      </c>
      <c r="AG1971" s="2">
        <f ca="1"/>
        <v>0.36046136292819653</v>
      </c>
      <c r="AH1971" s="2" t="str">
        <f ca="1"/>
        <v>OK</v>
      </c>
    </row>
    <row r="1972" spans="2:34" x14ac:dyDescent="0.2">
      <c r="B1972" s="2">
        <f ca="1"/>
        <v>0.77985355656102495</v>
      </c>
      <c r="O1972" s="2">
        <f ca="1"/>
        <v>0.32628007786713759</v>
      </c>
      <c r="X1972" s="2">
        <f ca="1"/>
        <v>53.691510206657192</v>
      </c>
      <c r="AG1972" s="2">
        <f ca="1"/>
        <v>7.2595697143503113E-2</v>
      </c>
      <c r="AH1972" s="2" t="str">
        <f ca="1"/>
        <v>OK</v>
      </c>
    </row>
    <row r="1973" spans="2:34" x14ac:dyDescent="0.2">
      <c r="B1973" s="2">
        <f ca="1"/>
        <v>0.42194222914274837</v>
      </c>
      <c r="O1973" s="2">
        <f ca="1"/>
        <v>-0.22192455261965163</v>
      </c>
      <c r="X1973" s="2">
        <f ca="1"/>
        <v>66.834507393327186</v>
      </c>
      <c r="AG1973" s="2">
        <f ca="1"/>
        <v>0.76971567457950418</v>
      </c>
      <c r="AH1973" s="2" t="str">
        <f ca="1"/>
        <v>Bad</v>
      </c>
    </row>
    <row r="1974" spans="2:34" x14ac:dyDescent="0.2">
      <c r="B1974" s="2">
        <f ca="1"/>
        <v>0.88105670481651832</v>
      </c>
      <c r="O1974" s="2">
        <f ca="1"/>
        <v>-1.2027232231103073</v>
      </c>
      <c r="X1974" s="2">
        <f ca="1"/>
        <v>38.017795972166226</v>
      </c>
      <c r="AG1974" s="2">
        <f ca="1"/>
        <v>8.9892761989336156E-2</v>
      </c>
      <c r="AH1974" s="2" t="str">
        <f ca="1"/>
        <v>OK</v>
      </c>
    </row>
    <row r="1975" spans="2:34" x14ac:dyDescent="0.2">
      <c r="B1975" s="2">
        <f ca="1"/>
        <v>0.68192413641253413</v>
      </c>
      <c r="O1975" s="2">
        <f ca="1"/>
        <v>1.8684149211389693</v>
      </c>
      <c r="X1975" s="2">
        <f ca="1"/>
        <v>54.053229283534002</v>
      </c>
      <c r="AG1975" s="2">
        <f ca="1"/>
        <v>0.70600692843977497</v>
      </c>
      <c r="AH1975" s="2" t="str">
        <f ca="1"/>
        <v>Bad</v>
      </c>
    </row>
    <row r="1976" spans="2:34" x14ac:dyDescent="0.2">
      <c r="B1976" s="2">
        <f ca="1"/>
        <v>0.62274175357118144</v>
      </c>
      <c r="O1976" s="2">
        <f ca="1"/>
        <v>0.75994665974845643</v>
      </c>
      <c r="X1976" s="2">
        <f ca="1"/>
        <v>50.532785301642718</v>
      </c>
      <c r="AG1976" s="2">
        <f ca="1"/>
        <v>0.59810962482530439</v>
      </c>
      <c r="AH1976" s="2" t="str">
        <f ca="1"/>
        <v>Bad</v>
      </c>
    </row>
    <row r="1977" spans="2:34" x14ac:dyDescent="0.2">
      <c r="B1977" s="2">
        <f ca="1"/>
        <v>0.88175927083088035</v>
      </c>
      <c r="O1977" s="2">
        <f ca="1"/>
        <v>-1.8229210020688318</v>
      </c>
      <c r="X1977" s="2">
        <f ca="1"/>
        <v>74.497582311781755</v>
      </c>
      <c r="AG1977" s="2">
        <f ca="1"/>
        <v>0.11391452460230167</v>
      </c>
      <c r="AH1977" s="2" t="str">
        <f ca="1"/>
        <v>OK</v>
      </c>
    </row>
    <row r="1978" spans="2:34" x14ac:dyDescent="0.2">
      <c r="B1978" s="2">
        <f ca="1"/>
        <v>0.87077494843624659</v>
      </c>
      <c r="O1978" s="2">
        <f ca="1"/>
        <v>3.6785402864770167E-2</v>
      </c>
      <c r="X1978" s="2">
        <f ca="1"/>
        <v>36.956838056908367</v>
      </c>
      <c r="AG1978" s="2">
        <f ca="1"/>
        <v>0.62245085890116703</v>
      </c>
      <c r="AH1978" s="2" t="str">
        <f ca="1"/>
        <v>Bad</v>
      </c>
    </row>
    <row r="1979" spans="2:34" x14ac:dyDescent="0.2">
      <c r="B1979" s="2">
        <f ca="1"/>
        <v>0.1656849029337808</v>
      </c>
      <c r="O1979" s="2">
        <f ca="1"/>
        <v>-1.3664138485405291</v>
      </c>
      <c r="X1979" s="2">
        <f ca="1"/>
        <v>78.751293813476963</v>
      </c>
      <c r="AG1979" s="2">
        <f ca="1"/>
        <v>0.98948251590251179</v>
      </c>
      <c r="AH1979" s="2" t="str">
        <f ca="1"/>
        <v>Bad</v>
      </c>
    </row>
    <row r="1980" spans="2:34" x14ac:dyDescent="0.2">
      <c r="B1980" s="2">
        <f ca="1"/>
        <v>0.47618659692571574</v>
      </c>
      <c r="O1980" s="2">
        <f ca="1"/>
        <v>-0.13233194608818638</v>
      </c>
      <c r="X1980" s="2">
        <f ca="1"/>
        <v>23.762157966095309</v>
      </c>
      <c r="AG1980" s="2">
        <f ca="1"/>
        <v>0.27086508088100691</v>
      </c>
      <c r="AH1980" s="2" t="str">
        <f ca="1"/>
        <v>OK</v>
      </c>
    </row>
    <row r="1981" spans="2:34" x14ac:dyDescent="0.2">
      <c r="B1981" s="2">
        <f ca="1"/>
        <v>0.76419315972605784</v>
      </c>
      <c r="O1981" s="2">
        <f ca="1"/>
        <v>1.0695346653694067</v>
      </c>
      <c r="X1981" s="2">
        <f ca="1"/>
        <v>44.217235680010262</v>
      </c>
      <c r="AG1981" s="2">
        <f ca="1"/>
        <v>0.42184774924406909</v>
      </c>
      <c r="AH1981" s="2" t="str">
        <f ca="1"/>
        <v>Bad</v>
      </c>
    </row>
    <row r="1982" spans="2:34" x14ac:dyDescent="0.2">
      <c r="B1982" s="2">
        <f ca="1"/>
        <v>0.79152547473969315</v>
      </c>
      <c r="O1982" s="2">
        <f ca="1"/>
        <v>-0.47625568124337853</v>
      </c>
      <c r="X1982" s="2">
        <f ca="1"/>
        <v>33.923462839493816</v>
      </c>
      <c r="AG1982" s="2">
        <f ca="1"/>
        <v>0.61862974432215112</v>
      </c>
      <c r="AH1982" s="2" t="str">
        <f ca="1"/>
        <v>Bad</v>
      </c>
    </row>
    <row r="1983" spans="2:34" x14ac:dyDescent="0.2">
      <c r="B1983" s="2">
        <f ca="1"/>
        <v>0.28882716679068521</v>
      </c>
      <c r="O1983" s="2">
        <f ca="1"/>
        <v>1.7612364713604034</v>
      </c>
      <c r="X1983" s="2">
        <f ca="1"/>
        <v>38.104003765331072</v>
      </c>
      <c r="AG1983" s="2">
        <f ca="1"/>
        <v>0.59836322369182882</v>
      </c>
      <c r="AH1983" s="2" t="str">
        <f ca="1"/>
        <v>Bad</v>
      </c>
    </row>
    <row r="1984" spans="2:34" x14ac:dyDescent="0.2">
      <c r="B1984" s="2">
        <f ca="1"/>
        <v>0.63228522041731394</v>
      </c>
      <c r="O1984" s="2">
        <f ca="1"/>
        <v>1.4790579566305861</v>
      </c>
      <c r="X1984" s="2">
        <f ca="1"/>
        <v>31.437210541926625</v>
      </c>
      <c r="AG1984" s="2">
        <f ca="1"/>
        <v>0.55800602293492596</v>
      </c>
      <c r="AH1984" s="2" t="str">
        <f ca="1"/>
        <v>Bad</v>
      </c>
    </row>
    <row r="1985" spans="2:34" x14ac:dyDescent="0.2">
      <c r="B1985" s="2">
        <f ca="1"/>
        <v>0.45911989696543487</v>
      </c>
      <c r="O1985" s="2">
        <f ca="1"/>
        <v>0.88441758717955965</v>
      </c>
      <c r="X1985" s="2">
        <f ca="1"/>
        <v>73.186828958533638</v>
      </c>
      <c r="AG1985" s="2">
        <f ca="1"/>
        <v>0.32866066651330605</v>
      </c>
      <c r="AH1985" s="2" t="str">
        <f ca="1"/>
        <v>OK</v>
      </c>
    </row>
    <row r="1986" spans="2:34" x14ac:dyDescent="0.2">
      <c r="B1986" s="2">
        <f ca="1"/>
        <v>0.2604950556876513</v>
      </c>
      <c r="O1986" s="2">
        <f ca="1"/>
        <v>-0.33270690827960409</v>
      </c>
      <c r="X1986" s="2">
        <f ca="1"/>
        <v>51.200162622435528</v>
      </c>
      <c r="AG1986" s="2">
        <f ca="1"/>
        <v>0.25484403011334456</v>
      </c>
      <c r="AH1986" s="2" t="str">
        <f ca="1"/>
        <v>OK</v>
      </c>
    </row>
    <row r="1987" spans="2:34" x14ac:dyDescent="0.2">
      <c r="B1987" s="2">
        <f ca="1"/>
        <v>0.17257588360326892</v>
      </c>
      <c r="O1987" s="2">
        <f ca="1"/>
        <v>-2.3146348607499969</v>
      </c>
      <c r="X1987" s="2">
        <f ca="1"/>
        <v>70.943012525821715</v>
      </c>
      <c r="AG1987" s="2">
        <f ca="1"/>
        <v>0.37242889339467644</v>
      </c>
      <c r="AH1987" s="2" t="str">
        <f ca="1"/>
        <v>OK</v>
      </c>
    </row>
    <row r="1988" spans="2:34" x14ac:dyDescent="0.2">
      <c r="B1988" s="2">
        <f ca="1"/>
        <v>0.35065734075180877</v>
      </c>
      <c r="O1988" s="2">
        <f ca="1"/>
        <v>-0.27552988337702988</v>
      </c>
      <c r="X1988" s="2">
        <f ca="1"/>
        <v>58.962788554654601</v>
      </c>
      <c r="AG1988" s="2">
        <f ca="1"/>
        <v>0.17726603605645064</v>
      </c>
      <c r="AH1988" s="2" t="str">
        <f ca="1"/>
        <v>OK</v>
      </c>
    </row>
    <row r="1989" spans="2:34" x14ac:dyDescent="0.2">
      <c r="B1989" s="2">
        <f ca="1"/>
        <v>0.86883761610139287</v>
      </c>
      <c r="O1989" s="2">
        <f ca="1"/>
        <v>0.92594882150488433</v>
      </c>
      <c r="X1989" s="2">
        <f ca="1"/>
        <v>66.933408199665735</v>
      </c>
      <c r="AG1989" s="2">
        <f ca="1"/>
        <v>0.78051300947672808</v>
      </c>
      <c r="AH1989" s="2" t="str">
        <f ca="1"/>
        <v>Bad</v>
      </c>
    </row>
    <row r="1990" spans="2:34" x14ac:dyDescent="0.2">
      <c r="B1990" s="2">
        <f ca="1"/>
        <v>0.94202395016217522</v>
      </c>
      <c r="O1990" s="2">
        <f ca="1"/>
        <v>1.8607265767400272</v>
      </c>
      <c r="X1990" s="2">
        <f ca="1"/>
        <v>32.866867301601289</v>
      </c>
      <c r="AG1990" s="2">
        <f ca="1"/>
        <v>6.9090577596160996E-2</v>
      </c>
      <c r="AH1990" s="2" t="str">
        <f ca="1"/>
        <v>OK</v>
      </c>
    </row>
    <row r="1991" spans="2:34" x14ac:dyDescent="0.2">
      <c r="B1991" s="2">
        <f ca="1"/>
        <v>0.64338039411318282</v>
      </c>
      <c r="O1991" s="2">
        <f ca="1"/>
        <v>1.5589170879092975</v>
      </c>
      <c r="X1991" s="2">
        <f ca="1"/>
        <v>50.818790031409549</v>
      </c>
      <c r="AG1991" s="2">
        <f ca="1"/>
        <v>0.99114071713632601</v>
      </c>
      <c r="AH1991" s="2" t="str">
        <f ca="1"/>
        <v>Bad</v>
      </c>
    </row>
    <row r="1992" spans="2:34" x14ac:dyDescent="0.2">
      <c r="B1992" s="2">
        <f ca="1"/>
        <v>0.15289936553044559</v>
      </c>
      <c r="O1992" s="2">
        <f ca="1"/>
        <v>-0.81121155109414755</v>
      </c>
      <c r="X1992" s="2">
        <f ca="1"/>
        <v>44.833683024248216</v>
      </c>
      <c r="AG1992" s="2">
        <f ca="1"/>
        <v>0.27251284960789035</v>
      </c>
      <c r="AH1992" s="2" t="str">
        <f ca="1"/>
        <v>OK</v>
      </c>
    </row>
    <row r="1993" spans="2:34" x14ac:dyDescent="0.2">
      <c r="B1993" s="2">
        <f ca="1"/>
        <v>0.94665394979649831</v>
      </c>
      <c r="O1993" s="2">
        <f ca="1"/>
        <v>1.2685111939166351E-2</v>
      </c>
      <c r="X1993" s="2">
        <f ca="1"/>
        <v>41.452093695576302</v>
      </c>
      <c r="AG1993" s="2">
        <f ca="1"/>
        <v>0.95841818208338303</v>
      </c>
      <c r="AH1993" s="2" t="str">
        <f ca="1"/>
        <v>Bad</v>
      </c>
    </row>
    <row r="1994" spans="2:34" x14ac:dyDescent="0.2">
      <c r="B1994" s="2">
        <f ca="1"/>
        <v>0.72957560785490849</v>
      </c>
      <c r="O1994" s="2">
        <f ca="1"/>
        <v>-1.0838901082188543</v>
      </c>
      <c r="X1994" s="2">
        <f ca="1"/>
        <v>66.324049137717623</v>
      </c>
      <c r="AG1994" s="2">
        <f ca="1"/>
        <v>0.4345711913521606</v>
      </c>
      <c r="AH1994" s="2" t="str">
        <f ca="1"/>
        <v>Bad</v>
      </c>
    </row>
    <row r="1995" spans="2:34" x14ac:dyDescent="0.2">
      <c r="B1995" s="2">
        <f ca="1"/>
        <v>0.51335994606784352</v>
      </c>
      <c r="O1995" s="2">
        <f ca="1"/>
        <v>0.8478380517991293</v>
      </c>
      <c r="X1995" s="2">
        <f ca="1"/>
        <v>31.966796873252203</v>
      </c>
      <c r="AG1995" s="2">
        <f ca="1"/>
        <v>0.66563293131146462</v>
      </c>
      <c r="AH1995" s="2" t="str">
        <f ca="1"/>
        <v>Bad</v>
      </c>
    </row>
    <row r="1996" spans="2:34" x14ac:dyDescent="0.2">
      <c r="B1996" s="2">
        <f ca="1"/>
        <v>0.79784116252463644</v>
      </c>
      <c r="O1996" s="2">
        <f ca="1"/>
        <v>-0.15502634603051235</v>
      </c>
      <c r="X1996" s="2">
        <f ca="1"/>
        <v>65.835418277743472</v>
      </c>
      <c r="AG1996" s="2">
        <f ca="1"/>
        <v>2.4553505774681961E-2</v>
      </c>
      <c r="AH1996" s="2" t="str">
        <f ca="1"/>
        <v>Good</v>
      </c>
    </row>
    <row r="1997" spans="2:34" x14ac:dyDescent="0.2">
      <c r="B1997" s="2">
        <f ca="1"/>
        <v>0.39148764275479797</v>
      </c>
      <c r="O1997" s="2">
        <f ca="1"/>
        <v>-7.9888250339313193E-3</v>
      </c>
      <c r="X1997" s="2">
        <f ca="1"/>
        <v>67.207055433831286</v>
      </c>
      <c r="AG1997" s="2">
        <f ca="1"/>
        <v>0.94202378597573544</v>
      </c>
      <c r="AH1997" s="2" t="str">
        <f ca="1"/>
        <v>Bad</v>
      </c>
    </row>
    <row r="1998" spans="2:34" x14ac:dyDescent="0.2">
      <c r="B1998" s="2">
        <f ca="1"/>
        <v>0.74482954999774775</v>
      </c>
      <c r="O1998" s="2">
        <f ca="1"/>
        <v>1.0185205096047041</v>
      </c>
      <c r="X1998" s="2">
        <f ca="1"/>
        <v>26.810467168564131</v>
      </c>
      <c r="AG1998" s="2">
        <f ca="1"/>
        <v>0.70146637728601191</v>
      </c>
      <c r="AH1998" s="2" t="str">
        <f ca="1"/>
        <v>Bad</v>
      </c>
    </row>
    <row r="1999" spans="2:34" x14ac:dyDescent="0.2">
      <c r="B1999" s="2">
        <f ca="1"/>
        <v>0.69126111778917698</v>
      </c>
      <c r="O1999" s="2">
        <f ca="1"/>
        <v>-2.212142786114004E-2</v>
      </c>
      <c r="X1999" s="2">
        <f ca="1"/>
        <v>24.484679806406135</v>
      </c>
      <c r="AG1999" s="2">
        <f ca="1"/>
        <v>0.85042234724004029</v>
      </c>
      <c r="AH1999" s="2" t="str">
        <f ca="1"/>
        <v>Bad</v>
      </c>
    </row>
    <row r="2000" spans="2:34" x14ac:dyDescent="0.2">
      <c r="B2000" s="2">
        <f ca="1"/>
        <v>0.72885539703467961</v>
      </c>
      <c r="O2000" s="2">
        <f ca="1"/>
        <v>-0.80236967298415152</v>
      </c>
      <c r="X2000" s="2">
        <f ca="1"/>
        <v>58.485885209457358</v>
      </c>
      <c r="AG2000" s="2">
        <f ca="1"/>
        <v>4.6782380827433689E-2</v>
      </c>
      <c r="AH2000" s="2" t="str">
        <f ca="1"/>
        <v>Good</v>
      </c>
    </row>
    <row r="2001" spans="2:34" x14ac:dyDescent="0.2">
      <c r="B2001" s="2">
        <f ca="1"/>
        <v>0.91871085372756922</v>
      </c>
      <c r="O2001" s="2">
        <f ca="1"/>
        <v>0.57946761720209361</v>
      </c>
      <c r="X2001" s="2">
        <f ca="1"/>
        <v>64.890834900365974</v>
      </c>
      <c r="AG2001" s="2">
        <f ca="1"/>
        <v>0.21211938621905935</v>
      </c>
      <c r="AH2001" s="2" t="str">
        <f ca="1"/>
        <v>OK</v>
      </c>
    </row>
    <row r="2002" spans="2:34" x14ac:dyDescent="0.2">
      <c r="B2002" s="2">
        <f ca="1"/>
        <v>0.80648304243516589</v>
      </c>
      <c r="O2002" s="2">
        <f ca="1"/>
        <v>0.51254838300082428</v>
      </c>
      <c r="X2002" s="2">
        <f ca="1"/>
        <v>61.321122999382169</v>
      </c>
      <c r="AG2002" s="2">
        <f ca="1"/>
        <v>0.42314728960685888</v>
      </c>
      <c r="AH2002" s="2" t="str">
        <f ca="1"/>
        <v>Bad</v>
      </c>
    </row>
    <row r="2003" spans="2:34" x14ac:dyDescent="0.2">
      <c r="B2003" s="2">
        <f ca="1"/>
        <v>0.51474592519548645</v>
      </c>
      <c r="O2003" s="2">
        <f ca="1"/>
        <v>1.3585382602414151</v>
      </c>
      <c r="X2003" s="2">
        <f ca="1"/>
        <v>45.584885667167839</v>
      </c>
      <c r="AG2003" s="2">
        <f ca="1"/>
        <v>0.65356330805676754</v>
      </c>
      <c r="AH2003" s="2" t="str">
        <f ca="1"/>
        <v>Bad</v>
      </c>
    </row>
    <row r="2004" spans="2:34" x14ac:dyDescent="0.2">
      <c r="B2004" s="2">
        <f ca="1"/>
        <v>0.42743082950703393</v>
      </c>
      <c r="O2004" s="2">
        <f ca="1"/>
        <v>0.6049283452050972</v>
      </c>
      <c r="X2004" s="2">
        <f ca="1"/>
        <v>32.424926332328866</v>
      </c>
      <c r="AG2004" s="2">
        <f ca="1"/>
        <v>0.93284251940542884</v>
      </c>
      <c r="AH2004" s="2" t="str">
        <f ca="1"/>
        <v>Bad</v>
      </c>
    </row>
    <row r="2005" spans="2:34" x14ac:dyDescent="0.2">
      <c r="B2005" s="2">
        <f ca="1"/>
        <v>0.6518013741660873</v>
      </c>
      <c r="O2005" s="2">
        <f ca="1"/>
        <v>6.4866182179901186E-2</v>
      </c>
      <c r="X2005" s="2">
        <f ca="1"/>
        <v>46.215541101498573</v>
      </c>
      <c r="AG2005" s="2">
        <f ca="1"/>
        <v>0.74893201122366815</v>
      </c>
      <c r="AH2005" s="2" t="str">
        <f ca="1"/>
        <v>Bad</v>
      </c>
    </row>
    <row r="2006" spans="2:34" x14ac:dyDescent="0.2">
      <c r="B2006" s="2">
        <f ca="1"/>
        <v>0.12265703955642393</v>
      </c>
      <c r="O2006" s="2">
        <f ca="1"/>
        <v>0.66176233267990547</v>
      </c>
      <c r="X2006" s="2">
        <f ca="1"/>
        <v>59.948354630364811</v>
      </c>
      <c r="AG2006" s="2">
        <f ca="1"/>
        <v>0.93362925158643595</v>
      </c>
      <c r="AH2006" s="2" t="str">
        <f ca="1"/>
        <v>Bad</v>
      </c>
    </row>
    <row r="2007" spans="2:34" x14ac:dyDescent="0.2">
      <c r="B2007" s="2">
        <f ca="1"/>
        <v>0.89246323124649929</v>
      </c>
      <c r="O2007" s="2">
        <f ca="1"/>
        <v>1.969217753439557</v>
      </c>
      <c r="X2007" s="2">
        <f ca="1"/>
        <v>55.284801822701191</v>
      </c>
      <c r="AG2007" s="2">
        <f ca="1"/>
        <v>0.46424212836006395</v>
      </c>
      <c r="AH2007" s="2" t="str">
        <f ca="1"/>
        <v>Bad</v>
      </c>
    </row>
    <row r="2008" spans="2:34" x14ac:dyDescent="0.2">
      <c r="B2008" s="2">
        <f ca="1"/>
        <v>4.9794793172303287E-2</v>
      </c>
      <c r="O2008" s="2">
        <f ca="1"/>
        <v>6.3179699468362245E-3</v>
      </c>
      <c r="X2008" s="2">
        <f ca="1"/>
        <v>39.368728439085288</v>
      </c>
      <c r="AG2008" s="2">
        <f ca="1"/>
        <v>0.47666054415938008</v>
      </c>
      <c r="AH2008" s="2" t="str">
        <f ca="1"/>
        <v>Bad</v>
      </c>
    </row>
    <row r="2009" spans="2:34" x14ac:dyDescent="0.2">
      <c r="B2009" s="2">
        <f ca="1"/>
        <v>0.68083738062351862</v>
      </c>
      <c r="O2009" s="2">
        <f ca="1"/>
        <v>0.42465910559583203</v>
      </c>
      <c r="X2009" s="2">
        <f ca="1"/>
        <v>34.452518217330187</v>
      </c>
      <c r="AG2009" s="2">
        <f ca="1"/>
        <v>3.2910235919092257E-2</v>
      </c>
      <c r="AH2009" s="2" t="str">
        <f ca="1"/>
        <v>Good</v>
      </c>
    </row>
    <row r="2010" spans="2:34" x14ac:dyDescent="0.2">
      <c r="B2010" s="2">
        <f ca="1"/>
        <v>0.65409260016066217</v>
      </c>
      <c r="O2010" s="2">
        <f ca="1"/>
        <v>-1.8280248072709588</v>
      </c>
      <c r="X2010" s="2">
        <f ca="1"/>
        <v>41.297555804799451</v>
      </c>
      <c r="AG2010" s="2">
        <f ca="1"/>
        <v>0.82818632447718166</v>
      </c>
      <c r="AH2010" s="2" t="str">
        <f ca="1"/>
        <v>Bad</v>
      </c>
    </row>
    <row r="2011" spans="2:34" x14ac:dyDescent="0.2">
      <c r="B2011" s="2">
        <f ca="1"/>
        <v>0.29967927725341004</v>
      </c>
      <c r="O2011" s="2">
        <f ca="1"/>
        <v>-0.58682550615453577</v>
      </c>
      <c r="X2011" s="2">
        <f ca="1"/>
        <v>35.459916235446919</v>
      </c>
      <c r="AG2011" s="2">
        <f ca="1"/>
        <v>0.93187790156085826</v>
      </c>
      <c r="AH2011" s="2" t="str">
        <f ca="1"/>
        <v>Bad</v>
      </c>
    </row>
    <row r="2012" spans="2:34" x14ac:dyDescent="0.2">
      <c r="B2012" s="2">
        <f ca="1"/>
        <v>0.60295279427106596</v>
      </c>
      <c r="O2012" s="2">
        <f ca="1"/>
        <v>0.16471304134978371</v>
      </c>
      <c r="X2012" s="2">
        <f ca="1"/>
        <v>65.333880879250117</v>
      </c>
      <c r="AG2012" s="2">
        <f ca="1"/>
        <v>0.6984476143140983</v>
      </c>
      <c r="AH2012" s="2" t="str">
        <f ca="1"/>
        <v>Bad</v>
      </c>
    </row>
    <row r="2013" spans="2:34" x14ac:dyDescent="0.2">
      <c r="B2013" s="2">
        <f ca="1"/>
        <v>0.81784080171315865</v>
      </c>
      <c r="O2013" s="2">
        <f ca="1"/>
        <v>-0.67131911989720283</v>
      </c>
      <c r="X2013" s="2">
        <f ca="1"/>
        <v>55.650236824422237</v>
      </c>
      <c r="AG2013" s="2">
        <f ca="1"/>
        <v>0.8003537675762975</v>
      </c>
      <c r="AH2013" s="2" t="str">
        <f ca="1"/>
        <v>Bad</v>
      </c>
    </row>
    <row r="2014" spans="2:34" x14ac:dyDescent="0.2">
      <c r="B2014" s="2">
        <f ca="1"/>
        <v>0.71595541545700181</v>
      </c>
      <c r="O2014" s="2">
        <f ca="1"/>
        <v>0.92866534357661779</v>
      </c>
      <c r="X2014" s="2">
        <f ca="1"/>
        <v>54.586684207604925</v>
      </c>
      <c r="AG2014" s="2">
        <f ca="1"/>
        <v>0.26125302807966344</v>
      </c>
      <c r="AH2014" s="2" t="str">
        <f ca="1"/>
        <v>OK</v>
      </c>
    </row>
    <row r="2015" spans="2:34" x14ac:dyDescent="0.2">
      <c r="B2015" s="2">
        <f ca="1"/>
        <v>0.45091684902491225</v>
      </c>
      <c r="O2015" s="2">
        <f ca="1"/>
        <v>-1.0040862859927235</v>
      </c>
      <c r="X2015" s="2">
        <f ca="1"/>
        <v>36.844899484891179</v>
      </c>
      <c r="AG2015" s="2">
        <f ca="1"/>
        <v>0.65098881009661391</v>
      </c>
      <c r="AH2015" s="2" t="str">
        <f ca="1"/>
        <v>Bad</v>
      </c>
    </row>
    <row r="2016" spans="2:34" x14ac:dyDescent="0.2">
      <c r="B2016" s="2">
        <f ca="1"/>
        <v>0.95422038980826085</v>
      </c>
      <c r="O2016" s="2">
        <f ca="1"/>
        <v>-0.9286915140042552</v>
      </c>
      <c r="X2016" s="2">
        <f ca="1"/>
        <v>72.632340638284461</v>
      </c>
      <c r="AG2016" s="2">
        <f ca="1"/>
        <v>0.14312305003594306</v>
      </c>
      <c r="AH2016" s="2" t="str">
        <f ca="1"/>
        <v>OK</v>
      </c>
    </row>
    <row r="2017" spans="2:34" x14ac:dyDescent="0.2">
      <c r="B2017" s="2">
        <f ca="1"/>
        <v>9.4022382437485064E-2</v>
      </c>
      <c r="O2017" s="2">
        <f ca="1"/>
        <v>-0.39328493468371462</v>
      </c>
      <c r="X2017" s="2">
        <f ca="1"/>
        <v>82.440340543305851</v>
      </c>
      <c r="AG2017" s="2">
        <f ca="1"/>
        <v>0.60319896017120689</v>
      </c>
      <c r="AH2017" s="2" t="str">
        <f ca="1"/>
        <v>Bad</v>
      </c>
    </row>
    <row r="2018" spans="2:34" x14ac:dyDescent="0.2">
      <c r="B2018" s="2">
        <f ca="1"/>
        <v>3.3638253576977029E-2</v>
      </c>
      <c r="O2018" s="2">
        <f ca="1"/>
        <v>0.46387875166263176</v>
      </c>
      <c r="X2018" s="2">
        <f ca="1"/>
        <v>63.512831515425603</v>
      </c>
      <c r="AG2018" s="2">
        <f ca="1"/>
        <v>0.45313020865607689</v>
      </c>
      <c r="AH2018" s="2" t="str">
        <f ca="1"/>
        <v>Bad</v>
      </c>
    </row>
    <row r="2019" spans="2:34" x14ac:dyDescent="0.2">
      <c r="B2019" s="2">
        <f ca="1"/>
        <v>0.63001655606309814</v>
      </c>
      <c r="O2019" s="2">
        <f ca="1"/>
        <v>-0.53341601497304592</v>
      </c>
      <c r="X2019" s="2">
        <f ca="1"/>
        <v>29.967550768451595</v>
      </c>
      <c r="AG2019" s="2">
        <f ca="1"/>
        <v>3.6726048580694615E-2</v>
      </c>
      <c r="AH2019" s="2" t="str">
        <f ca="1"/>
        <v>Good</v>
      </c>
    </row>
    <row r="2020" spans="2:34" x14ac:dyDescent="0.2">
      <c r="B2020" s="2">
        <f ca="1"/>
        <v>0.10061542533100432</v>
      </c>
      <c r="O2020" s="2">
        <f ca="1"/>
        <v>1.130868725841089</v>
      </c>
      <c r="X2020" s="2">
        <f ca="1"/>
        <v>85.870476063384189</v>
      </c>
      <c r="AG2020" s="2">
        <f ca="1"/>
        <v>0.94608416547687813</v>
      </c>
      <c r="AH2020" s="2" t="str">
        <f ca="1"/>
        <v>Bad</v>
      </c>
    </row>
    <row r="2021" spans="2:34" x14ac:dyDescent="0.2">
      <c r="B2021" s="2">
        <f ca="1"/>
        <v>0.7786527117379356</v>
      </c>
      <c r="O2021" s="2">
        <f ca="1"/>
        <v>0.39344015739850619</v>
      </c>
      <c r="X2021" s="2">
        <f ca="1"/>
        <v>57.743712466331168</v>
      </c>
      <c r="AG2021" s="2">
        <f ca="1"/>
        <v>0.24591261218644611</v>
      </c>
      <c r="AH2021" s="2" t="str">
        <f ca="1"/>
        <v>OK</v>
      </c>
    </row>
    <row r="2022" spans="2:34" x14ac:dyDescent="0.2">
      <c r="B2022" s="2">
        <f ca="1"/>
        <v>0.28275481040632067</v>
      </c>
      <c r="O2022" s="2">
        <f ca="1"/>
        <v>0.74626066498492349</v>
      </c>
      <c r="X2022" s="2">
        <f ca="1"/>
        <v>54.70900874012564</v>
      </c>
      <c r="AG2022" s="2">
        <f ca="1"/>
        <v>0.14300188046712159</v>
      </c>
      <c r="AH2022" s="2" t="str">
        <f ca="1"/>
        <v>OK</v>
      </c>
    </row>
    <row r="2023" spans="2:34" x14ac:dyDescent="0.2">
      <c r="B2023" s="2">
        <f ca="1"/>
        <v>0.76140076384500222</v>
      </c>
      <c r="O2023" s="2">
        <f ca="1"/>
        <v>-0.1836799811435722</v>
      </c>
      <c r="X2023" s="2">
        <f ca="1"/>
        <v>48.659596629795985</v>
      </c>
      <c r="AG2023" s="2">
        <f ca="1"/>
        <v>0.79291988870520602</v>
      </c>
      <c r="AH2023" s="2" t="str">
        <f ca="1"/>
        <v>Bad</v>
      </c>
    </row>
    <row r="2024" spans="2:34" x14ac:dyDescent="0.2">
      <c r="B2024" s="2">
        <f ca="1"/>
        <v>0.49286134327328335</v>
      </c>
      <c r="O2024" s="2">
        <f ca="1"/>
        <v>0.91664403051500465</v>
      </c>
      <c r="X2024" s="2">
        <f ca="1"/>
        <v>36.129864434735516</v>
      </c>
      <c r="AG2024" s="2">
        <f ca="1"/>
        <v>0.1918003379941744</v>
      </c>
      <c r="AH2024" s="2" t="str">
        <f ca="1"/>
        <v>OK</v>
      </c>
    </row>
    <row r="2025" spans="2:34" x14ac:dyDescent="0.2">
      <c r="B2025" s="2">
        <f ca="1"/>
        <v>9.1097766453364537E-2</v>
      </c>
      <c r="O2025" s="2">
        <f ca="1"/>
        <v>-0.45904274883911156</v>
      </c>
      <c r="X2025" s="2">
        <f ca="1"/>
        <v>51.644991208884903</v>
      </c>
      <c r="AG2025" s="2">
        <f ca="1"/>
        <v>0.2439908120054477</v>
      </c>
      <c r="AH2025" s="2" t="str">
        <f ca="1"/>
        <v>OK</v>
      </c>
    </row>
    <row r="2026" spans="2:34" x14ac:dyDescent="0.2">
      <c r="B2026" s="2">
        <f ca="1"/>
        <v>0.77026383104175777</v>
      </c>
      <c r="O2026" s="2">
        <f ca="1"/>
        <v>0.72204685789251477</v>
      </c>
      <c r="X2026" s="2">
        <f ca="1"/>
        <v>47.163619079899107</v>
      </c>
      <c r="AG2026" s="2">
        <f ca="1"/>
        <v>0.95805140625991059</v>
      </c>
      <c r="AH2026" s="2" t="str">
        <f ca="1"/>
        <v>Bad</v>
      </c>
    </row>
    <row r="2027" spans="2:34" x14ac:dyDescent="0.2">
      <c r="B2027" s="2">
        <f ca="1"/>
        <v>0.5072376591901171</v>
      </c>
      <c r="O2027" s="2">
        <f ca="1"/>
        <v>1.8168769645858067</v>
      </c>
      <c r="X2027" s="2">
        <f ca="1"/>
        <v>70.333953540219952</v>
      </c>
      <c r="AG2027" s="2">
        <f ca="1"/>
        <v>0.45771786025278449</v>
      </c>
      <c r="AH2027" s="2" t="str">
        <f ca="1"/>
        <v>Bad</v>
      </c>
    </row>
    <row r="2028" spans="2:34" x14ac:dyDescent="0.2">
      <c r="B2028" s="2">
        <f ca="1"/>
        <v>0.89953928295630425</v>
      </c>
      <c r="O2028" s="2">
        <f ca="1"/>
        <v>0.7925878938641463</v>
      </c>
      <c r="X2028" s="2">
        <f ca="1"/>
        <v>56.571483133220397</v>
      </c>
      <c r="AG2028" s="2">
        <f ca="1"/>
        <v>0.34185339287684524</v>
      </c>
      <c r="AH2028" s="2" t="str">
        <f ca="1"/>
        <v>OK</v>
      </c>
    </row>
    <row r="2029" spans="2:34" x14ac:dyDescent="0.2">
      <c r="B2029" s="2">
        <f ca="1"/>
        <v>0.7039740959197851</v>
      </c>
      <c r="O2029" s="2">
        <f ca="1"/>
        <v>-5.9981338561303284E-2</v>
      </c>
      <c r="X2029" s="2">
        <f ca="1"/>
        <v>52.858740682735984</v>
      </c>
      <c r="AG2029" s="2">
        <f ca="1"/>
        <v>0.23590274660378885</v>
      </c>
      <c r="AH2029" s="2" t="str">
        <f ca="1"/>
        <v>OK</v>
      </c>
    </row>
    <row r="2030" spans="2:34" x14ac:dyDescent="0.2">
      <c r="B2030" s="2">
        <f ca="1"/>
        <v>0.73472258804615231</v>
      </c>
      <c r="O2030" s="2">
        <f ca="1"/>
        <v>0.95417420607468162</v>
      </c>
      <c r="X2030" s="2">
        <f ca="1"/>
        <v>35.006644299151908</v>
      </c>
      <c r="AG2030" s="2">
        <f ca="1"/>
        <v>0.74458385652286441</v>
      </c>
      <c r="AH2030" s="2" t="str">
        <f ca="1"/>
        <v>Bad</v>
      </c>
    </row>
    <row r="2031" spans="2:34" x14ac:dyDescent="0.2">
      <c r="B2031" s="2">
        <f ca="1"/>
        <v>0.8144344307724507</v>
      </c>
      <c r="O2031" s="2">
        <f ca="1"/>
        <v>-2.0269946032621959</v>
      </c>
      <c r="X2031" s="2">
        <f ca="1"/>
        <v>22.751378306495717</v>
      </c>
      <c r="AG2031" s="2">
        <f ca="1"/>
        <v>4.788030137901611E-2</v>
      </c>
      <c r="AH2031" s="2" t="str">
        <f ca="1"/>
        <v>Good</v>
      </c>
    </row>
    <row r="2032" spans="2:34" x14ac:dyDescent="0.2">
      <c r="B2032" s="2">
        <f ca="1"/>
        <v>0.14294640216361709</v>
      </c>
      <c r="O2032" s="2">
        <f ca="1"/>
        <v>-0.4434109852388336</v>
      </c>
      <c r="X2032" s="2">
        <f ca="1"/>
        <v>54.02618821147211</v>
      </c>
      <c r="AG2032" s="2">
        <f ca="1"/>
        <v>0.2718690398763346</v>
      </c>
      <c r="AH2032" s="2" t="str">
        <f ca="1"/>
        <v>OK</v>
      </c>
    </row>
    <row r="2033" spans="2:34" x14ac:dyDescent="0.2">
      <c r="B2033" s="2">
        <f ca="1"/>
        <v>0.43162585361859307</v>
      </c>
      <c r="O2033" s="2">
        <f ca="1"/>
        <v>1.0262126364079009</v>
      </c>
      <c r="X2033" s="2">
        <f ca="1"/>
        <v>43.330781812878946</v>
      </c>
      <c r="AG2033" s="2">
        <f ca="1"/>
        <v>0.80697363652134735</v>
      </c>
      <c r="AH2033" s="2" t="str">
        <f ca="1"/>
        <v>Bad</v>
      </c>
    </row>
    <row r="2034" spans="2:34" x14ac:dyDescent="0.2">
      <c r="B2034" s="2">
        <f ca="1"/>
        <v>0.88855293914869549</v>
      </c>
      <c r="O2034" s="2">
        <f ca="1"/>
        <v>8.5160195427022356E-2</v>
      </c>
      <c r="X2034" s="2">
        <f ca="1"/>
        <v>42.164050284373424</v>
      </c>
      <c r="AG2034" s="2">
        <f ca="1"/>
        <v>0.76135181345741754</v>
      </c>
      <c r="AH2034" s="2" t="str">
        <f ca="1"/>
        <v>Bad</v>
      </c>
    </row>
    <row r="2035" spans="2:34" x14ac:dyDescent="0.2">
      <c r="B2035" s="2">
        <f ca="1"/>
        <v>0.79173209838920533</v>
      </c>
      <c r="O2035" s="2">
        <f ca="1"/>
        <v>-0.61107249943176822</v>
      </c>
      <c r="X2035" s="2">
        <f ca="1"/>
        <v>63.828976450758653</v>
      </c>
      <c r="AG2035" s="2">
        <f ca="1"/>
        <v>0.83616627475616179</v>
      </c>
      <c r="AH2035" s="2" t="str">
        <f ca="1"/>
        <v>Bad</v>
      </c>
    </row>
    <row r="2036" spans="2:34" x14ac:dyDescent="0.2">
      <c r="B2036" s="2">
        <f ca="1"/>
        <v>0.30658865012385994</v>
      </c>
      <c r="O2036" s="2">
        <f ca="1"/>
        <v>0.75045358757987812</v>
      </c>
      <c r="X2036" s="2">
        <f ca="1"/>
        <v>55.082923541820612</v>
      </c>
      <c r="AG2036" s="2">
        <f ca="1"/>
        <v>0.83024369882527016</v>
      </c>
      <c r="AH2036" s="2" t="str">
        <f ca="1"/>
        <v>Bad</v>
      </c>
    </row>
    <row r="2037" spans="2:34" x14ac:dyDescent="0.2">
      <c r="B2037" s="2">
        <f ca="1"/>
        <v>0.76310098709581564</v>
      </c>
      <c r="O2037" s="2">
        <f ca="1"/>
        <v>-0.49488619640307602</v>
      </c>
      <c r="X2037" s="2">
        <f ca="1"/>
        <v>54.797915513239069</v>
      </c>
      <c r="AG2037" s="2">
        <f ca="1"/>
        <v>0.88646684883225246</v>
      </c>
      <c r="AH2037" s="2" t="str">
        <f ca="1"/>
        <v>Bad</v>
      </c>
    </row>
    <row r="2038" spans="2:34" x14ac:dyDescent="0.2">
      <c r="B2038" s="2">
        <f ca="1"/>
        <v>0.568442013002187</v>
      </c>
      <c r="O2038" s="2">
        <f ca="1"/>
        <v>-0.75272465534410593</v>
      </c>
      <c r="X2038" s="2">
        <f ca="1"/>
        <v>40.58195312532483</v>
      </c>
      <c r="AG2038" s="2">
        <f ca="1"/>
        <v>0.31678693110165135</v>
      </c>
      <c r="AH2038" s="2" t="str">
        <f ca="1"/>
        <v>OK</v>
      </c>
    </row>
    <row r="2039" spans="2:34" x14ac:dyDescent="0.2">
      <c r="B2039" s="2">
        <f ca="1"/>
        <v>0.87943219576150433</v>
      </c>
      <c r="O2039" s="2">
        <f ca="1"/>
        <v>1.425584188129426</v>
      </c>
      <c r="X2039" s="2">
        <f ca="1"/>
        <v>52.139988149268731</v>
      </c>
      <c r="AG2039" s="2">
        <f ca="1"/>
        <v>0.2286886801357837</v>
      </c>
      <c r="AH2039" s="2" t="str">
        <f ca="1"/>
        <v>OK</v>
      </c>
    </row>
    <row r="2040" spans="2:34" x14ac:dyDescent="0.2">
      <c r="B2040" s="2">
        <f ca="1"/>
        <v>0.96556007298473068</v>
      </c>
      <c r="O2040" s="2">
        <f ca="1"/>
        <v>-0.16891589393982487</v>
      </c>
      <c r="X2040" s="2">
        <f ca="1"/>
        <v>40.228759459122294</v>
      </c>
      <c r="AG2040" s="2">
        <f ca="1"/>
        <v>0.60400374344036556</v>
      </c>
      <c r="AH2040" s="2" t="str">
        <f ca="1"/>
        <v>Bad</v>
      </c>
    </row>
    <row r="2041" spans="2:34" x14ac:dyDescent="0.2">
      <c r="B2041" s="2">
        <f ca="1"/>
        <v>8.6105096720209495E-2</v>
      </c>
      <c r="O2041" s="2">
        <f ca="1"/>
        <v>1.7915602295405606</v>
      </c>
      <c r="X2041" s="2">
        <f ca="1"/>
        <v>30.135255938457732</v>
      </c>
      <c r="AG2041" s="2">
        <f ca="1"/>
        <v>0.27481774296594486</v>
      </c>
      <c r="AH2041" s="2" t="str">
        <f ca="1"/>
        <v>OK</v>
      </c>
    </row>
    <row r="2042" spans="2:34" x14ac:dyDescent="0.2">
      <c r="B2042" s="2">
        <f ca="1"/>
        <v>0.32851010835707606</v>
      </c>
      <c r="O2042" s="2">
        <f ca="1"/>
        <v>-0.24221970196325138</v>
      </c>
      <c r="X2042" s="2">
        <f ca="1"/>
        <v>37.004129560775645</v>
      </c>
      <c r="AG2042" s="2">
        <f ca="1"/>
        <v>0.55144685059320908</v>
      </c>
      <c r="AH2042" s="2" t="str">
        <f ca="1"/>
        <v>Bad</v>
      </c>
    </row>
    <row r="2043" spans="2:34" x14ac:dyDescent="0.2">
      <c r="B2043" s="2">
        <f ca="1"/>
        <v>0.7591727216915154</v>
      </c>
      <c r="O2043" s="2">
        <f ca="1"/>
        <v>-0.35194118690772014</v>
      </c>
      <c r="X2043" s="2">
        <f ca="1"/>
        <v>47.250396441884718</v>
      </c>
      <c r="AG2043" s="2">
        <f ca="1"/>
        <v>0.60843815482954167</v>
      </c>
      <c r="AH2043" s="2" t="str">
        <f ca="1"/>
        <v>Bad</v>
      </c>
    </row>
    <row r="2044" spans="2:34" x14ac:dyDescent="0.2">
      <c r="B2044" s="2">
        <f ca="1"/>
        <v>8.3175195857492445E-2</v>
      </c>
      <c r="O2044" s="2">
        <f ca="1"/>
        <v>-1.5094624648165695</v>
      </c>
      <c r="X2044" s="2">
        <f ca="1"/>
        <v>60.50964645984223</v>
      </c>
      <c r="AG2044" s="2">
        <f ca="1"/>
        <v>0.8201239643753766</v>
      </c>
      <c r="AH2044" s="2" t="str">
        <f ca="1"/>
        <v>Bad</v>
      </c>
    </row>
    <row r="2045" spans="2:34" x14ac:dyDescent="0.2">
      <c r="B2045" s="2">
        <f ca="1"/>
        <v>6.3986210339553207E-2</v>
      </c>
      <c r="O2045" s="2">
        <f ca="1"/>
        <v>-0.2580479786158239</v>
      </c>
      <c r="X2045" s="2">
        <f ca="1"/>
        <v>61.166331301761765</v>
      </c>
      <c r="AG2045" s="2">
        <f ca="1"/>
        <v>0.7129777154260335</v>
      </c>
      <c r="AH2045" s="2" t="str">
        <f ca="1"/>
        <v>Bad</v>
      </c>
    </row>
    <row r="2046" spans="2:34" x14ac:dyDescent="0.2">
      <c r="B2046" s="2">
        <f ca="1"/>
        <v>0.71776022026312281</v>
      </c>
      <c r="O2046" s="2">
        <f ca="1"/>
        <v>1.7176633429015784</v>
      </c>
      <c r="X2046" s="2">
        <f ca="1"/>
        <v>55.585467105619429</v>
      </c>
      <c r="AG2046" s="2">
        <f ca="1"/>
        <v>0.21412060428890833</v>
      </c>
      <c r="AH2046" s="2" t="str">
        <f ca="1"/>
        <v>OK</v>
      </c>
    </row>
    <row r="2047" spans="2:34" x14ac:dyDescent="0.2">
      <c r="B2047" s="2">
        <f ca="1"/>
        <v>0.77205934131139564</v>
      </c>
      <c r="O2047" s="2">
        <f ca="1"/>
        <v>0.12578164331838956</v>
      </c>
      <c r="X2047" s="2">
        <f ca="1"/>
        <v>53.064959537778037</v>
      </c>
      <c r="AG2047" s="2">
        <f ca="1"/>
        <v>0.82820777520657951</v>
      </c>
      <c r="AH2047" s="2" t="str">
        <f ca="1"/>
        <v>Bad</v>
      </c>
    </row>
    <row r="2048" spans="2:34" x14ac:dyDescent="0.2">
      <c r="B2048" s="2">
        <f ca="1"/>
        <v>0.38391535789773212</v>
      </c>
      <c r="O2048" s="2">
        <f ca="1"/>
        <v>-1.383000910495866</v>
      </c>
      <c r="X2048" s="2">
        <f ca="1"/>
        <v>25.081941331524369</v>
      </c>
      <c r="AG2048" s="2">
        <f ca="1"/>
        <v>0.25323339878385442</v>
      </c>
      <c r="AH2048" s="2" t="str">
        <f ca="1"/>
        <v>OK</v>
      </c>
    </row>
    <row r="2049" spans="2:34" x14ac:dyDescent="0.2">
      <c r="B2049" s="2">
        <f ca="1"/>
        <v>0.96961524951399447</v>
      </c>
      <c r="O2049" s="2">
        <f ca="1"/>
        <v>-7.9659666053947767E-2</v>
      </c>
      <c r="X2049" s="2">
        <f ca="1"/>
        <v>54.813407013899237</v>
      </c>
      <c r="AG2049" s="2">
        <f ca="1"/>
        <v>0.17541872766715905</v>
      </c>
      <c r="AH2049" s="2" t="str">
        <f ca="1"/>
        <v>OK</v>
      </c>
    </row>
    <row r="2050" spans="2:34" x14ac:dyDescent="0.2">
      <c r="B2050" s="2">
        <f ca="1"/>
        <v>0.24846679174754183</v>
      </c>
      <c r="O2050" s="2">
        <f ca="1"/>
        <v>-1.606458979793465</v>
      </c>
      <c r="X2050" s="2">
        <f ca="1"/>
        <v>39.617501481306327</v>
      </c>
      <c r="AG2050" s="2">
        <f ca="1"/>
        <v>0.52496658631622273</v>
      </c>
      <c r="AH2050" s="2" t="str">
        <f ca="1"/>
        <v>Bad</v>
      </c>
    </row>
    <row r="2051" spans="2:34" x14ac:dyDescent="0.2">
      <c r="B2051" s="2">
        <f ca="1"/>
        <v>0.64803533972811755</v>
      </c>
      <c r="O2051" s="2">
        <f ca="1"/>
        <v>1.8679191321351125</v>
      </c>
      <c r="X2051" s="2">
        <f ca="1"/>
        <v>67.000062906424901</v>
      </c>
      <c r="AG2051" s="2">
        <f ca="1"/>
        <v>0.8914825541832303</v>
      </c>
      <c r="AH2051" s="2" t="str">
        <f ca="1"/>
        <v>Bad</v>
      </c>
    </row>
    <row r="2052" spans="2:34" x14ac:dyDescent="0.2">
      <c r="B2052" s="2">
        <f ca="1"/>
        <v>0.13411218450143014</v>
      </c>
      <c r="O2052" s="2">
        <f ca="1"/>
        <v>-1.0539387075925315</v>
      </c>
      <c r="X2052" s="2">
        <f ca="1"/>
        <v>54.60287409255799</v>
      </c>
      <c r="AG2052" s="2">
        <f ca="1"/>
        <v>0.29892015114053239</v>
      </c>
      <c r="AH2052" s="2" t="str">
        <f ca="1"/>
        <v>OK</v>
      </c>
    </row>
    <row r="2053" spans="2:34" x14ac:dyDescent="0.2">
      <c r="B2053" s="2">
        <f ca="1"/>
        <v>0.99903856948100889</v>
      </c>
      <c r="O2053" s="2">
        <f ca="1"/>
        <v>-1.6183060783102561</v>
      </c>
      <c r="X2053" s="2">
        <f ca="1"/>
        <v>38.327962792503435</v>
      </c>
      <c r="AG2053" s="2">
        <f ca="1"/>
        <v>0.64816769888263615</v>
      </c>
      <c r="AH2053" s="2" t="str">
        <f ca="1"/>
        <v>Bad</v>
      </c>
    </row>
    <row r="2054" spans="2:34" x14ac:dyDescent="0.2">
      <c r="B2054" s="2">
        <f ca="1"/>
        <v>0.24509223606658015</v>
      </c>
      <c r="O2054" s="2">
        <f ca="1"/>
        <v>0.64720650323904971</v>
      </c>
      <c r="X2054" s="2">
        <f ca="1"/>
        <v>41.269633659060489</v>
      </c>
      <c r="AG2054" s="2">
        <f ca="1"/>
        <v>0.36653096521528439</v>
      </c>
      <c r="AH2054" s="2" t="str">
        <f ca="1"/>
        <v>OK</v>
      </c>
    </row>
    <row r="2055" spans="2:34" x14ac:dyDescent="0.2">
      <c r="B2055" s="2">
        <f ca="1"/>
        <v>0.56496118138132445</v>
      </c>
      <c r="O2055" s="2">
        <f ca="1"/>
        <v>0.7450571813863629</v>
      </c>
      <c r="X2055" s="2">
        <f ca="1"/>
        <v>31.027866852035707</v>
      </c>
      <c r="AG2055" s="2">
        <f ca="1"/>
        <v>9.0274033876287962E-2</v>
      </c>
      <c r="AH2055" s="2" t="str">
        <f ca="1"/>
        <v>OK</v>
      </c>
    </row>
    <row r="2056" spans="2:34" x14ac:dyDescent="0.2">
      <c r="B2056" s="2">
        <f ca="1"/>
        <v>0.19149722087915411</v>
      </c>
      <c r="O2056" s="2">
        <f ca="1"/>
        <v>0.34930755447305173</v>
      </c>
      <c r="X2056" s="2">
        <f ca="1"/>
        <v>35.004923016081086</v>
      </c>
      <c r="AG2056" s="2">
        <f ca="1"/>
        <v>0.79072721430278925</v>
      </c>
      <c r="AH2056" s="2" t="str">
        <f ca="1"/>
        <v>Bad</v>
      </c>
    </row>
    <row r="2057" spans="2:34" x14ac:dyDescent="0.2">
      <c r="B2057" s="2">
        <f ca="1"/>
        <v>0.65420666904311719</v>
      </c>
      <c r="O2057" s="2">
        <f ca="1"/>
        <v>2.0772948784566758E-2</v>
      </c>
      <c r="X2057" s="2">
        <f ca="1"/>
        <v>67.734427537682706</v>
      </c>
      <c r="AG2057" s="2">
        <f ca="1"/>
        <v>0.14916894193903829</v>
      </c>
      <c r="AH2057" s="2" t="str">
        <f ca="1"/>
        <v>OK</v>
      </c>
    </row>
    <row r="2058" spans="2:34" x14ac:dyDescent="0.2">
      <c r="B2058" s="2">
        <f ca="1"/>
        <v>0.68486844850778961</v>
      </c>
      <c r="O2058" s="2">
        <f ca="1"/>
        <v>0.73621942187813316</v>
      </c>
      <c r="X2058" s="2">
        <f ca="1"/>
        <v>45.695594728423579</v>
      </c>
      <c r="AG2058" s="2">
        <f ca="1"/>
        <v>0.5496467478663789</v>
      </c>
      <c r="AH2058" s="2" t="str">
        <f ca="1"/>
        <v>Bad</v>
      </c>
    </row>
    <row r="2059" spans="2:34" x14ac:dyDescent="0.2">
      <c r="B2059" s="2">
        <f ca="1"/>
        <v>1.2595448722454217E-2</v>
      </c>
      <c r="O2059" s="2">
        <f ca="1"/>
        <v>4.0023809465770943E-2</v>
      </c>
      <c r="X2059" s="2">
        <f ca="1"/>
        <v>32.765485321648512</v>
      </c>
      <c r="AG2059" s="2">
        <f ca="1"/>
        <v>0.66183789737118004</v>
      </c>
      <c r="AH2059" s="2" t="str">
        <f ca="1"/>
        <v>Bad</v>
      </c>
    </row>
    <row r="2060" spans="2:34" x14ac:dyDescent="0.2">
      <c r="B2060" s="2">
        <f ca="1"/>
        <v>0.38690601460645935</v>
      </c>
      <c r="O2060" s="2">
        <f ca="1"/>
        <v>-1.3611275816053154</v>
      </c>
      <c r="X2060" s="2">
        <f ca="1"/>
        <v>55.96510111324389</v>
      </c>
      <c r="AG2060" s="2">
        <f ca="1"/>
        <v>0.13396346197272813</v>
      </c>
      <c r="AH2060" s="2" t="str">
        <f ca="1"/>
        <v>OK</v>
      </c>
    </row>
    <row r="2061" spans="2:34" x14ac:dyDescent="0.2">
      <c r="B2061" s="2">
        <f ca="1"/>
        <v>0.40561032948253883</v>
      </c>
      <c r="O2061" s="2">
        <f ca="1"/>
        <v>-1.6808781405265063</v>
      </c>
      <c r="X2061" s="2">
        <f ca="1"/>
        <v>45.481652904542216</v>
      </c>
      <c r="AG2061" s="2">
        <f ca="1"/>
        <v>0.27126208118292361</v>
      </c>
      <c r="AH2061" s="2" t="str">
        <f ca="1"/>
        <v>OK</v>
      </c>
    </row>
    <row r="2062" spans="2:34" x14ac:dyDescent="0.2">
      <c r="B2062" s="2">
        <f ca="1"/>
        <v>0.89168217355321078</v>
      </c>
      <c r="O2062" s="2">
        <f ca="1"/>
        <v>-3.6981692144507264E-2</v>
      </c>
      <c r="X2062" s="2">
        <f ca="1"/>
        <v>50.049128135680803</v>
      </c>
      <c r="AG2062" s="2">
        <f ca="1"/>
        <v>0.62822162245861723</v>
      </c>
      <c r="AH2062" s="2" t="str">
        <f ca="1"/>
        <v>Bad</v>
      </c>
    </row>
    <row r="2063" spans="2:34" x14ac:dyDescent="0.2">
      <c r="B2063" s="2">
        <f ca="1"/>
        <v>0.48300768086333279</v>
      </c>
      <c r="O2063" s="2">
        <f ca="1"/>
        <v>0.36899256681524684</v>
      </c>
      <c r="X2063" s="2">
        <f ca="1"/>
        <v>55.181417755730983</v>
      </c>
      <c r="AG2063" s="2">
        <f ca="1"/>
        <v>0.40769201387319431</v>
      </c>
      <c r="AH2063" s="2" t="str">
        <f ca="1"/>
        <v>Bad</v>
      </c>
    </row>
    <row r="2064" spans="2:34" x14ac:dyDescent="0.2">
      <c r="B2064" s="2">
        <f ca="1"/>
        <v>0.65133846313072219</v>
      </c>
      <c r="O2064" s="2">
        <f ca="1"/>
        <v>0.25631666480902693</v>
      </c>
      <c r="X2064" s="2">
        <f ca="1"/>
        <v>41.262940779405014</v>
      </c>
      <c r="AG2064" s="2">
        <f ca="1"/>
        <v>0.37838187748072794</v>
      </c>
      <c r="AH2064" s="2" t="str">
        <f ca="1"/>
        <v>OK</v>
      </c>
    </row>
    <row r="2065" spans="2:34" x14ac:dyDescent="0.2">
      <c r="B2065" s="2">
        <f ca="1"/>
        <v>0.15336360494884738</v>
      </c>
      <c r="O2065" s="2">
        <f ca="1"/>
        <v>-0.78681176236646311</v>
      </c>
      <c r="X2065" s="2">
        <f ca="1"/>
        <v>56.001714693079293</v>
      </c>
      <c r="AG2065" s="2">
        <f ca="1"/>
        <v>0.97662118698261824</v>
      </c>
      <c r="AH2065" s="2" t="str">
        <f ca="1"/>
        <v>Bad</v>
      </c>
    </row>
    <row r="2066" spans="2:34" x14ac:dyDescent="0.2">
      <c r="B2066" s="2">
        <f ca="1"/>
        <v>0.79445904610684814</v>
      </c>
      <c r="O2066" s="2">
        <f ca="1"/>
        <v>-0.97053597078987563</v>
      </c>
      <c r="X2066" s="2">
        <f ca="1"/>
        <v>22.758749556462753</v>
      </c>
      <c r="AG2066" s="2">
        <f ca="1"/>
        <v>0.90973100137545759</v>
      </c>
      <c r="AH2066" s="2" t="str">
        <f ca="1"/>
        <v>Bad</v>
      </c>
    </row>
    <row r="2067" spans="2:34" x14ac:dyDescent="0.2">
      <c r="B2067" s="2">
        <f ca="1"/>
        <v>0.76481579506110187</v>
      </c>
      <c r="O2067" s="2">
        <f ca="1"/>
        <v>0.80135277970801411</v>
      </c>
      <c r="X2067" s="2">
        <f ca="1"/>
        <v>52.967008056758289</v>
      </c>
      <c r="AG2067" s="2">
        <f ca="1"/>
        <v>0.98093245150695174</v>
      </c>
      <c r="AH2067" s="2" t="str">
        <f ca="1"/>
        <v>Bad</v>
      </c>
    </row>
    <row r="2068" spans="2:34" x14ac:dyDescent="0.2">
      <c r="B2068" s="2">
        <f ca="1"/>
        <v>0.50340076521073551</v>
      </c>
      <c r="O2068" s="2">
        <f ca="1"/>
        <v>-2.1535463198645237</v>
      </c>
      <c r="X2068" s="2">
        <f ca="1"/>
        <v>46.922327444732005</v>
      </c>
      <c r="AG2068" s="2">
        <f ca="1"/>
        <v>0.1639379921932369</v>
      </c>
      <c r="AH2068" s="2" t="str">
        <f ca="1"/>
        <v>OK</v>
      </c>
    </row>
    <row r="2069" spans="2:34" x14ac:dyDescent="0.2">
      <c r="B2069" s="2">
        <f ca="1"/>
        <v>0.59173547838377005</v>
      </c>
      <c r="O2069" s="2">
        <f ca="1"/>
        <v>-2.2755904080650723E-2</v>
      </c>
      <c r="X2069" s="2">
        <f ca="1"/>
        <v>58.3913135375591</v>
      </c>
      <c r="AG2069" s="2">
        <f ca="1"/>
        <v>0.20735790707674062</v>
      </c>
      <c r="AH2069" s="2" t="str">
        <f ca="1"/>
        <v>OK</v>
      </c>
    </row>
    <row r="2070" spans="2:34" x14ac:dyDescent="0.2">
      <c r="B2070" s="2">
        <f ca="1"/>
        <v>0.94853733517871008</v>
      </c>
      <c r="O2070" s="2">
        <f ca="1"/>
        <v>-0.2947632480474211</v>
      </c>
      <c r="X2070" s="2">
        <f ca="1"/>
        <v>29.463567620202873</v>
      </c>
      <c r="AG2070" s="2">
        <f ca="1"/>
        <v>2.8075650270666053E-2</v>
      </c>
      <c r="AH2070" s="2" t="str">
        <f ca="1"/>
        <v>Good</v>
      </c>
    </row>
    <row r="2071" spans="2:34" x14ac:dyDescent="0.2">
      <c r="B2071" s="2">
        <f ca="1"/>
        <v>0.70896909852245327</v>
      </c>
      <c r="O2071" s="2">
        <f ca="1"/>
        <v>1.0289532422438561</v>
      </c>
      <c r="X2071" s="2">
        <f ca="1"/>
        <v>36.628841531785618</v>
      </c>
      <c r="AG2071" s="2">
        <f ca="1"/>
        <v>0.63397737925705822</v>
      </c>
      <c r="AH2071" s="2" t="str">
        <f ca="1"/>
        <v>Bad</v>
      </c>
    </row>
    <row r="2072" spans="2:34" x14ac:dyDescent="0.2">
      <c r="B2072" s="2">
        <f ca="1"/>
        <v>0.15055270423004141</v>
      </c>
      <c r="O2072" s="2">
        <f ca="1"/>
        <v>0.35770508911684223</v>
      </c>
      <c r="X2072" s="2">
        <f ca="1"/>
        <v>56.167311285735934</v>
      </c>
      <c r="AG2072" s="2">
        <f ca="1"/>
        <v>0.2225427381131071</v>
      </c>
      <c r="AH2072" s="2" t="str">
        <f ca="1"/>
        <v>OK</v>
      </c>
    </row>
    <row r="2073" spans="2:34" x14ac:dyDescent="0.2">
      <c r="B2073" s="2">
        <f ca="1"/>
        <v>0.25271476561891548</v>
      </c>
      <c r="O2073" s="2">
        <f ca="1"/>
        <v>-0.58539610491583782</v>
      </c>
      <c r="X2073" s="2">
        <f ca="1"/>
        <v>37.018557538189192</v>
      </c>
      <c r="AG2073" s="2">
        <f ca="1"/>
        <v>0.8988572280175533</v>
      </c>
      <c r="AH2073" s="2" t="str">
        <f ca="1"/>
        <v>Bad</v>
      </c>
    </row>
    <row r="2074" spans="2:34" x14ac:dyDescent="0.2">
      <c r="B2074" s="2">
        <f ca="1"/>
        <v>0.72006791715876006</v>
      </c>
      <c r="O2074" s="2">
        <f ca="1"/>
        <v>1.1725510544246225</v>
      </c>
      <c r="X2074" s="2">
        <f ca="1"/>
        <v>34.739083387408925</v>
      </c>
      <c r="AG2074" s="2">
        <f ca="1"/>
        <v>0.54577975792150957</v>
      </c>
      <c r="AH2074" s="2" t="str">
        <f ca="1"/>
        <v>Bad</v>
      </c>
    </row>
    <row r="2075" spans="2:34" x14ac:dyDescent="0.2">
      <c r="B2075" s="2">
        <f ca="1"/>
        <v>0.59177995204893818</v>
      </c>
      <c r="O2075" s="2">
        <f ca="1"/>
        <v>0.28426360805073991</v>
      </c>
      <c r="X2075" s="2">
        <f ca="1"/>
        <v>42.034039119566629</v>
      </c>
      <c r="AG2075" s="2">
        <f ca="1"/>
        <v>0.19778566962184363</v>
      </c>
      <c r="AH2075" s="2" t="str">
        <f ca="1"/>
        <v>OK</v>
      </c>
    </row>
    <row r="2076" spans="2:34" x14ac:dyDescent="0.2">
      <c r="B2076" s="2">
        <f ca="1"/>
        <v>0.81177248813323422</v>
      </c>
      <c r="O2076" s="2">
        <f ca="1"/>
        <v>-3.0792835128902928E-2</v>
      </c>
      <c r="X2076" s="2">
        <f ca="1"/>
        <v>54.977125444857826</v>
      </c>
      <c r="AG2076" s="2">
        <f ca="1"/>
        <v>0.34416021116627071</v>
      </c>
      <c r="AH2076" s="2" t="str">
        <f ca="1"/>
        <v>OK</v>
      </c>
    </row>
    <row r="2077" spans="2:34" x14ac:dyDescent="0.2">
      <c r="B2077" s="2">
        <f ca="1"/>
        <v>0.60523137618201384</v>
      </c>
      <c r="O2077" s="2">
        <f ca="1"/>
        <v>-2.6647560868083762</v>
      </c>
      <c r="X2077" s="2">
        <f ca="1"/>
        <v>48.654710310695528</v>
      </c>
      <c r="AG2077" s="2">
        <f ca="1"/>
        <v>0.56920188371532343</v>
      </c>
      <c r="AH2077" s="2" t="str">
        <f ca="1"/>
        <v>Bad</v>
      </c>
    </row>
    <row r="2078" spans="2:34" x14ac:dyDescent="0.2">
      <c r="B2078" s="2">
        <f ca="1"/>
        <v>0.5498696180159377</v>
      </c>
      <c r="O2078" s="2">
        <f ca="1"/>
        <v>0.35970153346334754</v>
      </c>
      <c r="X2078" s="2">
        <f ca="1"/>
        <v>50.110982796048624</v>
      </c>
      <c r="AG2078" s="2">
        <f ca="1"/>
        <v>0.61900488269132303</v>
      </c>
      <c r="AH2078" s="2" t="str">
        <f ca="1"/>
        <v>Bad</v>
      </c>
    </row>
    <row r="2079" spans="2:34" x14ac:dyDescent="0.2">
      <c r="B2079" s="2">
        <f ca="1"/>
        <v>0.17706046335376713</v>
      </c>
      <c r="O2079" s="2">
        <f ca="1"/>
        <v>-1.8054654281208484</v>
      </c>
      <c r="X2079" s="2">
        <f ca="1"/>
        <v>45.932289475293011</v>
      </c>
      <c r="AG2079" s="2">
        <f ca="1"/>
        <v>0.25478395392045106</v>
      </c>
      <c r="AH2079" s="2" t="str">
        <f ca="1"/>
        <v>OK</v>
      </c>
    </row>
    <row r="2080" spans="2:34" x14ac:dyDescent="0.2">
      <c r="B2080" s="2">
        <f ca="1"/>
        <v>0.42325688155790697</v>
      </c>
      <c r="O2080" s="2">
        <f ca="1"/>
        <v>0.44413894807244542</v>
      </c>
      <c r="X2080" s="2">
        <f ca="1"/>
        <v>76.918416095064032</v>
      </c>
      <c r="AG2080" s="2">
        <f ca="1"/>
        <v>0.17529417542148229</v>
      </c>
      <c r="AH2080" s="2" t="str">
        <f ca="1"/>
        <v>OK</v>
      </c>
    </row>
    <row r="2081" spans="2:34" x14ac:dyDescent="0.2">
      <c r="B2081" s="2">
        <f ca="1"/>
        <v>0.93195512544514991</v>
      </c>
      <c r="O2081" s="2">
        <f ca="1"/>
        <v>-0.21383140001881781</v>
      </c>
      <c r="X2081" s="2">
        <f ca="1"/>
        <v>62.698398060691076</v>
      </c>
      <c r="AG2081" s="2">
        <f ca="1"/>
        <v>7.6490806958880109E-2</v>
      </c>
      <c r="AH2081" s="2" t="str">
        <f ca="1"/>
        <v>OK</v>
      </c>
    </row>
    <row r="2082" spans="2:34" x14ac:dyDescent="0.2">
      <c r="B2082" s="2">
        <f ca="1"/>
        <v>0.99653429082928846</v>
      </c>
      <c r="O2082" s="2">
        <f ca="1"/>
        <v>-0.25994078560980549</v>
      </c>
      <c r="X2082" s="2">
        <f ca="1"/>
        <v>79.042806716921262</v>
      </c>
      <c r="AG2082" s="2">
        <f ca="1"/>
        <v>0.21314405403491032</v>
      </c>
      <c r="AH2082" s="2" t="str">
        <f ca="1"/>
        <v>OK</v>
      </c>
    </row>
    <row r="2083" spans="2:34" x14ac:dyDescent="0.2">
      <c r="B2083" s="2">
        <f ca="1"/>
        <v>0.49119371640039722</v>
      </c>
      <c r="O2083" s="2">
        <f ca="1"/>
        <v>-1.3930883728198133</v>
      </c>
      <c r="X2083" s="2">
        <f ca="1"/>
        <v>45.389521838134826</v>
      </c>
      <c r="AG2083" s="2">
        <f ca="1"/>
        <v>5.4166775224233188E-2</v>
      </c>
      <c r="AH2083" s="2" t="str">
        <f ca="1"/>
        <v>OK</v>
      </c>
    </row>
    <row r="2084" spans="2:34" x14ac:dyDescent="0.2">
      <c r="B2084" s="2">
        <f ca="1"/>
        <v>0.92457735253007223</v>
      </c>
      <c r="O2084" s="2">
        <f ca="1"/>
        <v>-0.22208364101076206</v>
      </c>
      <c r="X2084" s="2">
        <f ca="1"/>
        <v>41.662588913544198</v>
      </c>
      <c r="AG2084" s="2">
        <f ca="1"/>
        <v>0.89294303263877728</v>
      </c>
      <c r="AH2084" s="2" t="str">
        <f ca="1"/>
        <v>Bad</v>
      </c>
    </row>
    <row r="2085" spans="2:34" x14ac:dyDescent="0.2">
      <c r="B2085" s="2">
        <f ca="1"/>
        <v>0.80559390278600929</v>
      </c>
      <c r="O2085" s="2">
        <f ca="1"/>
        <v>0.45421669434666723</v>
      </c>
      <c r="X2085" s="2">
        <f ca="1"/>
        <v>55.974802855920373</v>
      </c>
      <c r="AG2085" s="2">
        <f ca="1"/>
        <v>0.13895724639749263</v>
      </c>
      <c r="AH2085" s="2" t="str">
        <f ca="1"/>
        <v>OK</v>
      </c>
    </row>
    <row r="2086" spans="2:34" x14ac:dyDescent="0.2">
      <c r="B2086" s="2">
        <f ca="1"/>
        <v>9.3237644632893968E-2</v>
      </c>
      <c r="O2086" s="2">
        <f ca="1"/>
        <v>7.1277769514918959E-2</v>
      </c>
      <c r="X2086" s="2">
        <f ca="1"/>
        <v>68.464196644320495</v>
      </c>
      <c r="AG2086" s="2">
        <f ca="1"/>
        <v>0.4974962396927276</v>
      </c>
      <c r="AH2086" s="2" t="str">
        <f ca="1"/>
        <v>Bad</v>
      </c>
    </row>
    <row r="2087" spans="2:34" x14ac:dyDescent="0.2">
      <c r="B2087" s="2">
        <f ca="1"/>
        <v>0.32362551586557498</v>
      </c>
      <c r="O2087" s="2">
        <f ca="1"/>
        <v>-1.3073914363067529</v>
      </c>
      <c r="X2087" s="2">
        <f ca="1"/>
        <v>28.675812033087581</v>
      </c>
      <c r="AG2087" s="2">
        <f ca="1"/>
        <v>0.1722050969869704</v>
      </c>
      <c r="AH2087" s="2" t="str">
        <f ca="1"/>
        <v>OK</v>
      </c>
    </row>
    <row r="2088" spans="2:34" x14ac:dyDescent="0.2">
      <c r="B2088" s="2">
        <f ca="1"/>
        <v>0.31321265817709465</v>
      </c>
      <c r="O2088" s="2">
        <f ca="1"/>
        <v>-0.38866880471969739</v>
      </c>
      <c r="X2088" s="2">
        <f ca="1"/>
        <v>66.851432625624454</v>
      </c>
      <c r="AG2088" s="2">
        <f ca="1"/>
        <v>0.75964374074486085</v>
      </c>
      <c r="AH2088" s="2" t="str">
        <f ca="1"/>
        <v>Bad</v>
      </c>
    </row>
    <row r="2089" spans="2:34" x14ac:dyDescent="0.2">
      <c r="B2089" s="2">
        <f ca="1"/>
        <v>0.69711401679980378</v>
      </c>
      <c r="O2089" s="2">
        <f ca="1"/>
        <v>0.58053395862715285</v>
      </c>
      <c r="X2089" s="2">
        <f ca="1"/>
        <v>40.324609756220312</v>
      </c>
      <c r="AG2089" s="2">
        <f ca="1"/>
        <v>0.17843422597918623</v>
      </c>
      <c r="AH2089" s="2" t="str">
        <f ca="1"/>
        <v>OK</v>
      </c>
    </row>
    <row r="2090" spans="2:34" x14ac:dyDescent="0.2">
      <c r="B2090" s="2">
        <f ca="1"/>
        <v>0.90344993376791072</v>
      </c>
      <c r="O2090" s="2">
        <f ca="1"/>
        <v>0.27553045707873225</v>
      </c>
      <c r="X2090" s="2">
        <f ca="1"/>
        <v>50.540302858840072</v>
      </c>
      <c r="AG2090" s="2">
        <f ca="1"/>
        <v>0.9341505436297628</v>
      </c>
      <c r="AH2090" s="2" t="str">
        <f ca="1"/>
        <v>Bad</v>
      </c>
    </row>
    <row r="2091" spans="2:34" x14ac:dyDescent="0.2">
      <c r="B2091" s="2">
        <f ca="1"/>
        <v>0.67766580066916671</v>
      </c>
      <c r="O2091" s="2">
        <f ca="1"/>
        <v>1.1521144494944349</v>
      </c>
      <c r="X2091" s="2">
        <f ca="1"/>
        <v>43.39265363925395</v>
      </c>
      <c r="AG2091" s="2">
        <f ca="1"/>
        <v>0.48105943329367329</v>
      </c>
      <c r="AH2091" s="2" t="str">
        <f ca="1"/>
        <v>Bad</v>
      </c>
    </row>
    <row r="2092" spans="2:34" x14ac:dyDescent="0.2">
      <c r="B2092" s="2">
        <f ca="1"/>
        <v>0.32861485356278108</v>
      </c>
      <c r="O2092" s="2">
        <f ca="1"/>
        <v>1.0685312487222745</v>
      </c>
      <c r="X2092" s="2">
        <f ca="1"/>
        <v>43.629688965401925</v>
      </c>
      <c r="AG2092" s="2">
        <f ca="1"/>
        <v>0.78203529870828392</v>
      </c>
      <c r="AH2092" s="2" t="str">
        <f ca="1"/>
        <v>Bad</v>
      </c>
    </row>
    <row r="2093" spans="2:34" x14ac:dyDescent="0.2">
      <c r="B2093" s="2">
        <f ca="1"/>
        <v>0.34062585464405037</v>
      </c>
      <c r="O2093" s="2">
        <f ca="1"/>
        <v>0.1847657653633637</v>
      </c>
      <c r="X2093" s="2">
        <f ca="1"/>
        <v>33.476264606041163</v>
      </c>
      <c r="AG2093" s="2">
        <f ca="1"/>
        <v>0.87176547548810746</v>
      </c>
      <c r="AH2093" s="2" t="str">
        <f ca="1"/>
        <v>Bad</v>
      </c>
    </row>
    <row r="2094" spans="2:34" x14ac:dyDescent="0.2">
      <c r="B2094" s="2">
        <f ca="1"/>
        <v>0.9803623713898868</v>
      </c>
      <c r="O2094" s="2">
        <f ca="1"/>
        <v>0.75429983780251941</v>
      </c>
      <c r="X2094" s="2">
        <f ca="1"/>
        <v>44.019439579613682</v>
      </c>
      <c r="AG2094" s="2">
        <f ca="1"/>
        <v>0.61673009668388645</v>
      </c>
      <c r="AH2094" s="2" t="str">
        <f ca="1"/>
        <v>Bad</v>
      </c>
    </row>
    <row r="2095" spans="2:34" x14ac:dyDescent="0.2">
      <c r="B2095" s="2">
        <f ca="1"/>
        <v>0.40341734768763038</v>
      </c>
      <c r="O2095" s="2">
        <f ca="1"/>
        <v>0.15674193701164593</v>
      </c>
      <c r="X2095" s="2">
        <f ca="1"/>
        <v>38.500541769124183</v>
      </c>
      <c r="AG2095" s="2">
        <f ca="1"/>
        <v>0.96635023625078609</v>
      </c>
      <c r="AH2095" s="2" t="str">
        <f ca="1"/>
        <v>Bad</v>
      </c>
    </row>
    <row r="2096" spans="2:34" x14ac:dyDescent="0.2">
      <c r="B2096" s="2">
        <f ca="1"/>
        <v>0.30281895277353721</v>
      </c>
      <c r="O2096" s="2">
        <f ca="1"/>
        <v>-1.2442725311696001</v>
      </c>
      <c r="X2096" s="2">
        <f ca="1"/>
        <v>53.723365519605338</v>
      </c>
      <c r="AG2096" s="2">
        <f ca="1"/>
        <v>0.26551002317541528</v>
      </c>
      <c r="AH2096" s="2" t="str">
        <f ca="1"/>
        <v>OK</v>
      </c>
    </row>
    <row r="2097" spans="2:34" x14ac:dyDescent="0.2">
      <c r="B2097" s="2">
        <f ca="1"/>
        <v>0.40940497819101163</v>
      </c>
      <c r="O2097" s="2">
        <f ca="1"/>
        <v>0.79533442261929954</v>
      </c>
      <c r="X2097" s="2">
        <f ca="1"/>
        <v>56.02267401299062</v>
      </c>
      <c r="AG2097" s="2">
        <f ca="1"/>
        <v>0.36058604156551599</v>
      </c>
      <c r="AH2097" s="2" t="str">
        <f ca="1"/>
        <v>OK</v>
      </c>
    </row>
    <row r="2098" spans="2:34" x14ac:dyDescent="0.2">
      <c r="B2098" s="2">
        <f ca="1"/>
        <v>1.9528935963142313E-2</v>
      </c>
      <c r="O2098" s="2">
        <f ca="1"/>
        <v>-1.8746993009871982</v>
      </c>
      <c r="X2098" s="2">
        <f ca="1"/>
        <v>51.118197868041335</v>
      </c>
      <c r="AG2098" s="2">
        <f ca="1"/>
        <v>0.31394814828419904</v>
      </c>
      <c r="AH2098" s="2" t="str">
        <f ca="1"/>
        <v>OK</v>
      </c>
    </row>
    <row r="2099" spans="2:34" x14ac:dyDescent="0.2">
      <c r="B2099" s="2">
        <f ca="1"/>
        <v>0.15153560276567135</v>
      </c>
      <c r="O2099" s="2">
        <f ca="1"/>
        <v>-1.5479891939766746</v>
      </c>
      <c r="X2099" s="2">
        <f ca="1"/>
        <v>42.62653196380149</v>
      </c>
      <c r="AG2099" s="2">
        <f ca="1"/>
        <v>0.33809306187419175</v>
      </c>
      <c r="AH2099" s="2" t="str">
        <f ca="1"/>
        <v>OK</v>
      </c>
    </row>
    <row r="2100" spans="2:34" x14ac:dyDescent="0.2">
      <c r="B2100" s="2">
        <f ca="1"/>
        <v>0.49506064075820611</v>
      </c>
      <c r="O2100" s="2">
        <f ca="1"/>
        <v>0.60851427239217915</v>
      </c>
      <c r="X2100" s="2">
        <f ca="1"/>
        <v>30.480155728947508</v>
      </c>
      <c r="AG2100" s="2">
        <f ca="1"/>
        <v>0.75248058304707044</v>
      </c>
      <c r="AH2100" s="2" t="str">
        <f ca="1"/>
        <v>Bad</v>
      </c>
    </row>
    <row r="2101" spans="2:34" x14ac:dyDescent="0.2">
      <c r="B2101" s="2">
        <f ca="1"/>
        <v>0.93395682715586759</v>
      </c>
      <c r="O2101" s="2">
        <f ca="1"/>
        <v>-0.46570228880007603</v>
      </c>
      <c r="X2101" s="2">
        <f ca="1"/>
        <v>58.593736535083963</v>
      </c>
      <c r="AG2101" s="2">
        <f ca="1"/>
        <v>0.56286251625032602</v>
      </c>
      <c r="AH2101" s="2" t="str">
        <f ca="1"/>
        <v>Bad</v>
      </c>
    </row>
    <row r="2102" spans="2:34" x14ac:dyDescent="0.2">
      <c r="B2102" s="2">
        <f ca="1"/>
        <v>0.36824701787482805</v>
      </c>
      <c r="O2102" s="2">
        <f ca="1"/>
        <v>0.35959046506576009</v>
      </c>
      <c r="X2102" s="2">
        <f ca="1"/>
        <v>91.078417764094368</v>
      </c>
      <c r="AG2102" s="2">
        <f ca="1"/>
        <v>0.73044414305799976</v>
      </c>
      <c r="AH2102" s="2" t="str">
        <f ca="1"/>
        <v>Bad</v>
      </c>
    </row>
    <row r="2103" spans="2:34" x14ac:dyDescent="0.2">
      <c r="B2103" s="2">
        <f ca="1"/>
        <v>0.48810188636892837</v>
      </c>
      <c r="O2103" s="2">
        <f ca="1"/>
        <v>0.47219181427672791</v>
      </c>
      <c r="X2103" s="2">
        <f ca="1"/>
        <v>40.276285954112083</v>
      </c>
      <c r="AG2103" s="2">
        <f ca="1"/>
        <v>0.45965389703371184</v>
      </c>
      <c r="AH2103" s="2" t="str">
        <f ca="1"/>
        <v>Bad</v>
      </c>
    </row>
    <row r="2104" spans="2:34" x14ac:dyDescent="0.2">
      <c r="B2104" s="2">
        <f ca="1"/>
        <v>0.10998302080069644</v>
      </c>
      <c r="O2104" s="2">
        <f ca="1"/>
        <v>-0.3088458872665597</v>
      </c>
      <c r="X2104" s="2">
        <f ca="1"/>
        <v>37.366596988552018</v>
      </c>
      <c r="AG2104" s="2">
        <f ca="1"/>
        <v>0.97760934535147914</v>
      </c>
      <c r="AH2104" s="2" t="str">
        <f ca="1"/>
        <v>Bad</v>
      </c>
    </row>
    <row r="2105" spans="2:34" x14ac:dyDescent="0.2">
      <c r="B2105" s="2">
        <f ca="1"/>
        <v>0.20256827304175218</v>
      </c>
      <c r="O2105" s="2">
        <f ca="1"/>
        <v>0.40394221833885219</v>
      </c>
      <c r="X2105" s="2">
        <f ca="1"/>
        <v>32.179773748553814</v>
      </c>
      <c r="AG2105" s="2">
        <f ca="1"/>
        <v>0.11902400740229013</v>
      </c>
      <c r="AH2105" s="2" t="str">
        <f ca="1"/>
        <v>OK</v>
      </c>
    </row>
    <row r="2106" spans="2:34" x14ac:dyDescent="0.2">
      <c r="B2106" s="2">
        <f ca="1"/>
        <v>0.7604642874206109</v>
      </c>
      <c r="O2106" s="2">
        <f ca="1"/>
        <v>-1.0203974304568264</v>
      </c>
      <c r="X2106" s="2">
        <f ca="1"/>
        <v>39.289573417678895</v>
      </c>
      <c r="AG2106" s="2">
        <f ca="1"/>
        <v>0.49502500041738817</v>
      </c>
      <c r="AH2106" s="2" t="str">
        <f ca="1"/>
        <v>Bad</v>
      </c>
    </row>
    <row r="2107" spans="2:34" x14ac:dyDescent="0.2">
      <c r="B2107" s="2">
        <f ca="1"/>
        <v>0.66024541517808366</v>
      </c>
      <c r="O2107" s="2">
        <f ca="1"/>
        <v>0.1778347079261707</v>
      </c>
      <c r="X2107" s="2">
        <f ca="1"/>
        <v>35.217089924171191</v>
      </c>
      <c r="AG2107" s="2">
        <f ca="1"/>
        <v>0.78930141613180682</v>
      </c>
      <c r="AH2107" s="2" t="str">
        <f ca="1"/>
        <v>Bad</v>
      </c>
    </row>
    <row r="2108" spans="2:34" x14ac:dyDescent="0.2">
      <c r="B2108" s="2">
        <f ca="1"/>
        <v>0.60205165826019424</v>
      </c>
      <c r="O2108" s="2">
        <f ca="1"/>
        <v>0.65188313968668887</v>
      </c>
      <c r="X2108" s="2">
        <f ca="1"/>
        <v>20.991403169352395</v>
      </c>
      <c r="AG2108" s="2">
        <f ca="1"/>
        <v>0.56283485148251566</v>
      </c>
      <c r="AH2108" s="2" t="str">
        <f ca="1"/>
        <v>Bad</v>
      </c>
    </row>
    <row r="2109" spans="2:34" x14ac:dyDescent="0.2">
      <c r="B2109" s="2">
        <f ca="1"/>
        <v>0.36422318943940546</v>
      </c>
      <c r="O2109" s="2">
        <f ca="1"/>
        <v>0.3770117037370021</v>
      </c>
      <c r="X2109" s="2">
        <f ca="1"/>
        <v>40.102441972507393</v>
      </c>
      <c r="AG2109" s="2">
        <f ca="1"/>
        <v>0.57497291299088116</v>
      </c>
      <c r="AH2109" s="2" t="str">
        <f ca="1"/>
        <v>Bad</v>
      </c>
    </row>
    <row r="2110" spans="2:34" x14ac:dyDescent="0.2">
      <c r="B2110" s="2">
        <f ca="1"/>
        <v>0.86054855222498228</v>
      </c>
      <c r="O2110" s="2">
        <f ca="1"/>
        <v>-1.1593008077405762</v>
      </c>
      <c r="X2110" s="2">
        <f ca="1"/>
        <v>41.979603130587449</v>
      </c>
      <c r="AG2110" s="2">
        <f ca="1"/>
        <v>0.3615338723623942</v>
      </c>
      <c r="AH2110" s="2" t="str">
        <f ca="1"/>
        <v>OK</v>
      </c>
    </row>
    <row r="2111" spans="2:34" x14ac:dyDescent="0.2">
      <c r="B2111" s="2">
        <f ca="1"/>
        <v>1.1172220128383703E-2</v>
      </c>
      <c r="O2111" s="2">
        <f ca="1"/>
        <v>6.8922896102196415E-2</v>
      </c>
      <c r="X2111" s="2">
        <f ca="1"/>
        <v>41.889463190247284</v>
      </c>
      <c r="AG2111" s="2">
        <f ca="1"/>
        <v>0.39982705571328947</v>
      </c>
      <c r="AH2111" s="2" t="str">
        <f ca="1"/>
        <v>OK</v>
      </c>
    </row>
    <row r="2112" spans="2:34" x14ac:dyDescent="0.2">
      <c r="B2112" s="2">
        <f ca="1"/>
        <v>0.42485506481396151</v>
      </c>
      <c r="O2112" s="2">
        <f ca="1"/>
        <v>0.30875088960783442</v>
      </c>
      <c r="X2112" s="2">
        <f ca="1"/>
        <v>69.245661319596394</v>
      </c>
      <c r="AG2112" s="2">
        <f ca="1"/>
        <v>0.79785692020170473</v>
      </c>
      <c r="AH2112" s="2" t="str">
        <f ca="1"/>
        <v>Bad</v>
      </c>
    </row>
    <row r="2113" spans="2:34" x14ac:dyDescent="0.2">
      <c r="B2113" s="2">
        <f ca="1"/>
        <v>0.68940706872583934</v>
      </c>
      <c r="O2113" s="2">
        <f ca="1"/>
        <v>0.84868099806157027</v>
      </c>
      <c r="X2113" s="2">
        <f ca="1"/>
        <v>33.625104270237919</v>
      </c>
      <c r="AG2113" s="2">
        <f ca="1"/>
        <v>0.71373830302606489</v>
      </c>
      <c r="AH2113" s="2" t="str">
        <f ca="1"/>
        <v>Bad</v>
      </c>
    </row>
    <row r="2114" spans="2:34" x14ac:dyDescent="0.2">
      <c r="B2114" s="2">
        <f ca="1"/>
        <v>0.71424890410840391</v>
      </c>
      <c r="O2114" s="2">
        <f ca="1"/>
        <v>0.50469258719290511</v>
      </c>
      <c r="X2114" s="2">
        <f ca="1"/>
        <v>27.832158054675137</v>
      </c>
      <c r="AG2114" s="2">
        <f ca="1"/>
        <v>0.88934093621052912</v>
      </c>
      <c r="AH2114" s="2" t="str">
        <f ca="1"/>
        <v>Bad</v>
      </c>
    </row>
    <row r="2115" spans="2:34" x14ac:dyDescent="0.2">
      <c r="B2115" s="2">
        <f ca="1"/>
        <v>5.5229307431591046E-2</v>
      </c>
      <c r="O2115" s="2">
        <f ca="1"/>
        <v>0.97589346907328645</v>
      </c>
      <c r="X2115" s="2">
        <f ca="1"/>
        <v>39.954401294538734</v>
      </c>
      <c r="AG2115" s="2">
        <f ca="1"/>
        <v>0.83808465382565878</v>
      </c>
      <c r="AH2115" s="2" t="str">
        <f ca="1"/>
        <v>Bad</v>
      </c>
    </row>
    <row r="2116" spans="2:34" x14ac:dyDescent="0.2">
      <c r="B2116" s="2">
        <f ca="1"/>
        <v>0.51649094181135546</v>
      </c>
      <c r="O2116" s="2">
        <f ca="1"/>
        <v>0.46403118292425244</v>
      </c>
      <c r="X2116" s="2">
        <f ca="1"/>
        <v>49.324715083408471</v>
      </c>
      <c r="AG2116" s="2">
        <f ca="1"/>
        <v>0.95552880634135051</v>
      </c>
      <c r="AH2116" s="2" t="str">
        <f ca="1"/>
        <v>Bad</v>
      </c>
    </row>
    <row r="2117" spans="2:34" x14ac:dyDescent="0.2">
      <c r="B2117" s="2">
        <f ca="1"/>
        <v>8.3008830780645582E-2</v>
      </c>
      <c r="O2117" s="2">
        <f ca="1"/>
        <v>-0.89996534708660492</v>
      </c>
      <c r="X2117" s="2">
        <f ca="1"/>
        <v>36.057633063031595</v>
      </c>
      <c r="AG2117" s="2">
        <f ca="1"/>
        <v>0.28663831693970909</v>
      </c>
      <c r="AH2117" s="2" t="str">
        <f ca="1"/>
        <v>OK</v>
      </c>
    </row>
    <row r="2118" spans="2:34" x14ac:dyDescent="0.2">
      <c r="B2118" s="2">
        <f ca="1"/>
        <v>9.6314156947720164E-2</v>
      </c>
      <c r="O2118" s="2">
        <f ca="1"/>
        <v>0.53727178027130895</v>
      </c>
      <c r="X2118" s="2">
        <f ca="1"/>
        <v>101.01360073405212</v>
      </c>
      <c r="AG2118" s="2">
        <f ca="1"/>
        <v>0.14210169516000226</v>
      </c>
      <c r="AH2118" s="2" t="str">
        <f ca="1"/>
        <v>OK</v>
      </c>
    </row>
    <row r="2119" spans="2:34" x14ac:dyDescent="0.2">
      <c r="B2119" s="2">
        <f ca="1"/>
        <v>0.20627271896380628</v>
      </c>
      <c r="O2119" s="2">
        <f ca="1"/>
        <v>0.61566469862042894</v>
      </c>
      <c r="X2119" s="2">
        <f ca="1"/>
        <v>24.4397379342732</v>
      </c>
      <c r="AG2119" s="2">
        <f ca="1"/>
        <v>0.62984838949515276</v>
      </c>
      <c r="AH2119" s="2" t="str">
        <f ca="1"/>
        <v>Bad</v>
      </c>
    </row>
    <row r="2120" spans="2:34" x14ac:dyDescent="0.2">
      <c r="B2120" s="2">
        <f ca="1"/>
        <v>0.52581025340353049</v>
      </c>
      <c r="O2120" s="2">
        <f ca="1"/>
        <v>1.4990530312421249</v>
      </c>
      <c r="X2120" s="2">
        <f ca="1"/>
        <v>53.411131708299074</v>
      </c>
      <c r="AG2120" s="2">
        <f ca="1"/>
        <v>0.1039737632874429</v>
      </c>
      <c r="AH2120" s="2" t="str">
        <f ca="1"/>
        <v>OK</v>
      </c>
    </row>
    <row r="2121" spans="2:34" x14ac:dyDescent="0.2">
      <c r="B2121" s="2">
        <f ca="1"/>
        <v>0.1339556505351156</v>
      </c>
      <c r="O2121" s="2">
        <f ca="1"/>
        <v>0.77528649604603694</v>
      </c>
      <c r="X2121" s="2">
        <f ca="1"/>
        <v>36.473225915827378</v>
      </c>
      <c r="AG2121" s="2">
        <f ca="1"/>
        <v>0.79953712260153864</v>
      </c>
      <c r="AH2121" s="2" t="str">
        <f ca="1"/>
        <v>Bad</v>
      </c>
    </row>
    <row r="2122" spans="2:34" x14ac:dyDescent="0.2">
      <c r="B2122" s="2">
        <f ca="1"/>
        <v>0.40708683549168501</v>
      </c>
      <c r="O2122" s="2">
        <f ca="1"/>
        <v>-0.37825985221221919</v>
      </c>
      <c r="X2122" s="2">
        <f ca="1"/>
        <v>62.39165809883842</v>
      </c>
      <c r="AG2122" s="2">
        <f ca="1"/>
        <v>0.76620786509426453</v>
      </c>
      <c r="AH2122" s="2" t="str">
        <f ca="1"/>
        <v>Bad</v>
      </c>
    </row>
    <row r="2123" spans="2:34" x14ac:dyDescent="0.2">
      <c r="B2123" s="2">
        <f ca="1"/>
        <v>0.58829827996538175</v>
      </c>
      <c r="O2123" s="2">
        <f ca="1"/>
        <v>0.47727663968891409</v>
      </c>
      <c r="X2123" s="2">
        <f ca="1"/>
        <v>35.868546959630741</v>
      </c>
      <c r="AG2123" s="2">
        <f ca="1"/>
        <v>0.16767396094839837</v>
      </c>
      <c r="AH2123" s="2" t="str">
        <f ca="1"/>
        <v>OK</v>
      </c>
    </row>
    <row r="2124" spans="2:34" x14ac:dyDescent="0.2">
      <c r="B2124" s="2">
        <f ca="1"/>
        <v>0.95600970353160997</v>
      </c>
      <c r="O2124" s="2">
        <f ca="1"/>
        <v>-0.70622354659127895</v>
      </c>
      <c r="X2124" s="2">
        <f ca="1"/>
        <v>32.121786842455592</v>
      </c>
      <c r="AG2124" s="2">
        <f ca="1"/>
        <v>0.17547523665888942</v>
      </c>
      <c r="AH2124" s="2" t="str">
        <f ca="1"/>
        <v>OK</v>
      </c>
    </row>
    <row r="2125" spans="2:34" x14ac:dyDescent="0.2">
      <c r="B2125" s="2">
        <f ca="1"/>
        <v>0.83558667840033052</v>
      </c>
      <c r="O2125" s="2">
        <f ca="1"/>
        <v>0.16641577123625662</v>
      </c>
      <c r="X2125" s="2">
        <f ca="1"/>
        <v>80.578376907610917</v>
      </c>
      <c r="AG2125" s="2">
        <f ca="1"/>
        <v>0.54883292867834421</v>
      </c>
      <c r="AH2125" s="2" t="str">
        <f ca="1"/>
        <v>Bad</v>
      </c>
    </row>
    <row r="2126" spans="2:34" x14ac:dyDescent="0.2">
      <c r="B2126" s="2">
        <f ca="1"/>
        <v>0.26761422415669189</v>
      </c>
      <c r="O2126" s="2">
        <f ca="1"/>
        <v>-1.5829102247410836</v>
      </c>
      <c r="X2126" s="2">
        <f ca="1"/>
        <v>56.300765401222542</v>
      </c>
      <c r="AG2126" s="2">
        <f ca="1"/>
        <v>0.85131881007304178</v>
      </c>
      <c r="AH2126" s="2" t="str">
        <f ca="1"/>
        <v>Bad</v>
      </c>
    </row>
    <row r="2127" spans="2:34" x14ac:dyDescent="0.2">
      <c r="B2127" s="2">
        <f ca="1"/>
        <v>0.36408484105371874</v>
      </c>
      <c r="O2127" s="2">
        <f ca="1"/>
        <v>-0.44037243267796511</v>
      </c>
      <c r="X2127" s="2">
        <f ca="1"/>
        <v>45.434432463805486</v>
      </c>
      <c r="AG2127" s="2">
        <f ca="1"/>
        <v>0.46581364637232903</v>
      </c>
      <c r="AH2127" s="2" t="str">
        <f ca="1"/>
        <v>Bad</v>
      </c>
    </row>
    <row r="2128" spans="2:34" x14ac:dyDescent="0.2">
      <c r="B2128" s="2">
        <f ca="1"/>
        <v>0.64531934639942468</v>
      </c>
      <c r="O2128" s="2">
        <f ca="1"/>
        <v>0.26390419362968698</v>
      </c>
      <c r="X2128" s="2">
        <f ca="1"/>
        <v>38.384346647193574</v>
      </c>
      <c r="AG2128" s="2">
        <f ca="1"/>
        <v>0.23753509440063891</v>
      </c>
      <c r="AH2128" s="2" t="str">
        <f ca="1"/>
        <v>OK</v>
      </c>
    </row>
    <row r="2129" spans="2:34" x14ac:dyDescent="0.2">
      <c r="B2129" s="2">
        <f ca="1"/>
        <v>0.30717606812710962</v>
      </c>
      <c r="O2129" s="2">
        <f ca="1"/>
        <v>-0.13520897360591141</v>
      </c>
      <c r="X2129" s="2">
        <f ca="1"/>
        <v>59.070642478500865</v>
      </c>
      <c r="AG2129" s="2">
        <f ca="1"/>
        <v>0.54477742455467104</v>
      </c>
      <c r="AH2129" s="2" t="str">
        <f ca="1"/>
        <v>Bad</v>
      </c>
    </row>
    <row r="2130" spans="2:34" x14ac:dyDescent="0.2">
      <c r="B2130" s="2">
        <f ca="1"/>
        <v>0.47038952194158812</v>
      </c>
      <c r="O2130" s="2">
        <f ca="1"/>
        <v>-1.0766724578385354</v>
      </c>
      <c r="X2130" s="2">
        <f ca="1"/>
        <v>42.616624084758534</v>
      </c>
      <c r="AG2130" s="2">
        <f ca="1"/>
        <v>0.70284190821120474</v>
      </c>
      <c r="AH2130" s="2" t="str">
        <f ca="1"/>
        <v>Bad</v>
      </c>
    </row>
    <row r="2131" spans="2:34" x14ac:dyDescent="0.2">
      <c r="B2131" s="2">
        <f ca="1"/>
        <v>0.94932554420896342</v>
      </c>
      <c r="O2131" s="2">
        <f ca="1"/>
        <v>0.21786861305346464</v>
      </c>
      <c r="X2131" s="2">
        <f ca="1"/>
        <v>72.224461026340805</v>
      </c>
      <c r="AG2131" s="2">
        <f ca="1"/>
        <v>0.12965018636620718</v>
      </c>
      <c r="AH2131" s="2" t="str">
        <f ca="1"/>
        <v>OK</v>
      </c>
    </row>
    <row r="2132" spans="2:34" x14ac:dyDescent="0.2">
      <c r="B2132" s="2">
        <f ca="1"/>
        <v>0.15818373610173997</v>
      </c>
      <c r="O2132" s="2">
        <f ca="1"/>
        <v>1.2065448338066047</v>
      </c>
      <c r="X2132" s="2">
        <f ca="1"/>
        <v>77.052832378165505</v>
      </c>
      <c r="AG2132" s="2">
        <f ca="1"/>
        <v>0.44466598001425806</v>
      </c>
      <c r="AH2132" s="2" t="str">
        <f ca="1"/>
        <v>Bad</v>
      </c>
    </row>
    <row r="2133" spans="2:34" x14ac:dyDescent="0.2">
      <c r="B2133" s="2">
        <f ca="1"/>
        <v>0.14421021389744992</v>
      </c>
      <c r="O2133" s="2">
        <f ca="1"/>
        <v>-0.2880608660372157</v>
      </c>
      <c r="X2133" s="2">
        <f ca="1"/>
        <v>51.257525751964494</v>
      </c>
      <c r="AG2133" s="2">
        <f ca="1"/>
        <v>0.83105677716166015</v>
      </c>
      <c r="AH2133" s="2" t="str">
        <f ca="1"/>
        <v>Bad</v>
      </c>
    </row>
    <row r="2134" spans="2:34" x14ac:dyDescent="0.2">
      <c r="B2134" s="2">
        <f ca="1"/>
        <v>0.64940672465809346</v>
      </c>
      <c r="O2134" s="2">
        <f ca="1"/>
        <v>0.83481538431590796</v>
      </c>
      <c r="X2134" s="2">
        <f ca="1"/>
        <v>40.463551267082792</v>
      </c>
      <c r="AG2134" s="2">
        <f ca="1"/>
        <v>0.17446296654370386</v>
      </c>
      <c r="AH2134" s="2" t="str">
        <f ca="1"/>
        <v>OK</v>
      </c>
    </row>
    <row r="2135" spans="2:34" x14ac:dyDescent="0.2">
      <c r="B2135" s="2">
        <f ca="1"/>
        <v>0.51330341846302296</v>
      </c>
      <c r="O2135" s="2">
        <f ca="1"/>
        <v>-1.2893294127339157</v>
      </c>
      <c r="X2135" s="2">
        <f ca="1"/>
        <v>59.007087155747215</v>
      </c>
      <c r="AG2135" s="2">
        <f ca="1"/>
        <v>0.37741818832637675</v>
      </c>
      <c r="AH2135" s="2" t="str">
        <f ca="1"/>
        <v>OK</v>
      </c>
    </row>
    <row r="2136" spans="2:34" x14ac:dyDescent="0.2">
      <c r="B2136" s="2">
        <f ca="1"/>
        <v>0.72499853989540997</v>
      </c>
      <c r="O2136" s="2">
        <f ca="1"/>
        <v>0.24019457922064663</v>
      </c>
      <c r="X2136" s="2">
        <f ca="1"/>
        <v>38.916756908409916</v>
      </c>
      <c r="AG2136" s="2">
        <f ca="1"/>
        <v>0.73387702481263672</v>
      </c>
      <c r="AH2136" s="2" t="str">
        <f ca="1"/>
        <v>Bad</v>
      </c>
    </row>
    <row r="2137" spans="2:34" x14ac:dyDescent="0.2">
      <c r="B2137" s="2">
        <f ca="1"/>
        <v>0.70854740644623715</v>
      </c>
      <c r="O2137" s="2">
        <f ca="1"/>
        <v>-0.42224487435013269</v>
      </c>
      <c r="X2137" s="2">
        <f ca="1"/>
        <v>59.287712616642494</v>
      </c>
      <c r="AG2137" s="2">
        <f ca="1"/>
        <v>0.45580337480405131</v>
      </c>
      <c r="AH2137" s="2" t="str">
        <f ca="1"/>
        <v>Bad</v>
      </c>
    </row>
    <row r="2138" spans="2:34" x14ac:dyDescent="0.2">
      <c r="B2138" s="2">
        <f ca="1"/>
        <v>0.19798047202779956</v>
      </c>
      <c r="O2138" s="2">
        <f ca="1"/>
        <v>0.15324681334640222</v>
      </c>
      <c r="X2138" s="2">
        <f ca="1"/>
        <v>46.511046447954072</v>
      </c>
      <c r="AG2138" s="2">
        <f ca="1"/>
        <v>0.9604860091497347</v>
      </c>
      <c r="AH2138" s="2" t="str">
        <f ca="1"/>
        <v>Bad</v>
      </c>
    </row>
    <row r="2139" spans="2:34" x14ac:dyDescent="0.2">
      <c r="B2139" s="2">
        <f ca="1"/>
        <v>0.90660711178659992</v>
      </c>
      <c r="O2139" s="2">
        <f ca="1"/>
        <v>-0.25129393587875359</v>
      </c>
      <c r="X2139" s="2">
        <f ca="1"/>
        <v>51.987161182775779</v>
      </c>
      <c r="AG2139" s="2">
        <f ca="1"/>
        <v>0.61332791744594561</v>
      </c>
      <c r="AH2139" s="2" t="str">
        <f ca="1"/>
        <v>Bad</v>
      </c>
    </row>
    <row r="2140" spans="2:34" x14ac:dyDescent="0.2">
      <c r="B2140" s="2">
        <f ca="1"/>
        <v>0.11942096322807805</v>
      </c>
      <c r="O2140" s="2">
        <f ca="1"/>
        <v>-0.77045214849667276</v>
      </c>
      <c r="X2140" s="2">
        <f ca="1"/>
        <v>47.969758545739936</v>
      </c>
      <c r="AG2140" s="2">
        <f ca="1"/>
        <v>0.15024392886642524</v>
      </c>
      <c r="AH2140" s="2" t="str">
        <f ca="1"/>
        <v>OK</v>
      </c>
    </row>
    <row r="2141" spans="2:34" x14ac:dyDescent="0.2">
      <c r="B2141" s="2">
        <f ca="1"/>
        <v>0.33613697256182062</v>
      </c>
      <c r="O2141" s="2">
        <f ca="1"/>
        <v>-0.42861569743810979</v>
      </c>
      <c r="X2141" s="2">
        <f ca="1"/>
        <v>52.78208810758008</v>
      </c>
      <c r="AG2141" s="2">
        <f ca="1"/>
        <v>0.39190802599491503</v>
      </c>
      <c r="AH2141" s="2" t="str">
        <f ca="1"/>
        <v>OK</v>
      </c>
    </row>
    <row r="2142" spans="2:34" x14ac:dyDescent="0.2">
      <c r="B2142" s="2">
        <f ca="1"/>
        <v>0.47749411153745935</v>
      </c>
      <c r="O2142" s="2">
        <f ca="1"/>
        <v>0.91610849041203224</v>
      </c>
      <c r="X2142" s="2">
        <f ca="1"/>
        <v>63.57050785207413</v>
      </c>
      <c r="AG2142" s="2">
        <f ca="1"/>
        <v>0.27295180576434408</v>
      </c>
      <c r="AH2142" s="2" t="str">
        <f ca="1"/>
        <v>OK</v>
      </c>
    </row>
    <row r="2143" spans="2:34" x14ac:dyDescent="0.2">
      <c r="B2143" s="2">
        <f ca="1"/>
        <v>0.15231342700460071</v>
      </c>
      <c r="O2143" s="2">
        <f ca="1"/>
        <v>-0.33786951779848812</v>
      </c>
      <c r="X2143" s="2">
        <f ca="1"/>
        <v>53.187870647255849</v>
      </c>
      <c r="AG2143" s="2">
        <f ca="1"/>
        <v>0.45424905847054298</v>
      </c>
      <c r="AH2143" s="2" t="str">
        <f ca="1"/>
        <v>Bad</v>
      </c>
    </row>
    <row r="2144" spans="2:34" x14ac:dyDescent="0.2">
      <c r="B2144" s="2">
        <f ca="1"/>
        <v>0.8743423930150529</v>
      </c>
      <c r="O2144" s="2">
        <f ca="1"/>
        <v>1.317530875355075</v>
      </c>
      <c r="X2144" s="2">
        <f ca="1"/>
        <v>29.014549259743134</v>
      </c>
      <c r="AG2144" s="2">
        <f ca="1"/>
        <v>0.86907156872656688</v>
      </c>
      <c r="AH2144" s="2" t="str">
        <f ca="1"/>
        <v>Bad</v>
      </c>
    </row>
    <row r="2145" spans="2:34" x14ac:dyDescent="0.2">
      <c r="B2145" s="2">
        <f ca="1"/>
        <v>0.45050158388741623</v>
      </c>
      <c r="O2145" s="2">
        <f ca="1"/>
        <v>0.66282511723357262</v>
      </c>
      <c r="X2145" s="2">
        <f ca="1"/>
        <v>62.95979356492937</v>
      </c>
      <c r="AG2145" s="2">
        <f ca="1"/>
        <v>0.36992274456070939</v>
      </c>
      <c r="AH2145" s="2" t="str">
        <f ca="1"/>
        <v>OK</v>
      </c>
    </row>
    <row r="2146" spans="2:34" x14ac:dyDescent="0.2">
      <c r="B2146" s="2">
        <f ca="1"/>
        <v>0.12976642319971377</v>
      </c>
      <c r="O2146" s="2">
        <f ca="1"/>
        <v>-1.0324666952698123</v>
      </c>
      <c r="X2146" s="2">
        <f ca="1"/>
        <v>72.400103735672189</v>
      </c>
      <c r="AG2146" s="2">
        <f ca="1"/>
        <v>0.6246350410954451</v>
      </c>
      <c r="AH2146" s="2" t="str">
        <f ca="1"/>
        <v>Bad</v>
      </c>
    </row>
    <row r="2147" spans="2:34" x14ac:dyDescent="0.2">
      <c r="B2147" s="2">
        <f ca="1"/>
        <v>0.13078644119823624</v>
      </c>
      <c r="O2147" s="2">
        <f ca="1"/>
        <v>0.28366988475294458</v>
      </c>
      <c r="X2147" s="2">
        <f ca="1"/>
        <v>52.253554039244506</v>
      </c>
      <c r="AG2147" s="2">
        <f ca="1"/>
        <v>0.75807912670743893</v>
      </c>
      <c r="AH2147" s="2" t="str">
        <f ca="1"/>
        <v>Bad</v>
      </c>
    </row>
    <row r="2148" spans="2:34" x14ac:dyDescent="0.2">
      <c r="B2148" s="2">
        <f ca="1"/>
        <v>0.61642440870391191</v>
      </c>
      <c r="O2148" s="2">
        <f ca="1"/>
        <v>-0.25153932294286024</v>
      </c>
      <c r="X2148" s="2">
        <f ca="1"/>
        <v>40.744393890268036</v>
      </c>
      <c r="AG2148" s="2">
        <f ca="1"/>
        <v>0.84900716815522714</v>
      </c>
      <c r="AH2148" s="2" t="str">
        <f ca="1"/>
        <v>Bad</v>
      </c>
    </row>
    <row r="2149" spans="2:34" x14ac:dyDescent="0.2">
      <c r="B2149" s="2">
        <f ca="1"/>
        <v>0.21854240004187786</v>
      </c>
      <c r="O2149" s="2">
        <f ca="1"/>
        <v>-0.1504740829950576</v>
      </c>
      <c r="X2149" s="2">
        <f ca="1"/>
        <v>71.230877655650517</v>
      </c>
      <c r="AG2149" s="2">
        <f ca="1"/>
        <v>0.92393289353751151</v>
      </c>
      <c r="AH2149" s="2" t="str">
        <f ca="1"/>
        <v>Bad</v>
      </c>
    </row>
    <row r="2150" spans="2:34" x14ac:dyDescent="0.2">
      <c r="B2150" s="2">
        <f ca="1"/>
        <v>0.8986717928378487</v>
      </c>
      <c r="O2150" s="2">
        <f ca="1"/>
        <v>-0.88757240435600848</v>
      </c>
      <c r="X2150" s="2">
        <f ca="1"/>
        <v>42.886522924510103</v>
      </c>
      <c r="AG2150" s="2">
        <f ca="1"/>
        <v>0.19191799058960246</v>
      </c>
      <c r="AH2150" s="2" t="str">
        <f ca="1"/>
        <v>OK</v>
      </c>
    </row>
    <row r="2151" spans="2:34" x14ac:dyDescent="0.2">
      <c r="B2151" s="2">
        <f ca="1"/>
        <v>0.95540961203436514</v>
      </c>
      <c r="O2151" s="2">
        <f ca="1"/>
        <v>-0.59546104266632283</v>
      </c>
      <c r="X2151" s="2">
        <f ca="1"/>
        <v>49.826522149213758</v>
      </c>
      <c r="AG2151" s="2">
        <f ca="1"/>
        <v>0.79088395569440606</v>
      </c>
      <c r="AH2151" s="2" t="str">
        <f ca="1"/>
        <v>Bad</v>
      </c>
    </row>
    <row r="2152" spans="2:34" x14ac:dyDescent="0.2">
      <c r="B2152" s="2">
        <f ca="1"/>
        <v>0.22653337440036148</v>
      </c>
      <c r="O2152" s="2">
        <f ca="1"/>
        <v>0.9287081247203991</v>
      </c>
      <c r="X2152" s="2">
        <f ca="1"/>
        <v>59.045028191028635</v>
      </c>
      <c r="AG2152" s="2">
        <f ca="1"/>
        <v>4.1868782969910923E-2</v>
      </c>
      <c r="AH2152" s="2" t="str">
        <f ca="1"/>
        <v>Good</v>
      </c>
    </row>
    <row r="2153" spans="2:34" x14ac:dyDescent="0.2">
      <c r="B2153" s="2">
        <f ca="1"/>
        <v>0.71834146605491589</v>
      </c>
      <c r="O2153" s="2">
        <f ca="1"/>
        <v>0.35537304613437792</v>
      </c>
      <c r="X2153" s="2">
        <f ca="1"/>
        <v>44.040846100375298</v>
      </c>
      <c r="AG2153" s="2">
        <f ca="1"/>
        <v>0.69689532059498815</v>
      </c>
      <c r="AH2153" s="2" t="str">
        <f ca="1"/>
        <v>Bad</v>
      </c>
    </row>
    <row r="2154" spans="2:34" x14ac:dyDescent="0.2">
      <c r="B2154" s="2">
        <f ca="1"/>
        <v>0.68508156144395094</v>
      </c>
      <c r="O2154" s="2">
        <f ca="1"/>
        <v>-2.677026865625997E-2</v>
      </c>
      <c r="X2154" s="2">
        <f ca="1"/>
        <v>53.535904668198675</v>
      </c>
      <c r="AG2154" s="2">
        <f ca="1"/>
        <v>0.84768566265617862</v>
      </c>
      <c r="AH2154" s="2" t="str">
        <f ca="1"/>
        <v>Bad</v>
      </c>
    </row>
    <row r="2155" spans="2:34" x14ac:dyDescent="0.2">
      <c r="B2155" s="2">
        <f ca="1"/>
        <v>0.39567318871330093</v>
      </c>
      <c r="O2155" s="2">
        <f ca="1"/>
        <v>0.23420705190796753</v>
      </c>
      <c r="X2155" s="2">
        <f ca="1"/>
        <v>68.936498748243636</v>
      </c>
      <c r="AG2155" s="2">
        <f ca="1"/>
        <v>0.38409251401333488</v>
      </c>
      <c r="AH2155" s="2" t="str">
        <f ca="1"/>
        <v>OK</v>
      </c>
    </row>
    <row r="2156" spans="2:34" x14ac:dyDescent="0.2">
      <c r="B2156" s="2">
        <f ca="1"/>
        <v>0.50233130614115695</v>
      </c>
      <c r="O2156" s="2">
        <f ca="1"/>
        <v>0.51830564722820138</v>
      </c>
      <c r="X2156" s="2">
        <f ca="1"/>
        <v>46.779063783515483</v>
      </c>
      <c r="AG2156" s="2">
        <f ca="1"/>
        <v>0.28201433168180445</v>
      </c>
      <c r="AH2156" s="2" t="str">
        <f ca="1"/>
        <v>OK</v>
      </c>
    </row>
    <row r="2157" spans="2:34" x14ac:dyDescent="0.2">
      <c r="B2157" s="2">
        <f ca="1"/>
        <v>0.1999536506111772</v>
      </c>
      <c r="O2157" s="2">
        <f ca="1"/>
        <v>0.63501124598321557</v>
      </c>
      <c r="X2157" s="2">
        <f ca="1"/>
        <v>28.259571422995052</v>
      </c>
      <c r="AG2157" s="2">
        <f ca="1"/>
        <v>0.88226175529844264</v>
      </c>
      <c r="AH2157" s="2" t="str">
        <f ca="1"/>
        <v>Bad</v>
      </c>
    </row>
    <row r="2158" spans="2:34" x14ac:dyDescent="0.2">
      <c r="B2158" s="2">
        <f ca="1"/>
        <v>0.38670893829002129</v>
      </c>
      <c r="O2158" s="2">
        <f ca="1"/>
        <v>-0.58626283797280143</v>
      </c>
      <c r="X2158" s="2">
        <f ca="1"/>
        <v>46.315078719559793</v>
      </c>
      <c r="AG2158" s="2">
        <f ca="1"/>
        <v>0.95011720291097546</v>
      </c>
      <c r="AH2158" s="2" t="str">
        <f ca="1"/>
        <v>Bad</v>
      </c>
    </row>
    <row r="2159" spans="2:34" x14ac:dyDescent="0.2">
      <c r="B2159" s="2">
        <f ca="1"/>
        <v>0.10152701064154379</v>
      </c>
      <c r="O2159" s="2">
        <f ca="1"/>
        <v>0.39766403192905636</v>
      </c>
      <c r="X2159" s="2">
        <f ca="1"/>
        <v>55.847755536823854</v>
      </c>
      <c r="AG2159" s="2">
        <f ca="1"/>
        <v>0.32759335662209144</v>
      </c>
      <c r="AH2159" s="2" t="str">
        <f ca="1"/>
        <v>OK</v>
      </c>
    </row>
    <row r="2160" spans="2:34" x14ac:dyDescent="0.2">
      <c r="B2160" s="2">
        <f ca="1"/>
        <v>0.97122778840922175</v>
      </c>
      <c r="O2160" s="2">
        <f ca="1"/>
        <v>-1.0148084437400924</v>
      </c>
      <c r="X2160" s="2">
        <f ca="1"/>
        <v>53.833901519438918</v>
      </c>
      <c r="AG2160" s="2">
        <f ca="1"/>
        <v>3.8658017268863976E-2</v>
      </c>
      <c r="AH2160" s="2" t="str">
        <f ca="1"/>
        <v>Good</v>
      </c>
    </row>
    <row r="2161" spans="2:34" x14ac:dyDescent="0.2">
      <c r="B2161" s="2">
        <f ca="1"/>
        <v>0.95449251259736956</v>
      </c>
      <c r="O2161" s="2">
        <f ca="1"/>
        <v>-0.96732068347148259</v>
      </c>
      <c r="X2161" s="2">
        <f ca="1"/>
        <v>39.650112224821534</v>
      </c>
      <c r="AG2161" s="2">
        <f ca="1"/>
        <v>0.37835140226148201</v>
      </c>
      <c r="AH2161" s="2" t="str">
        <f ca="1"/>
        <v>OK</v>
      </c>
    </row>
    <row r="2162" spans="2:34" x14ac:dyDescent="0.2">
      <c r="B2162" s="2">
        <f ca="1"/>
        <v>0.64257425159170034</v>
      </c>
      <c r="O2162" s="2">
        <f ca="1"/>
        <v>-0.76160768182029959</v>
      </c>
      <c r="X2162" s="2">
        <f ca="1"/>
        <v>36.235241583436078</v>
      </c>
      <c r="AG2162" s="2">
        <f ca="1"/>
        <v>0.40294774018494217</v>
      </c>
      <c r="AH2162" s="2" t="str">
        <f ca="1"/>
        <v>Bad</v>
      </c>
    </row>
    <row r="2163" spans="2:34" x14ac:dyDescent="0.2">
      <c r="B2163" s="2">
        <f ca="1"/>
        <v>0.63371202185410946</v>
      </c>
      <c r="O2163" s="2">
        <f ca="1"/>
        <v>-8.7023264923557705E-2</v>
      </c>
      <c r="X2163" s="2">
        <f ca="1"/>
        <v>93.986192998769766</v>
      </c>
      <c r="AG2163" s="2">
        <f ca="1"/>
        <v>0.72238570419355908</v>
      </c>
      <c r="AH2163" s="2" t="str">
        <f ca="1"/>
        <v>Bad</v>
      </c>
    </row>
    <row r="2164" spans="2:34" x14ac:dyDescent="0.2">
      <c r="B2164" s="2">
        <f ca="1"/>
        <v>0.80976975390427985</v>
      </c>
      <c r="O2164" s="2">
        <f ca="1"/>
        <v>-1.6647762083426911</v>
      </c>
      <c r="X2164" s="2">
        <f ca="1"/>
        <v>44.234633949313661</v>
      </c>
      <c r="AG2164" s="2">
        <f ca="1"/>
        <v>0.54151869030410715</v>
      </c>
      <c r="AH2164" s="2" t="str">
        <f ca="1"/>
        <v>Bad</v>
      </c>
    </row>
    <row r="2165" spans="2:34" x14ac:dyDescent="0.2">
      <c r="B2165" s="2">
        <f ca="1"/>
        <v>0.64065184866410818</v>
      </c>
      <c r="O2165" s="2">
        <f ca="1"/>
        <v>1.3148302916131109</v>
      </c>
      <c r="X2165" s="2">
        <f ca="1"/>
        <v>30.769727941722785</v>
      </c>
      <c r="AG2165" s="2">
        <f ca="1"/>
        <v>0.18722804760241685</v>
      </c>
      <c r="AH2165" s="2" t="str">
        <f ca="1"/>
        <v>OK</v>
      </c>
    </row>
    <row r="2166" spans="2:34" x14ac:dyDescent="0.2">
      <c r="B2166" s="2">
        <f ca="1"/>
        <v>6.8302892893261191E-2</v>
      </c>
      <c r="O2166" s="2">
        <f ca="1"/>
        <v>-0.75855871994756541</v>
      </c>
      <c r="X2166" s="2">
        <f ca="1"/>
        <v>31.785300292932458</v>
      </c>
      <c r="AG2166" s="2">
        <f ca="1"/>
        <v>0.70449852571082627</v>
      </c>
      <c r="AH2166" s="2" t="str">
        <f ca="1"/>
        <v>Bad</v>
      </c>
    </row>
    <row r="2167" spans="2:34" x14ac:dyDescent="0.2">
      <c r="B2167" s="2">
        <f ca="1"/>
        <v>0.47594874129841402</v>
      </c>
      <c r="O2167" s="2">
        <f ca="1"/>
        <v>-0.84423409957855788</v>
      </c>
      <c r="X2167" s="2">
        <f ca="1"/>
        <v>43.466691903167757</v>
      </c>
      <c r="AG2167" s="2">
        <f ca="1"/>
        <v>0.91251370538661791</v>
      </c>
      <c r="AH2167" s="2" t="str">
        <f ca="1"/>
        <v>Bad</v>
      </c>
    </row>
    <row r="2168" spans="2:34" x14ac:dyDescent="0.2">
      <c r="B2168" s="2">
        <f ca="1"/>
        <v>0.59938626367762149</v>
      </c>
      <c r="O2168" s="2">
        <f ca="1"/>
        <v>-3.8345410313098807E-2</v>
      </c>
      <c r="X2168" s="2">
        <f ca="1"/>
        <v>66.397423008779384</v>
      </c>
      <c r="AG2168" s="2">
        <f ca="1"/>
        <v>0.44287337989943576</v>
      </c>
      <c r="AH2168" s="2" t="str">
        <f ca="1"/>
        <v>Bad</v>
      </c>
    </row>
    <row r="2169" spans="2:34" x14ac:dyDescent="0.2">
      <c r="B2169" s="2">
        <f ca="1"/>
        <v>0.33796760138583726</v>
      </c>
      <c r="O2169" s="2">
        <f ca="1"/>
        <v>0.30923763486231703</v>
      </c>
      <c r="X2169" s="2">
        <f ca="1"/>
        <v>45.985224937204457</v>
      </c>
      <c r="AG2169" s="2">
        <f ca="1"/>
        <v>0.35482687706732219</v>
      </c>
      <c r="AH2169" s="2" t="str">
        <f ca="1"/>
        <v>OK</v>
      </c>
    </row>
    <row r="2170" spans="2:34" x14ac:dyDescent="0.2">
      <c r="B2170" s="2">
        <f ca="1"/>
        <v>0.91934716515157855</v>
      </c>
      <c r="O2170" s="2">
        <f ca="1"/>
        <v>-1.749798848194716</v>
      </c>
      <c r="X2170" s="2">
        <f ca="1"/>
        <v>51.106766709599242</v>
      </c>
      <c r="AG2170" s="2">
        <f ca="1"/>
        <v>0.42605414234726346</v>
      </c>
      <c r="AH2170" s="2" t="str">
        <f ca="1"/>
        <v>Bad</v>
      </c>
    </row>
    <row r="2171" spans="2:34" x14ac:dyDescent="0.2">
      <c r="B2171" s="2">
        <f ca="1"/>
        <v>0.47916644102519079</v>
      </c>
      <c r="O2171" s="2">
        <f ca="1"/>
        <v>-1.8944865798433437</v>
      </c>
      <c r="X2171" s="2">
        <f ca="1"/>
        <v>50.301990812294463</v>
      </c>
      <c r="AG2171" s="2">
        <f ca="1"/>
        <v>0.9111603564015156</v>
      </c>
      <c r="AH2171" s="2" t="str">
        <f ca="1"/>
        <v>Bad</v>
      </c>
    </row>
    <row r="2172" spans="2:34" x14ac:dyDescent="0.2">
      <c r="B2172" s="2">
        <f ca="1"/>
        <v>0.92682162033932447</v>
      </c>
      <c r="O2172" s="2">
        <f ca="1"/>
        <v>0.3502794661757927</v>
      </c>
      <c r="X2172" s="2">
        <f ca="1"/>
        <v>54.373011315817415</v>
      </c>
      <c r="AG2172" s="2">
        <f ca="1"/>
        <v>0.15031275929764232</v>
      </c>
      <c r="AH2172" s="2" t="str">
        <f ca="1"/>
        <v>OK</v>
      </c>
    </row>
    <row r="2173" spans="2:34" x14ac:dyDescent="0.2">
      <c r="B2173" s="2">
        <f ca="1"/>
        <v>0.72059221669952445</v>
      </c>
      <c r="O2173" s="2">
        <f ca="1"/>
        <v>-0.67819579777385475</v>
      </c>
      <c r="X2173" s="2">
        <f ca="1"/>
        <v>65.461693138517674</v>
      </c>
      <c r="AG2173" s="2">
        <f ca="1"/>
        <v>0.85780108737993022</v>
      </c>
      <c r="AH2173" s="2" t="str">
        <f ca="1"/>
        <v>Bad</v>
      </c>
    </row>
    <row r="2174" spans="2:34" x14ac:dyDescent="0.2">
      <c r="B2174" s="2">
        <f ca="1"/>
        <v>0.28022977473519806</v>
      </c>
      <c r="O2174" s="2">
        <f ca="1"/>
        <v>1.9024096179464058</v>
      </c>
      <c r="X2174" s="2">
        <f ca="1"/>
        <v>22.649034087810193</v>
      </c>
      <c r="AG2174" s="2">
        <f ca="1"/>
        <v>0.46159068763139777</v>
      </c>
      <c r="AH2174" s="2" t="str">
        <f ca="1"/>
        <v>Bad</v>
      </c>
    </row>
    <row r="2175" spans="2:34" x14ac:dyDescent="0.2">
      <c r="B2175" s="2">
        <f ca="1"/>
        <v>0.96287947107847116</v>
      </c>
      <c r="O2175" s="2">
        <f ca="1"/>
        <v>0.56823205333757798</v>
      </c>
      <c r="X2175" s="2">
        <f ca="1"/>
        <v>67.969243250493037</v>
      </c>
      <c r="AG2175" s="2">
        <f ca="1"/>
        <v>0.15576759160161768</v>
      </c>
      <c r="AH2175" s="2" t="str">
        <f ca="1"/>
        <v>OK</v>
      </c>
    </row>
    <row r="2176" spans="2:34" x14ac:dyDescent="0.2">
      <c r="B2176" s="2">
        <f ca="1"/>
        <v>0.84498526486577319</v>
      </c>
      <c r="O2176" s="2">
        <f ca="1"/>
        <v>0.86144546601377803</v>
      </c>
      <c r="X2176" s="2">
        <f ca="1"/>
        <v>90.881704080837849</v>
      </c>
      <c r="AG2176" s="2">
        <f ca="1"/>
        <v>0.87989566406229636</v>
      </c>
      <c r="AH2176" s="2" t="str">
        <f ca="1"/>
        <v>Bad</v>
      </c>
    </row>
    <row r="2177" spans="2:34" x14ac:dyDescent="0.2">
      <c r="B2177" s="2">
        <f ca="1"/>
        <v>7.5974806313922283E-2</v>
      </c>
      <c r="O2177" s="2">
        <f ca="1"/>
        <v>-0.50695475272271462</v>
      </c>
      <c r="X2177" s="2">
        <f ca="1"/>
        <v>57.27823981379268</v>
      </c>
      <c r="AG2177" s="2">
        <f ca="1"/>
        <v>0.78029789367238656</v>
      </c>
      <c r="AH2177" s="2" t="str">
        <f ca="1"/>
        <v>Bad</v>
      </c>
    </row>
    <row r="2178" spans="2:34" x14ac:dyDescent="0.2">
      <c r="B2178" s="2">
        <f ca="1"/>
        <v>0.66082298437949083</v>
      </c>
      <c r="O2178" s="2">
        <f ca="1"/>
        <v>0.23960496739607229</v>
      </c>
      <c r="X2178" s="2">
        <f ca="1"/>
        <v>42.538557022957221</v>
      </c>
      <c r="AG2178" s="2">
        <f ca="1"/>
        <v>0.13758842076419686</v>
      </c>
      <c r="AH2178" s="2" t="str">
        <f ca="1"/>
        <v>OK</v>
      </c>
    </row>
    <row r="2179" spans="2:34" x14ac:dyDescent="0.2">
      <c r="B2179" s="2">
        <f ca="1"/>
        <v>0.25743503665797163</v>
      </c>
      <c r="O2179" s="2">
        <f ca="1"/>
        <v>1.5758486206405498</v>
      </c>
      <c r="X2179" s="2">
        <f ca="1"/>
        <v>113.84469961114776</v>
      </c>
      <c r="AG2179" s="2">
        <f ca="1"/>
        <v>0.94579873448253382</v>
      </c>
      <c r="AH2179" s="2" t="str">
        <f ca="1"/>
        <v>Bad</v>
      </c>
    </row>
    <row r="2180" spans="2:34" x14ac:dyDescent="0.2">
      <c r="B2180" s="2">
        <f ca="1"/>
        <v>0.98718834710816039</v>
      </c>
      <c r="O2180" s="2">
        <f ca="1"/>
        <v>-0.67945720099567808</v>
      </c>
      <c r="X2180" s="2">
        <f ca="1"/>
        <v>35.447028030734444</v>
      </c>
      <c r="AG2180" s="2">
        <f ca="1"/>
        <v>0.32641041445360575</v>
      </c>
      <c r="AH2180" s="2" t="str">
        <f ca="1"/>
        <v>OK</v>
      </c>
    </row>
    <row r="2181" spans="2:34" x14ac:dyDescent="0.2">
      <c r="B2181" s="2">
        <f ca="1"/>
        <v>0.91801112919104355</v>
      </c>
      <c r="O2181" s="2">
        <f ca="1"/>
        <v>0.75233049217285175</v>
      </c>
      <c r="X2181" s="2">
        <f ca="1"/>
        <v>67.910678727704152</v>
      </c>
      <c r="AG2181" s="2">
        <f ca="1"/>
        <v>0.49292562309739774</v>
      </c>
      <c r="AH2181" s="2" t="str">
        <f ca="1"/>
        <v>Bad</v>
      </c>
    </row>
    <row r="2182" spans="2:34" x14ac:dyDescent="0.2">
      <c r="B2182" s="2">
        <f ca="1"/>
        <v>0.3202612916363814</v>
      </c>
      <c r="O2182" s="2">
        <f ca="1"/>
        <v>-1.087082455929564</v>
      </c>
      <c r="X2182" s="2">
        <f ca="1"/>
        <v>61.547560176447611</v>
      </c>
      <c r="AG2182" s="2">
        <f ca="1"/>
        <v>0.59851421806995031</v>
      </c>
      <c r="AH2182" s="2" t="str">
        <f ca="1"/>
        <v>Bad</v>
      </c>
    </row>
    <row r="2183" spans="2:34" x14ac:dyDescent="0.2">
      <c r="B2183" s="2">
        <f ca="1"/>
        <v>0.39551968421583483</v>
      </c>
      <c r="O2183" s="2">
        <f ca="1"/>
        <v>-0.80864312223763268</v>
      </c>
      <c r="X2183" s="2">
        <f ca="1"/>
        <v>26.646695282919492</v>
      </c>
      <c r="AG2183" s="2">
        <f ca="1"/>
        <v>0.64988747158559557</v>
      </c>
      <c r="AH2183" s="2" t="str">
        <f ca="1"/>
        <v>Bad</v>
      </c>
    </row>
    <row r="2184" spans="2:34" x14ac:dyDescent="0.2">
      <c r="B2184" s="2">
        <f ca="1"/>
        <v>0.35839856823450211</v>
      </c>
      <c r="O2184" s="2">
        <f ca="1"/>
        <v>0.96508878111355789</v>
      </c>
      <c r="X2184" s="2">
        <f ca="1"/>
        <v>36.589532554359756</v>
      </c>
      <c r="AG2184" s="2">
        <f ca="1"/>
        <v>0.93322160756755745</v>
      </c>
      <c r="AH2184" s="2" t="str">
        <f ca="1"/>
        <v>Bad</v>
      </c>
    </row>
    <row r="2185" spans="2:34" x14ac:dyDescent="0.2">
      <c r="B2185" s="2">
        <f ca="1"/>
        <v>1.8935455357163899E-2</v>
      </c>
      <c r="O2185" s="2">
        <f ca="1"/>
        <v>-0.12303027788732693</v>
      </c>
      <c r="X2185" s="2">
        <f ca="1"/>
        <v>50.905337674265084</v>
      </c>
      <c r="AG2185" s="2">
        <f ca="1"/>
        <v>0.51946363496138481</v>
      </c>
      <c r="AH2185" s="2" t="str">
        <f ca="1"/>
        <v>Bad</v>
      </c>
    </row>
    <row r="2186" spans="2:34" x14ac:dyDescent="0.2">
      <c r="B2186" s="2">
        <f ca="1"/>
        <v>0.85939278531279717</v>
      </c>
      <c r="O2186" s="2">
        <f ca="1"/>
        <v>0.20840587305818573</v>
      </c>
      <c r="X2186" s="2">
        <f ca="1"/>
        <v>52.718797707282867</v>
      </c>
      <c r="AG2186" s="2">
        <f ca="1"/>
        <v>5.86463849798049E-2</v>
      </c>
      <c r="AH2186" s="2" t="str">
        <f ca="1"/>
        <v>OK</v>
      </c>
    </row>
    <row r="2187" spans="2:34" x14ac:dyDescent="0.2">
      <c r="B2187" s="2">
        <f ca="1"/>
        <v>0.16579419066160228</v>
      </c>
      <c r="O2187" s="2">
        <f ca="1"/>
        <v>0.64104361437822344</v>
      </c>
      <c r="X2187" s="2">
        <f ca="1"/>
        <v>46.062034251786116</v>
      </c>
      <c r="AG2187" s="2">
        <f ca="1"/>
        <v>0.79313088727644687</v>
      </c>
      <c r="AH2187" s="2" t="str">
        <f ca="1"/>
        <v>Bad</v>
      </c>
    </row>
    <row r="2188" spans="2:34" x14ac:dyDescent="0.2">
      <c r="B2188" s="2">
        <f ca="1"/>
        <v>0.24079924651566142</v>
      </c>
      <c r="O2188" s="2">
        <f ca="1"/>
        <v>-1.9738158336146756</v>
      </c>
      <c r="X2188" s="2">
        <f ca="1"/>
        <v>51.069536870465669</v>
      </c>
      <c r="AG2188" s="2">
        <f ca="1"/>
        <v>0.93610203031553851</v>
      </c>
      <c r="AH2188" s="2" t="str">
        <f ca="1"/>
        <v>Bad</v>
      </c>
    </row>
    <row r="2189" spans="2:34" x14ac:dyDescent="0.2">
      <c r="B2189" s="2">
        <f ca="1"/>
        <v>0.97805504208671445</v>
      </c>
      <c r="O2189" s="2">
        <f ca="1"/>
        <v>-0.14957321759315298</v>
      </c>
      <c r="X2189" s="2">
        <f ca="1"/>
        <v>33.348904116451557</v>
      </c>
      <c r="AG2189" s="2">
        <f ca="1"/>
        <v>0.56491119721297367</v>
      </c>
      <c r="AH2189" s="2" t="str">
        <f ca="1"/>
        <v>Bad</v>
      </c>
    </row>
    <row r="2190" spans="2:34" x14ac:dyDescent="0.2">
      <c r="B2190" s="2">
        <f ca="1"/>
        <v>0.91044097911216526</v>
      </c>
      <c r="O2190" s="2">
        <f ca="1"/>
        <v>1.2932152398812933</v>
      </c>
      <c r="X2190" s="2">
        <f ca="1"/>
        <v>43.806208234572424</v>
      </c>
      <c r="AG2190" s="2">
        <f ca="1"/>
        <v>0.92821643584497093</v>
      </c>
      <c r="AH2190" s="2" t="str">
        <f ca="1"/>
        <v>Bad</v>
      </c>
    </row>
    <row r="2191" spans="2:34" x14ac:dyDescent="0.2">
      <c r="B2191" s="2">
        <f ca="1"/>
        <v>0.33100420180714796</v>
      </c>
      <c r="O2191" s="2">
        <f ca="1"/>
        <v>-0.82954490162304617</v>
      </c>
      <c r="X2191" s="2">
        <f ca="1"/>
        <v>42.542345902245955</v>
      </c>
      <c r="AG2191" s="2">
        <f ca="1"/>
        <v>0.22233973292551368</v>
      </c>
      <c r="AH2191" s="2" t="str">
        <f ca="1"/>
        <v>OK</v>
      </c>
    </row>
    <row r="2192" spans="2:34" x14ac:dyDescent="0.2">
      <c r="B2192" s="2">
        <f ca="1"/>
        <v>0.81582319336706521</v>
      </c>
      <c r="O2192" s="2">
        <f ca="1"/>
        <v>0.95716985302738267</v>
      </c>
      <c r="X2192" s="2">
        <f ca="1"/>
        <v>46.03161681300638</v>
      </c>
      <c r="AG2192" s="2">
        <f ca="1"/>
        <v>0.35823696984348485</v>
      </c>
      <c r="AH2192" s="2" t="str">
        <f ca="1"/>
        <v>OK</v>
      </c>
    </row>
    <row r="2193" spans="2:34" x14ac:dyDescent="0.2">
      <c r="B2193" s="2">
        <f ca="1"/>
        <v>2.9412202259402109E-2</v>
      </c>
      <c r="O2193" s="2">
        <f ca="1"/>
        <v>-0.65781452249751582</v>
      </c>
      <c r="X2193" s="2">
        <f ca="1"/>
        <v>41.253526175520804</v>
      </c>
      <c r="AG2193" s="2">
        <f ca="1"/>
        <v>0.12163324611963455</v>
      </c>
      <c r="AH2193" s="2" t="str">
        <f ca="1"/>
        <v>OK</v>
      </c>
    </row>
    <row r="2194" spans="2:34" x14ac:dyDescent="0.2">
      <c r="B2194" s="2">
        <f ca="1"/>
        <v>0.85950912213990138</v>
      </c>
      <c r="O2194" s="2">
        <f ca="1"/>
        <v>-0.14377319038582143</v>
      </c>
      <c r="X2194" s="2">
        <f ca="1"/>
        <v>50.249982017900535</v>
      </c>
      <c r="AG2194" s="2">
        <f ca="1"/>
        <v>0.35522523362008473</v>
      </c>
      <c r="AH2194" s="2" t="str">
        <f ca="1"/>
        <v>OK</v>
      </c>
    </row>
    <row r="2195" spans="2:34" x14ac:dyDescent="0.2">
      <c r="B2195" s="2">
        <f ca="1"/>
        <v>0.81263706647288703</v>
      </c>
      <c r="O2195" s="2">
        <f ca="1"/>
        <v>-0.44306750089355407</v>
      </c>
      <c r="X2195" s="2">
        <f ca="1"/>
        <v>66.118124386722954</v>
      </c>
      <c r="AG2195" s="2">
        <f ca="1"/>
        <v>0.18860793895553174</v>
      </c>
      <c r="AH2195" s="2" t="str">
        <f ca="1"/>
        <v>OK</v>
      </c>
    </row>
    <row r="2196" spans="2:34" x14ac:dyDescent="0.2">
      <c r="B2196" s="2">
        <f ca="1"/>
        <v>0.78944393867200713</v>
      </c>
      <c r="O2196" s="2">
        <f ca="1"/>
        <v>-0.54777890433026266</v>
      </c>
      <c r="X2196" s="2">
        <f ca="1"/>
        <v>72.647505574295195</v>
      </c>
      <c r="AG2196" s="2">
        <f ca="1"/>
        <v>5.1210164878175091E-2</v>
      </c>
      <c r="AH2196" s="2" t="str">
        <f ca="1"/>
        <v>OK</v>
      </c>
    </row>
    <row r="2197" spans="2:34" x14ac:dyDescent="0.2">
      <c r="B2197" s="2">
        <f ca="1"/>
        <v>0.18085337498804477</v>
      </c>
      <c r="O2197" s="2">
        <f ca="1"/>
        <v>1.1116960962464928</v>
      </c>
      <c r="X2197" s="2">
        <f ca="1"/>
        <v>52.718815097215348</v>
      </c>
      <c r="AG2197" s="2">
        <f ca="1"/>
        <v>0.19355232526434385</v>
      </c>
      <c r="AH2197" s="2" t="str">
        <f ca="1"/>
        <v>OK</v>
      </c>
    </row>
    <row r="2198" spans="2:34" x14ac:dyDescent="0.2">
      <c r="B2198" s="2">
        <f ca="1"/>
        <v>0.41891532710293733</v>
      </c>
      <c r="O2198" s="2">
        <f ca="1"/>
        <v>-0.61779745241473449</v>
      </c>
      <c r="X2198" s="2">
        <f ca="1"/>
        <v>55.137017745193447</v>
      </c>
      <c r="AG2198" s="2">
        <f ca="1"/>
        <v>0.24517122064435415</v>
      </c>
      <c r="AH2198" s="2" t="str">
        <f ca="1"/>
        <v>OK</v>
      </c>
    </row>
    <row r="2199" spans="2:34" x14ac:dyDescent="0.2">
      <c r="B2199" s="2">
        <f ca="1"/>
        <v>0.30329162581151325</v>
      </c>
      <c r="O2199" s="2">
        <f ca="1"/>
        <v>-0.40503905766549358</v>
      </c>
      <c r="X2199" s="2">
        <f ca="1"/>
        <v>61.074207129930052</v>
      </c>
      <c r="AG2199" s="2">
        <f ca="1"/>
        <v>0.87936636970477866</v>
      </c>
      <c r="AH2199" s="2" t="str">
        <f ca="1"/>
        <v>Bad</v>
      </c>
    </row>
    <row r="2200" spans="2:34" x14ac:dyDescent="0.2">
      <c r="B2200" s="2">
        <f ca="1"/>
        <v>0.80515114351743011</v>
      </c>
      <c r="O2200" s="2">
        <f ca="1"/>
        <v>-0.14478811799358041</v>
      </c>
      <c r="X2200" s="2">
        <f ca="1"/>
        <v>62.266789082019223</v>
      </c>
      <c r="AG2200" s="2">
        <f ca="1"/>
        <v>0.98190588958713154</v>
      </c>
      <c r="AH2200" s="2" t="str">
        <f ca="1"/>
        <v>Bad</v>
      </c>
    </row>
    <row r="2201" spans="2:34" x14ac:dyDescent="0.2">
      <c r="B2201" s="2">
        <f ca="1"/>
        <v>0.70002998359085788</v>
      </c>
      <c r="O2201" s="2">
        <f ca="1"/>
        <v>-0.8055164625744633</v>
      </c>
      <c r="X2201" s="2">
        <f ca="1"/>
        <v>33.610331949214341</v>
      </c>
      <c r="AG2201" s="2">
        <f ca="1"/>
        <v>0.98297216483612493</v>
      </c>
      <c r="AH2201" s="2" t="str">
        <f ca="1"/>
        <v>Bad</v>
      </c>
    </row>
    <row r="2202" spans="2:34" x14ac:dyDescent="0.2">
      <c r="B2202" s="2">
        <f ca="1"/>
        <v>0.18278469295409305</v>
      </c>
      <c r="O2202" s="2">
        <f ca="1"/>
        <v>-1.1447957973108187</v>
      </c>
      <c r="X2202" s="2">
        <f ca="1"/>
        <v>57.303134662196072</v>
      </c>
      <c r="AG2202" s="2">
        <f ca="1"/>
        <v>0.59328121576507442</v>
      </c>
      <c r="AH2202" s="2" t="str">
        <f ca="1"/>
        <v>Bad</v>
      </c>
    </row>
    <row r="2203" spans="2:34" x14ac:dyDescent="0.2">
      <c r="B2203" s="2">
        <f ca="1"/>
        <v>0.31932058295275101</v>
      </c>
      <c r="O2203" s="2">
        <f ca="1"/>
        <v>1.4443258051786683</v>
      </c>
      <c r="X2203" s="2">
        <f ca="1"/>
        <v>82.214320915800926</v>
      </c>
      <c r="AG2203" s="2">
        <f ca="1"/>
        <v>0.74859641643327413</v>
      </c>
      <c r="AH2203" s="2" t="str">
        <f ca="1"/>
        <v>Bad</v>
      </c>
    </row>
    <row r="2204" spans="2:34" x14ac:dyDescent="0.2">
      <c r="B2204" s="2">
        <f ca="1"/>
        <v>0.75095931492179058</v>
      </c>
      <c r="O2204" s="2">
        <f ca="1"/>
        <v>0.90805705630053413</v>
      </c>
      <c r="X2204" s="2">
        <f ca="1"/>
        <v>40.660178433678674</v>
      </c>
      <c r="AG2204" s="2">
        <f ca="1"/>
        <v>0.96094889132550176</v>
      </c>
      <c r="AH2204" s="2" t="str">
        <f ca="1"/>
        <v>Bad</v>
      </c>
    </row>
    <row r="2205" spans="2:34" x14ac:dyDescent="0.2">
      <c r="B2205" s="2">
        <f ca="1"/>
        <v>0.98768914964371679</v>
      </c>
      <c r="O2205" s="2">
        <f ca="1"/>
        <v>-0.59989586432090525</v>
      </c>
      <c r="X2205" s="2">
        <f ca="1"/>
        <v>35.481510508570089</v>
      </c>
      <c r="AG2205" s="2">
        <f ca="1"/>
        <v>0.15961921221379627</v>
      </c>
      <c r="AH2205" s="2" t="str">
        <f ca="1"/>
        <v>OK</v>
      </c>
    </row>
    <row r="2206" spans="2:34" x14ac:dyDescent="0.2">
      <c r="B2206" s="2">
        <f ca="1"/>
        <v>0.24736700780991683</v>
      </c>
      <c r="O2206" s="2">
        <f ca="1"/>
        <v>-0.44488247878032933</v>
      </c>
      <c r="X2206" s="2">
        <f ca="1"/>
        <v>72.479927486416358</v>
      </c>
      <c r="AG2206" s="2">
        <f ca="1"/>
        <v>0.64994954639104496</v>
      </c>
      <c r="AH2206" s="2" t="str">
        <f ca="1"/>
        <v>Bad</v>
      </c>
    </row>
    <row r="2207" spans="2:34" x14ac:dyDescent="0.2">
      <c r="B2207" s="2">
        <f ca="1"/>
        <v>0.16597170950383511</v>
      </c>
      <c r="O2207" s="2">
        <f ca="1"/>
        <v>1.2811760878966398</v>
      </c>
      <c r="X2207" s="2">
        <f ca="1"/>
        <v>38.970798914742836</v>
      </c>
      <c r="AG2207" s="2">
        <f ca="1"/>
        <v>0.56022731104150569</v>
      </c>
      <c r="AH2207" s="2" t="str">
        <f ca="1"/>
        <v>Bad</v>
      </c>
    </row>
    <row r="2208" spans="2:34" x14ac:dyDescent="0.2">
      <c r="B2208" s="2">
        <f ca="1"/>
        <v>0.57899220626330705</v>
      </c>
      <c r="O2208" s="2">
        <f ca="1"/>
        <v>0.58491288689516063</v>
      </c>
      <c r="X2208" s="2">
        <f ca="1"/>
        <v>45.087899818642477</v>
      </c>
      <c r="AG2208" s="2">
        <f ca="1"/>
        <v>0.30249940064633596</v>
      </c>
      <c r="AH2208" s="2" t="str">
        <f ca="1"/>
        <v>OK</v>
      </c>
    </row>
    <row r="2209" spans="2:34" x14ac:dyDescent="0.2">
      <c r="B2209" s="2">
        <f ca="1"/>
        <v>0.12929356535852254</v>
      </c>
      <c r="O2209" s="2">
        <f ca="1"/>
        <v>0.90096536744013145</v>
      </c>
      <c r="X2209" s="2">
        <f ca="1"/>
        <v>65.683369134392763</v>
      </c>
      <c r="AG2209" s="2">
        <f ca="1"/>
        <v>0.42520701709937425</v>
      </c>
      <c r="AH2209" s="2" t="str">
        <f ca="1"/>
        <v>Bad</v>
      </c>
    </row>
    <row r="2210" spans="2:34" x14ac:dyDescent="0.2">
      <c r="B2210" s="2">
        <f ca="1"/>
        <v>4.3119295045283446E-2</v>
      </c>
      <c r="O2210" s="2">
        <f ca="1"/>
        <v>2.0528074437530375</v>
      </c>
      <c r="X2210" s="2">
        <f ca="1"/>
        <v>64.625620416895913</v>
      </c>
      <c r="AG2210" s="2">
        <f ca="1"/>
        <v>0.54023449296446624</v>
      </c>
      <c r="AH2210" s="2" t="str">
        <f ca="1"/>
        <v>Bad</v>
      </c>
    </row>
    <row r="2211" spans="2:34" x14ac:dyDescent="0.2">
      <c r="B2211" s="2">
        <f ca="1"/>
        <v>0.92373819111573696</v>
      </c>
      <c r="O2211" s="2">
        <f ca="1"/>
        <v>0.49635186892956723</v>
      </c>
      <c r="X2211" s="2">
        <f ca="1"/>
        <v>58.154851098348132</v>
      </c>
      <c r="AG2211" s="2">
        <f ca="1"/>
        <v>0.5578272644162674</v>
      </c>
      <c r="AH2211" s="2" t="str">
        <f ca="1"/>
        <v>Bad</v>
      </c>
    </row>
    <row r="2212" spans="2:34" x14ac:dyDescent="0.2">
      <c r="B2212" s="2">
        <f ca="1"/>
        <v>0.3810593658117909</v>
      </c>
      <c r="O2212" s="2">
        <f ca="1"/>
        <v>1.5174026412027606</v>
      </c>
      <c r="X2212" s="2">
        <f ca="1"/>
        <v>60.689541438622243</v>
      </c>
      <c r="AG2212" s="2">
        <f ca="1"/>
        <v>0.54824739351451202</v>
      </c>
      <c r="AH2212" s="2" t="str">
        <f ca="1"/>
        <v>Bad</v>
      </c>
    </row>
    <row r="2213" spans="2:34" x14ac:dyDescent="0.2">
      <c r="B2213" s="2">
        <f ca="1"/>
        <v>0.46029417399197659</v>
      </c>
      <c r="O2213" s="2">
        <f ca="1"/>
        <v>-1.788150763843763</v>
      </c>
      <c r="X2213" s="2">
        <f ca="1"/>
        <v>40.53018773380338</v>
      </c>
      <c r="AG2213" s="2">
        <f ca="1"/>
        <v>0.98224184306792073</v>
      </c>
      <c r="AH2213" s="2" t="str">
        <f ca="1"/>
        <v>Bad</v>
      </c>
    </row>
    <row r="2214" spans="2:34" x14ac:dyDescent="0.2">
      <c r="B2214" s="2">
        <f ca="1"/>
        <v>0.10846440467714413</v>
      </c>
      <c r="O2214" s="2">
        <f ca="1"/>
        <v>2.2280874663904715</v>
      </c>
      <c r="X2214" s="2">
        <f ca="1"/>
        <v>55.728274115515347</v>
      </c>
      <c r="AG2214" s="2">
        <f ca="1"/>
        <v>0.98748899311263361</v>
      </c>
      <c r="AH2214" s="2" t="str">
        <f ca="1"/>
        <v>Bad</v>
      </c>
    </row>
    <row r="2215" spans="2:34" x14ac:dyDescent="0.2">
      <c r="B2215" s="2">
        <f ca="1"/>
        <v>0.22465027079637379</v>
      </c>
      <c r="O2215" s="2">
        <f ca="1"/>
        <v>1.2642259969486569</v>
      </c>
      <c r="X2215" s="2">
        <f ca="1"/>
        <v>46.869529266636562</v>
      </c>
      <c r="AG2215" s="2">
        <f ca="1"/>
        <v>0.26123783051177307</v>
      </c>
      <c r="AH2215" s="2" t="str">
        <f ca="1"/>
        <v>OK</v>
      </c>
    </row>
    <row r="2216" spans="2:34" x14ac:dyDescent="0.2">
      <c r="B2216" s="2">
        <f ca="1"/>
        <v>0.7635094520147041</v>
      </c>
      <c r="O2216" s="2">
        <f ca="1"/>
        <v>-1.2546658012125789</v>
      </c>
      <c r="X2216" s="2">
        <f ca="1"/>
        <v>38.428735896962742</v>
      </c>
      <c r="AG2216" s="2">
        <f ca="1"/>
        <v>0.97981995283230527</v>
      </c>
      <c r="AH2216" s="2" t="str">
        <f ca="1"/>
        <v>Bad</v>
      </c>
    </row>
    <row r="2217" spans="2:34" x14ac:dyDescent="0.2">
      <c r="B2217" s="2">
        <f ca="1"/>
        <v>0.5989703904928001</v>
      </c>
      <c r="O2217" s="2">
        <f ca="1"/>
        <v>-0.26599360089519641</v>
      </c>
      <c r="X2217" s="2">
        <f ca="1"/>
        <v>28.843753117542125</v>
      </c>
      <c r="AG2217" s="2">
        <f ca="1"/>
        <v>0.58648908554546408</v>
      </c>
      <c r="AH2217" s="2" t="str">
        <f ca="1"/>
        <v>Bad</v>
      </c>
    </row>
    <row r="2218" spans="2:34" x14ac:dyDescent="0.2">
      <c r="B2218" s="2">
        <f ca="1"/>
        <v>0.55390559339348044</v>
      </c>
      <c r="O2218" s="2">
        <f ca="1"/>
        <v>1.8188520952796559</v>
      </c>
      <c r="X2218" s="2">
        <f ca="1"/>
        <v>53.347387637498791</v>
      </c>
      <c r="AG2218" s="2">
        <f ca="1"/>
        <v>0.33893682532049563</v>
      </c>
      <c r="AH2218" s="2" t="str">
        <f ca="1"/>
        <v>OK</v>
      </c>
    </row>
    <row r="2219" spans="2:34" x14ac:dyDescent="0.2">
      <c r="B2219" s="2">
        <f ca="1"/>
        <v>0.70279518019521192</v>
      </c>
      <c r="O2219" s="2">
        <f ca="1"/>
        <v>-8.6962857917953551E-2</v>
      </c>
      <c r="X2219" s="2">
        <f ca="1"/>
        <v>42.764994880613472</v>
      </c>
      <c r="AG2219" s="2">
        <f ca="1"/>
        <v>0.60461416023848846</v>
      </c>
      <c r="AH2219" s="2" t="str">
        <f ca="1"/>
        <v>Bad</v>
      </c>
    </row>
    <row r="2220" spans="2:34" x14ac:dyDescent="0.2">
      <c r="B2220" s="2">
        <f ca="1"/>
        <v>0.31885245860149869</v>
      </c>
      <c r="O2220" s="2">
        <f ca="1"/>
        <v>-0.21873346338094543</v>
      </c>
      <c r="X2220" s="2">
        <f ca="1"/>
        <v>39.980453995078079</v>
      </c>
      <c r="AG2220" s="2">
        <f ca="1"/>
        <v>0.18876790583274694</v>
      </c>
      <c r="AH2220" s="2" t="str">
        <f ca="1"/>
        <v>OK</v>
      </c>
    </row>
    <row r="2221" spans="2:34" x14ac:dyDescent="0.2">
      <c r="B2221" s="2">
        <f ca="1"/>
        <v>0.477581426109283</v>
      </c>
      <c r="O2221" s="2">
        <f ca="1"/>
        <v>-1.7282597714916206</v>
      </c>
      <c r="X2221" s="2">
        <f ca="1"/>
        <v>45.636681060352579</v>
      </c>
      <c r="AG2221" s="2">
        <f ca="1"/>
        <v>0.65926708635277564</v>
      </c>
      <c r="AH2221" s="2" t="str">
        <f ca="1"/>
        <v>Bad</v>
      </c>
    </row>
    <row r="2222" spans="2:34" x14ac:dyDescent="0.2">
      <c r="B2222" s="2">
        <f ca="1"/>
        <v>0.33878821810392767</v>
      </c>
      <c r="O2222" s="2">
        <f ca="1"/>
        <v>-1.4489570719915623</v>
      </c>
      <c r="X2222" s="2">
        <f ca="1"/>
        <v>42.840894857421262</v>
      </c>
      <c r="AG2222" s="2">
        <f ca="1"/>
        <v>0.73277357816267896</v>
      </c>
      <c r="AH2222" s="2" t="str">
        <f ca="1"/>
        <v>Bad</v>
      </c>
    </row>
    <row r="2223" spans="2:34" x14ac:dyDescent="0.2">
      <c r="B2223" s="2">
        <f ca="1"/>
        <v>0.23996261934145457</v>
      </c>
      <c r="O2223" s="2">
        <f ca="1"/>
        <v>0.14066609167013844</v>
      </c>
      <c r="X2223" s="2">
        <f ca="1"/>
        <v>51.802220369126417</v>
      </c>
      <c r="AG2223" s="2">
        <f ca="1"/>
        <v>0.73861775026458432</v>
      </c>
      <c r="AH2223" s="2" t="str">
        <f ca="1"/>
        <v>Bad</v>
      </c>
    </row>
    <row r="2224" spans="2:34" x14ac:dyDescent="0.2">
      <c r="B2224" s="2">
        <f ca="1"/>
        <v>0.73980496556922426</v>
      </c>
      <c r="O2224" s="2">
        <f ca="1"/>
        <v>-1.2154688513270719</v>
      </c>
      <c r="X2224" s="2">
        <f ca="1"/>
        <v>54.924816959465829</v>
      </c>
      <c r="AG2224" s="2">
        <f ca="1"/>
        <v>0.80516924925807132</v>
      </c>
      <c r="AH2224" s="2" t="str">
        <f ca="1"/>
        <v>Bad</v>
      </c>
    </row>
    <row r="2225" spans="2:34" x14ac:dyDescent="0.2">
      <c r="B2225" s="2">
        <f ca="1"/>
        <v>0.18059982435368771</v>
      </c>
      <c r="O2225" s="2">
        <f ca="1"/>
        <v>-1.3590107271262539</v>
      </c>
      <c r="X2225" s="2">
        <f ca="1"/>
        <v>71.663005102146784</v>
      </c>
      <c r="AG2225" s="2">
        <f ca="1"/>
        <v>0.43484010546411245</v>
      </c>
      <c r="AH2225" s="2" t="str">
        <f ca="1"/>
        <v>Bad</v>
      </c>
    </row>
    <row r="2226" spans="2:34" x14ac:dyDescent="0.2">
      <c r="B2226" s="2">
        <f ca="1"/>
        <v>0.60884305184460641</v>
      </c>
      <c r="O2226" s="2">
        <f ca="1"/>
        <v>0.42301485351131179</v>
      </c>
      <c r="X2226" s="2">
        <f ca="1"/>
        <v>60.759397815474074</v>
      </c>
      <c r="AG2226" s="2">
        <f ca="1"/>
        <v>0.58149960193805073</v>
      </c>
      <c r="AH2226" s="2" t="str">
        <f ca="1"/>
        <v>Bad</v>
      </c>
    </row>
    <row r="2227" spans="2:34" x14ac:dyDescent="0.2">
      <c r="B2227" s="2">
        <f ca="1"/>
        <v>0.28820773514545461</v>
      </c>
      <c r="O2227" s="2">
        <f ca="1"/>
        <v>3.4756875480606589E-2</v>
      </c>
      <c r="X2227" s="2">
        <f ca="1"/>
        <v>62.722604952233269</v>
      </c>
      <c r="AG2227" s="2">
        <f ca="1"/>
        <v>1.0421889153693353E-2</v>
      </c>
      <c r="AH2227" s="2" t="str">
        <f ca="1"/>
        <v>Good</v>
      </c>
    </row>
    <row r="2228" spans="2:34" x14ac:dyDescent="0.2">
      <c r="B2228" s="2">
        <f ca="1"/>
        <v>0.22332959247645956</v>
      </c>
      <c r="O2228" s="2">
        <f ca="1"/>
        <v>1.7413624223440122E-3</v>
      </c>
      <c r="X2228" s="2">
        <f ca="1"/>
        <v>30.910601287184917</v>
      </c>
      <c r="AG2228" s="2">
        <f ca="1"/>
        <v>0.35164409343470782</v>
      </c>
      <c r="AH2228" s="2" t="str">
        <f ca="1"/>
        <v>OK</v>
      </c>
    </row>
    <row r="2229" spans="2:34" x14ac:dyDescent="0.2">
      <c r="B2229" s="2">
        <f ca="1"/>
        <v>0.23387422684608627</v>
      </c>
      <c r="O2229" s="2">
        <f ca="1"/>
        <v>-0.72004836769178004</v>
      </c>
      <c r="X2229" s="2">
        <f ca="1"/>
        <v>36.004245794501053</v>
      </c>
      <c r="AG2229" s="2">
        <f ca="1"/>
        <v>0.2361412048637086</v>
      </c>
      <c r="AH2229" s="2" t="str">
        <f ca="1"/>
        <v>OK</v>
      </c>
    </row>
    <row r="2230" spans="2:34" x14ac:dyDescent="0.2">
      <c r="B2230" s="2">
        <f ca="1"/>
        <v>0.93528290096970768</v>
      </c>
      <c r="O2230" s="2">
        <f ca="1"/>
        <v>1.0568710498601028</v>
      </c>
      <c r="X2230" s="2">
        <f ca="1"/>
        <v>31.989268962481894</v>
      </c>
      <c r="AG2230" s="2">
        <f ca="1"/>
        <v>0.49006884230813341</v>
      </c>
      <c r="AH2230" s="2" t="str">
        <f ca="1"/>
        <v>Bad</v>
      </c>
    </row>
    <row r="2231" spans="2:34" x14ac:dyDescent="0.2">
      <c r="B2231" s="2">
        <f ca="1"/>
        <v>3.4271235323386495E-3</v>
      </c>
      <c r="O2231" s="2">
        <f ca="1"/>
        <v>-1.3784971376522155</v>
      </c>
      <c r="X2231" s="2">
        <f ca="1"/>
        <v>56.240129905653973</v>
      </c>
      <c r="AG2231" s="2">
        <f ca="1"/>
        <v>0.59236728732740329</v>
      </c>
      <c r="AH2231" s="2" t="str">
        <f ca="1"/>
        <v>Bad</v>
      </c>
    </row>
    <row r="2232" spans="2:34" x14ac:dyDescent="0.2">
      <c r="B2232" s="2">
        <f ca="1"/>
        <v>0.10158222543229867</v>
      </c>
      <c r="O2232" s="2">
        <f ca="1"/>
        <v>-1.1727372891170877</v>
      </c>
      <c r="X2232" s="2">
        <f ca="1"/>
        <v>39.260522657773322</v>
      </c>
      <c r="AG2232" s="2">
        <f ca="1"/>
        <v>0.51857964791026623</v>
      </c>
      <c r="AH2232" s="2" t="str">
        <f ca="1"/>
        <v>Bad</v>
      </c>
    </row>
    <row r="2233" spans="2:34" x14ac:dyDescent="0.2">
      <c r="B2233" s="2">
        <f ca="1"/>
        <v>0.64416763327401916</v>
      </c>
      <c r="O2233" s="2">
        <f ca="1"/>
        <v>-1.6330138871888358</v>
      </c>
      <c r="X2233" s="2">
        <f ca="1"/>
        <v>55.565189856181085</v>
      </c>
      <c r="AG2233" s="2">
        <f ca="1"/>
        <v>0.57041894361616241</v>
      </c>
      <c r="AH2233" s="2" t="str">
        <f ca="1"/>
        <v>Bad</v>
      </c>
    </row>
    <row r="2234" spans="2:34" x14ac:dyDescent="0.2">
      <c r="B2234" s="2">
        <f ca="1"/>
        <v>0.61347061648238865</v>
      </c>
      <c r="O2234" s="2">
        <f ca="1"/>
        <v>-0.86890765397457004</v>
      </c>
      <c r="X2234" s="2">
        <f ca="1"/>
        <v>73.880897507475311</v>
      </c>
      <c r="AG2234" s="2">
        <f ca="1"/>
        <v>0.79389693934850847</v>
      </c>
      <c r="AH2234" s="2" t="str">
        <f ca="1"/>
        <v>Bad</v>
      </c>
    </row>
    <row r="2235" spans="2:34" x14ac:dyDescent="0.2">
      <c r="B2235" s="2">
        <f ca="1"/>
        <v>0.84407909726815378</v>
      </c>
      <c r="O2235" s="2">
        <f ca="1"/>
        <v>-0.44994691873178727</v>
      </c>
      <c r="X2235" s="2">
        <f ca="1"/>
        <v>32.232832501910707</v>
      </c>
      <c r="AG2235" s="2">
        <f ca="1"/>
        <v>0.88348687595057407</v>
      </c>
      <c r="AH2235" s="2" t="str">
        <f ca="1"/>
        <v>Bad</v>
      </c>
    </row>
    <row r="2236" spans="2:34" x14ac:dyDescent="0.2">
      <c r="B2236" s="2">
        <f ca="1"/>
        <v>7.5059273160652307E-2</v>
      </c>
      <c r="O2236" s="2">
        <f ca="1"/>
        <v>1.2295368149414012</v>
      </c>
      <c r="X2236" s="2">
        <f ca="1"/>
        <v>37.017120869029434</v>
      </c>
      <c r="AG2236" s="2">
        <f ca="1"/>
        <v>0.24961998897211202</v>
      </c>
      <c r="AH2236" s="2" t="str">
        <f ca="1"/>
        <v>OK</v>
      </c>
    </row>
    <row r="2237" spans="2:34" x14ac:dyDescent="0.2">
      <c r="B2237" s="2">
        <f ca="1"/>
        <v>0.2890137084254063</v>
      </c>
      <c r="O2237" s="2">
        <f ca="1"/>
        <v>-0.43905621248418081</v>
      </c>
      <c r="X2237" s="2">
        <f ca="1"/>
        <v>36.700876933804132</v>
      </c>
      <c r="AG2237" s="2">
        <f ca="1"/>
        <v>0.39538119748510803</v>
      </c>
      <c r="AH2237" s="2" t="str">
        <f ca="1"/>
        <v>OK</v>
      </c>
    </row>
    <row r="2238" spans="2:34" x14ac:dyDescent="0.2">
      <c r="B2238" s="2">
        <f ca="1"/>
        <v>0.91184485820611827</v>
      </c>
      <c r="O2238" s="2">
        <f ca="1"/>
        <v>-0.97668976101567773</v>
      </c>
      <c r="X2238" s="2">
        <f ca="1"/>
        <v>34.649802780171427</v>
      </c>
      <c r="AG2238" s="2">
        <f ca="1"/>
        <v>0.94893986537658481</v>
      </c>
      <c r="AH2238" s="2" t="str">
        <f ca="1"/>
        <v>Bad</v>
      </c>
    </row>
    <row r="2239" spans="2:34" x14ac:dyDescent="0.2">
      <c r="B2239" s="2">
        <f ca="1"/>
        <v>0.83356005461173432</v>
      </c>
      <c r="O2239" s="2">
        <f ca="1"/>
        <v>-1.3911188893939104</v>
      </c>
      <c r="X2239" s="2">
        <f ca="1"/>
        <v>41.785944389883731</v>
      </c>
      <c r="AG2239" s="2">
        <f ca="1"/>
        <v>0.95241016556807323</v>
      </c>
      <c r="AH2239" s="2" t="str">
        <f ca="1"/>
        <v>Bad</v>
      </c>
    </row>
    <row r="2240" spans="2:34" x14ac:dyDescent="0.2">
      <c r="B2240" s="2">
        <f ca="1"/>
        <v>0.6843631503734795</v>
      </c>
      <c r="O2240" s="2">
        <f ca="1"/>
        <v>-1.3035695476622133</v>
      </c>
      <c r="X2240" s="2">
        <f ca="1"/>
        <v>46.300299664250595</v>
      </c>
      <c r="AG2240" s="2">
        <f ca="1"/>
        <v>0.41020229345535708</v>
      </c>
      <c r="AH2240" s="2" t="str">
        <f ca="1"/>
        <v>Bad</v>
      </c>
    </row>
    <row r="2241" spans="2:34" x14ac:dyDescent="0.2">
      <c r="B2241" s="2">
        <f ca="1"/>
        <v>0.27122987773396612</v>
      </c>
      <c r="O2241" s="2">
        <f ca="1"/>
        <v>-0.17171565508737052</v>
      </c>
      <c r="X2241" s="2">
        <f ca="1"/>
        <v>44.442926138408239</v>
      </c>
      <c r="AG2241" s="2">
        <f ca="1"/>
        <v>0.38672481699887995</v>
      </c>
      <c r="AH2241" s="2" t="str">
        <f ca="1"/>
        <v>OK</v>
      </c>
    </row>
    <row r="2242" spans="2:34" x14ac:dyDescent="0.2">
      <c r="B2242" s="2">
        <f ca="1"/>
        <v>0.19406010159004183</v>
      </c>
      <c r="O2242" s="2">
        <f ca="1"/>
        <v>1.0036688622673779</v>
      </c>
      <c r="X2242" s="2">
        <f ca="1"/>
        <v>39.001364071036711</v>
      </c>
      <c r="AG2242" s="2">
        <f ca="1"/>
        <v>2.025988703897208E-2</v>
      </c>
      <c r="AH2242" s="2" t="str">
        <f ca="1"/>
        <v>Good</v>
      </c>
    </row>
    <row r="2243" spans="2:34" x14ac:dyDescent="0.2">
      <c r="B2243" s="2">
        <f ca="1"/>
        <v>0.85197711578895241</v>
      </c>
      <c r="O2243" s="2">
        <f ca="1"/>
        <v>-0.40723474760454753</v>
      </c>
      <c r="X2243" s="2">
        <f ca="1"/>
        <v>46.261119563521021</v>
      </c>
      <c r="AG2243" s="2">
        <f ca="1"/>
        <v>0.80722276295189332</v>
      </c>
      <c r="AH2243" s="2" t="str">
        <f ca="1"/>
        <v>Bad</v>
      </c>
    </row>
    <row r="2244" spans="2:34" x14ac:dyDescent="0.2">
      <c r="B2244" s="2">
        <f ca="1"/>
        <v>0.22945239176755283</v>
      </c>
      <c r="O2244" s="2">
        <f ca="1"/>
        <v>0.71097245508359563</v>
      </c>
      <c r="X2244" s="2">
        <f ca="1"/>
        <v>40.674354023244071</v>
      </c>
      <c r="AG2244" s="2">
        <f ca="1"/>
        <v>0.32206947202665659</v>
      </c>
      <c r="AH2244" s="2" t="str">
        <f ca="1"/>
        <v>OK</v>
      </c>
    </row>
    <row r="2245" spans="2:34" x14ac:dyDescent="0.2">
      <c r="B2245" s="2">
        <f ca="1"/>
        <v>0.88652442040922907</v>
      </c>
      <c r="O2245" s="2">
        <f ca="1"/>
        <v>0.52161704998552416</v>
      </c>
      <c r="X2245" s="2">
        <f ca="1"/>
        <v>40.911696384013894</v>
      </c>
      <c r="AG2245" s="2">
        <f ca="1"/>
        <v>0.85503814270742473</v>
      </c>
      <c r="AH2245" s="2" t="str">
        <f ca="1"/>
        <v>Bad</v>
      </c>
    </row>
    <row r="2246" spans="2:34" x14ac:dyDescent="0.2">
      <c r="B2246" s="2">
        <f ca="1"/>
        <v>0.6834017789386051</v>
      </c>
      <c r="O2246" s="2">
        <f ca="1"/>
        <v>1.5801376852357285</v>
      </c>
      <c r="X2246" s="2">
        <f ca="1"/>
        <v>35.958954804459424</v>
      </c>
      <c r="AG2246" s="2">
        <f ca="1"/>
        <v>0.36094595196615797</v>
      </c>
      <c r="AH2246" s="2" t="str">
        <f ca="1"/>
        <v>OK</v>
      </c>
    </row>
    <row r="2247" spans="2:34" x14ac:dyDescent="0.2">
      <c r="B2247" s="2">
        <f ca="1"/>
        <v>0.96215730614892503</v>
      </c>
      <c r="O2247" s="2">
        <f ca="1"/>
        <v>-1.7185610234002977</v>
      </c>
      <c r="X2247" s="2">
        <f ca="1"/>
        <v>34.023525036453691</v>
      </c>
      <c r="AG2247" s="2">
        <f ca="1"/>
        <v>0.2157144198823282</v>
      </c>
      <c r="AH2247" s="2" t="str">
        <f ca="1"/>
        <v>OK</v>
      </c>
    </row>
    <row r="2248" spans="2:34" x14ac:dyDescent="0.2">
      <c r="B2248" s="2">
        <f ca="1"/>
        <v>0.76697939826164752</v>
      </c>
      <c r="O2248" s="2">
        <f ca="1"/>
        <v>0.52611219182980717</v>
      </c>
      <c r="X2248" s="2">
        <f ca="1"/>
        <v>54.598519975654327</v>
      </c>
      <c r="AG2248" s="2">
        <f ca="1"/>
        <v>0.21397589276950812</v>
      </c>
      <c r="AH2248" s="2" t="str">
        <f ca="1"/>
        <v>OK</v>
      </c>
    </row>
    <row r="2249" spans="2:34" x14ac:dyDescent="0.2">
      <c r="B2249" s="2">
        <f ca="1"/>
        <v>0.40947829516840906</v>
      </c>
      <c r="O2249" s="2">
        <f ca="1"/>
        <v>-0.15467288875959456</v>
      </c>
      <c r="X2249" s="2">
        <f ca="1"/>
        <v>62.325752214359909</v>
      </c>
      <c r="AG2249" s="2">
        <f ca="1"/>
        <v>0.29295056189864899</v>
      </c>
      <c r="AH2249" s="2" t="str">
        <f ca="1"/>
        <v>OK</v>
      </c>
    </row>
    <row r="2250" spans="2:34" x14ac:dyDescent="0.2">
      <c r="B2250" s="2">
        <f ca="1"/>
        <v>0.18503423470724245</v>
      </c>
      <c r="O2250" s="2">
        <f ca="1"/>
        <v>0.30223553544154325</v>
      </c>
      <c r="X2250" s="2">
        <f ca="1"/>
        <v>46.916837134682588</v>
      </c>
      <c r="AG2250" s="2">
        <f ca="1"/>
        <v>0.55332874283701017</v>
      </c>
      <c r="AH2250" s="2" t="str">
        <f ca="1"/>
        <v>Bad</v>
      </c>
    </row>
    <row r="2251" spans="2:34" x14ac:dyDescent="0.2">
      <c r="B2251" s="2">
        <f ca="1"/>
        <v>0.2616500284399923</v>
      </c>
      <c r="O2251" s="2">
        <f ca="1"/>
        <v>-0.82404878589915687</v>
      </c>
      <c r="X2251" s="2">
        <f ca="1"/>
        <v>65.237785953295628</v>
      </c>
      <c r="AG2251" s="2">
        <f ca="1"/>
        <v>0.31542753991382444</v>
      </c>
      <c r="AH2251" s="2" t="str">
        <f ca="1"/>
        <v>OK</v>
      </c>
    </row>
    <row r="2252" spans="2:34" x14ac:dyDescent="0.2">
      <c r="B2252" s="2">
        <f ca="1"/>
        <v>0.77765602429559899</v>
      </c>
      <c r="O2252" s="2">
        <f ca="1"/>
        <v>0.33352756226988617</v>
      </c>
      <c r="X2252" s="2">
        <f ca="1"/>
        <v>38.470627448274499</v>
      </c>
      <c r="AG2252" s="2">
        <f ca="1"/>
        <v>0.18893024693536087</v>
      </c>
      <c r="AH2252" s="2" t="str">
        <f ca="1"/>
        <v>OK</v>
      </c>
    </row>
    <row r="2253" spans="2:34" x14ac:dyDescent="0.2">
      <c r="B2253" s="2">
        <f ca="1"/>
        <v>0.18446048379705293</v>
      </c>
      <c r="O2253" s="2">
        <f ca="1"/>
        <v>-0.51905563423157153</v>
      </c>
      <c r="X2253" s="2">
        <f ca="1"/>
        <v>45.692384725281386</v>
      </c>
      <c r="AG2253" s="2">
        <f ca="1"/>
        <v>0.95394448206484506</v>
      </c>
      <c r="AH2253" s="2" t="str">
        <f ca="1"/>
        <v>Bad</v>
      </c>
    </row>
    <row r="2254" spans="2:34" x14ac:dyDescent="0.2">
      <c r="B2254" s="2">
        <f ca="1"/>
        <v>0.34608128680803918</v>
      </c>
      <c r="O2254" s="2">
        <f ca="1"/>
        <v>1.6828207938683044</v>
      </c>
      <c r="X2254" s="2">
        <f ca="1"/>
        <v>55.813964652698431</v>
      </c>
      <c r="AG2254" s="2">
        <f ca="1"/>
        <v>0.77532063707523013</v>
      </c>
      <c r="AH2254" s="2" t="str">
        <f ca="1"/>
        <v>Bad</v>
      </c>
    </row>
    <row r="2255" spans="2:34" x14ac:dyDescent="0.2">
      <c r="B2255" s="2">
        <f ca="1"/>
        <v>0.94327529774162633</v>
      </c>
      <c r="O2255" s="2">
        <f ca="1"/>
        <v>0.49200668293140448</v>
      </c>
      <c r="X2255" s="2">
        <f ca="1"/>
        <v>23.01950901414445</v>
      </c>
      <c r="AG2255" s="2">
        <f ca="1"/>
        <v>0.61319181889529295</v>
      </c>
      <c r="AH2255" s="2" t="str">
        <f ca="1"/>
        <v>Bad</v>
      </c>
    </row>
    <row r="2256" spans="2:34" x14ac:dyDescent="0.2">
      <c r="B2256" s="2">
        <f ca="1"/>
        <v>0.24368637840735952</v>
      </c>
      <c r="O2256" s="2">
        <f ca="1"/>
        <v>-0.531764952791554</v>
      </c>
      <c r="X2256" s="2">
        <f ca="1"/>
        <v>23.292988642581918</v>
      </c>
      <c r="AG2256" s="2">
        <f ca="1"/>
        <v>0.71932457706994524</v>
      </c>
      <c r="AH2256" s="2" t="str">
        <f ca="1"/>
        <v>Bad</v>
      </c>
    </row>
    <row r="2257" spans="2:34" x14ac:dyDescent="0.2">
      <c r="B2257" s="2">
        <f ca="1"/>
        <v>0.9187858954439827</v>
      </c>
      <c r="O2257" s="2">
        <f ca="1"/>
        <v>-0.25811402124804328</v>
      </c>
      <c r="X2257" s="2">
        <f ca="1"/>
        <v>30.322485071213986</v>
      </c>
      <c r="AG2257" s="2">
        <f ca="1"/>
        <v>0.40467787958487667</v>
      </c>
      <c r="AH2257" s="2" t="str">
        <f ca="1"/>
        <v>Bad</v>
      </c>
    </row>
    <row r="2258" spans="2:34" x14ac:dyDescent="0.2">
      <c r="B2258" s="2">
        <f ca="1"/>
        <v>0.31945560905092396</v>
      </c>
      <c r="O2258" s="2">
        <f ca="1"/>
        <v>-0.39981056968523937</v>
      </c>
      <c r="X2258" s="2">
        <f ca="1"/>
        <v>42.342542673373146</v>
      </c>
      <c r="AG2258" s="2">
        <f ca="1"/>
        <v>0.77110371478499729</v>
      </c>
      <c r="AH2258" s="2" t="str">
        <f ca="1"/>
        <v>Bad</v>
      </c>
    </row>
    <row r="2259" spans="2:34" x14ac:dyDescent="0.2">
      <c r="B2259" s="2">
        <f ca="1"/>
        <v>0.69508124044699704</v>
      </c>
      <c r="O2259" s="2">
        <f ca="1"/>
        <v>2.0188519095002213E-2</v>
      </c>
      <c r="X2259" s="2">
        <f ca="1"/>
        <v>43.431824249971939</v>
      </c>
      <c r="AG2259" s="2">
        <f ca="1"/>
        <v>0.16283341641703264</v>
      </c>
      <c r="AH2259" s="2" t="str">
        <f ca="1"/>
        <v>OK</v>
      </c>
    </row>
    <row r="2260" spans="2:34" x14ac:dyDescent="0.2">
      <c r="B2260" s="2">
        <f ca="1"/>
        <v>0.18122535982504751</v>
      </c>
      <c r="O2260" s="2">
        <f ca="1"/>
        <v>0.27808598097588144</v>
      </c>
      <c r="X2260" s="2">
        <f ca="1"/>
        <v>106.72567261145687</v>
      </c>
      <c r="AG2260" s="2">
        <f ca="1"/>
        <v>0.5362195083540604</v>
      </c>
      <c r="AH2260" s="2" t="str">
        <f ca="1"/>
        <v>Bad</v>
      </c>
    </row>
    <row r="2261" spans="2:34" x14ac:dyDescent="0.2">
      <c r="B2261" s="2">
        <f ca="1"/>
        <v>0.87177988115413152</v>
      </c>
      <c r="O2261" s="2">
        <f ca="1"/>
        <v>-0.51397236634750387</v>
      </c>
      <c r="X2261" s="2">
        <f ca="1"/>
        <v>36.029624482047218</v>
      </c>
      <c r="AG2261" s="2">
        <f ca="1"/>
        <v>0.94515094376328612</v>
      </c>
      <c r="AH2261" s="2" t="str">
        <f ca="1"/>
        <v>Bad</v>
      </c>
    </row>
    <row r="2262" spans="2:34" x14ac:dyDescent="0.2">
      <c r="B2262" s="2">
        <f ca="1"/>
        <v>0.61014177046045237</v>
      </c>
      <c r="O2262" s="2">
        <f ca="1"/>
        <v>0.49332115361735601</v>
      </c>
      <c r="X2262" s="2">
        <f ca="1"/>
        <v>33.917905732202072</v>
      </c>
      <c r="AG2262" s="2">
        <f ca="1"/>
        <v>0.31778671575198603</v>
      </c>
      <c r="AH2262" s="2" t="str">
        <f ca="1"/>
        <v>OK</v>
      </c>
    </row>
    <row r="2263" spans="2:34" x14ac:dyDescent="0.2">
      <c r="B2263" s="2">
        <f ca="1"/>
        <v>0.51291126220587491</v>
      </c>
      <c r="O2263" s="2">
        <f ca="1"/>
        <v>-0.19496201221576098</v>
      </c>
      <c r="X2263" s="2">
        <f ca="1"/>
        <v>52.771799981968584</v>
      </c>
      <c r="AG2263" s="2">
        <f ca="1"/>
        <v>0.69635968178541718</v>
      </c>
      <c r="AH2263" s="2" t="str">
        <f ca="1"/>
        <v>Bad</v>
      </c>
    </row>
    <row r="2264" spans="2:34" x14ac:dyDescent="0.2">
      <c r="B2264" s="2">
        <f ca="1"/>
        <v>0.72773731242282569</v>
      </c>
      <c r="O2264" s="2">
        <f ca="1"/>
        <v>0.37438275155504797</v>
      </c>
      <c r="X2264" s="2">
        <f ca="1"/>
        <v>41.706506668682437</v>
      </c>
      <c r="AG2264" s="2">
        <f ca="1"/>
        <v>7.6389309799518523E-2</v>
      </c>
      <c r="AH2264" s="2" t="str">
        <f ca="1"/>
        <v>OK</v>
      </c>
    </row>
    <row r="2265" spans="2:34" x14ac:dyDescent="0.2">
      <c r="B2265" s="2">
        <f ca="1"/>
        <v>0.45730934556903047</v>
      </c>
      <c r="O2265" s="2">
        <f ca="1"/>
        <v>-1.053630496674679</v>
      </c>
      <c r="X2265" s="2">
        <f ca="1"/>
        <v>22.49024057532905</v>
      </c>
      <c r="AG2265" s="2">
        <f ca="1"/>
        <v>0.60367080349759217</v>
      </c>
      <c r="AH2265" s="2" t="str">
        <f ca="1"/>
        <v>Bad</v>
      </c>
    </row>
    <row r="2266" spans="2:34" x14ac:dyDescent="0.2">
      <c r="B2266" s="2">
        <f ca="1"/>
        <v>0.11269760724859657</v>
      </c>
      <c r="O2266" s="2">
        <f ca="1"/>
        <v>-0.50526515373471426</v>
      </c>
      <c r="X2266" s="2">
        <f ca="1"/>
        <v>50.083062410682651</v>
      </c>
      <c r="AG2266" s="2">
        <f ca="1"/>
        <v>2.1857857232931766E-2</v>
      </c>
      <c r="AH2266" s="2" t="str">
        <f ca="1"/>
        <v>Good</v>
      </c>
    </row>
    <row r="2267" spans="2:34" x14ac:dyDescent="0.2">
      <c r="B2267" s="2">
        <f ca="1"/>
        <v>3.6020867188885086E-2</v>
      </c>
      <c r="O2267" s="2">
        <f ca="1"/>
        <v>0.24401271366203323</v>
      </c>
      <c r="X2267" s="2">
        <f ca="1"/>
        <v>69.039437807596741</v>
      </c>
      <c r="AG2267" s="2">
        <f ca="1"/>
        <v>2.5239409287577619E-2</v>
      </c>
      <c r="AH2267" s="2" t="str">
        <f ca="1"/>
        <v>Good</v>
      </c>
    </row>
    <row r="2268" spans="2:34" x14ac:dyDescent="0.2">
      <c r="B2268" s="2">
        <f ca="1"/>
        <v>0.31671688978148871</v>
      </c>
      <c r="O2268" s="2">
        <f ca="1"/>
        <v>0.41638494951164284</v>
      </c>
      <c r="X2268" s="2">
        <f ca="1"/>
        <v>62.013786643842863</v>
      </c>
      <c r="AG2268" s="2">
        <f ca="1"/>
        <v>0.45536694895423113</v>
      </c>
      <c r="AH2268" s="2" t="str">
        <f ca="1"/>
        <v>Bad</v>
      </c>
    </row>
    <row r="2269" spans="2:34" x14ac:dyDescent="0.2">
      <c r="B2269" s="2">
        <f ca="1"/>
        <v>0.96541217797653922</v>
      </c>
      <c r="O2269" s="2">
        <f ca="1"/>
        <v>-9.946473434139376E-2</v>
      </c>
      <c r="X2269" s="2">
        <f ca="1"/>
        <v>64.136828880327727</v>
      </c>
      <c r="AG2269" s="2">
        <f ca="1"/>
        <v>0.69024154316277553</v>
      </c>
      <c r="AH2269" s="2" t="str">
        <f ca="1"/>
        <v>Bad</v>
      </c>
    </row>
    <row r="2270" spans="2:34" x14ac:dyDescent="0.2">
      <c r="B2270" s="2">
        <f ca="1"/>
        <v>9.7195892979733189E-2</v>
      </c>
      <c r="O2270" s="2">
        <f ca="1"/>
        <v>6.7208355283862861E-2</v>
      </c>
      <c r="X2270" s="2">
        <f ca="1"/>
        <v>59.140344714234992</v>
      </c>
      <c r="AG2270" s="2">
        <f ca="1"/>
        <v>0.60549886166115674</v>
      </c>
      <c r="AH2270" s="2" t="str">
        <f ca="1"/>
        <v>Bad</v>
      </c>
    </row>
    <row r="2271" spans="2:34" x14ac:dyDescent="0.2">
      <c r="B2271" s="2">
        <f ca="1"/>
        <v>0.81224477687205154</v>
      </c>
      <c r="O2271" s="2">
        <f ca="1"/>
        <v>0.81218789766971056</v>
      </c>
      <c r="X2271" s="2">
        <f ca="1"/>
        <v>66.70662684238907</v>
      </c>
      <c r="AG2271" s="2">
        <f ca="1"/>
        <v>0.90119710741881609</v>
      </c>
      <c r="AH2271" s="2" t="str">
        <f ca="1"/>
        <v>Bad</v>
      </c>
    </row>
    <row r="2272" spans="2:34" x14ac:dyDescent="0.2">
      <c r="B2272" s="2">
        <f ca="1"/>
        <v>0.86635493638732042</v>
      </c>
      <c r="O2272" s="2">
        <f ca="1"/>
        <v>0.68488849192834134</v>
      </c>
      <c r="X2272" s="2">
        <f ca="1"/>
        <v>32.68524296720863</v>
      </c>
      <c r="AG2272" s="2">
        <f ca="1"/>
        <v>0.50437596160669718</v>
      </c>
      <c r="AH2272" s="2" t="str">
        <f ca="1"/>
        <v>Bad</v>
      </c>
    </row>
    <row r="2273" spans="2:34" x14ac:dyDescent="0.2">
      <c r="B2273" s="2">
        <f ca="1"/>
        <v>0.88540778199678716</v>
      </c>
      <c r="O2273" s="2">
        <f ca="1"/>
        <v>-0.80416526537462241</v>
      </c>
      <c r="X2273" s="2">
        <f ca="1"/>
        <v>39.504298043922731</v>
      </c>
      <c r="AG2273" s="2">
        <f ca="1"/>
        <v>0.76499223198273181</v>
      </c>
      <c r="AH2273" s="2" t="str">
        <f ca="1"/>
        <v>Bad</v>
      </c>
    </row>
    <row r="2274" spans="2:34" x14ac:dyDescent="0.2">
      <c r="B2274" s="2">
        <f ca="1"/>
        <v>0.15647756056497775</v>
      </c>
      <c r="O2274" s="2">
        <f ca="1"/>
        <v>-1.5146899095327433</v>
      </c>
      <c r="X2274" s="2">
        <f ca="1"/>
        <v>37.140924482764945</v>
      </c>
      <c r="AG2274" s="2">
        <f ca="1"/>
        <v>0.9036243748342454</v>
      </c>
      <c r="AH2274" s="2" t="str">
        <f ca="1"/>
        <v>Bad</v>
      </c>
    </row>
    <row r="2275" spans="2:34" x14ac:dyDescent="0.2">
      <c r="B2275" s="2">
        <f ca="1"/>
        <v>0.59882789279793869</v>
      </c>
      <c r="O2275" s="2">
        <f ca="1"/>
        <v>-2.3482408520115334</v>
      </c>
      <c r="X2275" s="2">
        <f ca="1"/>
        <v>44.760831429584059</v>
      </c>
      <c r="AG2275" s="2">
        <f ca="1"/>
        <v>0.8765930342421886</v>
      </c>
      <c r="AH2275" s="2" t="str">
        <f ca="1"/>
        <v>Bad</v>
      </c>
    </row>
    <row r="2276" spans="2:34" x14ac:dyDescent="0.2">
      <c r="B2276" s="2">
        <f ca="1"/>
        <v>0.51493654045430293</v>
      </c>
      <c r="O2276" s="2">
        <f ca="1"/>
        <v>-1.356268884191578</v>
      </c>
      <c r="X2276" s="2">
        <f ca="1"/>
        <v>56.661481722867208</v>
      </c>
      <c r="AG2276" s="2">
        <f ca="1"/>
        <v>0.3284592948660825</v>
      </c>
      <c r="AH2276" s="2" t="str">
        <f ca="1"/>
        <v>OK</v>
      </c>
    </row>
    <row r="2277" spans="2:34" x14ac:dyDescent="0.2">
      <c r="B2277" s="2">
        <f ca="1"/>
        <v>0.22853559846294669</v>
      </c>
      <c r="O2277" s="2">
        <f ca="1"/>
        <v>-0.2816585727213245</v>
      </c>
      <c r="X2277" s="2">
        <f ca="1"/>
        <v>42.638605175468236</v>
      </c>
      <c r="AG2277" s="2">
        <f ca="1"/>
        <v>0.15275308311324043</v>
      </c>
      <c r="AH2277" s="2" t="str">
        <f ca="1"/>
        <v>OK</v>
      </c>
    </row>
    <row r="2278" spans="2:34" x14ac:dyDescent="0.2">
      <c r="B2278" s="2">
        <f ca="1"/>
        <v>0.34877064141310021</v>
      </c>
      <c r="O2278" s="2">
        <f ca="1"/>
        <v>-1.7059161826875622</v>
      </c>
      <c r="X2278" s="2">
        <f ca="1"/>
        <v>38.325342503239284</v>
      </c>
      <c r="AG2278" s="2">
        <f ca="1"/>
        <v>0.41802143865912811</v>
      </c>
      <c r="AH2278" s="2" t="str">
        <f ca="1"/>
        <v>Bad</v>
      </c>
    </row>
    <row r="2279" spans="2:34" x14ac:dyDescent="0.2">
      <c r="B2279" s="2">
        <f ca="1"/>
        <v>0.37448072574574476</v>
      </c>
      <c r="O2279" s="2">
        <f ca="1"/>
        <v>0.90603402559225721</v>
      </c>
      <c r="X2279" s="2">
        <f ca="1"/>
        <v>62.95249661489634</v>
      </c>
      <c r="AG2279" s="2">
        <f ca="1"/>
        <v>0.36799790791591191</v>
      </c>
      <c r="AH2279" s="2" t="str">
        <f ca="1"/>
        <v>OK</v>
      </c>
    </row>
    <row r="2280" spans="2:34" x14ac:dyDescent="0.2">
      <c r="B2280" s="2">
        <f ca="1"/>
        <v>0.99786594627169589</v>
      </c>
      <c r="O2280" s="2">
        <f ca="1"/>
        <v>0.63190425462004707</v>
      </c>
      <c r="X2280" s="2">
        <f ca="1"/>
        <v>32.47143612573479</v>
      </c>
      <c r="AG2280" s="2">
        <f ca="1"/>
        <v>0.24607863581706679</v>
      </c>
      <c r="AH2280" s="2" t="str">
        <f ca="1"/>
        <v>OK</v>
      </c>
    </row>
    <row r="2281" spans="2:34" x14ac:dyDescent="0.2">
      <c r="B2281" s="2">
        <f ca="1"/>
        <v>0.27422177918429158</v>
      </c>
      <c r="O2281" s="2">
        <f ca="1"/>
        <v>0.32549998626283649</v>
      </c>
      <c r="X2281" s="2">
        <f ca="1"/>
        <v>48.483484568503535</v>
      </c>
      <c r="AG2281" s="2">
        <f ca="1"/>
        <v>0.71278423682028991</v>
      </c>
      <c r="AH2281" s="2" t="str">
        <f ca="1"/>
        <v>Bad</v>
      </c>
    </row>
    <row r="2282" spans="2:34" x14ac:dyDescent="0.2">
      <c r="B2282" s="2">
        <f ca="1"/>
        <v>0.21468798580087922</v>
      </c>
      <c r="O2282" s="2">
        <f ca="1"/>
        <v>-4.6715124640066177E-2</v>
      </c>
      <c r="X2282" s="2">
        <f ca="1"/>
        <v>55.544424467197672</v>
      </c>
      <c r="AG2282" s="2">
        <f ca="1"/>
        <v>0.63312230693929195</v>
      </c>
      <c r="AH2282" s="2" t="str">
        <f ca="1"/>
        <v>Bad</v>
      </c>
    </row>
    <row r="2283" spans="2:34" x14ac:dyDescent="0.2">
      <c r="B2283" s="2">
        <f ca="1"/>
        <v>0.65866435390648292</v>
      </c>
      <c r="O2283" s="2">
        <f ca="1"/>
        <v>-7.3399685079791485E-2</v>
      </c>
      <c r="X2283" s="2">
        <f ca="1"/>
        <v>59.246345044807427</v>
      </c>
      <c r="AG2283" s="2">
        <f ca="1"/>
        <v>0.18611364300033717</v>
      </c>
      <c r="AH2283" s="2" t="str">
        <f ca="1"/>
        <v>OK</v>
      </c>
    </row>
    <row r="2284" spans="2:34" x14ac:dyDescent="0.2">
      <c r="B2284" s="2">
        <f ca="1"/>
        <v>5.2759780714906057E-3</v>
      </c>
      <c r="O2284" s="2">
        <f ca="1"/>
        <v>-1.3895706329313307</v>
      </c>
      <c r="X2284" s="2">
        <f ca="1"/>
        <v>59.324425386779865</v>
      </c>
      <c r="AG2284" s="2">
        <f ca="1"/>
        <v>9.8341457024808898E-2</v>
      </c>
      <c r="AH2284" s="2" t="str">
        <f ca="1"/>
        <v>OK</v>
      </c>
    </row>
    <row r="2285" spans="2:34" x14ac:dyDescent="0.2">
      <c r="B2285" s="2">
        <f ca="1"/>
        <v>0.1499542727049028</v>
      </c>
      <c r="O2285" s="2">
        <f ca="1"/>
        <v>0.25805433951192025</v>
      </c>
      <c r="X2285" s="2">
        <f ca="1"/>
        <v>59.144135029636125</v>
      </c>
      <c r="AG2285" s="2">
        <f ca="1"/>
        <v>0.62479420204799641</v>
      </c>
      <c r="AH2285" s="2" t="str">
        <f ca="1"/>
        <v>Bad</v>
      </c>
    </row>
    <row r="2286" spans="2:34" x14ac:dyDescent="0.2">
      <c r="B2286" s="2">
        <f ca="1"/>
        <v>0.68583144359886483</v>
      </c>
      <c r="O2286" s="2">
        <f ca="1"/>
        <v>-2.1002068661945943</v>
      </c>
      <c r="X2286" s="2">
        <f ca="1"/>
        <v>44.216573200739816</v>
      </c>
      <c r="AG2286" s="2">
        <f ca="1"/>
        <v>0.37901828782924096</v>
      </c>
      <c r="AH2286" s="2" t="str">
        <f ca="1"/>
        <v>OK</v>
      </c>
    </row>
    <row r="2287" spans="2:34" x14ac:dyDescent="0.2">
      <c r="B2287" s="2">
        <f ca="1"/>
        <v>0.65218062295151347</v>
      </c>
      <c r="O2287" s="2">
        <f ca="1"/>
        <v>0.18687748875638194</v>
      </c>
      <c r="X2287" s="2">
        <f ca="1"/>
        <v>40.133522958003248</v>
      </c>
      <c r="AG2287" s="2">
        <f ca="1"/>
        <v>0.30507547889205555</v>
      </c>
      <c r="AH2287" s="2" t="str">
        <f ca="1"/>
        <v>OK</v>
      </c>
    </row>
    <row r="2288" spans="2:34" x14ac:dyDescent="0.2">
      <c r="B2288" s="2">
        <f ca="1"/>
        <v>0.40528646212609987</v>
      </c>
      <c r="O2288" s="2">
        <f ca="1"/>
        <v>1.2248714669936624</v>
      </c>
      <c r="X2288" s="2">
        <f ca="1"/>
        <v>34.166829350004733</v>
      </c>
      <c r="AG2288" s="2">
        <f ca="1"/>
        <v>5.9824915974815651E-2</v>
      </c>
      <c r="AH2288" s="2" t="str">
        <f ca="1"/>
        <v>OK</v>
      </c>
    </row>
    <row r="2289" spans="2:34" x14ac:dyDescent="0.2">
      <c r="B2289" s="2">
        <f ca="1"/>
        <v>0.53034345148442963</v>
      </c>
      <c r="O2289" s="2">
        <f ca="1"/>
        <v>-0.68862969905437221</v>
      </c>
      <c r="X2289" s="2">
        <f ca="1"/>
        <v>41.922435779548493</v>
      </c>
      <c r="AG2289" s="2">
        <f ca="1"/>
        <v>0.31605016035637834</v>
      </c>
      <c r="AH2289" s="2" t="str">
        <f ca="1"/>
        <v>OK</v>
      </c>
    </row>
    <row r="2290" spans="2:34" x14ac:dyDescent="0.2">
      <c r="B2290" s="2">
        <f ca="1"/>
        <v>0.70230108841281824</v>
      </c>
      <c r="O2290" s="2">
        <f ca="1"/>
        <v>1.7296751218499419E-2</v>
      </c>
      <c r="X2290" s="2">
        <f ca="1"/>
        <v>42.025919673803081</v>
      </c>
      <c r="AG2290" s="2">
        <f ca="1"/>
        <v>0.46563150926206287</v>
      </c>
      <c r="AH2290" s="2" t="str">
        <f ca="1"/>
        <v>Bad</v>
      </c>
    </row>
    <row r="2291" spans="2:34" x14ac:dyDescent="0.2">
      <c r="B2291" s="2">
        <f ca="1"/>
        <v>0.892015482826781</v>
      </c>
      <c r="O2291" s="2">
        <f ca="1"/>
        <v>-0.89425179878474614</v>
      </c>
      <c r="X2291" s="2">
        <f ca="1"/>
        <v>39.207068943178115</v>
      </c>
      <c r="AG2291" s="2">
        <f ca="1"/>
        <v>0.84043510650516873</v>
      </c>
      <c r="AH2291" s="2" t="str">
        <f ca="1"/>
        <v>Bad</v>
      </c>
    </row>
    <row r="2292" spans="2:34" x14ac:dyDescent="0.2">
      <c r="B2292" s="2">
        <f ca="1"/>
        <v>0.65895345775347836</v>
      </c>
      <c r="O2292" s="2">
        <f ca="1"/>
        <v>1.1981966184923281</v>
      </c>
      <c r="X2292" s="2">
        <f ca="1"/>
        <v>30.840852044063794</v>
      </c>
      <c r="AG2292" s="2">
        <f ca="1"/>
        <v>0.74378268730959918</v>
      </c>
      <c r="AH2292" s="2" t="str">
        <f ca="1"/>
        <v>Bad</v>
      </c>
    </row>
    <row r="2293" spans="2:34" x14ac:dyDescent="0.2">
      <c r="B2293" s="2">
        <f ca="1"/>
        <v>0.22882414601832846</v>
      </c>
      <c r="O2293" s="2">
        <f ca="1"/>
        <v>6.401936328666486E-3</v>
      </c>
      <c r="X2293" s="2">
        <f ca="1"/>
        <v>49.018636545759037</v>
      </c>
      <c r="AG2293" s="2">
        <f ca="1"/>
        <v>0.23304068744105888</v>
      </c>
      <c r="AH2293" s="2" t="str">
        <f ca="1"/>
        <v>OK</v>
      </c>
    </row>
    <row r="2294" spans="2:34" x14ac:dyDescent="0.2">
      <c r="B2294" s="2">
        <f ca="1"/>
        <v>0.48410953436570292</v>
      </c>
      <c r="O2294" s="2">
        <f ca="1"/>
        <v>-0.65316036122445409</v>
      </c>
      <c r="X2294" s="2">
        <f ca="1"/>
        <v>59.787536097418325</v>
      </c>
      <c r="AG2294" s="2">
        <f ca="1"/>
        <v>0.51855414527376786</v>
      </c>
      <c r="AH2294" s="2" t="str">
        <f ca="1"/>
        <v>Bad</v>
      </c>
    </row>
    <row r="2295" spans="2:34" x14ac:dyDescent="0.2">
      <c r="B2295" s="2">
        <f ca="1"/>
        <v>0.31328453503941556</v>
      </c>
      <c r="O2295" s="2">
        <f ca="1"/>
        <v>-1.6898633748733818</v>
      </c>
      <c r="X2295" s="2">
        <f ca="1"/>
        <v>57.95782632725107</v>
      </c>
      <c r="AG2295" s="2">
        <f ca="1"/>
        <v>0.59412202335148279</v>
      </c>
      <c r="AH2295" s="2" t="str">
        <f ca="1"/>
        <v>Bad</v>
      </c>
    </row>
    <row r="2296" spans="2:34" x14ac:dyDescent="0.2">
      <c r="B2296" s="2">
        <f ca="1"/>
        <v>4.7345481793436894E-2</v>
      </c>
      <c r="O2296" s="2">
        <f ca="1"/>
        <v>0.15840383063440561</v>
      </c>
      <c r="X2296" s="2">
        <f ca="1"/>
        <v>49.253374325978179</v>
      </c>
      <c r="AG2296" s="2">
        <f ca="1"/>
        <v>0.39301747236806772</v>
      </c>
      <c r="AH2296" s="2" t="str">
        <f ca="1"/>
        <v>OK</v>
      </c>
    </row>
    <row r="2297" spans="2:34" x14ac:dyDescent="0.2">
      <c r="B2297" s="2">
        <f ca="1"/>
        <v>0.85439147729142029</v>
      </c>
      <c r="O2297" s="2">
        <f ca="1"/>
        <v>5.2359146360198429E-2</v>
      </c>
      <c r="X2297" s="2">
        <f ca="1"/>
        <v>54.301852067103411</v>
      </c>
      <c r="AG2297" s="2">
        <f ca="1"/>
        <v>0.17664414425828356</v>
      </c>
      <c r="AH2297" s="2" t="str">
        <f ca="1"/>
        <v>OK</v>
      </c>
    </row>
    <row r="2298" spans="2:34" x14ac:dyDescent="0.2">
      <c r="B2298" s="2">
        <f ca="1"/>
        <v>0.82914115017724099</v>
      </c>
      <c r="O2298" s="2">
        <f ca="1"/>
        <v>1.2237120550160867</v>
      </c>
      <c r="X2298" s="2">
        <f ca="1"/>
        <v>61.328816297279225</v>
      </c>
      <c r="AG2298" s="2">
        <f ca="1"/>
        <v>0.15130213902998713</v>
      </c>
      <c r="AH2298" s="2" t="str">
        <f ca="1"/>
        <v>OK</v>
      </c>
    </row>
    <row r="2299" spans="2:34" x14ac:dyDescent="0.2">
      <c r="B2299" s="2">
        <f ca="1"/>
        <v>0.95356626534396516</v>
      </c>
      <c r="O2299" s="2">
        <f ca="1"/>
        <v>1.3127614602650188</v>
      </c>
      <c r="X2299" s="2">
        <f ca="1"/>
        <v>32.078533791952431</v>
      </c>
      <c r="AG2299" s="2">
        <f ca="1"/>
        <v>1.8477893164213555E-2</v>
      </c>
      <c r="AH2299" s="2" t="str">
        <f ca="1"/>
        <v>Good</v>
      </c>
    </row>
    <row r="2300" spans="2:34" x14ac:dyDescent="0.2">
      <c r="B2300" s="2">
        <f ca="1"/>
        <v>6.6045250677527978E-2</v>
      </c>
      <c r="O2300" s="2">
        <f ca="1"/>
        <v>-1.3311567422632751</v>
      </c>
      <c r="X2300" s="2">
        <f ca="1"/>
        <v>47.185349860417709</v>
      </c>
      <c r="AG2300" s="2">
        <f ca="1"/>
        <v>9.6251745281453305E-2</v>
      </c>
      <c r="AH2300" s="2" t="str">
        <f ca="1"/>
        <v>OK</v>
      </c>
    </row>
    <row r="2301" spans="2:34" x14ac:dyDescent="0.2">
      <c r="B2301" s="2">
        <f ca="1"/>
        <v>0.66794630378845143</v>
      </c>
      <c r="O2301" s="2">
        <f ca="1"/>
        <v>0.43362427826994021</v>
      </c>
      <c r="X2301" s="2">
        <f ca="1"/>
        <v>32.942777859185846</v>
      </c>
      <c r="AG2301" s="2">
        <f ca="1"/>
        <v>0.1432765304490542</v>
      </c>
      <c r="AH2301" s="2" t="str">
        <f ca="1"/>
        <v>OK</v>
      </c>
    </row>
    <row r="2302" spans="2:34" x14ac:dyDescent="0.2">
      <c r="B2302" s="2">
        <f ca="1"/>
        <v>2.4600131358770705E-2</v>
      </c>
      <c r="O2302" s="2">
        <f ca="1"/>
        <v>0.45505692807258202</v>
      </c>
      <c r="X2302" s="2">
        <f ca="1"/>
        <v>62.520647042399474</v>
      </c>
      <c r="AG2302" s="2">
        <f ca="1"/>
        <v>0.13797417321219507</v>
      </c>
      <c r="AH2302" s="2" t="str">
        <f ca="1"/>
        <v>OK</v>
      </c>
    </row>
    <row r="2303" spans="2:34" x14ac:dyDescent="0.2">
      <c r="B2303" s="2">
        <f ca="1"/>
        <v>0.32633789484607778</v>
      </c>
      <c r="O2303" s="2">
        <f ca="1"/>
        <v>-1.7014169277447622</v>
      </c>
      <c r="X2303" s="2">
        <f ca="1"/>
        <v>32.200664443720669</v>
      </c>
      <c r="AG2303" s="2">
        <f ca="1"/>
        <v>0.9700772730067011</v>
      </c>
      <c r="AH2303" s="2" t="str">
        <f ca="1"/>
        <v>Bad</v>
      </c>
    </row>
    <row r="2304" spans="2:34" x14ac:dyDescent="0.2">
      <c r="B2304" s="2">
        <f ca="1"/>
        <v>0.34955868551502478</v>
      </c>
      <c r="O2304" s="2">
        <f ca="1"/>
        <v>0.3360168941148246</v>
      </c>
      <c r="X2304" s="2">
        <f ca="1"/>
        <v>34.704227216791928</v>
      </c>
      <c r="AG2304" s="2">
        <f ca="1"/>
        <v>0.446684438237551</v>
      </c>
      <c r="AH2304" s="2" t="str">
        <f ca="1"/>
        <v>Bad</v>
      </c>
    </row>
    <row r="2305" spans="2:34" x14ac:dyDescent="0.2">
      <c r="B2305" s="2">
        <f ca="1"/>
        <v>0.77352253974480978</v>
      </c>
      <c r="O2305" s="2">
        <f ca="1"/>
        <v>0.58404326963319053</v>
      </c>
      <c r="X2305" s="2">
        <f ca="1"/>
        <v>32.281031788973465</v>
      </c>
      <c r="AG2305" s="2">
        <f ca="1"/>
        <v>0.18181947097899664</v>
      </c>
      <c r="AH2305" s="2" t="str">
        <f ca="1"/>
        <v>OK</v>
      </c>
    </row>
    <row r="2306" spans="2:34" x14ac:dyDescent="0.2">
      <c r="B2306" s="2">
        <f ca="1"/>
        <v>8.1298525637973684E-2</v>
      </c>
      <c r="O2306" s="2">
        <f ca="1"/>
        <v>0.15045021170967152</v>
      </c>
      <c r="X2306" s="2">
        <f ca="1"/>
        <v>48.235055547038137</v>
      </c>
      <c r="AG2306" s="2">
        <f ca="1"/>
        <v>0.5773950134028254</v>
      </c>
      <c r="AH2306" s="2" t="str">
        <f ca="1"/>
        <v>Bad</v>
      </c>
    </row>
    <row r="2307" spans="2:34" x14ac:dyDescent="0.2">
      <c r="B2307" s="2">
        <f ca="1"/>
        <v>0.12709216601262119</v>
      </c>
      <c r="O2307" s="2">
        <f ca="1"/>
        <v>-0.76272161104902259</v>
      </c>
      <c r="X2307" s="2">
        <f ca="1"/>
        <v>64.091157199479923</v>
      </c>
      <c r="AG2307" s="2">
        <f ca="1"/>
        <v>0.98932659928673505</v>
      </c>
      <c r="AH2307" s="2" t="str">
        <f ca="1"/>
        <v>Bad</v>
      </c>
    </row>
    <row r="2308" spans="2:34" x14ac:dyDescent="0.2">
      <c r="B2308" s="2">
        <f ca="1"/>
        <v>0.26450534465219455</v>
      </c>
      <c r="O2308" s="2">
        <f ca="1"/>
        <v>0.37364536967670126</v>
      </c>
      <c r="X2308" s="2">
        <f ca="1"/>
        <v>57.712393243541996</v>
      </c>
      <c r="AG2308" s="2">
        <f ca="1"/>
        <v>0.85948901142778689</v>
      </c>
      <c r="AH2308" s="2" t="str">
        <f ca="1"/>
        <v>Bad</v>
      </c>
    </row>
    <row r="2309" spans="2:34" x14ac:dyDescent="0.2">
      <c r="B2309" s="2">
        <f ca="1"/>
        <v>0.3858384542699107</v>
      </c>
      <c r="O2309" s="2">
        <f ca="1"/>
        <v>-0.22373137666128676</v>
      </c>
      <c r="X2309" s="2">
        <f ca="1"/>
        <v>38.257171291932906</v>
      </c>
      <c r="AG2309" s="2">
        <f ca="1"/>
        <v>0.43010635109323858</v>
      </c>
      <c r="AH2309" s="2" t="str">
        <f ca="1"/>
        <v>Bad</v>
      </c>
    </row>
    <row r="2310" spans="2:34" x14ac:dyDescent="0.2">
      <c r="B2310" s="2">
        <f ca="1"/>
        <v>5.4671649123180455E-2</v>
      </c>
      <c r="O2310" s="2">
        <f ca="1"/>
        <v>-1.3939990209129969</v>
      </c>
      <c r="X2310" s="2">
        <f ca="1"/>
        <v>24.578786957719402</v>
      </c>
      <c r="AG2310" s="2">
        <f ca="1"/>
        <v>0.26711376725346425</v>
      </c>
      <c r="AH2310" s="2" t="str">
        <f ca="1"/>
        <v>OK</v>
      </c>
    </row>
    <row r="2311" spans="2:34" x14ac:dyDescent="0.2">
      <c r="B2311" s="2">
        <f ca="1"/>
        <v>0.7843154374897281</v>
      </c>
      <c r="O2311" s="2">
        <f ca="1"/>
        <v>-0.24481797731161142</v>
      </c>
      <c r="X2311" s="2">
        <f ca="1"/>
        <v>27.618551909822365</v>
      </c>
      <c r="AG2311" s="2">
        <f ca="1"/>
        <v>0.25734759411197317</v>
      </c>
      <c r="AH2311" s="2" t="str">
        <f ca="1"/>
        <v>OK</v>
      </c>
    </row>
    <row r="2312" spans="2:34" x14ac:dyDescent="0.2">
      <c r="B2312" s="2">
        <f ca="1"/>
        <v>0.50983962453366294</v>
      </c>
      <c r="O2312" s="2">
        <f ca="1"/>
        <v>-0.59152401262856813</v>
      </c>
      <c r="X2312" s="2">
        <f ca="1"/>
        <v>38.791035996388899</v>
      </c>
      <c r="AG2312" s="2">
        <f ca="1"/>
        <v>5.6255963952526189E-2</v>
      </c>
      <c r="AH2312" s="2" t="str">
        <f ca="1"/>
        <v>OK</v>
      </c>
    </row>
    <row r="2313" spans="2:34" x14ac:dyDescent="0.2">
      <c r="B2313" s="2">
        <f ca="1"/>
        <v>0.54440481098421878</v>
      </c>
      <c r="O2313" s="2">
        <f ca="1"/>
        <v>-0.68839268940988174</v>
      </c>
      <c r="X2313" s="2">
        <f ca="1"/>
        <v>45.245025740318432</v>
      </c>
      <c r="AG2313" s="2">
        <f ca="1"/>
        <v>0.32496330265196405</v>
      </c>
      <c r="AH2313" s="2" t="str">
        <f ca="1"/>
        <v>OK</v>
      </c>
    </row>
    <row r="2314" spans="2:34" x14ac:dyDescent="0.2">
      <c r="B2314" s="2">
        <f ca="1"/>
        <v>0.97424660317822576</v>
      </c>
      <c r="O2314" s="2">
        <f ca="1"/>
        <v>0.98405370657242819</v>
      </c>
      <c r="X2314" s="2">
        <f ca="1"/>
        <v>54.837759776202262</v>
      </c>
      <c r="AG2314" s="2">
        <f ca="1"/>
        <v>0.62108099188770183</v>
      </c>
      <c r="AH2314" s="2" t="str">
        <f ca="1"/>
        <v>Bad</v>
      </c>
    </row>
    <row r="2315" spans="2:34" x14ac:dyDescent="0.2">
      <c r="B2315" s="2">
        <f ca="1"/>
        <v>0.11274986444890089</v>
      </c>
      <c r="O2315" s="2">
        <f ca="1"/>
        <v>1.7932596167410988</v>
      </c>
      <c r="X2315" s="2">
        <f ca="1"/>
        <v>25.479724567092479</v>
      </c>
      <c r="AG2315" s="2">
        <f ca="1"/>
        <v>0.40516317575384764</v>
      </c>
      <c r="AH2315" s="2" t="str">
        <f ca="1"/>
        <v>Bad</v>
      </c>
    </row>
    <row r="2316" spans="2:34" x14ac:dyDescent="0.2">
      <c r="B2316" s="2">
        <f ca="1"/>
        <v>0.9636161481646075</v>
      </c>
      <c r="O2316" s="2">
        <f ca="1"/>
        <v>-0.3070184836613728</v>
      </c>
      <c r="X2316" s="2">
        <f ca="1"/>
        <v>81.451114597279599</v>
      </c>
      <c r="AG2316" s="2">
        <f ca="1"/>
        <v>0.55226322057634825</v>
      </c>
      <c r="AH2316" s="2" t="str">
        <f ca="1"/>
        <v>Bad</v>
      </c>
    </row>
    <row r="2317" spans="2:34" x14ac:dyDescent="0.2">
      <c r="B2317" s="2">
        <f ca="1"/>
        <v>0.69198722982325056</v>
      </c>
      <c r="O2317" s="2">
        <f ca="1"/>
        <v>0.81763943534738082</v>
      </c>
      <c r="X2317" s="2">
        <f ca="1"/>
        <v>56.2679553638648</v>
      </c>
      <c r="AG2317" s="2">
        <f ca="1"/>
        <v>0.48037330791082478</v>
      </c>
      <c r="AH2317" s="2" t="str">
        <f ca="1"/>
        <v>Bad</v>
      </c>
    </row>
    <row r="2318" spans="2:34" x14ac:dyDescent="0.2">
      <c r="B2318" s="2">
        <f ca="1"/>
        <v>0.69353153753132246</v>
      </c>
      <c r="O2318" s="2">
        <f ca="1"/>
        <v>0.48444002863423868</v>
      </c>
      <c r="X2318" s="2">
        <f ca="1"/>
        <v>88.845113619057685</v>
      </c>
      <c r="AG2318" s="2">
        <f ca="1"/>
        <v>0.40866444694124016</v>
      </c>
      <c r="AH2318" s="2" t="str">
        <f ca="1"/>
        <v>Bad</v>
      </c>
    </row>
    <row r="2319" spans="2:34" x14ac:dyDescent="0.2">
      <c r="B2319" s="2">
        <f ca="1"/>
        <v>0.6993523845900198</v>
      </c>
      <c r="O2319" s="2">
        <f ca="1"/>
        <v>-1.4406247896100555</v>
      </c>
      <c r="X2319" s="2">
        <f ca="1"/>
        <v>59.034593423762658</v>
      </c>
      <c r="AG2319" s="2">
        <f ca="1"/>
        <v>0.44372751579846481</v>
      </c>
      <c r="AH2319" s="2" t="str">
        <f ca="1"/>
        <v>Bad</v>
      </c>
    </row>
    <row r="2320" spans="2:34" x14ac:dyDescent="0.2">
      <c r="B2320" s="2">
        <f ca="1"/>
        <v>0.91188356705363005</v>
      </c>
      <c r="O2320" s="2">
        <f ca="1"/>
        <v>-0.43258678466607453</v>
      </c>
      <c r="X2320" s="2">
        <f ca="1"/>
        <v>71.403069085558144</v>
      </c>
      <c r="AG2320" s="2">
        <f ca="1"/>
        <v>0.2415101725422053</v>
      </c>
      <c r="AH2320" s="2" t="str">
        <f ca="1"/>
        <v>OK</v>
      </c>
    </row>
    <row r="2321" spans="2:34" x14ac:dyDescent="0.2">
      <c r="B2321" s="2">
        <f ca="1"/>
        <v>0.11930331730388488</v>
      </c>
      <c r="O2321" s="2">
        <f ca="1"/>
        <v>0.20408913422823752</v>
      </c>
      <c r="X2321" s="2">
        <f ca="1"/>
        <v>43.36425897307015</v>
      </c>
      <c r="AG2321" s="2">
        <f ca="1"/>
        <v>0.72318418623952097</v>
      </c>
      <c r="AH2321" s="2" t="str">
        <f ca="1"/>
        <v>Bad</v>
      </c>
    </row>
    <row r="2322" spans="2:34" x14ac:dyDescent="0.2">
      <c r="B2322" s="2">
        <f ca="1"/>
        <v>0.74202125736611291</v>
      </c>
      <c r="O2322" s="2">
        <f ca="1"/>
        <v>0.27159474886056362</v>
      </c>
      <c r="X2322" s="2">
        <f ca="1"/>
        <v>57.969769569342937</v>
      </c>
      <c r="AG2322" s="2">
        <f ca="1"/>
        <v>0.28102877974300089</v>
      </c>
      <c r="AH2322" s="2" t="str">
        <f ca="1"/>
        <v>OK</v>
      </c>
    </row>
    <row r="2323" spans="2:34" x14ac:dyDescent="0.2">
      <c r="B2323" s="2">
        <f ca="1"/>
        <v>0.17335838964555039</v>
      </c>
      <c r="O2323" s="2">
        <f ca="1"/>
        <v>0.26957058280734886</v>
      </c>
      <c r="X2323" s="2">
        <f ca="1"/>
        <v>35.289340149662934</v>
      </c>
      <c r="AG2323" s="2">
        <f ca="1"/>
        <v>0.60446066999640902</v>
      </c>
      <c r="AH2323" s="2" t="str">
        <f ca="1"/>
        <v>Bad</v>
      </c>
    </row>
    <row r="2324" spans="2:34" x14ac:dyDescent="0.2">
      <c r="B2324" s="2">
        <f ca="1"/>
        <v>0.33574163037858296</v>
      </c>
      <c r="O2324" s="2">
        <f ca="1"/>
        <v>7.8362755686851512E-2</v>
      </c>
      <c r="X2324" s="2">
        <f ca="1"/>
        <v>25.411593890576647</v>
      </c>
      <c r="AG2324" s="2">
        <f ca="1"/>
        <v>0.51733271493642263</v>
      </c>
      <c r="AH2324" s="2" t="str">
        <f ca="1"/>
        <v>Bad</v>
      </c>
    </row>
    <row r="2325" spans="2:34" x14ac:dyDescent="0.2">
      <c r="B2325" s="2">
        <f ca="1"/>
        <v>0.76704241185442834</v>
      </c>
      <c r="O2325" s="2">
        <f ca="1"/>
        <v>-0.66023129389053425</v>
      </c>
      <c r="X2325" s="2">
        <f ca="1"/>
        <v>31.401238939399541</v>
      </c>
      <c r="AG2325" s="2">
        <f ca="1"/>
        <v>0.48938454586924518</v>
      </c>
      <c r="AH2325" s="2" t="str">
        <f ca="1"/>
        <v>Bad</v>
      </c>
    </row>
    <row r="2326" spans="2:34" x14ac:dyDescent="0.2">
      <c r="B2326" s="2">
        <f ca="1"/>
        <v>0.86183369438541879</v>
      </c>
      <c r="O2326" s="2">
        <f ca="1"/>
        <v>0.39853837109846685</v>
      </c>
      <c r="X2326" s="2">
        <f ca="1"/>
        <v>22.896683907429072</v>
      </c>
      <c r="AG2326" s="2">
        <f ca="1"/>
        <v>0.2579317234691354</v>
      </c>
      <c r="AH2326" s="2" t="str">
        <f ca="1"/>
        <v>OK</v>
      </c>
    </row>
    <row r="2327" spans="2:34" x14ac:dyDescent="0.2">
      <c r="B2327" s="2">
        <f ca="1"/>
        <v>0.57553598013622387</v>
      </c>
      <c r="O2327" s="2">
        <f ca="1"/>
        <v>-0.14937311551044991</v>
      </c>
      <c r="X2327" s="2">
        <f ca="1"/>
        <v>54.649003688299018</v>
      </c>
      <c r="AG2327" s="2">
        <f ca="1"/>
        <v>0.47828251556751855</v>
      </c>
      <c r="AH2327" s="2" t="str">
        <f ca="1"/>
        <v>Bad</v>
      </c>
    </row>
    <row r="2328" spans="2:34" x14ac:dyDescent="0.2">
      <c r="B2328" s="2">
        <f ca="1"/>
        <v>0.61632906868058002</v>
      </c>
      <c r="O2328" s="2">
        <f ca="1"/>
        <v>1.0890253237494323</v>
      </c>
      <c r="X2328" s="2">
        <f ca="1"/>
        <v>54.245241333421419</v>
      </c>
      <c r="AG2328" s="2">
        <f ca="1"/>
        <v>0.36417212346072181</v>
      </c>
      <c r="AH2328" s="2" t="str">
        <f ca="1"/>
        <v>OK</v>
      </c>
    </row>
    <row r="2329" spans="2:34" x14ac:dyDescent="0.2">
      <c r="B2329" s="2">
        <f ca="1"/>
        <v>0.55672926890170715</v>
      </c>
      <c r="O2329" s="2">
        <f ca="1"/>
        <v>1.1168069383810124</v>
      </c>
      <c r="X2329" s="2">
        <f ca="1"/>
        <v>82.647701144776221</v>
      </c>
      <c r="AG2329" s="2">
        <f ca="1"/>
        <v>0.84782976649819997</v>
      </c>
      <c r="AH2329" s="2" t="str">
        <f ca="1"/>
        <v>Bad</v>
      </c>
    </row>
    <row r="2330" spans="2:34" x14ac:dyDescent="0.2">
      <c r="B2330" s="2">
        <f ca="1"/>
        <v>0.46883910322577305</v>
      </c>
      <c r="O2330" s="2">
        <f ca="1"/>
        <v>-1.6122457162871369</v>
      </c>
      <c r="X2330" s="2">
        <f ca="1"/>
        <v>33.506971343291987</v>
      </c>
      <c r="AG2330" s="2">
        <f ca="1"/>
        <v>0.71306898633721194</v>
      </c>
      <c r="AH2330" s="2" t="str">
        <f ca="1"/>
        <v>Bad</v>
      </c>
    </row>
    <row r="2331" spans="2:34" x14ac:dyDescent="0.2">
      <c r="B2331" s="2">
        <f ca="1"/>
        <v>0.90059129056456877</v>
      </c>
      <c r="O2331" s="2">
        <f ca="1"/>
        <v>-1.4226021367038668</v>
      </c>
      <c r="X2331" s="2">
        <f ca="1"/>
        <v>36.216511252777075</v>
      </c>
      <c r="AG2331" s="2">
        <f ca="1"/>
        <v>0.52402410118782305</v>
      </c>
      <c r="AH2331" s="2" t="str">
        <f ca="1"/>
        <v>Bad</v>
      </c>
    </row>
    <row r="2332" spans="2:34" x14ac:dyDescent="0.2">
      <c r="B2332" s="2">
        <f ca="1"/>
        <v>0.77178104005445536</v>
      </c>
      <c r="O2332" s="2">
        <f ca="1"/>
        <v>-0.70592937580198145</v>
      </c>
      <c r="X2332" s="2">
        <f ca="1"/>
        <v>45.223150413177123</v>
      </c>
      <c r="AG2332" s="2">
        <f ca="1"/>
        <v>0.12692157044545715</v>
      </c>
      <c r="AH2332" s="2" t="str">
        <f ca="1"/>
        <v>OK</v>
      </c>
    </row>
    <row r="2333" spans="2:34" x14ac:dyDescent="0.2">
      <c r="B2333" s="2">
        <f ca="1"/>
        <v>0.5266787020153656</v>
      </c>
      <c r="O2333" s="2">
        <f ca="1"/>
        <v>0.46213776635785908</v>
      </c>
      <c r="X2333" s="2">
        <f ca="1"/>
        <v>58.326675229494789</v>
      </c>
      <c r="AG2333" s="2">
        <f ca="1"/>
        <v>7.250056566417129E-2</v>
      </c>
      <c r="AH2333" s="2" t="str">
        <f ca="1"/>
        <v>OK</v>
      </c>
    </row>
    <row r="2334" spans="2:34" x14ac:dyDescent="0.2">
      <c r="B2334" s="2">
        <f ca="1"/>
        <v>0.59166510445241505</v>
      </c>
      <c r="O2334" s="2">
        <f ca="1"/>
        <v>-0.6271744099212907</v>
      </c>
      <c r="X2334" s="2">
        <f ca="1"/>
        <v>30.25382550256953</v>
      </c>
      <c r="AG2334" s="2">
        <f ca="1"/>
        <v>0.46667385950996221</v>
      </c>
      <c r="AH2334" s="2" t="str">
        <f ca="1"/>
        <v>Bad</v>
      </c>
    </row>
    <row r="2335" spans="2:34" x14ac:dyDescent="0.2">
      <c r="B2335" s="2">
        <f ca="1"/>
        <v>0.18050251045992316</v>
      </c>
      <c r="O2335" s="2">
        <f ca="1"/>
        <v>1.845092918922373</v>
      </c>
      <c r="X2335" s="2">
        <f ca="1"/>
        <v>62.862003886379199</v>
      </c>
      <c r="AG2335" s="2">
        <f ca="1"/>
        <v>0.52133303983334423</v>
      </c>
      <c r="AH2335" s="2" t="str">
        <f ca="1"/>
        <v>Bad</v>
      </c>
    </row>
    <row r="2336" spans="2:34" x14ac:dyDescent="0.2">
      <c r="B2336" s="2">
        <f ca="1"/>
        <v>0.92639501145441505</v>
      </c>
      <c r="O2336" s="2">
        <f ca="1"/>
        <v>-0.75868705280491189</v>
      </c>
      <c r="X2336" s="2">
        <f ca="1"/>
        <v>48.597501023217305</v>
      </c>
      <c r="AG2336" s="2">
        <f ca="1"/>
        <v>0.12285339675177087</v>
      </c>
      <c r="AH2336" s="2" t="str">
        <f ca="1"/>
        <v>OK</v>
      </c>
    </row>
    <row r="2337" spans="2:34" x14ac:dyDescent="0.2">
      <c r="B2337" s="2">
        <f ca="1"/>
        <v>0.50306419648506395</v>
      </c>
      <c r="O2337" s="2">
        <f ca="1"/>
        <v>-3.6479284353196244E-2</v>
      </c>
      <c r="X2337" s="2">
        <f ca="1"/>
        <v>50.261422599643836</v>
      </c>
      <c r="AG2337" s="2">
        <f ca="1"/>
        <v>0.97315374660309861</v>
      </c>
      <c r="AH2337" s="2" t="str">
        <f ca="1"/>
        <v>Bad</v>
      </c>
    </row>
    <row r="2338" spans="2:34" x14ac:dyDescent="0.2">
      <c r="B2338" s="2">
        <f ca="1"/>
        <v>0.34723346142601752</v>
      </c>
      <c r="O2338" s="2">
        <f ca="1"/>
        <v>-1.6166485780866302</v>
      </c>
      <c r="X2338" s="2">
        <f ca="1"/>
        <v>42.768972208054379</v>
      </c>
      <c r="AG2338" s="2">
        <f ca="1"/>
        <v>0.58341192961654387</v>
      </c>
      <c r="AH2338" s="2" t="str">
        <f ca="1"/>
        <v>Bad</v>
      </c>
    </row>
    <row r="2339" spans="2:34" x14ac:dyDescent="0.2">
      <c r="B2339" s="2">
        <f ca="1"/>
        <v>0.57311221506744481</v>
      </c>
      <c r="O2339" s="2">
        <f ca="1"/>
        <v>0.65200048782830544</v>
      </c>
      <c r="X2339" s="2">
        <f ca="1"/>
        <v>48.988394628921341</v>
      </c>
      <c r="AG2339" s="2">
        <f ca="1"/>
        <v>0.69245342643686425</v>
      </c>
      <c r="AH2339" s="2" t="str">
        <f ca="1"/>
        <v>Bad</v>
      </c>
    </row>
    <row r="2340" spans="2:34" x14ac:dyDescent="0.2">
      <c r="B2340" s="2">
        <f ca="1"/>
        <v>0.9634381197985733</v>
      </c>
      <c r="O2340" s="2">
        <f ca="1"/>
        <v>0.57613325413577388</v>
      </c>
      <c r="X2340" s="2">
        <f ca="1"/>
        <v>13.812375974597511</v>
      </c>
      <c r="AG2340" s="2">
        <f ca="1"/>
        <v>0.57222453949085983</v>
      </c>
      <c r="AH2340" s="2" t="str">
        <f ca="1"/>
        <v>Bad</v>
      </c>
    </row>
    <row r="2341" spans="2:34" x14ac:dyDescent="0.2">
      <c r="B2341" s="2">
        <f ca="1"/>
        <v>0.98570615905322501</v>
      </c>
      <c r="O2341" s="2">
        <f ca="1"/>
        <v>0.15987332377074134</v>
      </c>
      <c r="X2341" s="2">
        <f ca="1"/>
        <v>38.43449163746255</v>
      </c>
      <c r="AG2341" s="2">
        <f ca="1"/>
        <v>0.56682630184964911</v>
      </c>
      <c r="AH2341" s="2" t="str">
        <f ca="1"/>
        <v>Bad</v>
      </c>
    </row>
    <row r="2342" spans="2:34" x14ac:dyDescent="0.2">
      <c r="B2342" s="2">
        <f ca="1"/>
        <v>0.58818693748167505</v>
      </c>
      <c r="O2342" s="2">
        <f ca="1"/>
        <v>-0.24679498553902651</v>
      </c>
      <c r="X2342" s="2">
        <f ca="1"/>
        <v>45.573922320488634</v>
      </c>
      <c r="AG2342" s="2">
        <f ca="1"/>
        <v>0.28637426656722242</v>
      </c>
      <c r="AH2342" s="2" t="str">
        <f ca="1"/>
        <v>OK</v>
      </c>
    </row>
    <row r="2343" spans="2:34" x14ac:dyDescent="0.2">
      <c r="B2343" s="2">
        <f ca="1"/>
        <v>0.49106712636690419</v>
      </c>
      <c r="O2343" s="2">
        <f ca="1"/>
        <v>-0.91295800484349932</v>
      </c>
      <c r="X2343" s="2">
        <f ca="1"/>
        <v>39.987206468585555</v>
      </c>
      <c r="AG2343" s="2">
        <f ca="1"/>
        <v>0.1366927117747212</v>
      </c>
      <c r="AH2343" s="2" t="str">
        <f ca="1"/>
        <v>OK</v>
      </c>
    </row>
    <row r="2344" spans="2:34" x14ac:dyDescent="0.2">
      <c r="B2344" s="2">
        <f ca="1"/>
        <v>0.87940622696028115</v>
      </c>
      <c r="O2344" s="2">
        <f ca="1"/>
        <v>0.57135741084177716</v>
      </c>
      <c r="X2344" s="2">
        <f ca="1"/>
        <v>33.824109386936264</v>
      </c>
      <c r="AG2344" s="2">
        <f ca="1"/>
        <v>0.32392851066085915</v>
      </c>
      <c r="AH2344" s="2" t="str">
        <f ca="1"/>
        <v>OK</v>
      </c>
    </row>
    <row r="2345" spans="2:34" x14ac:dyDescent="0.2">
      <c r="B2345" s="2">
        <f ca="1"/>
        <v>0.75431587067504813</v>
      </c>
      <c r="O2345" s="2">
        <f ca="1"/>
        <v>1.1319671960266571</v>
      </c>
      <c r="X2345" s="2">
        <f ca="1"/>
        <v>45.300687263606349</v>
      </c>
      <c r="AG2345" s="2">
        <f ca="1"/>
        <v>0.10483023695021476</v>
      </c>
      <c r="AH2345" s="2" t="str">
        <f ca="1"/>
        <v>OK</v>
      </c>
    </row>
    <row r="2346" spans="2:34" x14ac:dyDescent="0.2">
      <c r="B2346" s="2">
        <f ca="1"/>
        <v>0.15962161179780066</v>
      </c>
      <c r="O2346" s="2">
        <f ca="1"/>
        <v>-3.2720573647613792E-2</v>
      </c>
      <c r="X2346" s="2">
        <f ca="1"/>
        <v>43.173151466645827</v>
      </c>
      <c r="AG2346" s="2">
        <f ca="1"/>
        <v>0.41336811222186887</v>
      </c>
      <c r="AH2346" s="2" t="str">
        <f ca="1"/>
        <v>Bad</v>
      </c>
    </row>
    <row r="2347" spans="2:34" x14ac:dyDescent="0.2">
      <c r="B2347" s="2">
        <f ca="1"/>
        <v>0.43713920862060651</v>
      </c>
      <c r="O2347" s="2">
        <f ca="1"/>
        <v>0.25718088713072607</v>
      </c>
      <c r="X2347" s="2">
        <f ca="1"/>
        <v>66.566675258017511</v>
      </c>
      <c r="AG2347" s="2">
        <f ca="1"/>
        <v>0.39650804057748679</v>
      </c>
      <c r="AH2347" s="2" t="str">
        <f ca="1"/>
        <v>OK</v>
      </c>
    </row>
    <row r="2348" spans="2:34" x14ac:dyDescent="0.2">
      <c r="B2348" s="2">
        <f ca="1"/>
        <v>0.83843697816318752</v>
      </c>
      <c r="O2348" s="2">
        <f ca="1"/>
        <v>0.35961214804696157</v>
      </c>
      <c r="X2348" s="2">
        <f ca="1"/>
        <v>50.887296400065416</v>
      </c>
      <c r="AG2348" s="2">
        <f ca="1"/>
        <v>0.32322846169794039</v>
      </c>
      <c r="AH2348" s="2" t="str">
        <f ca="1"/>
        <v>OK</v>
      </c>
    </row>
    <row r="2349" spans="2:34" x14ac:dyDescent="0.2">
      <c r="B2349" s="2">
        <f ca="1"/>
        <v>3.3730037870843388E-2</v>
      </c>
      <c r="O2349" s="2">
        <f ca="1"/>
        <v>0.47830484785446348</v>
      </c>
      <c r="X2349" s="2">
        <f ca="1"/>
        <v>63.607113703386808</v>
      </c>
      <c r="AG2349" s="2">
        <f ca="1"/>
        <v>0.11122123783077398</v>
      </c>
      <c r="AH2349" s="2" t="str">
        <f ca="1"/>
        <v>OK</v>
      </c>
    </row>
    <row r="2350" spans="2:34" x14ac:dyDescent="0.2">
      <c r="B2350" s="2">
        <f ca="1"/>
        <v>0.66204693535769166</v>
      </c>
      <c r="O2350" s="2">
        <f ca="1"/>
        <v>1.8134809912048904</v>
      </c>
      <c r="X2350" s="2">
        <f ca="1"/>
        <v>54.189692121038703</v>
      </c>
      <c r="AG2350" s="2">
        <f ca="1"/>
        <v>0.49658966240447611</v>
      </c>
      <c r="AH2350" s="2" t="str">
        <f ca="1"/>
        <v>Bad</v>
      </c>
    </row>
    <row r="2351" spans="2:34" x14ac:dyDescent="0.2">
      <c r="B2351" s="2">
        <f ca="1"/>
        <v>1.3070595787983974E-2</v>
      </c>
      <c r="O2351" s="2">
        <f ca="1"/>
        <v>0.1348558104323076</v>
      </c>
      <c r="X2351" s="2">
        <f ca="1"/>
        <v>39.927652693818864</v>
      </c>
      <c r="AG2351" s="2">
        <f ca="1"/>
        <v>0.25875602248351748</v>
      </c>
      <c r="AH2351" s="2" t="str">
        <f ca="1"/>
        <v>OK</v>
      </c>
    </row>
    <row r="2352" spans="2:34" x14ac:dyDescent="0.2">
      <c r="B2352" s="2">
        <f ca="1"/>
        <v>0.92693269754663854</v>
      </c>
      <c r="O2352" s="2">
        <f ca="1"/>
        <v>-1.4767501484750138</v>
      </c>
      <c r="X2352" s="2">
        <f ca="1"/>
        <v>48.953942889596377</v>
      </c>
      <c r="AG2352" s="2">
        <f ca="1"/>
        <v>0.85250344404723788</v>
      </c>
      <c r="AH2352" s="2" t="str">
        <f ca="1"/>
        <v>Bad</v>
      </c>
    </row>
    <row r="2353" spans="2:34" x14ac:dyDescent="0.2">
      <c r="B2353" s="2">
        <f ca="1"/>
        <v>0.89082006223833421</v>
      </c>
      <c r="O2353" s="2">
        <f ca="1"/>
        <v>-0.76216433040014564</v>
      </c>
      <c r="X2353" s="2">
        <f ca="1"/>
        <v>52.812520159431131</v>
      </c>
      <c r="AG2353" s="2">
        <f ca="1"/>
        <v>0.98612128315487113</v>
      </c>
      <c r="AH2353" s="2" t="str">
        <f ca="1"/>
        <v>Bad</v>
      </c>
    </row>
    <row r="2354" spans="2:34" x14ac:dyDescent="0.2">
      <c r="B2354" s="2">
        <f ca="1"/>
        <v>0.82907894939055438</v>
      </c>
      <c r="O2354" s="2">
        <f ca="1"/>
        <v>0.13926551334274812</v>
      </c>
      <c r="X2354" s="2">
        <f ca="1"/>
        <v>84.573423062391527</v>
      </c>
      <c r="AG2354" s="2">
        <f ca="1"/>
        <v>4.6702282154930552E-2</v>
      </c>
      <c r="AH2354" s="2" t="str">
        <f ca="1"/>
        <v>Good</v>
      </c>
    </row>
    <row r="2355" spans="2:34" x14ac:dyDescent="0.2">
      <c r="B2355" s="2">
        <f ca="1"/>
        <v>0.22120037499366929</v>
      </c>
      <c r="O2355" s="2">
        <f ca="1"/>
        <v>-1.3507867892770111</v>
      </c>
      <c r="X2355" s="2">
        <f ca="1"/>
        <v>25.418781200206769</v>
      </c>
      <c r="AG2355" s="2">
        <f ca="1"/>
        <v>0.72997125350682524</v>
      </c>
      <c r="AH2355" s="2" t="str">
        <f ca="1"/>
        <v>Bad</v>
      </c>
    </row>
    <row r="2356" spans="2:34" x14ac:dyDescent="0.2">
      <c r="B2356" s="2">
        <f ca="1"/>
        <v>0.30904388265522287</v>
      </c>
      <c r="O2356" s="2">
        <f ca="1"/>
        <v>1.0236875104310941</v>
      </c>
      <c r="X2356" s="2">
        <f ca="1"/>
        <v>31.66175486623213</v>
      </c>
      <c r="AG2356" s="2">
        <f ca="1"/>
        <v>0.5454089540105056</v>
      </c>
      <c r="AH2356" s="2" t="str">
        <f ca="1"/>
        <v>Bad</v>
      </c>
    </row>
    <row r="2357" spans="2:34" x14ac:dyDescent="0.2">
      <c r="B2357" s="2">
        <f ca="1"/>
        <v>0.88305975447598883</v>
      </c>
      <c r="O2357" s="2">
        <f ca="1"/>
        <v>-2.9541698894859834E-2</v>
      </c>
      <c r="X2357" s="2">
        <f ca="1"/>
        <v>46.842236251493603</v>
      </c>
      <c r="AG2357" s="2">
        <f ca="1"/>
        <v>0.6641784695893127</v>
      </c>
      <c r="AH2357" s="2" t="str">
        <f ca="1"/>
        <v>Bad</v>
      </c>
    </row>
    <row r="2358" spans="2:34" x14ac:dyDescent="0.2">
      <c r="B2358" s="2">
        <f ca="1"/>
        <v>0.42936077752596691</v>
      </c>
      <c r="O2358" s="2">
        <f ca="1"/>
        <v>2.0108632412283605</v>
      </c>
      <c r="X2358" s="2">
        <f ca="1"/>
        <v>49.35093684407633</v>
      </c>
      <c r="AG2358" s="2">
        <f ca="1"/>
        <v>0.89616368968655769</v>
      </c>
      <c r="AH2358" s="2" t="str">
        <f ca="1"/>
        <v>Bad</v>
      </c>
    </row>
    <row r="2359" spans="2:34" x14ac:dyDescent="0.2">
      <c r="B2359" s="2">
        <f ca="1"/>
        <v>0.31940636882215534</v>
      </c>
      <c r="O2359" s="2">
        <f ca="1"/>
        <v>-1.0442808711495775</v>
      </c>
      <c r="X2359" s="2">
        <f ca="1"/>
        <v>44.709327249629887</v>
      </c>
      <c r="AG2359" s="2">
        <f ca="1"/>
        <v>0.45611884268306713</v>
      </c>
      <c r="AH2359" s="2" t="str">
        <f ca="1"/>
        <v>Bad</v>
      </c>
    </row>
    <row r="2360" spans="2:34" x14ac:dyDescent="0.2">
      <c r="B2360" s="2">
        <f ca="1"/>
        <v>0.96379030047917214</v>
      </c>
      <c r="O2360" s="2">
        <f ca="1"/>
        <v>0.94664508517376533</v>
      </c>
      <c r="X2360" s="2">
        <f ca="1"/>
        <v>25.006198560378934</v>
      </c>
      <c r="AG2360" s="2">
        <f ca="1"/>
        <v>0.751354976609657</v>
      </c>
      <c r="AH2360" s="2" t="str">
        <f ca="1"/>
        <v>Bad</v>
      </c>
    </row>
    <row r="2361" spans="2:34" x14ac:dyDescent="0.2">
      <c r="B2361" s="2">
        <f ca="1"/>
        <v>0.81943812678352335</v>
      </c>
      <c r="O2361" s="2">
        <f ca="1"/>
        <v>0.95117067272228173</v>
      </c>
      <c r="X2361" s="2">
        <f ca="1"/>
        <v>58.214786720112983</v>
      </c>
      <c r="AG2361" s="2">
        <f ca="1"/>
        <v>8.8258092375370412E-2</v>
      </c>
      <c r="AH2361" s="2" t="str">
        <f ca="1"/>
        <v>OK</v>
      </c>
    </row>
    <row r="2362" spans="2:34" x14ac:dyDescent="0.2">
      <c r="B2362" s="2">
        <f ca="1"/>
        <v>0.99702900896968005</v>
      </c>
      <c r="O2362" s="2">
        <f ca="1"/>
        <v>0.31018278921842274</v>
      </c>
      <c r="X2362" s="2">
        <f ca="1"/>
        <v>28.86407640775942</v>
      </c>
      <c r="AG2362" s="2">
        <f ca="1"/>
        <v>0.88557188118418351</v>
      </c>
      <c r="AH2362" s="2" t="str">
        <f ca="1"/>
        <v>Bad</v>
      </c>
    </row>
    <row r="2363" spans="2:34" x14ac:dyDescent="0.2">
      <c r="B2363" s="2">
        <f ca="1"/>
        <v>0.80826958887029932</v>
      </c>
      <c r="O2363" s="2">
        <f ca="1"/>
        <v>0.47217983124693441</v>
      </c>
      <c r="X2363" s="2">
        <f ca="1"/>
        <v>29.476858490166435</v>
      </c>
      <c r="AG2363" s="2">
        <f ca="1"/>
        <v>0.6002204862444831</v>
      </c>
      <c r="AH2363" s="2" t="str">
        <f ca="1"/>
        <v>Bad</v>
      </c>
    </row>
    <row r="2364" spans="2:34" x14ac:dyDescent="0.2">
      <c r="B2364" s="2">
        <f ca="1"/>
        <v>0.14768120756475533</v>
      </c>
      <c r="O2364" s="2">
        <f ca="1"/>
        <v>8.6577513877174259E-3</v>
      </c>
      <c r="X2364" s="2">
        <f ca="1"/>
        <v>22.278949001799258</v>
      </c>
      <c r="AG2364" s="2">
        <f ca="1"/>
        <v>0.64198387926621825</v>
      </c>
      <c r="AH2364" s="2" t="str">
        <f ca="1"/>
        <v>Bad</v>
      </c>
    </row>
    <row r="2365" spans="2:34" x14ac:dyDescent="0.2">
      <c r="B2365" s="2">
        <f ca="1"/>
        <v>0.85321652286545602</v>
      </c>
      <c r="O2365" s="2">
        <f ca="1"/>
        <v>-0.9314998782095868</v>
      </c>
      <c r="X2365" s="2">
        <f ca="1"/>
        <v>65.366817343579882</v>
      </c>
      <c r="AG2365" s="2">
        <f ca="1"/>
        <v>0.7852225733235485</v>
      </c>
      <c r="AH2365" s="2" t="str">
        <f ca="1"/>
        <v>Bad</v>
      </c>
    </row>
    <row r="2366" spans="2:34" x14ac:dyDescent="0.2">
      <c r="B2366" s="2">
        <f ca="1"/>
        <v>0.4753143693017059</v>
      </c>
      <c r="O2366" s="2">
        <f ca="1"/>
        <v>0.84207456388125546</v>
      </c>
      <c r="X2366" s="2">
        <f ca="1"/>
        <v>49.088975749875885</v>
      </c>
      <c r="AG2366" s="2">
        <f ca="1"/>
        <v>6.1070129303296472E-2</v>
      </c>
      <c r="AH2366" s="2" t="str">
        <f ca="1"/>
        <v>OK</v>
      </c>
    </row>
    <row r="2367" spans="2:34" x14ac:dyDescent="0.2">
      <c r="B2367" s="2">
        <f ca="1"/>
        <v>0.17704330573792326</v>
      </c>
      <c r="O2367" s="2">
        <f ca="1"/>
        <v>0.79106027394705714</v>
      </c>
      <c r="X2367" s="2">
        <f ca="1"/>
        <v>91.091674483347035</v>
      </c>
      <c r="AG2367" s="2">
        <f ca="1"/>
        <v>0.33457639151484475</v>
      </c>
      <c r="AH2367" s="2" t="str">
        <f ca="1"/>
        <v>OK</v>
      </c>
    </row>
    <row r="2368" spans="2:34" x14ac:dyDescent="0.2">
      <c r="B2368" s="2">
        <f ca="1"/>
        <v>0.92429514776966082</v>
      </c>
      <c r="O2368" s="2">
        <f ca="1"/>
        <v>0.34425134258021417</v>
      </c>
      <c r="X2368" s="2">
        <f ca="1"/>
        <v>49.531658684022936</v>
      </c>
      <c r="AG2368" s="2">
        <f ca="1"/>
        <v>0.73897134963109501</v>
      </c>
      <c r="AH2368" s="2" t="str">
        <f ca="1"/>
        <v>Bad</v>
      </c>
    </row>
    <row r="2369" spans="2:34" x14ac:dyDescent="0.2">
      <c r="B2369" s="2">
        <f ca="1"/>
        <v>0.95200728641771293</v>
      </c>
      <c r="O2369" s="2">
        <f ca="1"/>
        <v>-0.43893318317568908</v>
      </c>
      <c r="X2369" s="2">
        <f ca="1"/>
        <v>54.415289555396541</v>
      </c>
      <c r="AG2369" s="2">
        <f ca="1"/>
        <v>0.9606193518811732</v>
      </c>
      <c r="AH2369" s="2" t="str">
        <f ca="1"/>
        <v>Bad</v>
      </c>
    </row>
    <row r="2370" spans="2:34" x14ac:dyDescent="0.2">
      <c r="B2370" s="2">
        <f ca="1"/>
        <v>0.11573398793728984</v>
      </c>
      <c r="O2370" s="2">
        <f ca="1"/>
        <v>1.9790923103606148</v>
      </c>
      <c r="X2370" s="2">
        <f ca="1"/>
        <v>47.159692078033061</v>
      </c>
      <c r="AG2370" s="2">
        <f ca="1"/>
        <v>0.34311667248392053</v>
      </c>
      <c r="AH2370" s="2" t="str">
        <f ca="1"/>
        <v>OK</v>
      </c>
    </row>
    <row r="2371" spans="2:34" x14ac:dyDescent="0.2">
      <c r="B2371" s="2">
        <f ca="1"/>
        <v>0.80179145790629147</v>
      </c>
      <c r="O2371" s="2">
        <f ca="1"/>
        <v>-1.8317396123260046</v>
      </c>
      <c r="X2371" s="2">
        <f ca="1"/>
        <v>50.322138745949871</v>
      </c>
      <c r="AG2371" s="2">
        <f ca="1"/>
        <v>0.68407750916218624</v>
      </c>
      <c r="AH2371" s="2" t="str">
        <f ca="1"/>
        <v>Bad</v>
      </c>
    </row>
    <row r="2372" spans="2:34" x14ac:dyDescent="0.2">
      <c r="B2372" s="2">
        <f ca="1"/>
        <v>0.28730499696673673</v>
      </c>
      <c r="O2372" s="2">
        <f ca="1"/>
        <v>-0.91426850761848777</v>
      </c>
      <c r="X2372" s="2">
        <f ca="1"/>
        <v>54.504150592463425</v>
      </c>
      <c r="AG2372" s="2">
        <f ca="1"/>
        <v>0.83370385736450991</v>
      </c>
      <c r="AH2372" s="2" t="str">
        <f ca="1"/>
        <v>Bad</v>
      </c>
    </row>
    <row r="2373" spans="2:34" x14ac:dyDescent="0.2">
      <c r="B2373" s="2">
        <f ca="1"/>
        <v>0.63261706835471787</v>
      </c>
      <c r="O2373" s="2">
        <f ca="1"/>
        <v>-1.3573905970390812</v>
      </c>
      <c r="X2373" s="2">
        <f ca="1"/>
        <v>58.569218872175107</v>
      </c>
      <c r="AG2373" s="2">
        <f ca="1"/>
        <v>0.80857176694732735</v>
      </c>
      <c r="AH2373" s="2" t="str">
        <f ca="1"/>
        <v>Bad</v>
      </c>
    </row>
    <row r="2374" spans="2:34" x14ac:dyDescent="0.2">
      <c r="B2374" s="2">
        <f ca="1"/>
        <v>0.71444738271149677</v>
      </c>
      <c r="O2374" s="2">
        <f ca="1"/>
        <v>-1.7730306309203427</v>
      </c>
      <c r="X2374" s="2">
        <f ca="1"/>
        <v>46.527342704119505</v>
      </c>
      <c r="AG2374" s="2">
        <f ca="1"/>
        <v>2.4955584632177397E-2</v>
      </c>
      <c r="AH2374" s="2" t="str">
        <f ca="1"/>
        <v>Good</v>
      </c>
    </row>
    <row r="2375" spans="2:34" x14ac:dyDescent="0.2">
      <c r="B2375" s="2">
        <f ca="1"/>
        <v>0.76703005390365608</v>
      </c>
      <c r="O2375" s="2">
        <f ca="1"/>
        <v>1.7936375509707154</v>
      </c>
      <c r="X2375" s="2">
        <f ca="1"/>
        <v>48.719949718815975</v>
      </c>
      <c r="AG2375" s="2">
        <f ca="1"/>
        <v>0.99946102212248955</v>
      </c>
      <c r="AH2375" s="2" t="str">
        <f ca="1"/>
        <v>Bad</v>
      </c>
    </row>
    <row r="2376" spans="2:34" x14ac:dyDescent="0.2">
      <c r="B2376" s="2">
        <f ca="1"/>
        <v>7.997941942486797E-2</v>
      </c>
      <c r="O2376" s="2">
        <f ca="1"/>
        <v>-0.62125050604278287</v>
      </c>
      <c r="X2376" s="2">
        <f ca="1"/>
        <v>35.896842266813458</v>
      </c>
      <c r="AG2376" s="2">
        <f ca="1"/>
        <v>0.80685647439203412</v>
      </c>
      <c r="AH2376" s="2" t="str">
        <f ca="1"/>
        <v>Bad</v>
      </c>
    </row>
    <row r="2377" spans="2:34" x14ac:dyDescent="0.2">
      <c r="B2377" s="2">
        <f ca="1"/>
        <v>0.85067558840143453</v>
      </c>
      <c r="O2377" s="2">
        <f ca="1"/>
        <v>-0.64949103819181297</v>
      </c>
      <c r="X2377" s="2">
        <f ca="1"/>
        <v>45.308236112179145</v>
      </c>
      <c r="AG2377" s="2">
        <f ca="1"/>
        <v>9.6842509396474208E-2</v>
      </c>
      <c r="AH2377" s="2" t="str">
        <f ca="1"/>
        <v>OK</v>
      </c>
    </row>
    <row r="2378" spans="2:34" x14ac:dyDescent="0.2">
      <c r="B2378" s="2">
        <f ca="1"/>
        <v>0.46259326758168196</v>
      </c>
      <c r="O2378" s="2">
        <f ca="1"/>
        <v>0.3138734626249518</v>
      </c>
      <c r="X2378" s="2">
        <f ca="1"/>
        <v>44.368604873286131</v>
      </c>
      <c r="AG2378" s="2">
        <f ca="1"/>
        <v>0.62004381390086727</v>
      </c>
      <c r="AH2378" s="2" t="str">
        <f ca="1"/>
        <v>Bad</v>
      </c>
    </row>
    <row r="2379" spans="2:34" x14ac:dyDescent="0.2">
      <c r="B2379" s="2">
        <f ca="1"/>
        <v>5.87880026736598E-3</v>
      </c>
      <c r="O2379" s="2">
        <f ca="1"/>
        <v>-0.78758697876666417</v>
      </c>
      <c r="X2379" s="2">
        <f ca="1"/>
        <v>38.010003312454749</v>
      </c>
      <c r="AG2379" s="2">
        <f ca="1"/>
        <v>0.83553924467851859</v>
      </c>
      <c r="AH2379" s="2" t="str">
        <f ca="1"/>
        <v>Bad</v>
      </c>
    </row>
    <row r="2380" spans="2:34" x14ac:dyDescent="0.2">
      <c r="B2380" s="2">
        <f ca="1"/>
        <v>0.76209070087005082</v>
      </c>
      <c r="O2380" s="2">
        <f ca="1"/>
        <v>0.91655244992421148</v>
      </c>
      <c r="X2380" s="2">
        <f ca="1"/>
        <v>31.936075979356406</v>
      </c>
      <c r="AG2380" s="2">
        <f ca="1"/>
        <v>0.20843451718434203</v>
      </c>
      <c r="AH2380" s="2" t="str">
        <f ca="1"/>
        <v>OK</v>
      </c>
    </row>
    <row r="2381" spans="2:34" x14ac:dyDescent="0.2">
      <c r="B2381" s="2">
        <f ca="1"/>
        <v>0.71060728161417841</v>
      </c>
      <c r="O2381" s="2">
        <f ca="1"/>
        <v>-0.79334552297076499</v>
      </c>
      <c r="X2381" s="2">
        <f ca="1"/>
        <v>32.26118880945436</v>
      </c>
      <c r="AG2381" s="2">
        <f ca="1"/>
        <v>0.5875824160100831</v>
      </c>
      <c r="AH2381" s="2" t="str">
        <f ca="1"/>
        <v>Bad</v>
      </c>
    </row>
    <row r="2382" spans="2:34" x14ac:dyDescent="0.2">
      <c r="B2382" s="2">
        <f ca="1"/>
        <v>0.1176110330730471</v>
      </c>
      <c r="O2382" s="2">
        <f ca="1"/>
        <v>0.8480844537976282</v>
      </c>
      <c r="X2382" s="2">
        <f ca="1"/>
        <v>31.119240492862037</v>
      </c>
      <c r="AG2382" s="2">
        <f ca="1"/>
        <v>0.29695283430204267</v>
      </c>
      <c r="AH2382" s="2" t="str">
        <f ca="1"/>
        <v>OK</v>
      </c>
    </row>
    <row r="2383" spans="2:34" x14ac:dyDescent="0.2">
      <c r="B2383" s="2">
        <f ca="1"/>
        <v>0.48348480679780748</v>
      </c>
      <c r="O2383" s="2">
        <f ca="1"/>
        <v>2.0129153834509763</v>
      </c>
      <c r="X2383" s="2">
        <f ca="1"/>
        <v>38.310472054014618</v>
      </c>
      <c r="AG2383" s="2">
        <f ca="1"/>
        <v>0.97024502714716765</v>
      </c>
      <c r="AH2383" s="2" t="str">
        <f ca="1"/>
        <v>Bad</v>
      </c>
    </row>
    <row r="2384" spans="2:34" x14ac:dyDescent="0.2">
      <c r="B2384" s="2">
        <f ca="1"/>
        <v>0.16597020368567583</v>
      </c>
      <c r="O2384" s="2">
        <f ca="1"/>
        <v>0.37670644360172473</v>
      </c>
      <c r="X2384" s="2">
        <f ca="1"/>
        <v>56.721401988081901</v>
      </c>
      <c r="AG2384" s="2">
        <f ca="1"/>
        <v>0.28272528694503007</v>
      </c>
      <c r="AH2384" s="2" t="str">
        <f ca="1"/>
        <v>OK</v>
      </c>
    </row>
    <row r="2385" spans="2:34" x14ac:dyDescent="0.2">
      <c r="B2385" s="2">
        <f ca="1"/>
        <v>0.60538493823988659</v>
      </c>
      <c r="O2385" s="2">
        <f ca="1"/>
        <v>0.38427216216420851</v>
      </c>
      <c r="X2385" s="2">
        <f ca="1"/>
        <v>59.817083397643785</v>
      </c>
      <c r="AG2385" s="2">
        <f ca="1"/>
        <v>0.96744551625714403</v>
      </c>
      <c r="AH2385" s="2" t="str">
        <f ca="1"/>
        <v>Bad</v>
      </c>
    </row>
    <row r="2386" spans="2:34" x14ac:dyDescent="0.2">
      <c r="B2386" s="2">
        <f ca="1"/>
        <v>7.7169225553565646E-2</v>
      </c>
      <c r="O2386" s="2">
        <f ca="1"/>
        <v>-0.52556044199753793</v>
      </c>
      <c r="X2386" s="2">
        <f ca="1"/>
        <v>53.812456863662234</v>
      </c>
      <c r="AG2386" s="2">
        <f ca="1"/>
        <v>0.59006003711130717</v>
      </c>
      <c r="AH2386" s="2" t="str">
        <f ca="1"/>
        <v>Bad</v>
      </c>
    </row>
    <row r="2387" spans="2:34" x14ac:dyDescent="0.2">
      <c r="B2387" s="2">
        <f ca="1"/>
        <v>0.55308000485694397</v>
      </c>
      <c r="O2387" s="2">
        <f ca="1"/>
        <v>1.0766572760246422</v>
      </c>
      <c r="X2387" s="2">
        <f ca="1"/>
        <v>48.32916621663415</v>
      </c>
      <c r="AG2387" s="2">
        <f ca="1"/>
        <v>0.76253446034956762</v>
      </c>
      <c r="AH2387" s="2" t="str">
        <f ca="1"/>
        <v>Bad</v>
      </c>
    </row>
    <row r="2388" spans="2:34" x14ac:dyDescent="0.2">
      <c r="B2388" s="2">
        <f ca="1"/>
        <v>0.92237886952839077</v>
      </c>
      <c r="O2388" s="2">
        <f ca="1"/>
        <v>-0.33572270774114099</v>
      </c>
      <c r="X2388" s="2">
        <f ca="1"/>
        <v>58.005728330002491</v>
      </c>
      <c r="AG2388" s="2">
        <f ca="1"/>
        <v>0.49128029163210662</v>
      </c>
      <c r="AH2388" s="2" t="str">
        <f ca="1"/>
        <v>Bad</v>
      </c>
    </row>
    <row r="2389" spans="2:34" x14ac:dyDescent="0.2">
      <c r="B2389" s="2">
        <f ca="1"/>
        <v>0.83220786608280717</v>
      </c>
      <c r="O2389" s="2">
        <f ca="1"/>
        <v>0.88825422051002145</v>
      </c>
      <c r="X2389" s="2">
        <f ca="1"/>
        <v>52.22511149292032</v>
      </c>
      <c r="AG2389" s="2">
        <f ca="1"/>
        <v>6.8981470980181259E-2</v>
      </c>
      <c r="AH2389" s="2" t="str">
        <f ca="1"/>
        <v>OK</v>
      </c>
    </row>
    <row r="2390" spans="2:34" x14ac:dyDescent="0.2">
      <c r="B2390" s="2">
        <f ca="1"/>
        <v>0.92003053344308894</v>
      </c>
      <c r="O2390" s="2">
        <f ca="1"/>
        <v>-1.3509294776247043</v>
      </c>
      <c r="X2390" s="2">
        <f ca="1"/>
        <v>28.009738650045996</v>
      </c>
      <c r="AG2390" s="2">
        <f ca="1"/>
        <v>0.99882399550013612</v>
      </c>
      <c r="AH2390" s="2" t="str">
        <f ca="1"/>
        <v>Bad</v>
      </c>
    </row>
    <row r="2391" spans="2:34" x14ac:dyDescent="0.2">
      <c r="B2391" s="2">
        <f ca="1"/>
        <v>0.80069075824724489</v>
      </c>
      <c r="O2391" s="2">
        <f ca="1"/>
        <v>4.209402110058108E-2</v>
      </c>
      <c r="X2391" s="2">
        <f ca="1"/>
        <v>67.776826581528894</v>
      </c>
      <c r="AG2391" s="2">
        <f ca="1"/>
        <v>0.79334423581612401</v>
      </c>
      <c r="AH2391" s="2" t="str">
        <f ca="1"/>
        <v>Bad</v>
      </c>
    </row>
    <row r="2392" spans="2:34" x14ac:dyDescent="0.2">
      <c r="B2392" s="2">
        <f ca="1"/>
        <v>0.54331343931207354</v>
      </c>
      <c r="O2392" s="2">
        <f ca="1"/>
        <v>-0.89179982013603143</v>
      </c>
      <c r="X2392" s="2">
        <f ca="1"/>
        <v>59.591488622646764</v>
      </c>
      <c r="AG2392" s="2">
        <f ca="1"/>
        <v>5.0827021246033111E-2</v>
      </c>
      <c r="AH2392" s="2" t="str">
        <f ca="1"/>
        <v>OK</v>
      </c>
    </row>
    <row r="2393" spans="2:34" x14ac:dyDescent="0.2">
      <c r="B2393" s="2">
        <f ca="1"/>
        <v>0.85248025268940442</v>
      </c>
      <c r="O2393" s="2">
        <f ca="1"/>
        <v>0.96437064112016291</v>
      </c>
      <c r="X2393" s="2">
        <f ca="1"/>
        <v>49.68189877403438</v>
      </c>
      <c r="AG2393" s="2">
        <f ca="1"/>
        <v>0.80099805013680014</v>
      </c>
      <c r="AH2393" s="2" t="str">
        <f ca="1"/>
        <v>Bad</v>
      </c>
    </row>
    <row r="2394" spans="2:34" x14ac:dyDescent="0.2">
      <c r="B2394" s="2">
        <f ca="1"/>
        <v>6.1229345266168522E-2</v>
      </c>
      <c r="O2394" s="2">
        <f ca="1"/>
        <v>2.3623027881390977</v>
      </c>
      <c r="X2394" s="2">
        <f ca="1"/>
        <v>33.862866162064201</v>
      </c>
      <c r="AG2394" s="2">
        <f ca="1"/>
        <v>0.48713501268367176</v>
      </c>
      <c r="AH2394" s="2" t="str">
        <f ca="1"/>
        <v>Bad</v>
      </c>
    </row>
    <row r="2395" spans="2:34" x14ac:dyDescent="0.2">
      <c r="B2395" s="2">
        <f ca="1"/>
        <v>0.42395642769982378</v>
      </c>
      <c r="O2395" s="2">
        <f ca="1"/>
        <v>0.18644791412415504</v>
      </c>
      <c r="X2395" s="2">
        <f ca="1"/>
        <v>28.755450035503362</v>
      </c>
      <c r="AG2395" s="2">
        <f ca="1"/>
        <v>6.7632098851239553E-2</v>
      </c>
      <c r="AH2395" s="2" t="str">
        <f ca="1"/>
        <v>OK</v>
      </c>
    </row>
    <row r="2396" spans="2:34" x14ac:dyDescent="0.2">
      <c r="B2396" s="2">
        <f ca="1"/>
        <v>0.67716222435139262</v>
      </c>
      <c r="O2396" s="2">
        <f ca="1"/>
        <v>-1.0171432480444831</v>
      </c>
      <c r="X2396" s="2">
        <f ca="1"/>
        <v>39.335149180077245</v>
      </c>
      <c r="AG2396" s="2">
        <f ca="1"/>
        <v>0.57718951265866791</v>
      </c>
      <c r="AH2396" s="2" t="str">
        <f ca="1"/>
        <v>Bad</v>
      </c>
    </row>
    <row r="2397" spans="2:34" x14ac:dyDescent="0.2">
      <c r="B2397" s="2">
        <f ca="1"/>
        <v>0.58493049783770701</v>
      </c>
      <c r="O2397" s="2">
        <f ca="1"/>
        <v>-0.80983748903659469</v>
      </c>
      <c r="X2397" s="2">
        <f ca="1"/>
        <v>43.970138433877217</v>
      </c>
      <c r="AG2397" s="2">
        <f ca="1"/>
        <v>0.19145810977435596</v>
      </c>
      <c r="AH2397" s="2" t="str">
        <f ca="1"/>
        <v>OK</v>
      </c>
    </row>
    <row r="2398" spans="2:34" x14ac:dyDescent="0.2">
      <c r="B2398" s="2">
        <f ca="1"/>
        <v>0.72785530536029097</v>
      </c>
      <c r="O2398" s="2">
        <f ca="1"/>
        <v>2.1933410135329323</v>
      </c>
      <c r="X2398" s="2">
        <f ca="1"/>
        <v>47.452103501666478</v>
      </c>
      <c r="AG2398" s="2">
        <f ca="1"/>
        <v>9.7967796714064637E-3</v>
      </c>
      <c r="AH2398" s="2" t="str">
        <f ca="1"/>
        <v>Good</v>
      </c>
    </row>
    <row r="2399" spans="2:34" x14ac:dyDescent="0.2">
      <c r="B2399" s="2">
        <f ca="1"/>
        <v>0.60537742335659717</v>
      </c>
      <c r="O2399" s="2">
        <f ca="1"/>
        <v>5.3686516922838955E-2</v>
      </c>
      <c r="X2399" s="2">
        <f ca="1"/>
        <v>57.012174627102596</v>
      </c>
      <c r="AG2399" s="2">
        <f ca="1"/>
        <v>0.97231470988427127</v>
      </c>
      <c r="AH2399" s="2" t="str">
        <f ca="1"/>
        <v>Bad</v>
      </c>
    </row>
    <row r="2400" spans="2:34" x14ac:dyDescent="0.2">
      <c r="B2400" s="2">
        <f ca="1"/>
        <v>0.13577467779264696</v>
      </c>
      <c r="O2400" s="2">
        <f ca="1"/>
        <v>1.4280557149160891</v>
      </c>
      <c r="X2400" s="2">
        <f ca="1"/>
        <v>56.07747668474402</v>
      </c>
      <c r="AG2400" s="2">
        <f ca="1"/>
        <v>0.83123454058120938</v>
      </c>
      <c r="AH2400" s="2" t="str">
        <f ca="1"/>
        <v>Bad</v>
      </c>
    </row>
    <row r="2401" spans="2:34" x14ac:dyDescent="0.2">
      <c r="B2401" s="2">
        <f ca="1"/>
        <v>0.27985651851348292</v>
      </c>
      <c r="O2401" s="2">
        <f ca="1"/>
        <v>0.32693147023877428</v>
      </c>
      <c r="X2401" s="2">
        <f ca="1"/>
        <v>52.449900741313122</v>
      </c>
      <c r="AG2401" s="2">
        <f ca="1"/>
        <v>0.17868484088728498</v>
      </c>
      <c r="AH2401" s="2" t="str">
        <f ca="1"/>
        <v>OK</v>
      </c>
    </row>
    <row r="2402" spans="2:34" x14ac:dyDescent="0.2">
      <c r="B2402" s="2">
        <f ca="1"/>
        <v>0.60587474127321328</v>
      </c>
      <c r="O2402" s="2">
        <f ca="1"/>
        <v>-0.30259511250888405</v>
      </c>
      <c r="X2402" s="2">
        <f ca="1"/>
        <v>60.999322006843578</v>
      </c>
      <c r="AG2402" s="2">
        <f ca="1"/>
        <v>0.25619023831223009</v>
      </c>
      <c r="AH2402" s="2" t="str">
        <f ca="1"/>
        <v>OK</v>
      </c>
    </row>
    <row r="2403" spans="2:34" x14ac:dyDescent="0.2">
      <c r="B2403" s="2">
        <f ca="1"/>
        <v>0.80438423664097147</v>
      </c>
      <c r="O2403" s="2">
        <f ca="1"/>
        <v>-1.3210714987656493</v>
      </c>
      <c r="X2403" s="2">
        <f ca="1"/>
        <v>51.094015245911315</v>
      </c>
      <c r="AG2403" s="2">
        <f ca="1"/>
        <v>1.5736488700293538E-2</v>
      </c>
      <c r="AH2403" s="2" t="str">
        <f ca="1"/>
        <v>Good</v>
      </c>
    </row>
    <row r="2404" spans="2:34" x14ac:dyDescent="0.2">
      <c r="B2404" s="2">
        <f ca="1"/>
        <v>0.58691641978150333</v>
      </c>
      <c r="O2404" s="2">
        <f ca="1"/>
        <v>-1.9833214311972338</v>
      </c>
      <c r="X2404" s="2">
        <f ca="1"/>
        <v>61.205685211530209</v>
      </c>
      <c r="AG2404" s="2">
        <f ca="1"/>
        <v>0.92438839968384334</v>
      </c>
      <c r="AH2404" s="2" t="str">
        <f ca="1"/>
        <v>Bad</v>
      </c>
    </row>
    <row r="2405" spans="2:34" x14ac:dyDescent="0.2">
      <c r="B2405" s="2">
        <f ca="1"/>
        <v>7.239838771444429E-2</v>
      </c>
      <c r="O2405" s="2">
        <f ca="1"/>
        <v>1.4925340484194802</v>
      </c>
      <c r="X2405" s="2">
        <f ca="1"/>
        <v>74.53831764424757</v>
      </c>
      <c r="AG2405" s="2">
        <f ca="1"/>
        <v>5.2344339158683084E-5</v>
      </c>
      <c r="AH2405" s="2" t="str">
        <f ca="1"/>
        <v>Good</v>
      </c>
    </row>
    <row r="2406" spans="2:34" x14ac:dyDescent="0.2">
      <c r="B2406" s="2">
        <f ca="1"/>
        <v>0.40160867642645037</v>
      </c>
      <c r="O2406" s="2">
        <f ca="1"/>
        <v>-0.61179491760853333</v>
      </c>
      <c r="X2406" s="2">
        <f ca="1"/>
        <v>55.306263168904593</v>
      </c>
      <c r="AG2406" s="2">
        <f ca="1"/>
        <v>0.61425355896530465</v>
      </c>
      <c r="AH2406" s="2" t="str">
        <f ca="1"/>
        <v>Bad</v>
      </c>
    </row>
    <row r="2407" spans="2:34" x14ac:dyDescent="0.2">
      <c r="B2407" s="2">
        <f ca="1"/>
        <v>0.46082653879919477</v>
      </c>
      <c r="O2407" s="2">
        <f ca="1"/>
        <v>1.2076339814792907</v>
      </c>
      <c r="X2407" s="2">
        <f ca="1"/>
        <v>70.667535689262579</v>
      </c>
      <c r="AG2407" s="2">
        <f ca="1"/>
        <v>0.45848935353098375</v>
      </c>
      <c r="AH2407" s="2" t="str">
        <f ca="1"/>
        <v>Bad</v>
      </c>
    </row>
    <row r="2408" spans="2:34" x14ac:dyDescent="0.2">
      <c r="B2408" s="2">
        <f ca="1"/>
        <v>0.36016027186299548</v>
      </c>
      <c r="O2408" s="2">
        <f ca="1"/>
        <v>-1.105001825176124</v>
      </c>
      <c r="X2408" s="2">
        <f ca="1"/>
        <v>27.815561983479611</v>
      </c>
      <c r="AG2408" s="2">
        <f ca="1"/>
        <v>0.17375492972703466</v>
      </c>
      <c r="AH2408" s="2" t="str">
        <f ca="1"/>
        <v>OK</v>
      </c>
    </row>
    <row r="2409" spans="2:34" x14ac:dyDescent="0.2">
      <c r="B2409" s="2">
        <f ca="1"/>
        <v>0.91601446677368159</v>
      </c>
      <c r="O2409" s="2">
        <f ca="1"/>
        <v>2.5425972103875689</v>
      </c>
      <c r="X2409" s="2">
        <f ca="1"/>
        <v>54.864772371451203</v>
      </c>
      <c r="AG2409" s="2">
        <f ca="1"/>
        <v>0.1331763278686604</v>
      </c>
      <c r="AH2409" s="2" t="str">
        <f ca="1"/>
        <v>OK</v>
      </c>
    </row>
    <row r="2410" spans="2:34" x14ac:dyDescent="0.2">
      <c r="B2410" s="2">
        <f ca="1"/>
        <v>0.83865746792587625</v>
      </c>
      <c r="O2410" s="2">
        <f ca="1"/>
        <v>-1.3634367508431726</v>
      </c>
      <c r="X2410" s="2">
        <f ca="1"/>
        <v>39.70066068981081</v>
      </c>
      <c r="AG2410" s="2">
        <f ca="1"/>
        <v>0.56448004724850165</v>
      </c>
      <c r="AH2410" s="2" t="str">
        <f ca="1"/>
        <v>Bad</v>
      </c>
    </row>
    <row r="2411" spans="2:34" x14ac:dyDescent="0.2">
      <c r="B2411" s="2">
        <f ca="1"/>
        <v>0.14446527111376084</v>
      </c>
      <c r="O2411" s="2">
        <f ca="1"/>
        <v>2.6724989206776599</v>
      </c>
      <c r="X2411" s="2">
        <f ca="1"/>
        <v>38.553023995509569</v>
      </c>
      <c r="AG2411" s="2">
        <f ca="1"/>
        <v>0.74953432855214697</v>
      </c>
      <c r="AH2411" s="2" t="str">
        <f ca="1"/>
        <v>Bad</v>
      </c>
    </row>
    <row r="2412" spans="2:34" x14ac:dyDescent="0.2">
      <c r="B2412" s="2">
        <f ca="1"/>
        <v>0.25958322446209148</v>
      </c>
      <c r="O2412" s="2">
        <f ca="1"/>
        <v>-1.7631060141605626</v>
      </c>
      <c r="X2412" s="2">
        <f ca="1"/>
        <v>70.924250013913593</v>
      </c>
      <c r="AG2412" s="2">
        <f ca="1"/>
        <v>0.956872361058557</v>
      </c>
      <c r="AH2412" s="2" t="str">
        <f ca="1"/>
        <v>Bad</v>
      </c>
    </row>
    <row r="2413" spans="2:34" x14ac:dyDescent="0.2">
      <c r="B2413" s="2">
        <f ca="1"/>
        <v>0.46599486820728475</v>
      </c>
      <c r="O2413" s="2">
        <f ca="1"/>
        <v>-0.28824077922222047</v>
      </c>
      <c r="X2413" s="2">
        <f ca="1"/>
        <v>65.294887353546613</v>
      </c>
      <c r="AG2413" s="2">
        <f ca="1"/>
        <v>0.1557142464118646</v>
      </c>
      <c r="AH2413" s="2" t="str">
        <f ca="1"/>
        <v>OK</v>
      </c>
    </row>
    <row r="2414" spans="2:34" x14ac:dyDescent="0.2">
      <c r="B2414" s="2">
        <f ca="1"/>
        <v>6.391490037059544E-2</v>
      </c>
      <c r="O2414" s="2">
        <f ca="1"/>
        <v>-0.6032782176608229</v>
      </c>
      <c r="X2414" s="2">
        <f ca="1"/>
        <v>37.885992212670423</v>
      </c>
      <c r="AG2414" s="2">
        <f ca="1"/>
        <v>0.78477041300159001</v>
      </c>
      <c r="AH2414" s="2" t="str">
        <f ca="1"/>
        <v>Bad</v>
      </c>
    </row>
    <row r="2415" spans="2:34" x14ac:dyDescent="0.2">
      <c r="B2415" s="2">
        <f ca="1"/>
        <v>2.2884754916458583E-2</v>
      </c>
      <c r="O2415" s="2">
        <f ca="1"/>
        <v>0.64464537472573147</v>
      </c>
      <c r="X2415" s="2">
        <f ca="1"/>
        <v>49.090636993518508</v>
      </c>
      <c r="AG2415" s="2">
        <f ca="1"/>
        <v>0.32874936742970018</v>
      </c>
      <c r="AH2415" s="2" t="str">
        <f ca="1"/>
        <v>OK</v>
      </c>
    </row>
    <row r="2416" spans="2:34" x14ac:dyDescent="0.2">
      <c r="B2416" s="2">
        <f ca="1"/>
        <v>0.58010855789663518</v>
      </c>
      <c r="O2416" s="2">
        <f ca="1"/>
        <v>1.0877967116804252</v>
      </c>
      <c r="X2416" s="2">
        <f ca="1"/>
        <v>43.776618394826549</v>
      </c>
      <c r="AG2416" s="2">
        <f ca="1"/>
        <v>0.47237063891718267</v>
      </c>
      <c r="AH2416" s="2" t="str">
        <f ca="1"/>
        <v>Bad</v>
      </c>
    </row>
    <row r="2417" spans="2:34" x14ac:dyDescent="0.2">
      <c r="B2417" s="2">
        <f ca="1"/>
        <v>0.46277912311613956</v>
      </c>
      <c r="O2417" s="2">
        <f ca="1"/>
        <v>0.55670331409687823</v>
      </c>
      <c r="X2417" s="2">
        <f ca="1"/>
        <v>63.387757646961774</v>
      </c>
      <c r="AG2417" s="2">
        <f ca="1"/>
        <v>0.25481035036111388</v>
      </c>
      <c r="AH2417" s="2" t="str">
        <f ca="1"/>
        <v>OK</v>
      </c>
    </row>
    <row r="2418" spans="2:34" x14ac:dyDescent="0.2">
      <c r="B2418" s="2">
        <f ca="1"/>
        <v>0.88974345154680323</v>
      </c>
      <c r="O2418" s="2">
        <f ca="1"/>
        <v>0.18150834542673325</v>
      </c>
      <c r="X2418" s="2">
        <f ca="1"/>
        <v>118.07441603372175</v>
      </c>
      <c r="AG2418" s="2">
        <f ca="1"/>
        <v>9.1871796791167526E-3</v>
      </c>
      <c r="AH2418" s="2" t="str">
        <f ca="1"/>
        <v>Good</v>
      </c>
    </row>
    <row r="2419" spans="2:34" x14ac:dyDescent="0.2">
      <c r="B2419" s="2">
        <f ca="1"/>
        <v>0.19558985326902079</v>
      </c>
      <c r="O2419" s="2">
        <f ca="1"/>
        <v>-0.70358978784311221</v>
      </c>
      <c r="X2419" s="2">
        <f ca="1"/>
        <v>23.152390342609792</v>
      </c>
      <c r="AG2419" s="2">
        <f ca="1"/>
        <v>0.21888972940445428</v>
      </c>
      <c r="AH2419" s="2" t="str">
        <f ca="1"/>
        <v>OK</v>
      </c>
    </row>
    <row r="2420" spans="2:34" x14ac:dyDescent="0.2">
      <c r="B2420" s="2">
        <f ca="1"/>
        <v>0.36907778213830733</v>
      </c>
      <c r="O2420" s="2">
        <f ca="1"/>
        <v>-0.59174383850526358</v>
      </c>
      <c r="X2420" s="2">
        <f ca="1"/>
        <v>60.093440949437962</v>
      </c>
      <c r="AG2420" s="2">
        <f ca="1"/>
        <v>0.57503580286295852</v>
      </c>
      <c r="AH2420" s="2" t="str">
        <f ca="1"/>
        <v>Bad</v>
      </c>
    </row>
    <row r="2421" spans="2:34" x14ac:dyDescent="0.2">
      <c r="B2421" s="2">
        <f ca="1"/>
        <v>0.92089871255360189</v>
      </c>
      <c r="O2421" s="2">
        <f ca="1"/>
        <v>1.5607459552597707</v>
      </c>
      <c r="X2421" s="2">
        <f ca="1"/>
        <v>45.450510061253922</v>
      </c>
      <c r="AG2421" s="2">
        <f ca="1"/>
        <v>0.86584033189358722</v>
      </c>
      <c r="AH2421" s="2" t="str">
        <f ca="1"/>
        <v>Bad</v>
      </c>
    </row>
    <row r="2422" spans="2:34" x14ac:dyDescent="0.2">
      <c r="B2422" s="2">
        <f ca="1"/>
        <v>0.29276751154329017</v>
      </c>
      <c r="O2422" s="2">
        <f ca="1"/>
        <v>-2.6900033052447311E-2</v>
      </c>
      <c r="X2422" s="2">
        <f ca="1"/>
        <v>52.150234064838905</v>
      </c>
      <c r="AG2422" s="2">
        <f ca="1"/>
        <v>0.49417297964132056</v>
      </c>
      <c r="AH2422" s="2" t="str">
        <f ca="1"/>
        <v>Bad</v>
      </c>
    </row>
    <row r="2423" spans="2:34" x14ac:dyDescent="0.2">
      <c r="B2423" s="2">
        <f ca="1"/>
        <v>0.94034997361101147</v>
      </c>
      <c r="O2423" s="2">
        <f ca="1"/>
        <v>1.4446698089886687</v>
      </c>
      <c r="X2423" s="2">
        <f ca="1"/>
        <v>28.655591201615223</v>
      </c>
      <c r="AG2423" s="2">
        <f ca="1"/>
        <v>0.66802770833565939</v>
      </c>
      <c r="AH2423" s="2" t="str">
        <f ca="1"/>
        <v>Bad</v>
      </c>
    </row>
    <row r="2424" spans="2:34" x14ac:dyDescent="0.2">
      <c r="B2424" s="2">
        <f ca="1"/>
        <v>0.47140233344632421</v>
      </c>
      <c r="O2424" s="2">
        <f ca="1"/>
        <v>1.4795224402499358</v>
      </c>
      <c r="X2424" s="2">
        <f ca="1"/>
        <v>81.360894620768818</v>
      </c>
      <c r="AG2424" s="2">
        <f ca="1"/>
        <v>0.90029050527183552</v>
      </c>
      <c r="AH2424" s="2" t="str">
        <f ca="1"/>
        <v>Bad</v>
      </c>
    </row>
    <row r="2425" spans="2:34" x14ac:dyDescent="0.2">
      <c r="B2425" s="2">
        <f ca="1"/>
        <v>0.97614208980040518</v>
      </c>
      <c r="O2425" s="2">
        <f ca="1"/>
        <v>-0.50430270196252891</v>
      </c>
      <c r="X2425" s="2">
        <f ca="1"/>
        <v>42.241828713110039</v>
      </c>
      <c r="AG2425" s="2">
        <f ca="1"/>
        <v>0.72648510483816575</v>
      </c>
      <c r="AH2425" s="2" t="str">
        <f ca="1"/>
        <v>Bad</v>
      </c>
    </row>
    <row r="2426" spans="2:34" x14ac:dyDescent="0.2">
      <c r="B2426" s="2">
        <f ca="1"/>
        <v>0.94217393606490107</v>
      </c>
      <c r="O2426" s="2">
        <f ca="1"/>
        <v>-2.3567340425392915</v>
      </c>
      <c r="X2426" s="2">
        <f ca="1"/>
        <v>55.423085471992984</v>
      </c>
      <c r="AG2426" s="2">
        <f ca="1"/>
        <v>0.14780123541334289</v>
      </c>
      <c r="AH2426" s="2" t="str">
        <f ca="1"/>
        <v>OK</v>
      </c>
    </row>
    <row r="2427" spans="2:34" x14ac:dyDescent="0.2">
      <c r="B2427" s="2">
        <f ca="1"/>
        <v>0.95873890951456953</v>
      </c>
      <c r="O2427" s="2">
        <f ca="1"/>
        <v>-1.3476458221211742</v>
      </c>
      <c r="X2427" s="2">
        <f ca="1"/>
        <v>74.746014111846549</v>
      </c>
      <c r="AG2427" s="2">
        <f ca="1"/>
        <v>0.78848042255450723</v>
      </c>
      <c r="AH2427" s="2" t="str">
        <f ca="1"/>
        <v>Bad</v>
      </c>
    </row>
    <row r="2428" spans="2:34" x14ac:dyDescent="0.2">
      <c r="B2428" s="2">
        <f ca="1"/>
        <v>0.73700384021549037</v>
      </c>
      <c r="O2428" s="2">
        <f ca="1"/>
        <v>-0.99309290144889628</v>
      </c>
      <c r="X2428" s="2">
        <f ca="1"/>
        <v>36.127592586393277</v>
      </c>
      <c r="AG2428" s="2">
        <f ca="1"/>
        <v>0.82706924038875562</v>
      </c>
      <c r="AH2428" s="2" t="str">
        <f ca="1"/>
        <v>Bad</v>
      </c>
    </row>
    <row r="2429" spans="2:34" x14ac:dyDescent="0.2">
      <c r="B2429" s="2">
        <f ca="1"/>
        <v>0.98616893707406161</v>
      </c>
      <c r="O2429" s="2">
        <f ca="1"/>
        <v>-1.4596067405957919E-2</v>
      </c>
      <c r="X2429" s="2">
        <f ca="1"/>
        <v>55.869043801406036</v>
      </c>
      <c r="AG2429" s="2">
        <f ca="1"/>
        <v>0.49959576792964544</v>
      </c>
      <c r="AH2429" s="2" t="str">
        <f ca="1"/>
        <v>Bad</v>
      </c>
    </row>
    <row r="2430" spans="2:34" x14ac:dyDescent="0.2">
      <c r="B2430" s="2">
        <f ca="1"/>
        <v>6.126187076267442E-2</v>
      </c>
      <c r="O2430" s="2">
        <f ca="1"/>
        <v>1.6084856009696995</v>
      </c>
      <c r="X2430" s="2">
        <f ca="1"/>
        <v>78.826824167918033</v>
      </c>
      <c r="AG2430" s="2">
        <f ca="1"/>
        <v>0.90552072721782628</v>
      </c>
      <c r="AH2430" s="2" t="str">
        <f ca="1"/>
        <v>Bad</v>
      </c>
    </row>
    <row r="2431" spans="2:34" x14ac:dyDescent="0.2">
      <c r="B2431" s="2">
        <f ca="1"/>
        <v>0.26179155841110258</v>
      </c>
      <c r="O2431" s="2">
        <f ca="1"/>
        <v>0.66364671180265988</v>
      </c>
      <c r="X2431" s="2">
        <f ca="1"/>
        <v>79.011832852251814</v>
      </c>
      <c r="AG2431" s="2">
        <f ca="1"/>
        <v>0.586511589992885</v>
      </c>
      <c r="AH2431" s="2" t="str">
        <f ca="1"/>
        <v>Bad</v>
      </c>
    </row>
    <row r="2432" spans="2:34" x14ac:dyDescent="0.2">
      <c r="B2432" s="2">
        <f ca="1"/>
        <v>0.30567362636195505</v>
      </c>
      <c r="O2432" s="2">
        <f ca="1"/>
        <v>-0.77513483821017459</v>
      </c>
      <c r="X2432" s="2">
        <f ca="1"/>
        <v>44.297810590672725</v>
      </c>
      <c r="AG2432" s="2">
        <f ca="1"/>
        <v>0.64931604279849475</v>
      </c>
      <c r="AH2432" s="2" t="str">
        <f ca="1"/>
        <v>Bad</v>
      </c>
    </row>
    <row r="2433" spans="2:34" x14ac:dyDescent="0.2">
      <c r="B2433" s="2">
        <f ca="1"/>
        <v>0.62184830899203747</v>
      </c>
      <c r="O2433" s="2">
        <f ca="1"/>
        <v>-0.92479766799679608</v>
      </c>
      <c r="X2433" s="2">
        <f ca="1"/>
        <v>53.562316340895613</v>
      </c>
      <c r="AG2433" s="2">
        <f ca="1"/>
        <v>0.27375752207119008</v>
      </c>
      <c r="AH2433" s="2" t="str">
        <f ca="1"/>
        <v>OK</v>
      </c>
    </row>
    <row r="2434" spans="2:34" x14ac:dyDescent="0.2">
      <c r="B2434" s="2">
        <f ca="1"/>
        <v>0.84269780451201659</v>
      </c>
      <c r="O2434" s="2">
        <f ca="1"/>
        <v>0.26799405650286739</v>
      </c>
      <c r="X2434" s="2">
        <f ca="1"/>
        <v>65.059856193496174</v>
      </c>
      <c r="AG2434" s="2">
        <f ca="1"/>
        <v>0.73537124857219349</v>
      </c>
      <c r="AH2434" s="2" t="str">
        <f ca="1"/>
        <v>Bad</v>
      </c>
    </row>
    <row r="2435" spans="2:34" x14ac:dyDescent="0.2">
      <c r="B2435" s="2">
        <f ca="1"/>
        <v>0.45947491192085699</v>
      </c>
      <c r="O2435" s="2">
        <f ca="1"/>
        <v>1.5532521214285384</v>
      </c>
      <c r="X2435" s="2">
        <f ca="1"/>
        <v>31.102464121258983</v>
      </c>
      <c r="AG2435" s="2">
        <f ca="1"/>
        <v>0.79865816287644709</v>
      </c>
      <c r="AH2435" s="2" t="str">
        <f ca="1"/>
        <v>Bad</v>
      </c>
    </row>
    <row r="2436" spans="2:34" x14ac:dyDescent="0.2">
      <c r="B2436" s="2">
        <f ca="1"/>
        <v>0.54579390640800951</v>
      </c>
      <c r="O2436" s="2">
        <f ca="1"/>
        <v>0.38871300177897378</v>
      </c>
      <c r="X2436" s="2">
        <f ca="1"/>
        <v>41.690702447990944</v>
      </c>
      <c r="AG2436" s="2">
        <f ca="1"/>
        <v>0.37196319792185473</v>
      </c>
      <c r="AH2436" s="2" t="str">
        <f ca="1"/>
        <v>OK</v>
      </c>
    </row>
    <row r="2437" spans="2:34" x14ac:dyDescent="0.2">
      <c r="B2437" s="2">
        <f ca="1"/>
        <v>0.1044281865976604</v>
      </c>
      <c r="O2437" s="2">
        <f ca="1"/>
        <v>-1.4025512966391878E-3</v>
      </c>
      <c r="X2437" s="2">
        <f ca="1"/>
        <v>60.429348352354914</v>
      </c>
      <c r="AG2437" s="2">
        <f ca="1"/>
        <v>0.66652834805197148</v>
      </c>
      <c r="AH2437" s="2" t="str">
        <f ca="1"/>
        <v>Bad</v>
      </c>
    </row>
    <row r="2438" spans="2:34" x14ac:dyDescent="0.2">
      <c r="B2438" s="2">
        <f ca="1"/>
        <v>0.58545559027575789</v>
      </c>
      <c r="O2438" s="2">
        <f ca="1"/>
        <v>0.76852374534565338</v>
      </c>
      <c r="X2438" s="2">
        <f ca="1"/>
        <v>41.187906115374346</v>
      </c>
      <c r="AG2438" s="2">
        <f ca="1"/>
        <v>0.622848252001305</v>
      </c>
      <c r="AH2438" s="2" t="str">
        <f ca="1"/>
        <v>Bad</v>
      </c>
    </row>
    <row r="2439" spans="2:34" x14ac:dyDescent="0.2">
      <c r="B2439" s="2">
        <f ca="1"/>
        <v>0.44007413209009338</v>
      </c>
      <c r="O2439" s="2">
        <f ca="1"/>
        <v>1.1626439743002994</v>
      </c>
      <c r="X2439" s="2">
        <f ca="1"/>
        <v>52.464707989235905</v>
      </c>
      <c r="AG2439" s="2">
        <f ca="1"/>
        <v>0.50816607552500104</v>
      </c>
      <c r="AH2439" s="2" t="str">
        <f ca="1"/>
        <v>Bad</v>
      </c>
    </row>
    <row r="2440" spans="2:34" x14ac:dyDescent="0.2">
      <c r="B2440" s="2">
        <f ca="1"/>
        <v>0.65078084711405104</v>
      </c>
      <c r="O2440" s="2">
        <f ca="1"/>
        <v>0.90738940697679127</v>
      </c>
      <c r="X2440" s="2">
        <f ca="1"/>
        <v>44.567831203496596</v>
      </c>
      <c r="AG2440" s="2">
        <f ca="1"/>
        <v>0.24402947082798265</v>
      </c>
      <c r="AH2440" s="2" t="str">
        <f ca="1"/>
        <v>OK</v>
      </c>
    </row>
    <row r="2441" spans="2:34" x14ac:dyDescent="0.2">
      <c r="B2441" s="2">
        <f ca="1"/>
        <v>0.43693613712150281</v>
      </c>
      <c r="O2441" s="2">
        <f ca="1"/>
        <v>2.9968660865437124</v>
      </c>
      <c r="X2441" s="2">
        <f ca="1"/>
        <v>74.797911776596493</v>
      </c>
      <c r="AG2441" s="2">
        <f ca="1"/>
        <v>0.58245188554136207</v>
      </c>
      <c r="AH2441" s="2" t="str">
        <f ca="1"/>
        <v>Bad</v>
      </c>
    </row>
    <row r="2442" spans="2:34" x14ac:dyDescent="0.2">
      <c r="B2442" s="2">
        <f ca="1"/>
        <v>0.72216037456393889</v>
      </c>
      <c r="O2442" s="2">
        <f ca="1"/>
        <v>-1.75410396789148</v>
      </c>
      <c r="X2442" s="2">
        <f ca="1"/>
        <v>34.628457250260716</v>
      </c>
      <c r="AG2442" s="2">
        <f ca="1"/>
        <v>3.4828503938309385E-2</v>
      </c>
      <c r="AH2442" s="2" t="str">
        <f ca="1"/>
        <v>Good</v>
      </c>
    </row>
    <row r="2443" spans="2:34" x14ac:dyDescent="0.2">
      <c r="B2443" s="2">
        <f ca="1"/>
        <v>0.65340398506664066</v>
      </c>
      <c r="O2443" s="2">
        <f ca="1"/>
        <v>0.34006423819439885</v>
      </c>
      <c r="X2443" s="2">
        <f ca="1"/>
        <v>35.466782393284433</v>
      </c>
      <c r="AG2443" s="2">
        <f ca="1"/>
        <v>0.51460576081836207</v>
      </c>
      <c r="AH2443" s="2" t="str">
        <f ca="1"/>
        <v>Bad</v>
      </c>
    </row>
    <row r="2444" spans="2:34" x14ac:dyDescent="0.2">
      <c r="B2444" s="2">
        <f ca="1"/>
        <v>0.40358049520914618</v>
      </c>
      <c r="O2444" s="2">
        <f ca="1"/>
        <v>-0.6930003083943731</v>
      </c>
      <c r="X2444" s="2">
        <f ca="1"/>
        <v>42.031998297205703</v>
      </c>
      <c r="AG2444" s="2">
        <f ca="1"/>
        <v>0.65078822646106316</v>
      </c>
      <c r="AH2444" s="2" t="str">
        <f ca="1"/>
        <v>Bad</v>
      </c>
    </row>
    <row r="2445" spans="2:34" x14ac:dyDescent="0.2">
      <c r="B2445" s="2">
        <f ca="1"/>
        <v>0.1408374217872792</v>
      </c>
      <c r="O2445" s="2">
        <f ca="1"/>
        <v>-0.93234434439116121</v>
      </c>
      <c r="X2445" s="2">
        <f ca="1"/>
        <v>38.053725726839815</v>
      </c>
      <c r="AG2445" s="2">
        <f ca="1"/>
        <v>0.62841772081217573</v>
      </c>
      <c r="AH2445" s="2" t="str">
        <f ca="1"/>
        <v>Bad</v>
      </c>
    </row>
    <row r="2446" spans="2:34" x14ac:dyDescent="0.2">
      <c r="B2446" s="2">
        <f ca="1"/>
        <v>0.19744917752730773</v>
      </c>
      <c r="O2446" s="2">
        <f ca="1"/>
        <v>-0.43441561079864965</v>
      </c>
      <c r="X2446" s="2">
        <f ca="1"/>
        <v>37.865811682715965</v>
      </c>
      <c r="AG2446" s="2">
        <f ca="1"/>
        <v>0.48493209985863062</v>
      </c>
      <c r="AH2446" s="2" t="str">
        <f ca="1"/>
        <v>Bad</v>
      </c>
    </row>
    <row r="2447" spans="2:34" x14ac:dyDescent="0.2">
      <c r="B2447" s="2">
        <f ca="1"/>
        <v>0.82276842178450549</v>
      </c>
      <c r="O2447" s="2">
        <f ca="1"/>
        <v>-0.52504017427985072</v>
      </c>
      <c r="X2447" s="2">
        <f ca="1"/>
        <v>71.318909663485016</v>
      </c>
      <c r="AG2447" s="2">
        <f ca="1"/>
        <v>0.22228942524781337</v>
      </c>
      <c r="AH2447" s="2" t="str">
        <f ca="1"/>
        <v>OK</v>
      </c>
    </row>
    <row r="2448" spans="2:34" x14ac:dyDescent="0.2">
      <c r="B2448" s="2">
        <f ca="1"/>
        <v>0.9861500473900835</v>
      </c>
      <c r="O2448" s="2">
        <f ca="1"/>
        <v>-0.7429780275024096</v>
      </c>
      <c r="X2448" s="2">
        <f ca="1"/>
        <v>63.432855202201608</v>
      </c>
      <c r="AG2448" s="2">
        <f ca="1"/>
        <v>0.85324951345097388</v>
      </c>
      <c r="AH2448" s="2" t="str">
        <f ca="1"/>
        <v>Bad</v>
      </c>
    </row>
    <row r="2449" spans="2:34" x14ac:dyDescent="0.2">
      <c r="B2449" s="2">
        <f ca="1"/>
        <v>0.92886800081832277</v>
      </c>
      <c r="O2449" s="2">
        <f ca="1"/>
        <v>1.5923152846443576</v>
      </c>
      <c r="X2449" s="2">
        <f ca="1"/>
        <v>39.273149896997978</v>
      </c>
      <c r="AG2449" s="2">
        <f ca="1"/>
        <v>0.65387248041532287</v>
      </c>
      <c r="AH2449" s="2" t="str">
        <f ca="1"/>
        <v>Bad</v>
      </c>
    </row>
    <row r="2450" spans="2:34" x14ac:dyDescent="0.2">
      <c r="B2450" s="2">
        <f ca="1"/>
        <v>0.80079002035487412</v>
      </c>
      <c r="O2450" s="2">
        <f ca="1"/>
        <v>2.040832876395362</v>
      </c>
      <c r="X2450" s="2">
        <f ca="1"/>
        <v>72.199203752563619</v>
      </c>
      <c r="AG2450" s="2">
        <f ca="1"/>
        <v>0.99605767329834682</v>
      </c>
      <c r="AH2450" s="2" t="str">
        <f ca="1"/>
        <v>Bad</v>
      </c>
    </row>
    <row r="2451" spans="2:34" x14ac:dyDescent="0.2">
      <c r="B2451" s="2">
        <f ca="1"/>
        <v>0.27389430791143221</v>
      </c>
      <c r="O2451" s="2">
        <f ca="1"/>
        <v>-0.22444790165366227</v>
      </c>
      <c r="X2451" s="2">
        <f ca="1"/>
        <v>50.478129286788317</v>
      </c>
      <c r="AG2451" s="2">
        <f ca="1"/>
        <v>9.7258655280306527E-2</v>
      </c>
      <c r="AH2451" s="2" t="str">
        <f ca="1"/>
        <v>OK</v>
      </c>
    </row>
    <row r="2452" spans="2:34" x14ac:dyDescent="0.2">
      <c r="B2452" s="2">
        <f ca="1"/>
        <v>0.47549584337543793</v>
      </c>
      <c r="O2452" s="2">
        <f ca="1"/>
        <v>9.7035329932850051E-2</v>
      </c>
      <c r="X2452" s="2">
        <f ca="1"/>
        <v>45.758947243910164</v>
      </c>
      <c r="AG2452" s="2">
        <f ca="1"/>
        <v>0.52921669229989732</v>
      </c>
      <c r="AH2452" s="2" t="str">
        <f ca="1"/>
        <v>Bad</v>
      </c>
    </row>
    <row r="2453" spans="2:34" x14ac:dyDescent="0.2">
      <c r="B2453" s="2">
        <f ca="1"/>
        <v>4.6893544190607095E-2</v>
      </c>
      <c r="O2453" s="2">
        <f ca="1"/>
        <v>-0.72890629022674158</v>
      </c>
      <c r="X2453" s="2">
        <f ca="1"/>
        <v>43.827996268714706</v>
      </c>
      <c r="AG2453" s="2">
        <f ca="1"/>
        <v>0.89930442927655796</v>
      </c>
      <c r="AH2453" s="2" t="str">
        <f ca="1"/>
        <v>Bad</v>
      </c>
    </row>
    <row r="2454" spans="2:34" x14ac:dyDescent="0.2">
      <c r="B2454" s="2">
        <f ca="1"/>
        <v>0.3315227577646005</v>
      </c>
      <c r="O2454" s="2">
        <f ca="1"/>
        <v>-0.90070874091237152</v>
      </c>
      <c r="X2454" s="2">
        <f ca="1"/>
        <v>29.971562061479041</v>
      </c>
      <c r="AG2454" s="2">
        <f ca="1"/>
        <v>0.6085484965507979</v>
      </c>
      <c r="AH2454" s="2" t="str">
        <f ca="1"/>
        <v>Bad</v>
      </c>
    </row>
    <row r="2455" spans="2:34" x14ac:dyDescent="0.2">
      <c r="B2455" s="2">
        <f ca="1"/>
        <v>0.32887059819058551</v>
      </c>
      <c r="O2455" s="2">
        <f ca="1"/>
        <v>-9.4696298489553549E-2</v>
      </c>
      <c r="X2455" s="2">
        <f ca="1"/>
        <v>51.617522282617571</v>
      </c>
      <c r="AG2455" s="2">
        <f ca="1"/>
        <v>0.43889779504232473</v>
      </c>
      <c r="AH2455" s="2" t="str">
        <f ca="1"/>
        <v>Bad</v>
      </c>
    </row>
    <row r="2456" spans="2:34" x14ac:dyDescent="0.2">
      <c r="B2456" s="2">
        <f ca="1"/>
        <v>0.21987142110047575</v>
      </c>
      <c r="O2456" s="2">
        <f ca="1"/>
        <v>0.61609445390896633</v>
      </c>
      <c r="X2456" s="2">
        <f ca="1"/>
        <v>49.83048594599255</v>
      </c>
      <c r="AG2456" s="2">
        <f ca="1"/>
        <v>0.56231227466996492</v>
      </c>
      <c r="AH2456" s="2" t="str">
        <f ca="1"/>
        <v>Bad</v>
      </c>
    </row>
    <row r="2457" spans="2:34" x14ac:dyDescent="0.2">
      <c r="B2457" s="2">
        <f ca="1"/>
        <v>0.50367340110426695</v>
      </c>
      <c r="O2457" s="2">
        <f ca="1"/>
        <v>1.0876761503251655</v>
      </c>
      <c r="X2457" s="2">
        <f ca="1"/>
        <v>65.518508352701531</v>
      </c>
      <c r="AG2457" s="2">
        <f ca="1"/>
        <v>0.55041838862606207</v>
      </c>
      <c r="AH2457" s="2" t="str">
        <f ca="1"/>
        <v>Bad</v>
      </c>
    </row>
    <row r="2458" spans="2:34" x14ac:dyDescent="0.2">
      <c r="B2458" s="2">
        <f ca="1"/>
        <v>4.6762035771048094E-2</v>
      </c>
      <c r="O2458" s="2">
        <f ca="1"/>
        <v>6.31532677033982E-2</v>
      </c>
      <c r="X2458" s="2">
        <f ca="1"/>
        <v>35.877490915748702</v>
      </c>
      <c r="AG2458" s="2">
        <f ca="1"/>
        <v>0.77256418866578147</v>
      </c>
      <c r="AH2458" s="2" t="str">
        <f ca="1"/>
        <v>Bad</v>
      </c>
    </row>
    <row r="2459" spans="2:34" x14ac:dyDescent="0.2">
      <c r="B2459" s="2">
        <f ca="1"/>
        <v>0.53147144514139266</v>
      </c>
      <c r="O2459" s="2">
        <f ca="1"/>
        <v>-0.6744662977803586</v>
      </c>
      <c r="X2459" s="2">
        <f ca="1"/>
        <v>56.630467568011269</v>
      </c>
      <c r="AG2459" s="2">
        <f ca="1"/>
        <v>0.38150905979269978</v>
      </c>
      <c r="AH2459" s="2" t="str">
        <f ca="1"/>
        <v>OK</v>
      </c>
    </row>
    <row r="2460" spans="2:34" x14ac:dyDescent="0.2">
      <c r="B2460" s="2">
        <f ca="1"/>
        <v>0.48349859917465432</v>
      </c>
      <c r="O2460" s="2">
        <f ca="1"/>
        <v>1.050525568596602</v>
      </c>
      <c r="X2460" s="2">
        <f ca="1"/>
        <v>44.438842831927445</v>
      </c>
      <c r="AG2460" s="2">
        <f ca="1"/>
        <v>0.80099211638862</v>
      </c>
      <c r="AH2460" s="2" t="str">
        <f ca="1"/>
        <v>Bad</v>
      </c>
    </row>
    <row r="2461" spans="2:34" x14ac:dyDescent="0.2">
      <c r="B2461" s="2">
        <f ca="1"/>
        <v>0.58413627941057267</v>
      </c>
      <c r="O2461" s="2">
        <f ca="1"/>
        <v>0.40702422448484377</v>
      </c>
      <c r="X2461" s="2">
        <f ca="1"/>
        <v>41.315917282788462</v>
      </c>
      <c r="AG2461" s="2">
        <f ca="1"/>
        <v>0.19769950196679953</v>
      </c>
      <c r="AH2461" s="2" t="str">
        <f ca="1"/>
        <v>OK</v>
      </c>
    </row>
    <row r="2462" spans="2:34" x14ac:dyDescent="0.2">
      <c r="B2462" s="2">
        <f ca="1"/>
        <v>0.32324731687366581</v>
      </c>
      <c r="O2462" s="2">
        <f ca="1"/>
        <v>0.41411918761836397</v>
      </c>
      <c r="X2462" s="2">
        <f ca="1"/>
        <v>49.205109694302024</v>
      </c>
      <c r="AG2462" s="2">
        <f ca="1"/>
        <v>0.77433699243243814</v>
      </c>
      <c r="AH2462" s="2" t="str">
        <f ca="1"/>
        <v>Bad</v>
      </c>
    </row>
    <row r="2463" spans="2:34" x14ac:dyDescent="0.2">
      <c r="B2463" s="2">
        <f ca="1"/>
        <v>0.5040737436527325</v>
      </c>
      <c r="O2463" s="2">
        <f ca="1"/>
        <v>-0.30932647296021193</v>
      </c>
      <c r="X2463" s="2">
        <f ca="1"/>
        <v>34.949850288451984</v>
      </c>
      <c r="AG2463" s="2">
        <f ca="1"/>
        <v>0.18081546144190974</v>
      </c>
      <c r="AH2463" s="2" t="str">
        <f ca="1"/>
        <v>OK</v>
      </c>
    </row>
    <row r="2464" spans="2:34" x14ac:dyDescent="0.2">
      <c r="B2464" s="2">
        <f ca="1"/>
        <v>0.31729604537525824</v>
      </c>
      <c r="O2464" s="2">
        <f ca="1"/>
        <v>-0.21865627943636062</v>
      </c>
      <c r="X2464" s="2">
        <f ca="1"/>
        <v>36.200377795464384</v>
      </c>
      <c r="AG2464" s="2">
        <f ca="1"/>
        <v>0.73619209168615929</v>
      </c>
      <c r="AH2464" s="2" t="str">
        <f ca="1"/>
        <v>Bad</v>
      </c>
    </row>
    <row r="2465" spans="2:34" x14ac:dyDescent="0.2">
      <c r="B2465" s="2">
        <f ca="1"/>
        <v>0.40923446856518431</v>
      </c>
      <c r="O2465" s="2">
        <f ca="1"/>
        <v>1.9317668166317457</v>
      </c>
      <c r="X2465" s="2">
        <f ca="1"/>
        <v>42.099865672882913</v>
      </c>
      <c r="AG2465" s="2">
        <f ca="1"/>
        <v>0.54677126914035257</v>
      </c>
      <c r="AH2465" s="2" t="str">
        <f ca="1"/>
        <v>Bad</v>
      </c>
    </row>
    <row r="2466" spans="2:34" x14ac:dyDescent="0.2">
      <c r="B2466" s="2">
        <f ca="1"/>
        <v>0.48539266864261887</v>
      </c>
      <c r="O2466" s="2">
        <f ca="1"/>
        <v>-0.19331029923859896</v>
      </c>
      <c r="X2466" s="2">
        <f ca="1"/>
        <v>31.371095206560806</v>
      </c>
      <c r="AG2466" s="2">
        <f ca="1"/>
        <v>7.2627552113315286E-2</v>
      </c>
      <c r="AH2466" s="2" t="str">
        <f ca="1"/>
        <v>OK</v>
      </c>
    </row>
    <row r="2467" spans="2:34" x14ac:dyDescent="0.2">
      <c r="B2467" s="2">
        <f ca="1"/>
        <v>0.93583913484257808</v>
      </c>
      <c r="O2467" s="2">
        <f ca="1"/>
        <v>-1.0308168091868859</v>
      </c>
      <c r="X2467" s="2">
        <f ca="1"/>
        <v>49.335451383008404</v>
      </c>
      <c r="AG2467" s="2">
        <f ca="1"/>
        <v>0.39550938283662229</v>
      </c>
      <c r="AH2467" s="2" t="str">
        <f ca="1"/>
        <v>OK</v>
      </c>
    </row>
    <row r="2468" spans="2:34" x14ac:dyDescent="0.2">
      <c r="B2468" s="2">
        <f ca="1"/>
        <v>0.91107526682314388</v>
      </c>
      <c r="O2468" s="2">
        <f ca="1"/>
        <v>-0.74202286036545051</v>
      </c>
      <c r="X2468" s="2">
        <f ca="1"/>
        <v>46.423351844119438</v>
      </c>
      <c r="AG2468" s="2">
        <f ca="1"/>
        <v>0.1237375978637294</v>
      </c>
      <c r="AH2468" s="2" t="str">
        <f ca="1"/>
        <v>OK</v>
      </c>
    </row>
    <row r="2469" spans="2:34" x14ac:dyDescent="0.2">
      <c r="B2469" s="2">
        <f ca="1"/>
        <v>4.8291370945163115E-2</v>
      </c>
      <c r="O2469" s="2">
        <f ca="1"/>
        <v>-0.86133695789862874</v>
      </c>
      <c r="X2469" s="2">
        <f ca="1"/>
        <v>40.423566928953477</v>
      </c>
      <c r="AG2469" s="2">
        <f ca="1"/>
        <v>0.34662264074515292</v>
      </c>
      <c r="AH2469" s="2" t="str">
        <f ca="1"/>
        <v>OK</v>
      </c>
    </row>
    <row r="2470" spans="2:34" x14ac:dyDescent="0.2">
      <c r="B2470" s="2">
        <f ca="1"/>
        <v>0.91274812538591088</v>
      </c>
      <c r="O2470" s="2">
        <f ca="1"/>
        <v>-0.67316368328772591</v>
      </c>
      <c r="X2470" s="2">
        <f ca="1"/>
        <v>55.988443306845909</v>
      </c>
      <c r="AG2470" s="2">
        <f ca="1"/>
        <v>0.11252363404438959</v>
      </c>
      <c r="AH2470" s="2" t="str">
        <f ca="1"/>
        <v>OK</v>
      </c>
    </row>
    <row r="2471" spans="2:34" x14ac:dyDescent="0.2">
      <c r="B2471" s="2">
        <f ca="1"/>
        <v>0.62342334569800539</v>
      </c>
      <c r="O2471" s="2">
        <f ca="1"/>
        <v>0.38806326593577212</v>
      </c>
      <c r="X2471" s="2">
        <f ca="1"/>
        <v>66.082517783898652</v>
      </c>
      <c r="AG2471" s="2">
        <f ca="1"/>
        <v>0.33223481927892506</v>
      </c>
      <c r="AH2471" s="2" t="str">
        <f ca="1"/>
        <v>OK</v>
      </c>
    </row>
    <row r="2472" spans="2:34" x14ac:dyDescent="0.2">
      <c r="B2472" s="2">
        <f ca="1"/>
        <v>0.11903455391893414</v>
      </c>
      <c r="O2472" s="2">
        <f ca="1"/>
        <v>-0.14492011314463984</v>
      </c>
      <c r="X2472" s="2">
        <f ca="1"/>
        <v>39.789014223684163</v>
      </c>
      <c r="AG2472" s="2">
        <f ca="1"/>
        <v>5.2944787319068931E-2</v>
      </c>
      <c r="AH2472" s="2" t="str">
        <f ca="1"/>
        <v>OK</v>
      </c>
    </row>
    <row r="2473" spans="2:34" x14ac:dyDescent="0.2">
      <c r="B2473" s="2">
        <f ca="1"/>
        <v>0.52039845043616495</v>
      </c>
      <c r="O2473" s="2">
        <f ca="1"/>
        <v>0.26109302835813536</v>
      </c>
      <c r="X2473" s="2">
        <f ca="1"/>
        <v>41.524354367778038</v>
      </c>
      <c r="AG2473" s="2">
        <f ca="1"/>
        <v>3.1443180726037134E-2</v>
      </c>
      <c r="AH2473" s="2" t="str">
        <f ca="1"/>
        <v>Good</v>
      </c>
    </row>
    <row r="2474" spans="2:34" x14ac:dyDescent="0.2">
      <c r="B2474" s="2">
        <f ca="1"/>
        <v>7.067273466993651E-3</v>
      </c>
      <c r="O2474" s="2">
        <f ca="1"/>
        <v>0.56671974252268353</v>
      </c>
      <c r="X2474" s="2">
        <f ca="1"/>
        <v>108.82318199138606</v>
      </c>
      <c r="AG2474" s="2">
        <f ca="1"/>
        <v>0.38837763449798235</v>
      </c>
      <c r="AH2474" s="2" t="str">
        <f ca="1"/>
        <v>OK</v>
      </c>
    </row>
    <row r="2475" spans="2:34" x14ac:dyDescent="0.2">
      <c r="B2475" s="2">
        <f ca="1"/>
        <v>0.8741959035584066</v>
      </c>
      <c r="O2475" s="2">
        <f ca="1"/>
        <v>-0.80101504594189321</v>
      </c>
      <c r="X2475" s="2">
        <f ca="1"/>
        <v>33.574656607422391</v>
      </c>
      <c r="AG2475" s="2">
        <f ca="1"/>
        <v>0.63463328084475457</v>
      </c>
      <c r="AH2475" s="2" t="str">
        <f ca="1"/>
        <v>Bad</v>
      </c>
    </row>
    <row r="2476" spans="2:34" x14ac:dyDescent="0.2">
      <c r="B2476" s="2">
        <f ca="1"/>
        <v>0.76884471501100693</v>
      </c>
      <c r="O2476" s="2">
        <f ca="1"/>
        <v>-0.39288160750964352</v>
      </c>
      <c r="X2476" s="2">
        <f ca="1"/>
        <v>51.954986594935946</v>
      </c>
      <c r="AG2476" s="2">
        <f ca="1"/>
        <v>0.27524490961193693</v>
      </c>
      <c r="AH2476" s="2" t="str">
        <f ca="1"/>
        <v>OK</v>
      </c>
    </row>
    <row r="2477" spans="2:34" x14ac:dyDescent="0.2">
      <c r="B2477" s="2">
        <f ca="1"/>
        <v>0.83801959601570286</v>
      </c>
      <c r="O2477" s="2">
        <f ca="1"/>
        <v>1.2570470023749543</v>
      </c>
      <c r="X2477" s="2">
        <f ca="1"/>
        <v>64.441500689611615</v>
      </c>
      <c r="AG2477" s="2">
        <f ca="1"/>
        <v>0.68930304010392995</v>
      </c>
      <c r="AH2477" s="2" t="str">
        <f ca="1"/>
        <v>Bad</v>
      </c>
    </row>
    <row r="2478" spans="2:34" x14ac:dyDescent="0.2">
      <c r="B2478" s="2">
        <f ca="1"/>
        <v>0.15284663046144797</v>
      </c>
      <c r="O2478" s="2">
        <f ca="1"/>
        <v>-0.78292737643007559</v>
      </c>
      <c r="X2478" s="2">
        <f ca="1"/>
        <v>35.345581832887923</v>
      </c>
      <c r="AG2478" s="2">
        <f ca="1"/>
        <v>3.8450559379481719E-2</v>
      </c>
      <c r="AH2478" s="2" t="str">
        <f ca="1"/>
        <v>Good</v>
      </c>
    </row>
    <row r="2479" spans="2:34" x14ac:dyDescent="0.2">
      <c r="B2479" s="2">
        <f ca="1"/>
        <v>0.46143066633125862</v>
      </c>
      <c r="O2479" s="2">
        <f ca="1"/>
        <v>0.2860247671851624</v>
      </c>
      <c r="X2479" s="2">
        <f ca="1"/>
        <v>47.15817802391836</v>
      </c>
      <c r="AG2479" s="2">
        <f ca="1"/>
        <v>0.17433809508908316</v>
      </c>
      <c r="AH2479" s="2" t="str">
        <f ca="1"/>
        <v>OK</v>
      </c>
    </row>
    <row r="2480" spans="2:34" x14ac:dyDescent="0.2">
      <c r="B2480" s="2">
        <f ca="1"/>
        <v>0.23624052229949233</v>
      </c>
      <c r="O2480" s="2">
        <f ca="1"/>
        <v>0.8388345527894312</v>
      </c>
      <c r="X2480" s="2">
        <f ca="1"/>
        <v>48.963476124475491</v>
      </c>
      <c r="AG2480" s="2">
        <f ca="1"/>
        <v>0.59528698292038884</v>
      </c>
      <c r="AH2480" s="2" t="str">
        <f ca="1"/>
        <v>Bad</v>
      </c>
    </row>
    <row r="2481" spans="2:34" x14ac:dyDescent="0.2">
      <c r="B2481" s="2">
        <f ca="1"/>
        <v>0.15685464225575507</v>
      </c>
      <c r="O2481" s="2">
        <f ca="1"/>
        <v>-0.58630083621280904</v>
      </c>
      <c r="X2481" s="2">
        <f ca="1"/>
        <v>54.277169149782132</v>
      </c>
      <c r="AG2481" s="2">
        <f ca="1"/>
        <v>0.17984702771955741</v>
      </c>
      <c r="AH2481" s="2" t="str">
        <f ca="1"/>
        <v>OK</v>
      </c>
    </row>
    <row r="2482" spans="2:34" x14ac:dyDescent="0.2">
      <c r="B2482" s="2">
        <f ca="1"/>
        <v>0.98695567147991903</v>
      </c>
      <c r="O2482" s="2">
        <f ca="1"/>
        <v>4.7926114035555717E-2</v>
      </c>
      <c r="X2482" s="2">
        <f ca="1"/>
        <v>90.888649684264706</v>
      </c>
      <c r="AG2482" s="2">
        <f ca="1"/>
        <v>0.18493488215900022</v>
      </c>
      <c r="AH2482" s="2" t="str">
        <f ca="1"/>
        <v>OK</v>
      </c>
    </row>
    <row r="2483" spans="2:34" x14ac:dyDescent="0.2">
      <c r="B2483" s="2">
        <f ca="1"/>
        <v>0.24756062977013027</v>
      </c>
      <c r="O2483" s="2">
        <f ca="1"/>
        <v>0.11885270967942817</v>
      </c>
      <c r="X2483" s="2">
        <f ca="1"/>
        <v>27.425067067947559</v>
      </c>
      <c r="AG2483" s="2">
        <f ca="1"/>
        <v>0.94534636613533984</v>
      </c>
      <c r="AH2483" s="2" t="str">
        <f ca="1"/>
        <v>Bad</v>
      </c>
    </row>
    <row r="2484" spans="2:34" x14ac:dyDescent="0.2">
      <c r="B2484" s="2">
        <f ca="1"/>
        <v>0.30792547921297619</v>
      </c>
      <c r="O2484" s="2">
        <f ca="1"/>
        <v>0.1108910025887295</v>
      </c>
      <c r="X2484" s="2">
        <f ca="1"/>
        <v>55.765663587933929</v>
      </c>
      <c r="AG2484" s="2">
        <f ca="1"/>
        <v>0.66611149858823171</v>
      </c>
      <c r="AH2484" s="2" t="str">
        <f ca="1"/>
        <v>Bad</v>
      </c>
    </row>
    <row r="2485" spans="2:34" x14ac:dyDescent="0.2">
      <c r="B2485" s="2">
        <f ca="1"/>
        <v>0.47371487076964192</v>
      </c>
      <c r="O2485" s="2">
        <f ca="1"/>
        <v>-1.5698339083770882</v>
      </c>
      <c r="X2485" s="2">
        <f ca="1"/>
        <v>51.756875232026204</v>
      </c>
      <c r="AG2485" s="2">
        <f ca="1"/>
        <v>7.852412405010667E-2</v>
      </c>
      <c r="AH2485" s="2" t="str">
        <f ca="1"/>
        <v>OK</v>
      </c>
    </row>
    <row r="2486" spans="2:34" x14ac:dyDescent="0.2">
      <c r="B2486" s="2">
        <f ca="1"/>
        <v>0.9132756264996662</v>
      </c>
      <c r="O2486" s="2">
        <f ca="1"/>
        <v>-1.483565402252947</v>
      </c>
      <c r="X2486" s="2">
        <f ca="1"/>
        <v>42.086047071541195</v>
      </c>
      <c r="AG2486" s="2">
        <f ca="1"/>
        <v>0.10842542386114218</v>
      </c>
      <c r="AH2486" s="2" t="str">
        <f ca="1"/>
        <v>OK</v>
      </c>
    </row>
    <row r="2487" spans="2:34" x14ac:dyDescent="0.2">
      <c r="B2487" s="2">
        <f ca="1"/>
        <v>0.91729485407114919</v>
      </c>
      <c r="O2487" s="2">
        <f ca="1"/>
        <v>-0.32676199330916189</v>
      </c>
      <c r="X2487" s="2">
        <f ca="1"/>
        <v>66.479548594580805</v>
      </c>
      <c r="AG2487" s="2">
        <f ca="1"/>
        <v>0.6733673085043459</v>
      </c>
      <c r="AH2487" s="2" t="str">
        <f ca="1"/>
        <v>Bad</v>
      </c>
    </row>
    <row r="2488" spans="2:34" x14ac:dyDescent="0.2">
      <c r="B2488" s="2">
        <f ca="1"/>
        <v>0.73425875140624464</v>
      </c>
      <c r="O2488" s="2">
        <f ca="1"/>
        <v>-0.39868513786751797</v>
      </c>
      <c r="X2488" s="2">
        <f ca="1"/>
        <v>50.389350906455412</v>
      </c>
      <c r="AG2488" s="2">
        <f ca="1"/>
        <v>0.79034195174016042</v>
      </c>
      <c r="AH2488" s="2" t="str">
        <f ca="1"/>
        <v>Bad</v>
      </c>
    </row>
    <row r="2489" spans="2:34" x14ac:dyDescent="0.2">
      <c r="B2489" s="2">
        <f ca="1"/>
        <v>0.43256822154259478</v>
      </c>
      <c r="O2489" s="2">
        <f ca="1"/>
        <v>0.70379900126558159</v>
      </c>
      <c r="X2489" s="2">
        <f ca="1"/>
        <v>60.895163880103766</v>
      </c>
      <c r="AG2489" s="2">
        <f ca="1"/>
        <v>6.3266833824184188E-2</v>
      </c>
      <c r="AH2489" s="2" t="str">
        <f ca="1"/>
        <v>OK</v>
      </c>
    </row>
    <row r="2490" spans="2:34" x14ac:dyDescent="0.2">
      <c r="B2490" s="2">
        <f ca="1"/>
        <v>0.78909991640079591</v>
      </c>
      <c r="O2490" s="2">
        <f ca="1"/>
        <v>-0.51813177031060109</v>
      </c>
      <c r="X2490" s="2">
        <f ca="1"/>
        <v>41.359369215203131</v>
      </c>
      <c r="AG2490" s="2">
        <f ca="1"/>
        <v>0.46561536229759448</v>
      </c>
      <c r="AH2490" s="2" t="str">
        <f ca="1"/>
        <v>Bad</v>
      </c>
    </row>
    <row r="2491" spans="2:34" x14ac:dyDescent="0.2">
      <c r="B2491" s="2">
        <f ca="1"/>
        <v>0.53570829615803772</v>
      </c>
      <c r="O2491" s="2">
        <f ca="1"/>
        <v>0.13892294783591955</v>
      </c>
      <c r="X2491" s="2">
        <f ca="1"/>
        <v>54.529041132361712</v>
      </c>
      <c r="AG2491" s="2">
        <f ca="1"/>
        <v>0.10931844217293674</v>
      </c>
      <c r="AH2491" s="2" t="str">
        <f ca="1"/>
        <v>OK</v>
      </c>
    </row>
    <row r="2492" spans="2:34" x14ac:dyDescent="0.2">
      <c r="B2492" s="2">
        <f ca="1"/>
        <v>0.71761119253783079</v>
      </c>
      <c r="O2492" s="2">
        <f ca="1"/>
        <v>0.91421242997246432</v>
      </c>
      <c r="X2492" s="2">
        <f ca="1"/>
        <v>54.463326716500703</v>
      </c>
      <c r="AG2492" s="2">
        <f ca="1"/>
        <v>0.47277802958747239</v>
      </c>
      <c r="AH2492" s="2" t="str">
        <f ca="1"/>
        <v>Bad</v>
      </c>
    </row>
    <row r="2493" spans="2:34" x14ac:dyDescent="0.2">
      <c r="B2493" s="2">
        <f ca="1"/>
        <v>2.3645346851115301E-2</v>
      </c>
      <c r="O2493" s="2">
        <f ca="1"/>
        <v>-1.1419946633843856</v>
      </c>
      <c r="X2493" s="2">
        <f ca="1"/>
        <v>49.392166705140532</v>
      </c>
      <c r="AG2493" s="2">
        <f ca="1"/>
        <v>0.77120916496446434</v>
      </c>
      <c r="AH2493" s="2" t="str">
        <f ca="1"/>
        <v>Bad</v>
      </c>
    </row>
    <row r="2494" spans="2:34" x14ac:dyDescent="0.2">
      <c r="B2494" s="2">
        <f ca="1"/>
        <v>0.73810933299404824</v>
      </c>
      <c r="O2494" s="2">
        <f ca="1"/>
        <v>-1.2755778636041153</v>
      </c>
      <c r="X2494" s="2">
        <f ca="1"/>
        <v>39.822833308390273</v>
      </c>
      <c r="AG2494" s="2">
        <f ca="1"/>
        <v>0.33720301642668171</v>
      </c>
      <c r="AH2494" s="2" t="str">
        <f ca="1"/>
        <v>OK</v>
      </c>
    </row>
    <row r="2495" spans="2:34" x14ac:dyDescent="0.2">
      <c r="B2495" s="2">
        <f ca="1"/>
        <v>0.33851721379892608</v>
      </c>
      <c r="O2495" s="2">
        <f ca="1"/>
        <v>0.4065801931793277</v>
      </c>
      <c r="X2495" s="2">
        <f ca="1"/>
        <v>37.322469055826758</v>
      </c>
      <c r="AG2495" s="2">
        <f ca="1"/>
        <v>0.99802131783751191</v>
      </c>
      <c r="AH2495" s="2" t="str">
        <f ca="1"/>
        <v>Bad</v>
      </c>
    </row>
    <row r="2496" spans="2:34" x14ac:dyDescent="0.2">
      <c r="B2496" s="2">
        <f ca="1"/>
        <v>0.8070376363008378</v>
      </c>
      <c r="O2496" s="2">
        <f ca="1"/>
        <v>-1.3053478398339049</v>
      </c>
      <c r="X2496" s="2">
        <f ca="1"/>
        <v>40.543801914222954</v>
      </c>
      <c r="AG2496" s="2">
        <f ca="1"/>
        <v>0.20165404159165923</v>
      </c>
      <c r="AH2496" s="2" t="str">
        <f ca="1"/>
        <v>OK</v>
      </c>
    </row>
    <row r="2497" spans="2:34" x14ac:dyDescent="0.2">
      <c r="B2497" s="2">
        <f ca="1"/>
        <v>0.73361195538997825</v>
      </c>
      <c r="O2497" s="2">
        <f ca="1"/>
        <v>0.61817643286417157</v>
      </c>
      <c r="X2497" s="2">
        <f ca="1"/>
        <v>40.074526515113106</v>
      </c>
      <c r="AG2497" s="2">
        <f ca="1"/>
        <v>0.21757793213338461</v>
      </c>
      <c r="AH2497" s="2" t="str">
        <f ca="1"/>
        <v>OK</v>
      </c>
    </row>
    <row r="2498" spans="2:34" x14ac:dyDescent="0.2">
      <c r="B2498" s="2">
        <f ca="1"/>
        <v>0.62633411604944556</v>
      </c>
      <c r="O2498" s="2">
        <f ca="1"/>
        <v>-1.6273862070220693</v>
      </c>
      <c r="X2498" s="2">
        <f ca="1"/>
        <v>40.103377794473907</v>
      </c>
      <c r="AG2498" s="2">
        <f ca="1"/>
        <v>0.93425089754670587</v>
      </c>
      <c r="AH2498" s="2" t="str">
        <f ca="1"/>
        <v>Bad</v>
      </c>
    </row>
    <row r="2499" spans="2:34" x14ac:dyDescent="0.2">
      <c r="B2499" s="2">
        <f ca="1"/>
        <v>0.63213099144383711</v>
      </c>
      <c r="O2499" s="2">
        <f ca="1"/>
        <v>-0.36663499184776455</v>
      </c>
      <c r="X2499" s="2">
        <f ca="1"/>
        <v>29.763040585853922</v>
      </c>
      <c r="AG2499" s="2">
        <f ca="1"/>
        <v>0.93687930173186729</v>
      </c>
      <c r="AH2499" s="2" t="str">
        <f ca="1"/>
        <v>Bad</v>
      </c>
    </row>
    <row r="2500" spans="2:34" x14ac:dyDescent="0.2">
      <c r="B2500" s="2">
        <f ca="1"/>
        <v>0.97968672899989406</v>
      </c>
      <c r="O2500" s="2">
        <f ca="1"/>
        <v>0.31726545880224039</v>
      </c>
      <c r="X2500" s="2">
        <f ca="1"/>
        <v>56.331088817741808</v>
      </c>
      <c r="AG2500" s="2">
        <f ca="1"/>
        <v>0.12637424459959035</v>
      </c>
      <c r="AH2500" s="2" t="str">
        <f ca="1"/>
        <v>OK</v>
      </c>
    </row>
    <row r="2501" spans="2:34" x14ac:dyDescent="0.2">
      <c r="B2501" s="2">
        <f ca="1"/>
        <v>9.8400958846376119E-2</v>
      </c>
      <c r="O2501" s="2">
        <f ca="1"/>
        <v>-0.58285159913178408</v>
      </c>
      <c r="X2501" s="2">
        <f ca="1"/>
        <v>45.535586751324743</v>
      </c>
      <c r="AG2501" s="2">
        <f ca="1"/>
        <v>0.91808074267573159</v>
      </c>
      <c r="AH2501" s="2" t="str">
        <f ca="1"/>
        <v>Bad</v>
      </c>
    </row>
    <row r="2502" spans="2:34" x14ac:dyDescent="0.2">
      <c r="B2502" s="2">
        <f ca="1"/>
        <v>0.40004665171390119</v>
      </c>
      <c r="O2502" s="2">
        <f ca="1"/>
        <v>0.19542064832296641</v>
      </c>
      <c r="X2502" s="2">
        <f ca="1"/>
        <v>56.543187975739137</v>
      </c>
      <c r="AG2502" s="2">
        <f ca="1"/>
        <v>0.14200859772691499</v>
      </c>
      <c r="AH2502" s="2" t="str">
        <f ca="1"/>
        <v>OK</v>
      </c>
    </row>
    <row r="2503" spans="2:34" x14ac:dyDescent="0.2">
      <c r="B2503" s="2">
        <f ca="1"/>
        <v>0.40485694280509898</v>
      </c>
      <c r="O2503" s="2">
        <f ca="1"/>
        <v>0.17052621201515766</v>
      </c>
      <c r="X2503" s="2">
        <f ca="1"/>
        <v>56.308378060976594</v>
      </c>
      <c r="AG2503" s="2">
        <f ca="1"/>
        <v>0.60443636327072792</v>
      </c>
      <c r="AH2503" s="2" t="str">
        <f ca="1"/>
        <v>Bad</v>
      </c>
    </row>
    <row r="2504" spans="2:34" x14ac:dyDescent="0.2">
      <c r="B2504" s="2">
        <f ca="1"/>
        <v>0.16828719064918207</v>
      </c>
      <c r="O2504" s="2">
        <f ca="1"/>
        <v>-0.90346327959283002</v>
      </c>
      <c r="X2504" s="2">
        <f ca="1"/>
        <v>77.328864545970276</v>
      </c>
      <c r="AG2504" s="2">
        <f ca="1"/>
        <v>0.66381075942348855</v>
      </c>
      <c r="AH2504" s="2" t="str">
        <f ca="1"/>
        <v>Bad</v>
      </c>
    </row>
    <row r="2505" spans="2:34" x14ac:dyDescent="0.2">
      <c r="B2505" s="2">
        <f ca="1"/>
        <v>0.8153606883227742</v>
      </c>
      <c r="O2505" s="2">
        <f ca="1"/>
        <v>0.35583785319968525</v>
      </c>
      <c r="X2505" s="2">
        <f ca="1"/>
        <v>44.118800298249489</v>
      </c>
      <c r="AG2505" s="2">
        <f ca="1"/>
        <v>0.38893139746188643</v>
      </c>
      <c r="AH2505" s="2" t="str">
        <f ca="1"/>
        <v>OK</v>
      </c>
    </row>
    <row r="2506" spans="2:34" x14ac:dyDescent="0.2">
      <c r="B2506" s="2">
        <f ca="1"/>
        <v>0.43836100241129561</v>
      </c>
      <c r="O2506" s="2">
        <f ca="1"/>
        <v>0.25856041924646295</v>
      </c>
      <c r="X2506" s="2">
        <f ca="1"/>
        <v>69.806810828630987</v>
      </c>
      <c r="AG2506" s="2">
        <f ca="1"/>
        <v>0.38995909112724103</v>
      </c>
      <c r="AH2506" s="2" t="str">
        <f ca="1"/>
        <v>OK</v>
      </c>
    </row>
    <row r="2507" spans="2:34" x14ac:dyDescent="0.2">
      <c r="B2507" s="2">
        <f ca="1"/>
        <v>0.75826056382553975</v>
      </c>
      <c r="O2507" s="2">
        <f ca="1"/>
        <v>-0.75298344480929946</v>
      </c>
      <c r="X2507" s="2">
        <f ca="1"/>
        <v>54.071323832419708</v>
      </c>
      <c r="AG2507" s="2">
        <f ca="1"/>
        <v>5.8716937804547786E-2</v>
      </c>
      <c r="AH2507" s="2" t="str">
        <f ca="1"/>
        <v>OK</v>
      </c>
    </row>
    <row r="2508" spans="2:34" x14ac:dyDescent="0.2">
      <c r="B2508" s="2">
        <f ca="1"/>
        <v>0.92217569786976972</v>
      </c>
      <c r="O2508" s="2">
        <f ca="1"/>
        <v>0.40411398825424116</v>
      </c>
      <c r="X2508" s="2">
        <f ca="1"/>
        <v>70.890716699605619</v>
      </c>
      <c r="AG2508" s="2">
        <f ca="1"/>
        <v>0.65222346974311463</v>
      </c>
      <c r="AH2508" s="2" t="str">
        <f ca="1"/>
        <v>Bad</v>
      </c>
    </row>
    <row r="2509" spans="2:34" x14ac:dyDescent="0.2">
      <c r="B2509" s="2">
        <f ca="1"/>
        <v>0.13581120820167802</v>
      </c>
      <c r="O2509" s="2">
        <f ca="1"/>
        <v>1.7739291635949757</v>
      </c>
      <c r="X2509" s="2">
        <f ca="1"/>
        <v>65.33662715488515</v>
      </c>
      <c r="AG2509" s="2">
        <f ca="1"/>
        <v>0.99812443692426167</v>
      </c>
      <c r="AH2509" s="2" t="str">
        <f ca="1"/>
        <v>Bad</v>
      </c>
    </row>
    <row r="2510" spans="2:34" x14ac:dyDescent="0.2">
      <c r="B2510" s="2">
        <f ca="1"/>
        <v>0.755626812847777</v>
      </c>
      <c r="O2510" s="2">
        <f ca="1"/>
        <v>-0.57473865490984732</v>
      </c>
      <c r="X2510" s="2">
        <f ca="1"/>
        <v>58.089236288768866</v>
      </c>
      <c r="AG2510" s="2">
        <f ca="1"/>
        <v>0.33397583254693797</v>
      </c>
      <c r="AH2510" s="2" t="str">
        <f ca="1"/>
        <v>OK</v>
      </c>
    </row>
    <row r="2511" spans="2:34" x14ac:dyDescent="0.2">
      <c r="B2511" s="2">
        <f ca="1"/>
        <v>0.18961483661474721</v>
      </c>
      <c r="O2511" s="2">
        <f ca="1"/>
        <v>1.4405218394573633</v>
      </c>
      <c r="X2511" s="2">
        <f ca="1"/>
        <v>59.82904647428213</v>
      </c>
      <c r="AG2511" s="2">
        <f ca="1"/>
        <v>0.71325150880086663</v>
      </c>
      <c r="AH2511" s="2" t="str">
        <f ca="1"/>
        <v>Bad</v>
      </c>
    </row>
    <row r="2512" spans="2:34" x14ac:dyDescent="0.2">
      <c r="B2512" s="2">
        <f ca="1"/>
        <v>0.72183195638516362</v>
      </c>
      <c r="O2512" s="2">
        <f ca="1"/>
        <v>1.034596320992512</v>
      </c>
      <c r="X2512" s="2">
        <f ca="1"/>
        <v>63.814751943566257</v>
      </c>
      <c r="AG2512" s="2">
        <f ca="1"/>
        <v>0.12531967390708298</v>
      </c>
      <c r="AH2512" s="2" t="str">
        <f ca="1"/>
        <v>OK</v>
      </c>
    </row>
    <row r="2513" spans="2:34" x14ac:dyDescent="0.2">
      <c r="B2513" s="2">
        <f ca="1"/>
        <v>0.20541971482129173</v>
      </c>
      <c r="O2513" s="2">
        <f ca="1"/>
        <v>-0.34387062082134973</v>
      </c>
      <c r="X2513" s="2">
        <f ca="1"/>
        <v>72.890534773196521</v>
      </c>
      <c r="AG2513" s="2">
        <f ca="1"/>
        <v>0.9415633015533118</v>
      </c>
      <c r="AH2513" s="2" t="str">
        <f ca="1"/>
        <v>Bad</v>
      </c>
    </row>
    <row r="2514" spans="2:34" x14ac:dyDescent="0.2">
      <c r="B2514" s="2">
        <f ca="1"/>
        <v>0.94858430950449701</v>
      </c>
      <c r="O2514" s="2">
        <f ca="1"/>
        <v>0.28212962995923374</v>
      </c>
      <c r="X2514" s="2">
        <f ca="1"/>
        <v>30.575827870046965</v>
      </c>
      <c r="AG2514" s="2">
        <f ca="1"/>
        <v>3.5798509061841788E-2</v>
      </c>
      <c r="AH2514" s="2" t="str">
        <f ca="1"/>
        <v>Good</v>
      </c>
    </row>
    <row r="2515" spans="2:34" x14ac:dyDescent="0.2">
      <c r="B2515" s="2">
        <f ca="1"/>
        <v>0.23632751603571811</v>
      </c>
      <c r="O2515" s="2">
        <f ca="1"/>
        <v>-1.0441519410406566</v>
      </c>
      <c r="X2515" s="2">
        <f ca="1"/>
        <v>62.162245717629602</v>
      </c>
      <c r="AG2515" s="2">
        <f ca="1"/>
        <v>0.94653841504171399</v>
      </c>
      <c r="AH2515" s="2" t="str">
        <f ca="1"/>
        <v>Bad</v>
      </c>
    </row>
    <row r="2516" spans="2:34" x14ac:dyDescent="0.2">
      <c r="B2516" s="2">
        <f ca="1"/>
        <v>0.41760750273375957</v>
      </c>
      <c r="O2516" s="2">
        <f ca="1"/>
        <v>0.192280026091282</v>
      </c>
      <c r="X2516" s="2">
        <f ca="1"/>
        <v>44.325583962985732</v>
      </c>
      <c r="AG2516" s="2">
        <f ca="1"/>
        <v>0.19224875300812805</v>
      </c>
      <c r="AH2516" s="2" t="str">
        <f ca="1"/>
        <v>OK</v>
      </c>
    </row>
    <row r="2517" spans="2:34" x14ac:dyDescent="0.2">
      <c r="B2517" s="2">
        <f ca="1"/>
        <v>0.38848211642327746</v>
      </c>
      <c r="O2517" s="2">
        <f ca="1"/>
        <v>0.16766140301822374</v>
      </c>
      <c r="X2517" s="2">
        <f ca="1"/>
        <v>29.286440670944863</v>
      </c>
      <c r="AG2517" s="2">
        <f ca="1"/>
        <v>0.83354312931129204</v>
      </c>
      <c r="AH2517" s="2" t="str">
        <f ca="1"/>
        <v>Bad</v>
      </c>
    </row>
    <row r="2518" spans="2:34" x14ac:dyDescent="0.2">
      <c r="B2518" s="2">
        <f ca="1"/>
        <v>0.23769873256473395</v>
      </c>
      <c r="O2518" s="2">
        <f ca="1"/>
        <v>-1.4132318680854845</v>
      </c>
      <c r="X2518" s="2">
        <f ca="1"/>
        <v>38.863844074006103</v>
      </c>
      <c r="AG2518" s="2">
        <f ca="1"/>
        <v>0.88409215015230846</v>
      </c>
      <c r="AH2518" s="2" t="str">
        <f ca="1"/>
        <v>Bad</v>
      </c>
    </row>
    <row r="2519" spans="2:34" x14ac:dyDescent="0.2">
      <c r="B2519" s="2">
        <f ca="1"/>
        <v>0.7173115117878055</v>
      </c>
      <c r="O2519" s="2">
        <f ca="1"/>
        <v>0.94984512281944455</v>
      </c>
      <c r="X2519" s="2">
        <f ca="1"/>
        <v>36.287951806530103</v>
      </c>
      <c r="AG2519" s="2">
        <f ca="1"/>
        <v>0.41986583099682617</v>
      </c>
      <c r="AH2519" s="2" t="str">
        <f ca="1"/>
        <v>Bad</v>
      </c>
    </row>
    <row r="2520" spans="2:34" x14ac:dyDescent="0.2">
      <c r="B2520" s="2">
        <f ca="1"/>
        <v>0.81465593769586264</v>
      </c>
      <c r="O2520" s="2">
        <f ca="1"/>
        <v>-0.80324210201433843</v>
      </c>
      <c r="X2520" s="2">
        <f ca="1"/>
        <v>43.825645459528019</v>
      </c>
      <c r="AG2520" s="2">
        <f ca="1"/>
        <v>0.78354332138133453</v>
      </c>
      <c r="AH2520" s="2" t="str">
        <f ca="1"/>
        <v>Bad</v>
      </c>
    </row>
    <row r="2521" spans="2:34" x14ac:dyDescent="0.2">
      <c r="B2521" s="2">
        <f ca="1"/>
        <v>0.11641339226005676</v>
      </c>
      <c r="O2521" s="2">
        <f ca="1"/>
        <v>-0.56278929680939849</v>
      </c>
      <c r="X2521" s="2">
        <f ca="1"/>
        <v>57.308413476145674</v>
      </c>
      <c r="AG2521" s="2">
        <f ca="1"/>
        <v>0.520548482824297</v>
      </c>
      <c r="AH2521" s="2" t="str">
        <f ca="1"/>
        <v>Bad</v>
      </c>
    </row>
    <row r="2522" spans="2:34" x14ac:dyDescent="0.2">
      <c r="B2522" s="2">
        <f ca="1"/>
        <v>0.74532283390877119</v>
      </c>
      <c r="O2522" s="2">
        <f ca="1"/>
        <v>-0.37169387953330224</v>
      </c>
      <c r="X2522" s="2">
        <f ca="1"/>
        <v>39.782712838257083</v>
      </c>
      <c r="AG2522" s="2">
        <f ca="1"/>
        <v>0.80056751112092761</v>
      </c>
      <c r="AH2522" s="2" t="str">
        <f ca="1"/>
        <v>Bad</v>
      </c>
    </row>
    <row r="2523" spans="2:34" x14ac:dyDescent="0.2">
      <c r="B2523" s="2">
        <f ca="1"/>
        <v>0.24622166377743704</v>
      </c>
      <c r="O2523" s="2">
        <f ca="1"/>
        <v>-0.37352773849733284</v>
      </c>
      <c r="X2523" s="2">
        <f ca="1"/>
        <v>42.472994331506001</v>
      </c>
      <c r="AG2523" s="2">
        <f ca="1"/>
        <v>0.36493159519892093</v>
      </c>
      <c r="AH2523" s="2" t="str">
        <f ca="1"/>
        <v>OK</v>
      </c>
    </row>
    <row r="2524" spans="2:34" x14ac:dyDescent="0.2">
      <c r="B2524" s="2">
        <f ca="1"/>
        <v>1.3706579556697518E-2</v>
      </c>
      <c r="O2524" s="2">
        <f ca="1"/>
        <v>1.5443366479600854E-2</v>
      </c>
      <c r="X2524" s="2">
        <f ca="1"/>
        <v>35.44573099044942</v>
      </c>
      <c r="AG2524" s="2">
        <f ca="1"/>
        <v>0.80374181226545471</v>
      </c>
      <c r="AH2524" s="2" t="str">
        <f ca="1"/>
        <v>Bad</v>
      </c>
    </row>
    <row r="2525" spans="2:34" x14ac:dyDescent="0.2">
      <c r="B2525" s="2">
        <f ca="1"/>
        <v>0.7642026385419447</v>
      </c>
      <c r="O2525" s="2">
        <f ca="1"/>
        <v>0.17066388482826217</v>
      </c>
      <c r="X2525" s="2">
        <f ca="1"/>
        <v>38.184960874898579</v>
      </c>
      <c r="AG2525" s="2">
        <f ca="1"/>
        <v>0.72138803659091311</v>
      </c>
      <c r="AH2525" s="2" t="str">
        <f ca="1"/>
        <v>Bad</v>
      </c>
    </row>
    <row r="2526" spans="2:34" x14ac:dyDescent="0.2">
      <c r="B2526" s="2">
        <f ca="1"/>
        <v>0.42523194256512986</v>
      </c>
      <c r="O2526" s="2">
        <f ca="1"/>
        <v>-1.7361021670883145E-3</v>
      </c>
      <c r="X2526" s="2">
        <f ca="1"/>
        <v>66.205063398513332</v>
      </c>
      <c r="AG2526" s="2">
        <f ca="1"/>
        <v>0.12517349739885697</v>
      </c>
      <c r="AH2526" s="2" t="str">
        <f ca="1"/>
        <v>OK</v>
      </c>
    </row>
    <row r="2527" spans="2:34" x14ac:dyDescent="0.2">
      <c r="B2527" s="2">
        <f ca="1"/>
        <v>7.7658864320799825E-3</v>
      </c>
      <c r="O2527" s="2">
        <f ca="1"/>
        <v>1.4147117794620141</v>
      </c>
      <c r="X2527" s="2">
        <f ca="1"/>
        <v>53.553515800516259</v>
      </c>
      <c r="AG2527" s="2">
        <f ca="1"/>
        <v>0.70129084812080267</v>
      </c>
      <c r="AH2527" s="2" t="str">
        <f ca="1"/>
        <v>Bad</v>
      </c>
    </row>
    <row r="2528" spans="2:34" x14ac:dyDescent="0.2">
      <c r="B2528" s="2">
        <f ca="1"/>
        <v>0.50312743986918851</v>
      </c>
      <c r="O2528" s="2">
        <f ca="1"/>
        <v>0.26661233394957712</v>
      </c>
      <c r="X2528" s="2">
        <f ca="1"/>
        <v>73.458451169917396</v>
      </c>
      <c r="AG2528" s="2">
        <f ca="1"/>
        <v>0.52310588032485694</v>
      </c>
      <c r="AH2528" s="2" t="str">
        <f ca="1"/>
        <v>Bad</v>
      </c>
    </row>
    <row r="2529" spans="2:34" x14ac:dyDescent="0.2">
      <c r="B2529" s="2">
        <f ca="1"/>
        <v>0.4080297983522736</v>
      </c>
      <c r="O2529" s="2">
        <f ca="1"/>
        <v>1.7208033341855793</v>
      </c>
      <c r="X2529" s="2">
        <f ca="1"/>
        <v>27.901784567100254</v>
      </c>
      <c r="AG2529" s="2">
        <f ca="1"/>
        <v>8.8582776913286088E-2</v>
      </c>
      <c r="AH2529" s="2" t="str">
        <f ca="1"/>
        <v>OK</v>
      </c>
    </row>
    <row r="2530" spans="2:34" x14ac:dyDescent="0.2">
      <c r="B2530" s="2">
        <f ca="1"/>
        <v>0.66132126382012202</v>
      </c>
      <c r="O2530" s="2">
        <f ca="1"/>
        <v>1.4112865861712556</v>
      </c>
      <c r="X2530" s="2">
        <f ca="1"/>
        <v>40.372889404821422</v>
      </c>
      <c r="AG2530" s="2">
        <f ca="1"/>
        <v>0.23572340745945874</v>
      </c>
      <c r="AH2530" s="2" t="str">
        <f ca="1"/>
        <v>OK</v>
      </c>
    </row>
    <row r="2531" spans="2:34" x14ac:dyDescent="0.2">
      <c r="B2531" s="2">
        <f ca="1"/>
        <v>0.22263580512435266</v>
      </c>
      <c r="O2531" s="2">
        <f ca="1"/>
        <v>-1.7524805393216676</v>
      </c>
      <c r="X2531" s="2">
        <f ca="1"/>
        <v>46.456516262039614</v>
      </c>
      <c r="AG2531" s="2">
        <f ca="1"/>
        <v>1.0889154228907572E-2</v>
      </c>
      <c r="AH2531" s="2" t="str">
        <f ca="1"/>
        <v>Good</v>
      </c>
    </row>
    <row r="2532" spans="2:34" x14ac:dyDescent="0.2">
      <c r="B2532" s="2">
        <f ca="1"/>
        <v>0.6154834176336581</v>
      </c>
      <c r="O2532" s="2">
        <f ca="1"/>
        <v>0.98172994828503735</v>
      </c>
      <c r="X2532" s="2">
        <f ca="1"/>
        <v>39.875234019041315</v>
      </c>
      <c r="AG2532" s="2">
        <f ca="1"/>
        <v>0.7131095823770266</v>
      </c>
      <c r="AH2532" s="2" t="str">
        <f ca="1"/>
        <v>Bad</v>
      </c>
    </row>
    <row r="2533" spans="2:34" x14ac:dyDescent="0.2">
      <c r="B2533" s="2">
        <f ca="1"/>
        <v>0.3928597222317598</v>
      </c>
      <c r="O2533" s="2">
        <f ca="1"/>
        <v>-9.3830840923803782E-2</v>
      </c>
      <c r="X2533" s="2">
        <f ca="1"/>
        <v>40.506476962214812</v>
      </c>
      <c r="AG2533" s="2">
        <f ca="1"/>
        <v>0.8377113119928945</v>
      </c>
      <c r="AH2533" s="2" t="str">
        <f ca="1"/>
        <v>Bad</v>
      </c>
    </row>
    <row r="2534" spans="2:34" x14ac:dyDescent="0.2">
      <c r="B2534" s="2">
        <f ca="1"/>
        <v>0.50614153962713782</v>
      </c>
      <c r="O2534" s="2">
        <f ca="1"/>
        <v>-0.24686388249856009</v>
      </c>
      <c r="X2534" s="2">
        <f ca="1"/>
        <v>20.627320032145832</v>
      </c>
      <c r="AG2534" s="2">
        <f ca="1"/>
        <v>0.16451065667356812</v>
      </c>
      <c r="AH2534" s="2" t="str">
        <f ca="1"/>
        <v>OK</v>
      </c>
    </row>
    <row r="2535" spans="2:34" x14ac:dyDescent="0.2">
      <c r="B2535" s="2">
        <f ca="1"/>
        <v>0.67695935692124642</v>
      </c>
      <c r="O2535" s="2">
        <f ca="1"/>
        <v>-1.6574423018427815</v>
      </c>
      <c r="X2535" s="2">
        <f ca="1"/>
        <v>39.165043363317416</v>
      </c>
      <c r="AG2535" s="2">
        <f ca="1"/>
        <v>0.92908471795240466</v>
      </c>
      <c r="AH2535" s="2" t="str">
        <f ca="1"/>
        <v>Bad</v>
      </c>
    </row>
    <row r="2536" spans="2:34" x14ac:dyDescent="0.2">
      <c r="B2536" s="2">
        <f ca="1"/>
        <v>0.44871449011450526</v>
      </c>
      <c r="O2536" s="2">
        <f ca="1"/>
        <v>0.68942938159371003</v>
      </c>
      <c r="X2536" s="2">
        <f ca="1"/>
        <v>27.229201774739455</v>
      </c>
      <c r="AG2536" s="2">
        <f ca="1"/>
        <v>0.49768822446061756</v>
      </c>
      <c r="AH2536" s="2" t="str">
        <f ca="1"/>
        <v>Bad</v>
      </c>
    </row>
    <row r="2537" spans="2:34" x14ac:dyDescent="0.2">
      <c r="B2537" s="2">
        <f ca="1"/>
        <v>0.54336256263976801</v>
      </c>
      <c r="O2537" s="2">
        <f ca="1"/>
        <v>-0.56208549631464955</v>
      </c>
      <c r="X2537" s="2">
        <f ca="1"/>
        <v>60.568687957622927</v>
      </c>
      <c r="AG2537" s="2">
        <f ca="1"/>
        <v>0.21346230984057413</v>
      </c>
      <c r="AH2537" s="2" t="str">
        <f ca="1"/>
        <v>OK</v>
      </c>
    </row>
    <row r="2538" spans="2:34" x14ac:dyDescent="0.2">
      <c r="B2538" s="2">
        <f ca="1"/>
        <v>0.2815730953565696</v>
      </c>
      <c r="O2538" s="2">
        <f ca="1"/>
        <v>0.63523290477914784</v>
      </c>
      <c r="X2538" s="2">
        <f ca="1"/>
        <v>25.386957997432923</v>
      </c>
      <c r="AG2538" s="2">
        <f ca="1"/>
        <v>0.75189605092915901</v>
      </c>
      <c r="AH2538" s="2" t="str">
        <f ca="1"/>
        <v>Bad</v>
      </c>
    </row>
    <row r="2539" spans="2:34" x14ac:dyDescent="0.2">
      <c r="B2539" s="2">
        <f ca="1"/>
        <v>0.98729146916852795</v>
      </c>
      <c r="O2539" s="2">
        <f ca="1"/>
        <v>2.2039673927376944</v>
      </c>
      <c r="X2539" s="2">
        <f ca="1"/>
        <v>48.301063956637584</v>
      </c>
      <c r="AG2539" s="2">
        <f ca="1"/>
        <v>0.58763067289747362</v>
      </c>
      <c r="AH2539" s="2" t="str">
        <f ca="1"/>
        <v>Bad</v>
      </c>
    </row>
    <row r="2540" spans="2:34" x14ac:dyDescent="0.2">
      <c r="B2540" s="2">
        <f ca="1"/>
        <v>0.2895942454757543</v>
      </c>
      <c r="O2540" s="2">
        <f ca="1"/>
        <v>-4.7356349339707345E-2</v>
      </c>
      <c r="X2540" s="2">
        <f ca="1"/>
        <v>57.084502678676294</v>
      </c>
      <c r="AG2540" s="2">
        <f ca="1"/>
        <v>0.35081045130756117</v>
      </c>
      <c r="AH2540" s="2" t="str">
        <f ca="1"/>
        <v>OK</v>
      </c>
    </row>
    <row r="2541" spans="2:34" x14ac:dyDescent="0.2">
      <c r="B2541" s="2">
        <f ca="1"/>
        <v>0.86313709931232929</v>
      </c>
      <c r="O2541" s="2">
        <f ca="1"/>
        <v>-0.86142788524735836</v>
      </c>
      <c r="X2541" s="2">
        <f ca="1"/>
        <v>83.024085699366296</v>
      </c>
      <c r="AG2541" s="2">
        <f ca="1"/>
        <v>0.73248212868105167</v>
      </c>
      <c r="AH2541" s="2" t="str">
        <f ca="1"/>
        <v>Bad</v>
      </c>
    </row>
    <row r="2542" spans="2:34" x14ac:dyDescent="0.2">
      <c r="B2542" s="2">
        <f ca="1"/>
        <v>0.11193539872508684</v>
      </c>
      <c r="O2542" s="2">
        <f ca="1"/>
        <v>1.5306305797897726</v>
      </c>
      <c r="X2542" s="2">
        <f ca="1"/>
        <v>47.925803625143928</v>
      </c>
      <c r="AG2542" s="2">
        <f ca="1"/>
        <v>0.92740333815036902</v>
      </c>
      <c r="AH2542" s="2" t="str">
        <f ca="1"/>
        <v>Bad</v>
      </c>
    </row>
    <row r="2543" spans="2:34" x14ac:dyDescent="0.2">
      <c r="B2543" s="2">
        <f ca="1"/>
        <v>0.66673028924563282</v>
      </c>
      <c r="O2543" s="2">
        <f ca="1"/>
        <v>-0.26562253765648197</v>
      </c>
      <c r="X2543" s="2">
        <f ca="1"/>
        <v>45.269083304829152</v>
      </c>
      <c r="AG2543" s="2">
        <f ca="1"/>
        <v>0.62627773020925037</v>
      </c>
      <c r="AH2543" s="2" t="str">
        <f ca="1"/>
        <v>Bad</v>
      </c>
    </row>
    <row r="2544" spans="2:34" x14ac:dyDescent="0.2">
      <c r="B2544" s="2">
        <f ca="1"/>
        <v>7.7358075336913634E-2</v>
      </c>
      <c r="O2544" s="2">
        <f ca="1"/>
        <v>0.47709577113008006</v>
      </c>
      <c r="X2544" s="2">
        <f ca="1"/>
        <v>53.054293557877713</v>
      </c>
      <c r="AG2544" s="2">
        <f ca="1"/>
        <v>0.46378034831462345</v>
      </c>
      <c r="AH2544" s="2" t="str">
        <f ca="1"/>
        <v>Bad</v>
      </c>
    </row>
    <row r="2545" spans="2:34" x14ac:dyDescent="0.2">
      <c r="B2545" s="2">
        <f ca="1"/>
        <v>8.2138950597242744E-2</v>
      </c>
      <c r="O2545" s="2">
        <f ca="1"/>
        <v>7.8466304498415976E-2</v>
      </c>
      <c r="X2545" s="2">
        <f ca="1"/>
        <v>29.324515853350206</v>
      </c>
      <c r="AG2545" s="2">
        <f ca="1"/>
        <v>0.84887683506047518</v>
      </c>
      <c r="AH2545" s="2" t="str">
        <f ca="1"/>
        <v>Bad</v>
      </c>
    </row>
    <row r="2546" spans="2:34" x14ac:dyDescent="0.2">
      <c r="B2546" s="2">
        <f ca="1"/>
        <v>0.78243862546359977</v>
      </c>
      <c r="O2546" s="2">
        <f ca="1"/>
        <v>-1.6533061325816771</v>
      </c>
      <c r="X2546" s="2">
        <f ca="1"/>
        <v>52.217784152654815</v>
      </c>
      <c r="AG2546" s="2">
        <f ca="1"/>
        <v>0.40417477039716343</v>
      </c>
      <c r="AH2546" s="2" t="str">
        <f ca="1"/>
        <v>Bad</v>
      </c>
    </row>
    <row r="2547" spans="2:34" x14ac:dyDescent="0.2">
      <c r="B2547" s="2">
        <f ca="1"/>
        <v>0.57900758588585699</v>
      </c>
      <c r="O2547" s="2">
        <f ca="1"/>
        <v>0.82923942430207531</v>
      </c>
      <c r="X2547" s="2">
        <f ca="1"/>
        <v>45.294163334554483</v>
      </c>
      <c r="AG2547" s="2">
        <f ca="1"/>
        <v>0.77707049370156067</v>
      </c>
      <c r="AH2547" s="2" t="str">
        <f ca="1"/>
        <v>Bad</v>
      </c>
    </row>
    <row r="2548" spans="2:34" x14ac:dyDescent="0.2">
      <c r="B2548" s="2">
        <f ca="1"/>
        <v>0.27246936640580355</v>
      </c>
      <c r="O2548" s="2">
        <f ca="1"/>
        <v>1.1836783277271352</v>
      </c>
      <c r="X2548" s="2">
        <f ca="1"/>
        <v>26.921737313553326</v>
      </c>
      <c r="AG2548" s="2">
        <f ca="1"/>
        <v>0.58164454533311516</v>
      </c>
      <c r="AH2548" s="2" t="str">
        <f ca="1"/>
        <v>Bad</v>
      </c>
    </row>
    <row r="2549" spans="2:34" x14ac:dyDescent="0.2">
      <c r="B2549" s="2">
        <f ca="1"/>
        <v>0.56997500631043763</v>
      </c>
      <c r="O2549" s="2">
        <f ca="1"/>
        <v>-7.3371639332098712E-2</v>
      </c>
      <c r="X2549" s="2">
        <f ca="1"/>
        <v>39.346780321309765</v>
      </c>
      <c r="AG2549" s="2">
        <f ca="1"/>
        <v>0.93556337031506032</v>
      </c>
      <c r="AH2549" s="2" t="str">
        <f ca="1"/>
        <v>Bad</v>
      </c>
    </row>
    <row r="2550" spans="2:34" x14ac:dyDescent="0.2">
      <c r="B2550" s="2">
        <f ca="1"/>
        <v>0.22854806877097755</v>
      </c>
      <c r="O2550" s="2">
        <f ca="1"/>
        <v>-2.1395560151590824E-2</v>
      </c>
      <c r="X2550" s="2">
        <f ca="1"/>
        <v>28.290529721050483</v>
      </c>
      <c r="AG2550" s="2">
        <f ca="1"/>
        <v>0.87559810781432645</v>
      </c>
      <c r="AH2550" s="2" t="str">
        <f ca="1"/>
        <v>Bad</v>
      </c>
    </row>
    <row r="2551" spans="2:34" x14ac:dyDescent="0.2">
      <c r="B2551" s="2">
        <f ca="1"/>
        <v>0.4866871494619478</v>
      </c>
      <c r="O2551" s="2">
        <f ca="1"/>
        <v>0.9833103142734817</v>
      </c>
      <c r="X2551" s="2">
        <f ca="1"/>
        <v>42.319516415492657</v>
      </c>
      <c r="AG2551" s="2">
        <f ca="1"/>
        <v>0.50031125988105729</v>
      </c>
      <c r="AH2551" s="2" t="str">
        <f ca="1"/>
        <v>Bad</v>
      </c>
    </row>
    <row r="2552" spans="2:34" x14ac:dyDescent="0.2">
      <c r="B2552" s="2">
        <f ca="1"/>
        <v>0.82718381440901667</v>
      </c>
      <c r="O2552" s="2">
        <f ca="1"/>
        <v>0.65801364086255543</v>
      </c>
      <c r="X2552" s="2">
        <f ca="1"/>
        <v>46.596102124895864</v>
      </c>
      <c r="AG2552" s="2">
        <f ca="1"/>
        <v>0.70314935525987221</v>
      </c>
      <c r="AH2552" s="2" t="str">
        <f ca="1"/>
        <v>Bad</v>
      </c>
    </row>
    <row r="2553" spans="2:34" x14ac:dyDescent="0.2">
      <c r="B2553" s="2">
        <f ca="1"/>
        <v>0.87245658989189567</v>
      </c>
      <c r="O2553" s="2">
        <f ca="1"/>
        <v>-0.28734812837794316</v>
      </c>
      <c r="X2553" s="2">
        <f ca="1"/>
        <v>47.255442650339489</v>
      </c>
      <c r="AG2553" s="2">
        <f ca="1"/>
        <v>0.29419604541733202</v>
      </c>
      <c r="AH2553" s="2" t="str">
        <f ca="1"/>
        <v>OK</v>
      </c>
    </row>
    <row r="2554" spans="2:34" x14ac:dyDescent="0.2">
      <c r="B2554" s="2">
        <f ca="1"/>
        <v>0.99182460879746759</v>
      </c>
      <c r="O2554" s="2">
        <f ca="1"/>
        <v>0.20108566398343153</v>
      </c>
      <c r="X2554" s="2">
        <f ca="1"/>
        <v>33.851842352815524</v>
      </c>
      <c r="AG2554" s="2">
        <f ca="1"/>
        <v>0.58015784735305354</v>
      </c>
      <c r="AH2554" s="2" t="str">
        <f ca="1"/>
        <v>Bad</v>
      </c>
    </row>
    <row r="2555" spans="2:34" x14ac:dyDescent="0.2">
      <c r="B2555" s="2">
        <f ca="1"/>
        <v>0.76621263883115009</v>
      </c>
      <c r="O2555" s="2">
        <f ca="1"/>
        <v>-0.46144848367558555</v>
      </c>
      <c r="X2555" s="2">
        <f ca="1"/>
        <v>57.030888484039473</v>
      </c>
      <c r="AG2555" s="2">
        <f ca="1"/>
        <v>0.45415068788687596</v>
      </c>
      <c r="AH2555" s="2" t="str">
        <f ca="1"/>
        <v>Bad</v>
      </c>
    </row>
    <row r="2556" spans="2:34" x14ac:dyDescent="0.2">
      <c r="B2556" s="2">
        <f ca="1"/>
        <v>0.91538382850811306</v>
      </c>
      <c r="O2556" s="2">
        <f ca="1"/>
        <v>1.2547705921331021E-2</v>
      </c>
      <c r="X2556" s="2">
        <f ca="1"/>
        <v>40.200276729214664</v>
      </c>
      <c r="AG2556" s="2">
        <f ca="1"/>
        <v>6.9834896404530777E-2</v>
      </c>
      <c r="AH2556" s="2" t="str">
        <f ca="1"/>
        <v>OK</v>
      </c>
    </row>
    <row r="2557" spans="2:34" x14ac:dyDescent="0.2">
      <c r="B2557" s="2">
        <f ca="1"/>
        <v>0.59613390436668645</v>
      </c>
      <c r="O2557" s="2">
        <f ca="1"/>
        <v>0.79565730047807182</v>
      </c>
      <c r="X2557" s="2">
        <f ca="1"/>
        <v>69.679212486426053</v>
      </c>
      <c r="AG2557" s="2">
        <f ca="1"/>
        <v>0.66031681698345013</v>
      </c>
      <c r="AH2557" s="2" t="str">
        <f ca="1"/>
        <v>Bad</v>
      </c>
    </row>
    <row r="2558" spans="2:34" x14ac:dyDescent="0.2">
      <c r="B2558" s="2">
        <f ca="1"/>
        <v>0.95904067897437706</v>
      </c>
      <c r="O2558" s="2">
        <f ca="1"/>
        <v>-1.972068253159009</v>
      </c>
      <c r="X2558" s="2">
        <f ca="1"/>
        <v>52.595340685185114</v>
      </c>
      <c r="AG2558" s="2">
        <f ca="1"/>
        <v>0.46512863981417008</v>
      </c>
      <c r="AH2558" s="2" t="str">
        <f ca="1"/>
        <v>Bad</v>
      </c>
    </row>
    <row r="2559" spans="2:34" x14ac:dyDescent="0.2">
      <c r="B2559" s="2">
        <f ca="1"/>
        <v>0.13085474051924084</v>
      </c>
      <c r="O2559" s="2">
        <f ca="1"/>
        <v>1.4048303332856629</v>
      </c>
      <c r="X2559" s="2">
        <f ca="1"/>
        <v>74.811961480438626</v>
      </c>
      <c r="AG2559" s="2">
        <f ca="1"/>
        <v>3.8616616824540761E-2</v>
      </c>
      <c r="AH2559" s="2" t="str">
        <f ca="1"/>
        <v>Good</v>
      </c>
    </row>
    <row r="2560" spans="2:34" x14ac:dyDescent="0.2">
      <c r="B2560" s="2">
        <f ca="1"/>
        <v>0.56105614843744966</v>
      </c>
      <c r="O2560" s="2">
        <f ca="1"/>
        <v>-1.2988626390379807</v>
      </c>
      <c r="X2560" s="2">
        <f ca="1"/>
        <v>54.628170844981689</v>
      </c>
      <c r="AG2560" s="2">
        <f ca="1"/>
        <v>1.7577691116184235E-2</v>
      </c>
      <c r="AH2560" s="2" t="str">
        <f ca="1"/>
        <v>Good</v>
      </c>
    </row>
    <row r="2561" spans="2:34" x14ac:dyDescent="0.2">
      <c r="B2561" s="2">
        <f ca="1"/>
        <v>0.76985547587301317</v>
      </c>
      <c r="O2561" s="2">
        <f ca="1"/>
        <v>0.35024746231173143</v>
      </c>
      <c r="X2561" s="2">
        <f ca="1"/>
        <v>62.657896475120822</v>
      </c>
      <c r="AG2561" s="2">
        <f ca="1"/>
        <v>6.8779233824332042E-2</v>
      </c>
      <c r="AH2561" s="2" t="str">
        <f ca="1"/>
        <v>OK</v>
      </c>
    </row>
    <row r="2562" spans="2:34" x14ac:dyDescent="0.2">
      <c r="B2562" s="2">
        <f ca="1"/>
        <v>0.9787498778342123</v>
      </c>
      <c r="O2562" s="2">
        <f ca="1"/>
        <v>-0.34228743101469061</v>
      </c>
      <c r="X2562" s="2">
        <f ca="1"/>
        <v>73.496208657181711</v>
      </c>
      <c r="AG2562" s="2">
        <f ca="1"/>
        <v>0.29999668627429643</v>
      </c>
      <c r="AH2562" s="2" t="str">
        <f ca="1"/>
        <v>OK</v>
      </c>
    </row>
    <row r="2563" spans="2:34" x14ac:dyDescent="0.2">
      <c r="B2563" s="2">
        <f ca="1"/>
        <v>0.14243074459316651</v>
      </c>
      <c r="O2563" s="2">
        <f ca="1"/>
        <v>-0.90026921866229825</v>
      </c>
      <c r="X2563" s="2">
        <f ca="1"/>
        <v>72.123758222163616</v>
      </c>
      <c r="AG2563" s="2">
        <f ca="1"/>
        <v>0.90156354224428203</v>
      </c>
      <c r="AH2563" s="2" t="str">
        <f ca="1"/>
        <v>Bad</v>
      </c>
    </row>
    <row r="2564" spans="2:34" x14ac:dyDescent="0.2">
      <c r="B2564" s="2">
        <f ca="1"/>
        <v>0.90298999790068324</v>
      </c>
      <c r="O2564" s="2">
        <f ca="1"/>
        <v>1.0590391845439318</v>
      </c>
      <c r="X2564" s="2">
        <f ca="1"/>
        <v>43.671807128975537</v>
      </c>
      <c r="AG2564" s="2">
        <f ca="1"/>
        <v>0.78115224134160477</v>
      </c>
      <c r="AH2564" s="2" t="str">
        <f ca="1"/>
        <v>Bad</v>
      </c>
    </row>
    <row r="2565" spans="2:34" x14ac:dyDescent="0.2">
      <c r="B2565" s="2">
        <f ca="1"/>
        <v>0.90509765203662118</v>
      </c>
      <c r="O2565" s="2">
        <f ca="1"/>
        <v>-0.47913818864426611</v>
      </c>
      <c r="X2565" s="2">
        <f ca="1"/>
        <v>36.271278214854384</v>
      </c>
      <c r="AG2565" s="2">
        <f ca="1"/>
        <v>0.21255279018079976</v>
      </c>
      <c r="AH2565" s="2" t="str">
        <f ca="1"/>
        <v>OK</v>
      </c>
    </row>
    <row r="2566" spans="2:34" x14ac:dyDescent="0.2">
      <c r="B2566" s="2">
        <f ca="1"/>
        <v>0.69686026993628913</v>
      </c>
      <c r="O2566" s="2">
        <f ca="1"/>
        <v>0.55606528588631587</v>
      </c>
      <c r="X2566" s="2">
        <f ca="1"/>
        <v>48.657772508933448</v>
      </c>
      <c r="AG2566" s="2">
        <f ca="1"/>
        <v>0.77669312954475767</v>
      </c>
      <c r="AH2566" s="2" t="str">
        <f ca="1"/>
        <v>Bad</v>
      </c>
    </row>
    <row r="2567" spans="2:34" x14ac:dyDescent="0.2">
      <c r="B2567" s="2">
        <f ca="1"/>
        <v>0.46454239024191257</v>
      </c>
      <c r="O2567" s="2">
        <f ca="1"/>
        <v>0.31359279159196746</v>
      </c>
      <c r="X2567" s="2">
        <f ca="1"/>
        <v>23.235843894295304</v>
      </c>
      <c r="AG2567" s="2">
        <f ca="1"/>
        <v>0.2103758558194424</v>
      </c>
      <c r="AH2567" s="2" t="str">
        <f ca="1"/>
        <v>OK</v>
      </c>
    </row>
    <row r="2568" spans="2:34" x14ac:dyDescent="0.2">
      <c r="B2568" s="2">
        <f ca="1"/>
        <v>0.94492584907028077</v>
      </c>
      <c r="O2568" s="2">
        <f ca="1"/>
        <v>0.79100256109854161</v>
      </c>
      <c r="X2568" s="2">
        <f ca="1"/>
        <v>38.006017636628663</v>
      </c>
      <c r="AG2568" s="2">
        <f ca="1"/>
        <v>6.1887777439883385E-2</v>
      </c>
      <c r="AH2568" s="2" t="str">
        <f ca="1"/>
        <v>OK</v>
      </c>
    </row>
    <row r="2569" spans="2:34" x14ac:dyDescent="0.2">
      <c r="B2569" s="2">
        <f ca="1"/>
        <v>0.97776897101345739</v>
      </c>
      <c r="O2569" s="2">
        <f ca="1"/>
        <v>-1.0902067263513167</v>
      </c>
      <c r="X2569" s="2">
        <f ca="1"/>
        <v>31.984455676878589</v>
      </c>
      <c r="AG2569" s="2">
        <f ca="1"/>
        <v>0.14635010269851523</v>
      </c>
      <c r="AH2569" s="2" t="str">
        <f ca="1"/>
        <v>OK</v>
      </c>
    </row>
    <row r="2570" spans="2:34" x14ac:dyDescent="0.2">
      <c r="B2570" s="2">
        <f ca="1"/>
        <v>2.0298044684517569E-2</v>
      </c>
      <c r="O2570" s="2">
        <f ca="1"/>
        <v>1.1441552637612276</v>
      </c>
      <c r="X2570" s="2">
        <f ca="1"/>
        <v>58.443479019564599</v>
      </c>
      <c r="AG2570" s="2">
        <f ca="1"/>
        <v>0.16853470022195416</v>
      </c>
      <c r="AH2570" s="2" t="str">
        <f ca="1"/>
        <v>OK</v>
      </c>
    </row>
    <row r="2571" spans="2:34" x14ac:dyDescent="0.2">
      <c r="B2571" s="2">
        <f ca="1"/>
        <v>0.54090876456322534</v>
      </c>
      <c r="O2571" s="2">
        <f ca="1"/>
        <v>-0.23762371153698109</v>
      </c>
      <c r="X2571" s="2">
        <f ca="1"/>
        <v>39.534674260841477</v>
      </c>
      <c r="AG2571" s="2">
        <f ca="1"/>
        <v>0.39952619502790387</v>
      </c>
      <c r="AH2571" s="2" t="str">
        <f ca="1"/>
        <v>OK</v>
      </c>
    </row>
    <row r="2572" spans="2:34" x14ac:dyDescent="0.2">
      <c r="B2572" s="2">
        <f ca="1"/>
        <v>8.7410766970059894E-2</v>
      </c>
      <c r="O2572" s="2">
        <f ca="1"/>
        <v>-0.44362862614131909</v>
      </c>
      <c r="X2572" s="2">
        <f ca="1"/>
        <v>84.971996888827192</v>
      </c>
      <c r="AG2572" s="2">
        <f ca="1"/>
        <v>0.65405696351653986</v>
      </c>
      <c r="AH2572" s="2" t="str">
        <f ca="1"/>
        <v>Bad</v>
      </c>
    </row>
    <row r="2573" spans="2:34" x14ac:dyDescent="0.2">
      <c r="B2573" s="2">
        <f ca="1"/>
        <v>0.79641322498732592</v>
      </c>
      <c r="O2573" s="2">
        <f ca="1"/>
        <v>-1.0863541410853357</v>
      </c>
      <c r="X2573" s="2">
        <f ca="1"/>
        <v>30.535169438555322</v>
      </c>
      <c r="AG2573" s="2">
        <f ca="1"/>
        <v>0.21236485318407894</v>
      </c>
      <c r="AH2573" s="2" t="str">
        <f ca="1"/>
        <v>OK</v>
      </c>
    </row>
    <row r="2574" spans="2:34" x14ac:dyDescent="0.2">
      <c r="B2574" s="2">
        <f ca="1"/>
        <v>0.64743287987870901</v>
      </c>
      <c r="O2574" s="2">
        <f ca="1"/>
        <v>0.419934293212325</v>
      </c>
      <c r="X2574" s="2">
        <f ca="1"/>
        <v>40.189860792649043</v>
      </c>
      <c r="AG2574" s="2">
        <f ca="1"/>
        <v>0.19473741202091999</v>
      </c>
      <c r="AH2574" s="2" t="str">
        <f ca="1"/>
        <v>OK</v>
      </c>
    </row>
    <row r="2575" spans="2:34" x14ac:dyDescent="0.2">
      <c r="B2575" s="2">
        <f ca="1"/>
        <v>0.9898598254105293</v>
      </c>
      <c r="O2575" s="2">
        <f ca="1"/>
        <v>-1.3492716408857419</v>
      </c>
      <c r="X2575" s="2">
        <f ca="1"/>
        <v>45.10785185249739</v>
      </c>
      <c r="AG2575" s="2">
        <f ca="1"/>
        <v>0.96381879261161885</v>
      </c>
      <c r="AH2575" s="2" t="str">
        <f ca="1"/>
        <v>Bad</v>
      </c>
    </row>
    <row r="2576" spans="2:34" x14ac:dyDescent="0.2">
      <c r="B2576" s="2">
        <f ca="1"/>
        <v>0.63411156781033196</v>
      </c>
      <c r="O2576" s="2">
        <f ca="1"/>
        <v>0.23853326909761002</v>
      </c>
      <c r="X2576" s="2">
        <f ca="1"/>
        <v>66.069237793898068</v>
      </c>
      <c r="AG2576" s="2">
        <f ca="1"/>
        <v>0.47584302317464244</v>
      </c>
      <c r="AH2576" s="2" t="str">
        <f ca="1"/>
        <v>Bad</v>
      </c>
    </row>
    <row r="2577" spans="2:34" x14ac:dyDescent="0.2">
      <c r="B2577" s="2">
        <f ca="1"/>
        <v>0.94246968002223008</v>
      </c>
      <c r="O2577" s="2">
        <f ca="1"/>
        <v>-0.49812899479993766</v>
      </c>
      <c r="X2577" s="2">
        <f ca="1"/>
        <v>60.202368343448157</v>
      </c>
      <c r="AG2577" s="2">
        <f ca="1"/>
        <v>0.72557694979857401</v>
      </c>
      <c r="AH2577" s="2" t="str">
        <f ca="1"/>
        <v>Bad</v>
      </c>
    </row>
    <row r="2578" spans="2:34" x14ac:dyDescent="0.2">
      <c r="B2578" s="2">
        <f ca="1"/>
        <v>0.98787282609209548</v>
      </c>
      <c r="O2578" s="2">
        <f ca="1"/>
        <v>-0.54471084159785133</v>
      </c>
      <c r="X2578" s="2">
        <f ca="1"/>
        <v>35.833897168675442</v>
      </c>
      <c r="AG2578" s="2">
        <f ca="1"/>
        <v>0.44455544489727594</v>
      </c>
      <c r="AH2578" s="2" t="str">
        <f ca="1"/>
        <v>Bad</v>
      </c>
    </row>
    <row r="2579" spans="2:34" x14ac:dyDescent="0.2">
      <c r="B2579" s="2">
        <f ca="1"/>
        <v>0.92915442345253996</v>
      </c>
      <c r="O2579" s="2">
        <f ca="1"/>
        <v>1.0054011288903122</v>
      </c>
      <c r="X2579" s="2">
        <f ca="1"/>
        <v>66.151669738204589</v>
      </c>
      <c r="AG2579" s="2">
        <f ca="1"/>
        <v>0.20866514539190528</v>
      </c>
      <c r="AH2579" s="2" t="str">
        <f ca="1"/>
        <v>OK</v>
      </c>
    </row>
    <row r="2580" spans="2:34" x14ac:dyDescent="0.2">
      <c r="B2580" s="2">
        <f ca="1"/>
        <v>0.951987181945251</v>
      </c>
      <c r="O2580" s="2">
        <f ca="1"/>
        <v>0.34669610796906997</v>
      </c>
      <c r="X2580" s="2">
        <f ca="1"/>
        <v>35.551252725355063</v>
      </c>
      <c r="AG2580" s="2">
        <f ca="1"/>
        <v>0.57068964626787944</v>
      </c>
      <c r="AH2580" s="2" t="str">
        <f ca="1"/>
        <v>Bad</v>
      </c>
    </row>
    <row r="2581" spans="2:34" x14ac:dyDescent="0.2">
      <c r="B2581" s="2">
        <f ca="1"/>
        <v>0.39680357122313947</v>
      </c>
      <c r="O2581" s="2">
        <f ca="1"/>
        <v>0.53080693474775531</v>
      </c>
      <c r="X2581" s="2">
        <f ca="1"/>
        <v>31.599583418338987</v>
      </c>
      <c r="AG2581" s="2">
        <f ca="1"/>
        <v>9.3985015179604892E-2</v>
      </c>
      <c r="AH2581" s="2" t="str">
        <f ca="1"/>
        <v>OK</v>
      </c>
    </row>
    <row r="2582" spans="2:34" x14ac:dyDescent="0.2">
      <c r="B2582" s="2">
        <f ca="1"/>
        <v>0.32343147866329058</v>
      </c>
      <c r="O2582" s="2">
        <f ca="1"/>
        <v>-0.13562370838412463</v>
      </c>
      <c r="X2582" s="2">
        <f ca="1"/>
        <v>41.728738899688821</v>
      </c>
      <c r="AG2582" s="2">
        <f ca="1"/>
        <v>0.60164861157594518</v>
      </c>
      <c r="AH2582" s="2" t="str">
        <f ca="1"/>
        <v>Bad</v>
      </c>
    </row>
    <row r="2583" spans="2:34" x14ac:dyDescent="0.2">
      <c r="B2583" s="2">
        <f ca="1"/>
        <v>0.42186907545205132</v>
      </c>
      <c r="O2583" s="2">
        <f ca="1"/>
        <v>0.97372659511840343</v>
      </c>
      <c r="X2583" s="2">
        <f ca="1"/>
        <v>65.135512208642211</v>
      </c>
      <c r="AG2583" s="2">
        <f ca="1"/>
        <v>0.47746107719657038</v>
      </c>
      <c r="AH2583" s="2" t="str">
        <f ca="1"/>
        <v>Bad</v>
      </c>
    </row>
    <row r="2584" spans="2:34" x14ac:dyDescent="0.2">
      <c r="B2584" s="2">
        <f ca="1"/>
        <v>8.2523803478941282E-2</v>
      </c>
      <c r="O2584" s="2">
        <f ca="1"/>
        <v>1.805084963700837</v>
      </c>
      <c r="X2584" s="2">
        <f ca="1"/>
        <v>31.231339617700378</v>
      </c>
      <c r="AG2584" s="2">
        <f ca="1"/>
        <v>0.24899156325487626</v>
      </c>
      <c r="AH2584" s="2" t="str">
        <f ca="1"/>
        <v>OK</v>
      </c>
    </row>
    <row r="2585" spans="2:34" x14ac:dyDescent="0.2">
      <c r="B2585" s="2">
        <f ca="1"/>
        <v>0.2666291584860625</v>
      </c>
      <c r="O2585" s="2">
        <f ca="1"/>
        <v>-1.310919774402681</v>
      </c>
      <c r="X2585" s="2">
        <f ca="1"/>
        <v>57.888342731677554</v>
      </c>
      <c r="AG2585" s="2">
        <f ca="1"/>
        <v>0.38252415014925001</v>
      </c>
      <c r="AH2585" s="2" t="str">
        <f ca="1"/>
        <v>OK</v>
      </c>
    </row>
    <row r="2586" spans="2:34" x14ac:dyDescent="0.2">
      <c r="B2586" s="2">
        <f ca="1"/>
        <v>0.45835550811647252</v>
      </c>
      <c r="O2586" s="2">
        <f ca="1"/>
        <v>-0.27948308020920026</v>
      </c>
      <c r="X2586" s="2">
        <f ca="1"/>
        <v>60.133673366156295</v>
      </c>
      <c r="AG2586" s="2">
        <f ca="1"/>
        <v>0.87754107743756316</v>
      </c>
      <c r="AH2586" s="2" t="str">
        <f ca="1"/>
        <v>Bad</v>
      </c>
    </row>
    <row r="2587" spans="2:34" x14ac:dyDescent="0.2">
      <c r="B2587" s="2">
        <f ca="1"/>
        <v>0.54678120341639813</v>
      </c>
      <c r="O2587" s="2">
        <f ca="1"/>
        <v>1.882326923018961</v>
      </c>
      <c r="X2587" s="2">
        <f ca="1"/>
        <v>51.180947223593861</v>
      </c>
      <c r="AG2587" s="2">
        <f ca="1"/>
        <v>0.23754998104376579</v>
      </c>
      <c r="AH2587" s="2" t="str">
        <f ca="1"/>
        <v>OK</v>
      </c>
    </row>
    <row r="2588" spans="2:34" x14ac:dyDescent="0.2">
      <c r="B2588" s="2">
        <f ca="1"/>
        <v>0.53100383159662923</v>
      </c>
      <c r="O2588" s="2">
        <f ca="1"/>
        <v>-2.9982202703328926E-2</v>
      </c>
      <c r="X2588" s="2">
        <f ca="1"/>
        <v>68.761923715474197</v>
      </c>
      <c r="AG2588" s="2">
        <f ca="1"/>
        <v>0.57303315197780091</v>
      </c>
      <c r="AH2588" s="2" t="str">
        <f ca="1"/>
        <v>Bad</v>
      </c>
    </row>
    <row r="2589" spans="2:34" x14ac:dyDescent="0.2">
      <c r="B2589" s="2">
        <f ca="1"/>
        <v>0.29121338444555422</v>
      </c>
      <c r="O2589" s="2">
        <f ca="1"/>
        <v>7.6037049725394629E-2</v>
      </c>
      <c r="X2589" s="2">
        <f ca="1"/>
        <v>49.005649891867122</v>
      </c>
      <c r="AG2589" s="2">
        <f ca="1"/>
        <v>0.72544741187659478</v>
      </c>
      <c r="AH2589" s="2" t="str">
        <f ca="1"/>
        <v>Bad</v>
      </c>
    </row>
    <row r="2590" spans="2:34" x14ac:dyDescent="0.2">
      <c r="B2590" s="2">
        <f ca="1"/>
        <v>0.78237103184350798</v>
      </c>
      <c r="O2590" s="2">
        <f ca="1"/>
        <v>-0.16992980578306277</v>
      </c>
      <c r="X2590" s="2">
        <f ca="1"/>
        <v>32.896086234511067</v>
      </c>
      <c r="AG2590" s="2">
        <f ca="1"/>
        <v>0.37810639683816394</v>
      </c>
      <c r="AH2590" s="2" t="str">
        <f ca="1"/>
        <v>OK</v>
      </c>
    </row>
    <row r="2591" spans="2:34" x14ac:dyDescent="0.2">
      <c r="B2591" s="2">
        <f ca="1"/>
        <v>0.11015749315712364</v>
      </c>
      <c r="O2591" s="2">
        <f ca="1"/>
        <v>-1.2181617521959518</v>
      </c>
      <c r="X2591" s="2">
        <f ca="1"/>
        <v>57.279530961862847</v>
      </c>
      <c r="AG2591" s="2">
        <f ca="1"/>
        <v>0.39168299419027131</v>
      </c>
      <c r="AH2591" s="2" t="str">
        <f ca="1"/>
        <v>OK</v>
      </c>
    </row>
    <row r="2592" spans="2:34" x14ac:dyDescent="0.2">
      <c r="B2592" s="2">
        <f ca="1"/>
        <v>8.347268328047841E-2</v>
      </c>
      <c r="O2592" s="2">
        <f ca="1"/>
        <v>0.72552313301824722</v>
      </c>
      <c r="X2592" s="2">
        <f ca="1"/>
        <v>48.047286556773258</v>
      </c>
      <c r="AG2592" s="2">
        <f ca="1"/>
        <v>0.80694087785378565</v>
      </c>
      <c r="AH2592" s="2" t="str">
        <f ca="1"/>
        <v>Bad</v>
      </c>
    </row>
    <row r="2593" spans="2:34" x14ac:dyDescent="0.2">
      <c r="B2593" s="2">
        <f ca="1"/>
        <v>0.51580923437775827</v>
      </c>
      <c r="O2593" s="2">
        <f ca="1"/>
        <v>-0.14714713753172298</v>
      </c>
      <c r="X2593" s="2">
        <f ca="1"/>
        <v>63.460734958832404</v>
      </c>
      <c r="AG2593" s="2">
        <f ca="1"/>
        <v>0.19045872298721056</v>
      </c>
      <c r="AH2593" s="2" t="str">
        <f ca="1"/>
        <v>OK</v>
      </c>
    </row>
    <row r="2594" spans="2:34" x14ac:dyDescent="0.2">
      <c r="B2594" s="2">
        <f ca="1"/>
        <v>0.33882505630220883</v>
      </c>
      <c r="O2594" s="2">
        <f ca="1"/>
        <v>1.3624908040581736</v>
      </c>
      <c r="X2594" s="2">
        <f ca="1"/>
        <v>38.152300358594722</v>
      </c>
      <c r="AG2594" s="2">
        <f ca="1"/>
        <v>0.14679093943858001</v>
      </c>
      <c r="AH2594" s="2" t="str">
        <f ca="1"/>
        <v>OK</v>
      </c>
    </row>
    <row r="2595" spans="2:34" x14ac:dyDescent="0.2">
      <c r="B2595" s="2">
        <f ca="1"/>
        <v>0.25564147087011868</v>
      </c>
      <c r="O2595" s="2">
        <f ca="1"/>
        <v>1.0338942215375964</v>
      </c>
      <c r="X2595" s="2">
        <f ca="1"/>
        <v>64.215948333359307</v>
      </c>
      <c r="AG2595" s="2">
        <f ca="1"/>
        <v>0.82261199324534506</v>
      </c>
      <c r="AH2595" s="2" t="str">
        <f ca="1"/>
        <v>Bad</v>
      </c>
    </row>
    <row r="2596" spans="2:34" x14ac:dyDescent="0.2">
      <c r="B2596" s="2">
        <f ca="1"/>
        <v>0.44513960244211104</v>
      </c>
      <c r="O2596" s="2">
        <f ca="1"/>
        <v>0.77654931227922064</v>
      </c>
      <c r="X2596" s="2">
        <f ca="1"/>
        <v>29.114474488532789</v>
      </c>
      <c r="AG2596" s="2">
        <f ca="1"/>
        <v>0.71482122160980333</v>
      </c>
      <c r="AH2596" s="2" t="str">
        <f ca="1"/>
        <v>Bad</v>
      </c>
    </row>
    <row r="2597" spans="2:34" x14ac:dyDescent="0.2">
      <c r="B2597" s="2">
        <f ca="1"/>
        <v>0.14392325097058367</v>
      </c>
      <c r="O2597" s="2">
        <f ca="1"/>
        <v>1.7433713123037227</v>
      </c>
      <c r="X2597" s="2">
        <f ca="1"/>
        <v>56.834187589590627</v>
      </c>
      <c r="AG2597" s="2">
        <f ca="1"/>
        <v>4.0980092882621832E-2</v>
      </c>
      <c r="AH2597" s="2" t="str">
        <f ca="1"/>
        <v>Good</v>
      </c>
    </row>
    <row r="2598" spans="2:34" x14ac:dyDescent="0.2">
      <c r="B2598" s="2">
        <f ca="1"/>
        <v>0.3078290029053341</v>
      </c>
      <c r="O2598" s="2">
        <f ca="1"/>
        <v>-0.13738873977751431</v>
      </c>
      <c r="X2598" s="2">
        <f ca="1"/>
        <v>25.783339646734795</v>
      </c>
      <c r="AG2598" s="2">
        <f ca="1"/>
        <v>6.8047785301186048E-2</v>
      </c>
      <c r="AH2598" s="2" t="str">
        <f ca="1"/>
        <v>OK</v>
      </c>
    </row>
    <row r="2599" spans="2:34" x14ac:dyDescent="0.2">
      <c r="B2599" s="2">
        <f ca="1"/>
        <v>0.11719290072594823</v>
      </c>
      <c r="O2599" s="2">
        <f ca="1"/>
        <v>0.42046184185279534</v>
      </c>
      <c r="X2599" s="2">
        <f ca="1"/>
        <v>50.531793518486118</v>
      </c>
      <c r="AG2599" s="2">
        <f ca="1"/>
        <v>3.9136102002626627E-2</v>
      </c>
      <c r="AH2599" s="2" t="str">
        <f ca="1"/>
        <v>Good</v>
      </c>
    </row>
    <row r="2600" spans="2:34" x14ac:dyDescent="0.2">
      <c r="B2600" s="2">
        <f ca="1"/>
        <v>0.1130500804029575</v>
      </c>
      <c r="O2600" s="2">
        <f ca="1"/>
        <v>2.3731507953830229</v>
      </c>
      <c r="X2600" s="2">
        <f ca="1"/>
        <v>36.51807496647384</v>
      </c>
      <c r="AG2600" s="2">
        <f ca="1"/>
        <v>0.31492491013513546</v>
      </c>
      <c r="AH2600" s="2" t="str">
        <f ca="1"/>
        <v>OK</v>
      </c>
    </row>
    <row r="2601" spans="2:34" x14ac:dyDescent="0.2">
      <c r="B2601" s="2">
        <f ca="1"/>
        <v>0.19921822894330399</v>
      </c>
      <c r="O2601" s="2">
        <f ca="1"/>
        <v>0.24163521273161911</v>
      </c>
      <c r="X2601" s="2">
        <f ca="1"/>
        <v>38.77747199497697</v>
      </c>
      <c r="AG2601" s="2">
        <f ca="1"/>
        <v>0.53200305429300743</v>
      </c>
      <c r="AH2601" s="2" t="str">
        <f ca="1"/>
        <v>Bad</v>
      </c>
    </row>
    <row r="2602" spans="2:34" x14ac:dyDescent="0.2">
      <c r="B2602" s="2">
        <f ca="1"/>
        <v>0.35857546862602296</v>
      </c>
      <c r="O2602" s="2">
        <f ca="1"/>
        <v>-0.22633669332715259</v>
      </c>
      <c r="X2602" s="2">
        <f ca="1"/>
        <v>50.610621401244096</v>
      </c>
      <c r="AG2602" s="2">
        <f ca="1"/>
        <v>0.99985229644872642</v>
      </c>
      <c r="AH2602" s="2" t="str">
        <f ca="1"/>
        <v>Bad</v>
      </c>
    </row>
    <row r="2603" spans="2:34" x14ac:dyDescent="0.2">
      <c r="B2603" s="2">
        <f ca="1"/>
        <v>0.86078805935365743</v>
      </c>
      <c r="O2603" s="2">
        <f ca="1"/>
        <v>-0.53294885198071063</v>
      </c>
      <c r="X2603" s="2">
        <f ca="1"/>
        <v>45.147755501439548</v>
      </c>
      <c r="AG2603" s="2">
        <f ca="1"/>
        <v>0.28689958250984948</v>
      </c>
      <c r="AH2603" s="2" t="str">
        <f ca="1"/>
        <v>OK</v>
      </c>
    </row>
    <row r="2604" spans="2:34" x14ac:dyDescent="0.2">
      <c r="B2604" s="2">
        <f ca="1"/>
        <v>0.87319289021578528</v>
      </c>
      <c r="O2604" s="2">
        <f ca="1"/>
        <v>0.5794514115585585</v>
      </c>
      <c r="X2604" s="2">
        <f ca="1"/>
        <v>67.813546963133192</v>
      </c>
      <c r="AG2604" s="2">
        <f ca="1"/>
        <v>0.87465745101874526</v>
      </c>
      <c r="AH2604" s="2" t="str">
        <f ca="1"/>
        <v>Bad</v>
      </c>
    </row>
    <row r="2605" spans="2:34" x14ac:dyDescent="0.2">
      <c r="B2605" s="2">
        <f ca="1"/>
        <v>5.9867955424855568E-2</v>
      </c>
      <c r="O2605" s="2">
        <f ca="1"/>
        <v>1.1443316226581195</v>
      </c>
      <c r="X2605" s="2">
        <f ca="1"/>
        <v>41.013424156627075</v>
      </c>
      <c r="AG2605" s="2">
        <f ca="1"/>
        <v>0.71782440076972343</v>
      </c>
      <c r="AH2605" s="2" t="str">
        <f ca="1"/>
        <v>Bad</v>
      </c>
    </row>
    <row r="2606" spans="2:34" x14ac:dyDescent="0.2">
      <c r="B2606" s="2">
        <f ca="1"/>
        <v>0.89695189127484043</v>
      </c>
      <c r="O2606" s="2">
        <f ca="1"/>
        <v>-0.18395671670655039</v>
      </c>
      <c r="X2606" s="2">
        <f ca="1"/>
        <v>34.764707517764819</v>
      </c>
      <c r="AG2606" s="2">
        <f ca="1"/>
        <v>0.97115658219950562</v>
      </c>
      <c r="AH2606" s="2" t="str">
        <f ca="1"/>
        <v>Bad</v>
      </c>
    </row>
    <row r="2607" spans="2:34" x14ac:dyDescent="0.2">
      <c r="B2607" s="2">
        <f ca="1"/>
        <v>0.97564998636676648</v>
      </c>
      <c r="O2607" s="2">
        <f ca="1"/>
        <v>1.0755233102699344</v>
      </c>
      <c r="X2607" s="2">
        <f ca="1"/>
        <v>33.323738291159238</v>
      </c>
      <c r="AG2607" s="2">
        <f ca="1"/>
        <v>0.78920799338352587</v>
      </c>
      <c r="AH2607" s="2" t="str">
        <f ca="1"/>
        <v>Bad</v>
      </c>
    </row>
    <row r="2608" spans="2:34" x14ac:dyDescent="0.2">
      <c r="B2608" s="2">
        <f ca="1"/>
        <v>0.6065563542961081</v>
      </c>
      <c r="O2608" s="2">
        <f ca="1"/>
        <v>-0.31836260405974426</v>
      </c>
      <c r="X2608" s="2">
        <f ca="1"/>
        <v>26.573988471660471</v>
      </c>
      <c r="AG2608" s="2">
        <f ca="1"/>
        <v>0.52865841828171733</v>
      </c>
      <c r="AH2608" s="2" t="str">
        <f ca="1"/>
        <v>Bad</v>
      </c>
    </row>
    <row r="2609" spans="2:34" x14ac:dyDescent="0.2">
      <c r="B2609" s="2">
        <f ca="1"/>
        <v>0.83972084878597797</v>
      </c>
      <c r="O2609" s="2">
        <f ca="1"/>
        <v>0.54423020918957399</v>
      </c>
      <c r="X2609" s="2">
        <f ca="1"/>
        <v>56.240367990403499</v>
      </c>
      <c r="AG2609" s="2">
        <f ca="1"/>
        <v>0.11842472112467561</v>
      </c>
      <c r="AH2609" s="2" t="str">
        <f ca="1"/>
        <v>OK</v>
      </c>
    </row>
    <row r="2610" spans="2:34" x14ac:dyDescent="0.2">
      <c r="B2610" s="2">
        <f ca="1"/>
        <v>0.81985429337377536</v>
      </c>
      <c r="O2610" s="2">
        <f ca="1"/>
        <v>0.74999623748307154</v>
      </c>
      <c r="X2610" s="2">
        <f ca="1"/>
        <v>50.596151960791474</v>
      </c>
      <c r="AG2610" s="2">
        <f ca="1"/>
        <v>0.96736902682919479</v>
      </c>
      <c r="AH2610" s="2" t="str">
        <f ca="1"/>
        <v>Bad</v>
      </c>
    </row>
    <row r="2611" spans="2:34" x14ac:dyDescent="0.2">
      <c r="B2611" s="2">
        <f ca="1"/>
        <v>0.59414896036940723</v>
      </c>
      <c r="O2611" s="2">
        <f ca="1"/>
        <v>0.16839345774790912</v>
      </c>
      <c r="X2611" s="2">
        <f ca="1"/>
        <v>54.048776638216737</v>
      </c>
      <c r="AG2611" s="2">
        <f ca="1"/>
        <v>0.80412240570028137</v>
      </c>
      <c r="AH2611" s="2" t="str">
        <f ca="1"/>
        <v>Bad</v>
      </c>
    </row>
    <row r="2612" spans="2:34" x14ac:dyDescent="0.2">
      <c r="B2612" s="2">
        <f ca="1"/>
        <v>0.19795570708225463</v>
      </c>
      <c r="O2612" s="2">
        <f ca="1"/>
        <v>-0.41349952961553538</v>
      </c>
      <c r="X2612" s="2">
        <f ca="1"/>
        <v>31.860507543499974</v>
      </c>
      <c r="AG2612" s="2">
        <f ca="1"/>
        <v>0.54965951103100918</v>
      </c>
      <c r="AH2612" s="2" t="str">
        <f ca="1"/>
        <v>Bad</v>
      </c>
    </row>
    <row r="2613" spans="2:34" x14ac:dyDescent="0.2">
      <c r="B2613" s="2">
        <f ca="1"/>
        <v>0.97659970924201467</v>
      </c>
      <c r="O2613" s="2">
        <f ca="1"/>
        <v>-0.69826028722122502</v>
      </c>
      <c r="X2613" s="2">
        <f ca="1"/>
        <v>46.754938789301555</v>
      </c>
      <c r="AG2613" s="2">
        <f ca="1"/>
        <v>0.84919809759924614</v>
      </c>
      <c r="AH2613" s="2" t="str">
        <f ca="1"/>
        <v>Bad</v>
      </c>
    </row>
    <row r="2614" spans="2:34" x14ac:dyDescent="0.2">
      <c r="B2614" s="2">
        <f ca="1"/>
        <v>0.22706148206779475</v>
      </c>
      <c r="O2614" s="2">
        <f ca="1"/>
        <v>0.66598734543409688</v>
      </c>
      <c r="X2614" s="2">
        <f ca="1"/>
        <v>73.158419367090801</v>
      </c>
      <c r="AG2614" s="2">
        <f ca="1"/>
        <v>0.98371845305981909</v>
      </c>
      <c r="AH2614" s="2" t="str">
        <f ca="1"/>
        <v>Bad</v>
      </c>
    </row>
    <row r="2615" spans="2:34" x14ac:dyDescent="0.2">
      <c r="B2615" s="2">
        <f ca="1"/>
        <v>0.30730659861582676</v>
      </c>
      <c r="O2615" s="2">
        <f ca="1"/>
        <v>0.2728248302082788</v>
      </c>
      <c r="X2615" s="2">
        <f ca="1"/>
        <v>49.548868278702649</v>
      </c>
      <c r="AG2615" s="2">
        <f ca="1"/>
        <v>0.84658268436243933</v>
      </c>
      <c r="AH2615" s="2" t="str">
        <f ca="1"/>
        <v>Bad</v>
      </c>
    </row>
    <row r="2616" spans="2:34" x14ac:dyDescent="0.2">
      <c r="B2616" s="2">
        <f ca="1"/>
        <v>8.8615032720230635E-2</v>
      </c>
      <c r="O2616" s="2">
        <f ca="1"/>
        <v>0.90774135697576264</v>
      </c>
      <c r="X2616" s="2">
        <f ca="1"/>
        <v>58.729872352071368</v>
      </c>
      <c r="AG2616" s="2">
        <f ca="1"/>
        <v>0.91607084756982671</v>
      </c>
      <c r="AH2616" s="2" t="str">
        <f ca="1"/>
        <v>Bad</v>
      </c>
    </row>
    <row r="2617" spans="2:34" x14ac:dyDescent="0.2">
      <c r="B2617" s="2">
        <f ca="1"/>
        <v>0.16266095654601709</v>
      </c>
      <c r="O2617" s="2">
        <f ca="1"/>
        <v>0.19396760369473495</v>
      </c>
      <c r="X2617" s="2">
        <f ca="1"/>
        <v>53.281389945557997</v>
      </c>
      <c r="AG2617" s="2">
        <f ca="1"/>
        <v>0.89991500871971986</v>
      </c>
      <c r="AH2617" s="2" t="str">
        <f ca="1"/>
        <v>Bad</v>
      </c>
    </row>
    <row r="2618" spans="2:34" x14ac:dyDescent="0.2">
      <c r="B2618" s="2">
        <f ca="1"/>
        <v>0.82073118320208516</v>
      </c>
      <c r="O2618" s="2">
        <f ca="1"/>
        <v>1.5902590422469669</v>
      </c>
      <c r="X2618" s="2">
        <f ca="1"/>
        <v>62.924285296614919</v>
      </c>
      <c r="AG2618" s="2">
        <f ca="1"/>
        <v>0.16558562552556322</v>
      </c>
      <c r="AH2618" s="2" t="str">
        <f ca="1"/>
        <v>OK</v>
      </c>
    </row>
    <row r="2619" spans="2:34" x14ac:dyDescent="0.2">
      <c r="B2619" s="2">
        <f ca="1"/>
        <v>0.98834522830214233</v>
      </c>
      <c r="O2619" s="2">
        <f ca="1"/>
        <v>-1.7344106355515556E-2</v>
      </c>
      <c r="X2619" s="2">
        <f ca="1"/>
        <v>67.095215808662587</v>
      </c>
      <c r="AG2619" s="2">
        <f ca="1"/>
        <v>0.44601763369083902</v>
      </c>
      <c r="AH2619" s="2" t="str">
        <f ca="1"/>
        <v>Bad</v>
      </c>
    </row>
    <row r="2620" spans="2:34" x14ac:dyDescent="0.2">
      <c r="B2620" s="2">
        <f ca="1"/>
        <v>0.58751029608052763</v>
      </c>
      <c r="O2620" s="2">
        <f ca="1"/>
        <v>-0.29349486456176999</v>
      </c>
      <c r="X2620" s="2">
        <f ca="1"/>
        <v>48.747139122924892</v>
      </c>
      <c r="AG2620" s="2">
        <f ca="1"/>
        <v>0.24637197060413696</v>
      </c>
      <c r="AH2620" s="2" t="str">
        <f ca="1"/>
        <v>OK</v>
      </c>
    </row>
    <row r="2621" spans="2:34" x14ac:dyDescent="0.2">
      <c r="B2621" s="2">
        <f ca="1"/>
        <v>0.51616599456528722</v>
      </c>
      <c r="O2621" s="2">
        <f ca="1"/>
        <v>-0.4305992034334441</v>
      </c>
      <c r="X2621" s="2">
        <f ca="1"/>
        <v>26.195405774058081</v>
      </c>
      <c r="AG2621" s="2">
        <f ca="1"/>
        <v>0.76435379339156628</v>
      </c>
      <c r="AH2621" s="2" t="str">
        <f ca="1"/>
        <v>Bad</v>
      </c>
    </row>
    <row r="2622" spans="2:34" x14ac:dyDescent="0.2">
      <c r="B2622" s="2">
        <f ca="1"/>
        <v>0.90566256774937193</v>
      </c>
      <c r="O2622" s="2">
        <f ca="1"/>
        <v>-0.54600619424682661</v>
      </c>
      <c r="X2622" s="2">
        <f ca="1"/>
        <v>24.186879538066968</v>
      </c>
      <c r="AG2622" s="2">
        <f ca="1"/>
        <v>0.34738717650619111</v>
      </c>
      <c r="AH2622" s="2" t="str">
        <f ca="1"/>
        <v>OK</v>
      </c>
    </row>
    <row r="2623" spans="2:34" x14ac:dyDescent="0.2">
      <c r="B2623" s="2">
        <f ca="1"/>
        <v>0.72355240436322821</v>
      </c>
      <c r="O2623" s="2">
        <f ca="1"/>
        <v>-1.3981805975109038</v>
      </c>
      <c r="X2623" s="2">
        <f ca="1"/>
        <v>37.927572895690496</v>
      </c>
      <c r="AG2623" s="2">
        <f ca="1"/>
        <v>0.48165547934698871</v>
      </c>
      <c r="AH2623" s="2" t="str">
        <f ca="1"/>
        <v>Bad</v>
      </c>
    </row>
    <row r="2624" spans="2:34" x14ac:dyDescent="0.2">
      <c r="B2624" s="2">
        <f ca="1"/>
        <v>9.5513549945479115E-2</v>
      </c>
      <c r="O2624" s="2">
        <f ca="1"/>
        <v>-0.45920867621305456</v>
      </c>
      <c r="X2624" s="2">
        <f ca="1"/>
        <v>51.879931659036714</v>
      </c>
      <c r="AG2624" s="2">
        <f ca="1"/>
        <v>0.62176587949365425</v>
      </c>
      <c r="AH2624" s="2" t="str">
        <f ca="1"/>
        <v>Bad</v>
      </c>
    </row>
    <row r="2625" spans="2:34" x14ac:dyDescent="0.2">
      <c r="B2625" s="2">
        <f ca="1"/>
        <v>0.85390637166368455</v>
      </c>
      <c r="O2625" s="2">
        <f ca="1"/>
        <v>-0.89816048527315584</v>
      </c>
      <c r="X2625" s="2">
        <f ca="1"/>
        <v>47.815448457905973</v>
      </c>
      <c r="AG2625" s="2">
        <f ca="1"/>
        <v>8.7651161857442927E-2</v>
      </c>
      <c r="AH2625" s="2" t="str">
        <f ca="1"/>
        <v>OK</v>
      </c>
    </row>
    <row r="2626" spans="2:34" x14ac:dyDescent="0.2">
      <c r="B2626" s="2">
        <f ca="1"/>
        <v>0.28761131855957478</v>
      </c>
      <c r="O2626" s="2">
        <f ca="1"/>
        <v>1.1908965770204065</v>
      </c>
      <c r="X2626" s="2">
        <f ca="1"/>
        <v>65.059713557162425</v>
      </c>
      <c r="AG2626" s="2">
        <f ca="1"/>
        <v>0.8043450454331007</v>
      </c>
      <c r="AH2626" s="2" t="str">
        <f ca="1"/>
        <v>Bad</v>
      </c>
    </row>
    <row r="2627" spans="2:34" x14ac:dyDescent="0.2">
      <c r="B2627" s="2">
        <f ca="1"/>
        <v>0.24727811476485728</v>
      </c>
      <c r="O2627" s="2">
        <f ca="1"/>
        <v>-1.3481435767862635</v>
      </c>
      <c r="X2627" s="2">
        <f ca="1"/>
        <v>48.437749602782404</v>
      </c>
      <c r="AG2627" s="2">
        <f ca="1"/>
        <v>0.82271620151340175</v>
      </c>
      <c r="AH2627" s="2" t="str">
        <f ca="1"/>
        <v>Bad</v>
      </c>
    </row>
    <row r="2628" spans="2:34" x14ac:dyDescent="0.2">
      <c r="B2628" s="2">
        <f ca="1"/>
        <v>0.4446879895890572</v>
      </c>
      <c r="O2628" s="2">
        <f ca="1"/>
        <v>0.76812901807643608</v>
      </c>
      <c r="X2628" s="2">
        <f ca="1"/>
        <v>56.666138168803322</v>
      </c>
      <c r="AG2628" s="2">
        <f ca="1"/>
        <v>0.37201071405328801</v>
      </c>
      <c r="AH2628" s="2" t="str">
        <f ca="1"/>
        <v>OK</v>
      </c>
    </row>
    <row r="2629" spans="2:34" x14ac:dyDescent="0.2">
      <c r="B2629" s="2">
        <f ca="1"/>
        <v>0.87603820769512253</v>
      </c>
      <c r="O2629" s="2">
        <f ca="1"/>
        <v>1.4257603104228027</v>
      </c>
      <c r="X2629" s="2">
        <f ca="1"/>
        <v>64.705447116003015</v>
      </c>
      <c r="AG2629" s="2">
        <f ca="1"/>
        <v>0.44461390079764063</v>
      </c>
      <c r="AH2629" s="2" t="str">
        <f ca="1"/>
        <v>Bad</v>
      </c>
    </row>
    <row r="2630" spans="2:34" x14ac:dyDescent="0.2">
      <c r="B2630" s="2">
        <f ca="1"/>
        <v>0.99445810859593609</v>
      </c>
      <c r="O2630" s="2">
        <f ca="1"/>
        <v>0.88885263081341936</v>
      </c>
      <c r="X2630" s="2">
        <f ca="1"/>
        <v>23.584648463477961</v>
      </c>
      <c r="AG2630" s="2">
        <f ca="1"/>
        <v>0.78126080324207559</v>
      </c>
      <c r="AH2630" s="2" t="str">
        <f ca="1"/>
        <v>Bad</v>
      </c>
    </row>
    <row r="2631" spans="2:34" x14ac:dyDescent="0.2">
      <c r="B2631" s="2">
        <f ca="1"/>
        <v>0.26440657878750407</v>
      </c>
      <c r="O2631" s="2">
        <f ca="1"/>
        <v>0.67870286057709173</v>
      </c>
      <c r="X2631" s="2">
        <f ca="1"/>
        <v>38.206966178842457</v>
      </c>
      <c r="AG2631" s="2">
        <f ca="1"/>
        <v>0.7402418738565133</v>
      </c>
      <c r="AH2631" s="2" t="str">
        <f ca="1"/>
        <v>Bad</v>
      </c>
    </row>
    <row r="2632" spans="2:34" x14ac:dyDescent="0.2">
      <c r="B2632" s="2">
        <f ca="1"/>
        <v>0.48228900224551907</v>
      </c>
      <c r="O2632" s="2">
        <f ca="1"/>
        <v>0.85270093085727339</v>
      </c>
      <c r="X2632" s="2">
        <f ca="1"/>
        <v>55.939352119558762</v>
      </c>
      <c r="AG2632" s="2">
        <f ca="1"/>
        <v>0.21314212907464825</v>
      </c>
      <c r="AH2632" s="2" t="str">
        <f ca="1"/>
        <v>OK</v>
      </c>
    </row>
    <row r="2633" spans="2:34" x14ac:dyDescent="0.2">
      <c r="B2633" s="2">
        <f ca="1"/>
        <v>0.90633143310064646</v>
      </c>
      <c r="O2633" s="2">
        <f ca="1"/>
        <v>-0.35063657137547871</v>
      </c>
      <c r="X2633" s="2">
        <f ca="1"/>
        <v>57.595964531353559</v>
      </c>
      <c r="AG2633" s="2">
        <f ca="1"/>
        <v>0.5956905535457897</v>
      </c>
      <c r="AH2633" s="2" t="str">
        <f ca="1"/>
        <v>Bad</v>
      </c>
    </row>
    <row r="2634" spans="2:34" x14ac:dyDescent="0.2">
      <c r="B2634" s="2">
        <f ca="1"/>
        <v>0.68364315572478218</v>
      </c>
      <c r="O2634" s="2">
        <f ca="1"/>
        <v>0.65883005292005481</v>
      </c>
      <c r="X2634" s="2">
        <f ca="1"/>
        <v>43.981775282195045</v>
      </c>
      <c r="AG2634" s="2">
        <f ca="1"/>
        <v>0.26208454827326011</v>
      </c>
      <c r="AH2634" s="2" t="str">
        <f ca="1"/>
        <v>OK</v>
      </c>
    </row>
    <row r="2635" spans="2:34" x14ac:dyDescent="0.2">
      <c r="B2635" s="2">
        <f ca="1"/>
        <v>0.84725882064902569</v>
      </c>
      <c r="O2635" s="2">
        <f ca="1"/>
        <v>1.0206913476518713</v>
      </c>
      <c r="X2635" s="2">
        <f ca="1"/>
        <v>31.838211421882075</v>
      </c>
      <c r="AG2635" s="2">
        <f ca="1"/>
        <v>0.4660754193599983</v>
      </c>
      <c r="AH2635" s="2" t="str">
        <f ca="1"/>
        <v>Bad</v>
      </c>
    </row>
    <row r="2636" spans="2:34" x14ac:dyDescent="0.2">
      <c r="B2636" s="2">
        <f ca="1"/>
        <v>0.16157010177070652</v>
      </c>
      <c r="O2636" s="2">
        <f ca="1"/>
        <v>-0.69769509657755824</v>
      </c>
      <c r="X2636" s="2">
        <f ca="1"/>
        <v>34.644415364129031</v>
      </c>
      <c r="AG2636" s="2">
        <f ca="1"/>
        <v>0.14553406915264766</v>
      </c>
      <c r="AH2636" s="2" t="str">
        <f ca="1"/>
        <v>OK</v>
      </c>
    </row>
    <row r="2637" spans="2:34" x14ac:dyDescent="0.2">
      <c r="B2637" s="2">
        <f ca="1"/>
        <v>7.4508684267971192E-2</v>
      </c>
      <c r="O2637" s="2">
        <f ca="1"/>
        <v>-0.38263365325413079</v>
      </c>
      <c r="X2637" s="2">
        <f ca="1"/>
        <v>46.476828109440255</v>
      </c>
      <c r="AG2637" s="2">
        <f ca="1"/>
        <v>0.88869477364018379</v>
      </c>
      <c r="AH2637" s="2" t="str">
        <f ca="1"/>
        <v>Bad</v>
      </c>
    </row>
    <row r="2638" spans="2:34" x14ac:dyDescent="0.2">
      <c r="B2638" s="2">
        <f ca="1"/>
        <v>0.25513171429624149</v>
      </c>
      <c r="O2638" s="2">
        <f ca="1"/>
        <v>0.32601962070691559</v>
      </c>
      <c r="X2638" s="2">
        <f ca="1"/>
        <v>55.534529785188347</v>
      </c>
      <c r="AG2638" s="2">
        <f ca="1"/>
        <v>0.98242675161258997</v>
      </c>
      <c r="AH2638" s="2" t="str">
        <f ca="1"/>
        <v>Bad</v>
      </c>
    </row>
    <row r="2639" spans="2:34" x14ac:dyDescent="0.2">
      <c r="B2639" s="2">
        <f ca="1"/>
        <v>0.52517861226028617</v>
      </c>
      <c r="O2639" s="2">
        <f ca="1"/>
        <v>0.36235764380818325</v>
      </c>
      <c r="X2639" s="2">
        <f ca="1"/>
        <v>80.025848657111709</v>
      </c>
      <c r="AG2639" s="2">
        <f ca="1"/>
        <v>0.48429717980647435</v>
      </c>
      <c r="AH2639" s="2" t="str">
        <f ca="1"/>
        <v>Bad</v>
      </c>
    </row>
    <row r="2640" spans="2:34" x14ac:dyDescent="0.2">
      <c r="B2640" s="2">
        <f ca="1"/>
        <v>0.42154038951301098</v>
      </c>
      <c r="O2640" s="2">
        <f ca="1"/>
        <v>1.2704872726951615</v>
      </c>
      <c r="X2640" s="2">
        <f ca="1"/>
        <v>51.483437186684057</v>
      </c>
      <c r="AG2640" s="2">
        <f ca="1"/>
        <v>0.36218296992155907</v>
      </c>
      <c r="AH2640" s="2" t="str">
        <f ca="1"/>
        <v>OK</v>
      </c>
    </row>
    <row r="2641" spans="2:34" x14ac:dyDescent="0.2">
      <c r="B2641" s="2">
        <f ca="1"/>
        <v>0.20673731659267602</v>
      </c>
      <c r="O2641" s="2">
        <f ca="1"/>
        <v>0.45917708027499798</v>
      </c>
      <c r="X2641" s="2">
        <f ca="1"/>
        <v>49.047810300069123</v>
      </c>
      <c r="AG2641" s="2">
        <f ca="1"/>
        <v>0.53815903096568651</v>
      </c>
      <c r="AH2641" s="2" t="str">
        <f ca="1"/>
        <v>Bad</v>
      </c>
    </row>
    <row r="2642" spans="2:34" x14ac:dyDescent="0.2">
      <c r="B2642" s="2">
        <f ca="1"/>
        <v>0.68790400934243401</v>
      </c>
      <c r="O2642" s="2">
        <f ca="1"/>
        <v>0.10822425788398449</v>
      </c>
      <c r="X2642" s="2">
        <f ca="1"/>
        <v>41.406955719817162</v>
      </c>
      <c r="AG2642" s="2">
        <f ca="1"/>
        <v>0.43604118167742256</v>
      </c>
      <c r="AH2642" s="2" t="str">
        <f ca="1"/>
        <v>Bad</v>
      </c>
    </row>
    <row r="2643" spans="2:34" x14ac:dyDescent="0.2">
      <c r="B2643" s="2">
        <f ca="1"/>
        <v>0.77924035792550983</v>
      </c>
      <c r="O2643" s="2">
        <f ca="1"/>
        <v>-0.48663364199947123</v>
      </c>
      <c r="X2643" s="2">
        <f ca="1"/>
        <v>45.996550013668056</v>
      </c>
      <c r="AG2643" s="2">
        <f ca="1"/>
        <v>0.1438789292002427</v>
      </c>
      <c r="AH2643" s="2" t="str">
        <f ca="1"/>
        <v>OK</v>
      </c>
    </row>
    <row r="2644" spans="2:34" x14ac:dyDescent="0.2">
      <c r="B2644" s="2">
        <f ca="1"/>
        <v>0.99332089907505705</v>
      </c>
      <c r="O2644" s="2">
        <f ca="1"/>
        <v>2.0660368318107021</v>
      </c>
      <c r="X2644" s="2">
        <f ca="1"/>
        <v>28.800333651968888</v>
      </c>
      <c r="AG2644" s="2">
        <f ca="1"/>
        <v>0.69846263242513817</v>
      </c>
      <c r="AH2644" s="2" t="str">
        <f ca="1"/>
        <v>Bad</v>
      </c>
    </row>
    <row r="2645" spans="2:34" x14ac:dyDescent="0.2">
      <c r="B2645" s="2">
        <f ca="1"/>
        <v>0.54962000357513907</v>
      </c>
      <c r="O2645" s="2">
        <f ca="1"/>
        <v>1.1765391529777784</v>
      </c>
      <c r="X2645" s="2">
        <f ca="1"/>
        <v>38.27703836140109</v>
      </c>
      <c r="AG2645" s="2">
        <f ca="1"/>
        <v>0.27093956743795355</v>
      </c>
      <c r="AH2645" s="2" t="str">
        <f ca="1"/>
        <v>OK</v>
      </c>
    </row>
    <row r="2646" spans="2:34" x14ac:dyDescent="0.2">
      <c r="B2646" s="2">
        <f ca="1"/>
        <v>4.3918993557385821E-3</v>
      </c>
      <c r="O2646" s="2">
        <f ca="1"/>
        <v>0.25856975855014486</v>
      </c>
      <c r="X2646" s="2">
        <f ca="1"/>
        <v>30.27732536914116</v>
      </c>
      <c r="AG2646" s="2">
        <f ca="1"/>
        <v>0.68723502595438224</v>
      </c>
      <c r="AH2646" s="2" t="str">
        <f ca="1"/>
        <v>Bad</v>
      </c>
    </row>
    <row r="2647" spans="2:34" x14ac:dyDescent="0.2">
      <c r="B2647" s="2">
        <f ca="1"/>
        <v>0.66297756079069292</v>
      </c>
      <c r="O2647" s="2">
        <f ca="1"/>
        <v>-1.2694604901726261</v>
      </c>
      <c r="X2647" s="2">
        <f ca="1"/>
        <v>38.534325474165065</v>
      </c>
      <c r="AG2647" s="2">
        <f ca="1"/>
        <v>0.18925034174572231</v>
      </c>
      <c r="AH2647" s="2" t="str">
        <f ca="1"/>
        <v>OK</v>
      </c>
    </row>
    <row r="2648" spans="2:34" x14ac:dyDescent="0.2">
      <c r="B2648" s="2">
        <f ca="1"/>
        <v>0.31705426819970683</v>
      </c>
      <c r="O2648" s="2">
        <f ca="1"/>
        <v>-8.2522335045048884E-2</v>
      </c>
      <c r="X2648" s="2">
        <f ca="1"/>
        <v>28.977749443661033</v>
      </c>
      <c r="AG2648" s="2">
        <f ca="1"/>
        <v>0.49156784542936061</v>
      </c>
      <c r="AH2648" s="2" t="str">
        <f ca="1"/>
        <v>Bad</v>
      </c>
    </row>
    <row r="2649" spans="2:34" x14ac:dyDescent="0.2">
      <c r="B2649" s="2">
        <f ca="1"/>
        <v>0.8335539842118822</v>
      </c>
      <c r="O2649" s="2">
        <f ca="1"/>
        <v>-0.86888756099512787</v>
      </c>
      <c r="X2649" s="2">
        <f ca="1"/>
        <v>32.654404339428609</v>
      </c>
      <c r="AG2649" s="2">
        <f ca="1"/>
        <v>0.63642856203005227</v>
      </c>
      <c r="AH2649" s="2" t="str">
        <f ca="1"/>
        <v>Bad</v>
      </c>
    </row>
    <row r="2650" spans="2:34" x14ac:dyDescent="0.2">
      <c r="B2650" s="2">
        <f ca="1"/>
        <v>0.5965988008981602</v>
      </c>
      <c r="O2650" s="2">
        <f ca="1"/>
        <v>0.33649213660086835</v>
      </c>
      <c r="X2650" s="2">
        <f ca="1"/>
        <v>32.034304799170393</v>
      </c>
      <c r="AG2650" s="2">
        <f ca="1"/>
        <v>0.97937101728714082</v>
      </c>
      <c r="AH2650" s="2" t="str">
        <f ca="1"/>
        <v>Bad</v>
      </c>
    </row>
    <row r="2651" spans="2:34" x14ac:dyDescent="0.2">
      <c r="B2651" s="2">
        <f ca="1"/>
        <v>0.89685906722596087</v>
      </c>
      <c r="O2651" s="2">
        <f ca="1"/>
        <v>0.8527730986447899</v>
      </c>
      <c r="X2651" s="2">
        <f ca="1"/>
        <v>67.363123364572587</v>
      </c>
      <c r="AG2651" s="2">
        <f ca="1"/>
        <v>0.10479412610794436</v>
      </c>
      <c r="AH2651" s="2" t="str">
        <f ca="1"/>
        <v>OK</v>
      </c>
    </row>
    <row r="2652" spans="2:34" x14ac:dyDescent="0.2">
      <c r="B2652" s="2">
        <f ca="1"/>
        <v>0.27805229759894301</v>
      </c>
      <c r="O2652" s="2">
        <f ca="1"/>
        <v>-1.0839239272767647</v>
      </c>
      <c r="X2652" s="2">
        <f ca="1"/>
        <v>28.619379546893263</v>
      </c>
      <c r="AG2652" s="2">
        <f ca="1"/>
        <v>0.81765823111637204</v>
      </c>
      <c r="AH2652" s="2" t="str">
        <f ca="1"/>
        <v>Bad</v>
      </c>
    </row>
    <row r="2653" spans="2:34" x14ac:dyDescent="0.2">
      <c r="B2653" s="2">
        <f ca="1"/>
        <v>0.25128373826274397</v>
      </c>
      <c r="O2653" s="2">
        <f ca="1"/>
        <v>-1.8492252917541963E-2</v>
      </c>
      <c r="X2653" s="2">
        <f ca="1"/>
        <v>26.438603664212991</v>
      </c>
      <c r="AG2653" s="2">
        <f ca="1"/>
        <v>0.81272898468473498</v>
      </c>
      <c r="AH2653" s="2" t="str">
        <f ca="1"/>
        <v>Bad</v>
      </c>
    </row>
    <row r="2654" spans="2:34" x14ac:dyDescent="0.2">
      <c r="B2654" s="2">
        <f ca="1"/>
        <v>0.60626111509988023</v>
      </c>
      <c r="O2654" s="2">
        <f ca="1"/>
        <v>2.3317099377368442</v>
      </c>
      <c r="X2654" s="2">
        <f ca="1"/>
        <v>48.826656432828997</v>
      </c>
      <c r="AG2654" s="2">
        <f ca="1"/>
        <v>0.50110435403531639</v>
      </c>
      <c r="AH2654" s="2" t="str">
        <f ca="1"/>
        <v>Bad</v>
      </c>
    </row>
    <row r="2655" spans="2:34" x14ac:dyDescent="0.2">
      <c r="B2655" s="2">
        <f ca="1"/>
        <v>0.16536575748177951</v>
      </c>
      <c r="O2655" s="2">
        <f ca="1"/>
        <v>-0.17726802501070829</v>
      </c>
      <c r="X2655" s="2">
        <f ca="1"/>
        <v>72.189336466093039</v>
      </c>
      <c r="AG2655" s="2">
        <f ca="1"/>
        <v>5.3309675179605387E-2</v>
      </c>
      <c r="AH2655" s="2" t="str">
        <f ca="1"/>
        <v>OK</v>
      </c>
    </row>
    <row r="2656" spans="2:34" x14ac:dyDescent="0.2">
      <c r="B2656" s="2">
        <f ca="1"/>
        <v>0.61215544719988513</v>
      </c>
      <c r="O2656" s="2">
        <f ca="1"/>
        <v>2.397917604497983E-2</v>
      </c>
      <c r="X2656" s="2">
        <f ca="1"/>
        <v>54.609153398819039</v>
      </c>
      <c r="AG2656" s="2">
        <f ca="1"/>
        <v>0.75303190263328545</v>
      </c>
      <c r="AH2656" s="2" t="str">
        <f ca="1"/>
        <v>Bad</v>
      </c>
    </row>
    <row r="2657" spans="2:34" x14ac:dyDescent="0.2">
      <c r="B2657" s="2">
        <f ca="1"/>
        <v>0.59590211203035381</v>
      </c>
      <c r="O2657" s="2">
        <f ca="1"/>
        <v>2.3846256626310511</v>
      </c>
      <c r="X2657" s="2">
        <f ca="1"/>
        <v>45.330049390697511</v>
      </c>
      <c r="AG2657" s="2">
        <f ca="1"/>
        <v>6.6904549877723429E-2</v>
      </c>
      <c r="AH2657" s="2" t="str">
        <f ca="1"/>
        <v>OK</v>
      </c>
    </row>
    <row r="2658" spans="2:34" x14ac:dyDescent="0.2">
      <c r="B2658" s="2">
        <f ca="1"/>
        <v>0.16571691187811721</v>
      </c>
      <c r="O2658" s="2">
        <f ca="1"/>
        <v>-1.021536514878034</v>
      </c>
      <c r="X2658" s="2">
        <f ca="1"/>
        <v>44.484144193062946</v>
      </c>
      <c r="AG2658" s="2">
        <f ca="1"/>
        <v>0.93315958434037594</v>
      </c>
      <c r="AH2658" s="2" t="str">
        <f ca="1"/>
        <v>Bad</v>
      </c>
    </row>
    <row r="2659" spans="2:34" x14ac:dyDescent="0.2">
      <c r="B2659" s="2">
        <f ca="1"/>
        <v>6.129841183476703E-3</v>
      </c>
      <c r="O2659" s="2">
        <f ca="1"/>
        <v>0.44357657899400438</v>
      </c>
      <c r="X2659" s="2">
        <f ca="1"/>
        <v>39.882860646894414</v>
      </c>
      <c r="AG2659" s="2">
        <f ca="1"/>
        <v>0.7727307206542231</v>
      </c>
      <c r="AH2659" s="2" t="str">
        <f ca="1"/>
        <v>Bad</v>
      </c>
    </row>
    <row r="2660" spans="2:34" x14ac:dyDescent="0.2">
      <c r="B2660" s="2">
        <f ca="1"/>
        <v>0.58542074758933582</v>
      </c>
      <c r="O2660" s="2">
        <f ca="1"/>
        <v>-1.6458317030478313</v>
      </c>
      <c r="X2660" s="2">
        <f ca="1"/>
        <v>34.052142948685223</v>
      </c>
      <c r="AG2660" s="2">
        <f ca="1"/>
        <v>0.41186918510804027</v>
      </c>
      <c r="AH2660" s="2" t="str">
        <f ca="1"/>
        <v>Bad</v>
      </c>
    </row>
    <row r="2661" spans="2:34" x14ac:dyDescent="0.2">
      <c r="B2661" s="2">
        <f ca="1"/>
        <v>0.75759681384668931</v>
      </c>
      <c r="O2661" s="2">
        <f ca="1"/>
        <v>-0.2127043952744174</v>
      </c>
      <c r="X2661" s="2">
        <f ca="1"/>
        <v>73.514918182752609</v>
      </c>
      <c r="AG2661" s="2">
        <f ca="1"/>
        <v>0.60711784958369175</v>
      </c>
      <c r="AH2661" s="2" t="str">
        <f ca="1"/>
        <v>Bad</v>
      </c>
    </row>
    <row r="2662" spans="2:34" x14ac:dyDescent="0.2">
      <c r="B2662" s="2">
        <f ca="1"/>
        <v>0.65823005360853837</v>
      </c>
      <c r="O2662" s="2">
        <f ca="1"/>
        <v>-0.28230939824670559</v>
      </c>
      <c r="X2662" s="2">
        <f ca="1"/>
        <v>56.359820677602158</v>
      </c>
      <c r="AG2662" s="2">
        <f ca="1"/>
        <v>0.6714120897200091</v>
      </c>
      <c r="AH2662" s="2" t="str">
        <f ca="1"/>
        <v>Bad</v>
      </c>
    </row>
    <row r="2663" spans="2:34" x14ac:dyDescent="0.2">
      <c r="B2663" s="2">
        <f ca="1"/>
        <v>0.3968545800190848</v>
      </c>
      <c r="O2663" s="2">
        <f ca="1"/>
        <v>-0.11898515162260448</v>
      </c>
      <c r="X2663" s="2">
        <f ca="1"/>
        <v>56.849254877310926</v>
      </c>
      <c r="AG2663" s="2">
        <f ca="1"/>
        <v>0.823369008173789</v>
      </c>
      <c r="AH2663" s="2" t="str">
        <f ca="1"/>
        <v>Bad</v>
      </c>
    </row>
    <row r="2664" spans="2:34" x14ac:dyDescent="0.2">
      <c r="B2664" s="2">
        <f ca="1"/>
        <v>0.87042599316671065</v>
      </c>
      <c r="O2664" s="2">
        <f ca="1"/>
        <v>-0.14371148657248309</v>
      </c>
      <c r="X2664" s="2">
        <f ca="1"/>
        <v>33.331394181078892</v>
      </c>
      <c r="AG2664" s="2">
        <f ca="1"/>
        <v>0.92957454622236169</v>
      </c>
      <c r="AH2664" s="2" t="str">
        <f ca="1"/>
        <v>Bad</v>
      </c>
    </row>
    <row r="2665" spans="2:34" x14ac:dyDescent="0.2">
      <c r="B2665" s="2">
        <f ca="1"/>
        <v>9.7810787147558864E-2</v>
      </c>
      <c r="O2665" s="2">
        <f ca="1"/>
        <v>-1.086567170075639</v>
      </c>
      <c r="X2665" s="2">
        <f ca="1"/>
        <v>70.628303034009832</v>
      </c>
      <c r="AG2665" s="2">
        <f ca="1"/>
        <v>0.57226924348239994</v>
      </c>
      <c r="AH2665" s="2" t="str">
        <f ca="1"/>
        <v>Bad</v>
      </c>
    </row>
    <row r="2666" spans="2:34" x14ac:dyDescent="0.2">
      <c r="B2666" s="2">
        <f ca="1"/>
        <v>0.33544064365407045</v>
      </c>
      <c r="O2666" s="2">
        <f ca="1"/>
        <v>-1.2423568954986326</v>
      </c>
      <c r="X2666" s="2">
        <f ca="1"/>
        <v>67.572907781689764</v>
      </c>
      <c r="AG2666" s="2">
        <f ca="1"/>
        <v>0.35175100332738785</v>
      </c>
      <c r="AH2666" s="2" t="str">
        <f ca="1"/>
        <v>OK</v>
      </c>
    </row>
    <row r="2667" spans="2:34" x14ac:dyDescent="0.2">
      <c r="B2667" s="2">
        <f ca="1"/>
        <v>0.67228208852817017</v>
      </c>
      <c r="O2667" s="2">
        <f ca="1"/>
        <v>-0.9213581656815184</v>
      </c>
      <c r="X2667" s="2">
        <f ca="1"/>
        <v>43.335394043214677</v>
      </c>
      <c r="AG2667" s="2">
        <f ca="1"/>
        <v>0.99982344819914926</v>
      </c>
      <c r="AH2667" s="2" t="str">
        <f ca="1"/>
        <v>Bad</v>
      </c>
    </row>
    <row r="2668" spans="2:34" x14ac:dyDescent="0.2">
      <c r="B2668" s="2">
        <f ca="1"/>
        <v>0.8337856226303777</v>
      </c>
      <c r="O2668" s="2">
        <f ca="1"/>
        <v>0.67451650063469837</v>
      </c>
      <c r="X2668" s="2">
        <f ca="1"/>
        <v>40.609209102040829</v>
      </c>
      <c r="AG2668" s="2">
        <f ca="1"/>
        <v>0.72865827268133887</v>
      </c>
      <c r="AH2668" s="2" t="str">
        <f ca="1"/>
        <v>Bad</v>
      </c>
    </row>
    <row r="2669" spans="2:34" x14ac:dyDescent="0.2">
      <c r="B2669" s="2">
        <f ca="1"/>
        <v>0.48433070584683824</v>
      </c>
      <c r="O2669" s="2">
        <f ca="1"/>
        <v>0.77386330116478619</v>
      </c>
      <c r="X2669" s="2">
        <f ca="1"/>
        <v>42.231702895557326</v>
      </c>
      <c r="AG2669" s="2">
        <f ca="1"/>
        <v>0.23666597809854273</v>
      </c>
      <c r="AH2669" s="2" t="str">
        <f ca="1"/>
        <v>OK</v>
      </c>
    </row>
    <row r="2670" spans="2:34" x14ac:dyDescent="0.2">
      <c r="B2670" s="2">
        <f ca="1"/>
        <v>0.40453690394129094</v>
      </c>
      <c r="O2670" s="2">
        <f ca="1"/>
        <v>0.59670257725520792</v>
      </c>
      <c r="X2670" s="2">
        <f ca="1"/>
        <v>43.441839222691705</v>
      </c>
      <c r="AG2670" s="2">
        <f ca="1"/>
        <v>0.87108889749003748</v>
      </c>
      <c r="AH2670" s="2" t="str">
        <f ca="1"/>
        <v>Bad</v>
      </c>
    </row>
    <row r="2671" spans="2:34" x14ac:dyDescent="0.2">
      <c r="B2671" s="2">
        <f ca="1"/>
        <v>0.36397511443318997</v>
      </c>
      <c r="O2671" s="2">
        <f ca="1"/>
        <v>-0.3139688927693573</v>
      </c>
      <c r="X2671" s="2">
        <f ca="1"/>
        <v>39.045159488585334</v>
      </c>
      <c r="AG2671" s="2">
        <f ca="1"/>
        <v>0.43015880861344136</v>
      </c>
      <c r="AH2671" s="2" t="str">
        <f ca="1"/>
        <v>Bad</v>
      </c>
    </row>
    <row r="2672" spans="2:34" x14ac:dyDescent="0.2">
      <c r="B2672" s="2">
        <f ca="1"/>
        <v>0.76188611670094475</v>
      </c>
      <c r="O2672" s="2">
        <f ca="1"/>
        <v>7.0920640865902121E-2</v>
      </c>
      <c r="X2672" s="2">
        <f ca="1"/>
        <v>74.35203999127377</v>
      </c>
      <c r="AG2672" s="2">
        <f ca="1"/>
        <v>0.1714140895781977</v>
      </c>
      <c r="AH2672" s="2" t="str">
        <f ca="1"/>
        <v>OK</v>
      </c>
    </row>
    <row r="2673" spans="2:34" x14ac:dyDescent="0.2">
      <c r="B2673" s="2">
        <f ca="1"/>
        <v>2.0872610585687124E-2</v>
      </c>
      <c r="O2673" s="2">
        <f ca="1"/>
        <v>0.4975106346264857</v>
      </c>
      <c r="X2673" s="2">
        <f ca="1"/>
        <v>35.36868673311924</v>
      </c>
      <c r="AG2673" s="2">
        <f ca="1"/>
        <v>0.90017298372926602</v>
      </c>
      <c r="AH2673" s="2" t="str">
        <f ca="1"/>
        <v>Bad</v>
      </c>
    </row>
    <row r="2674" spans="2:34" x14ac:dyDescent="0.2">
      <c r="B2674" s="2">
        <f ca="1"/>
        <v>0.36572013001598136</v>
      </c>
      <c r="O2674" s="2">
        <f ca="1"/>
        <v>0.18301566410351447</v>
      </c>
      <c r="X2674" s="2">
        <f ca="1"/>
        <v>60.25908883975206</v>
      </c>
      <c r="AG2674" s="2">
        <f ca="1"/>
        <v>0.80138349398903697</v>
      </c>
      <c r="AH2674" s="2" t="str">
        <f ca="1"/>
        <v>Bad</v>
      </c>
    </row>
    <row r="2675" spans="2:34" x14ac:dyDescent="0.2">
      <c r="B2675" s="2">
        <f ca="1"/>
        <v>0.76713471340415063</v>
      </c>
      <c r="O2675" s="2">
        <f ca="1"/>
        <v>1.2248008691154835</v>
      </c>
      <c r="X2675" s="2">
        <f ca="1"/>
        <v>49.119679819539492</v>
      </c>
      <c r="AG2675" s="2">
        <f ca="1"/>
        <v>0.87560668087322169</v>
      </c>
      <c r="AH2675" s="2" t="str">
        <f ca="1"/>
        <v>Bad</v>
      </c>
    </row>
    <row r="2676" spans="2:34" x14ac:dyDescent="0.2">
      <c r="B2676" s="2">
        <f ca="1"/>
        <v>4.8817307286902478E-2</v>
      </c>
      <c r="O2676" s="2">
        <f ca="1"/>
        <v>0.99090685386622446</v>
      </c>
      <c r="X2676" s="2">
        <f ca="1"/>
        <v>72.064115983799127</v>
      </c>
      <c r="AG2676" s="2">
        <f ca="1"/>
        <v>0.78889419484973788</v>
      </c>
      <c r="AH2676" s="2" t="str">
        <f ca="1"/>
        <v>Bad</v>
      </c>
    </row>
    <row r="2677" spans="2:34" x14ac:dyDescent="0.2">
      <c r="B2677" s="2">
        <f ca="1"/>
        <v>0.97107567331419786</v>
      </c>
      <c r="O2677" s="2">
        <f ca="1"/>
        <v>-2.0989887108134258</v>
      </c>
      <c r="X2677" s="2">
        <f ca="1"/>
        <v>61.710831496074377</v>
      </c>
      <c r="AG2677" s="2">
        <f ca="1"/>
        <v>0.29394546519180298</v>
      </c>
      <c r="AH2677" s="2" t="str">
        <f ca="1"/>
        <v>OK</v>
      </c>
    </row>
    <row r="2678" spans="2:34" x14ac:dyDescent="0.2">
      <c r="B2678" s="2">
        <f ca="1"/>
        <v>0.75431196300969172</v>
      </c>
      <c r="O2678" s="2">
        <f ca="1"/>
        <v>0.24356772808311408</v>
      </c>
      <c r="X2678" s="2">
        <f ca="1"/>
        <v>40.534795330729466</v>
      </c>
      <c r="AG2678" s="2">
        <f ca="1"/>
        <v>7.3951267240524921E-2</v>
      </c>
      <c r="AH2678" s="2" t="str">
        <f ca="1"/>
        <v>OK</v>
      </c>
    </row>
    <row r="2679" spans="2:34" x14ac:dyDescent="0.2">
      <c r="B2679" s="2">
        <f ca="1"/>
        <v>9.0638131383273368E-2</v>
      </c>
      <c r="O2679" s="2">
        <f ca="1"/>
        <v>-2.4525271910840257E-3</v>
      </c>
      <c r="X2679" s="2">
        <f ca="1"/>
        <v>52.3708711047327</v>
      </c>
      <c r="AG2679" s="2">
        <f ca="1"/>
        <v>4.7494360278962588E-2</v>
      </c>
      <c r="AH2679" s="2" t="str">
        <f ca="1"/>
        <v>Good</v>
      </c>
    </row>
    <row r="2680" spans="2:34" x14ac:dyDescent="0.2">
      <c r="B2680" s="2">
        <f ca="1"/>
        <v>0.93245438875543774</v>
      </c>
      <c r="O2680" s="2">
        <f ca="1"/>
        <v>-0.65876562593471266</v>
      </c>
      <c r="X2680" s="2">
        <f ca="1"/>
        <v>40.739780000105689</v>
      </c>
      <c r="AG2680" s="2">
        <f ca="1"/>
        <v>0.74974673657569912</v>
      </c>
      <c r="AH2680" s="2" t="str">
        <f ca="1"/>
        <v>Bad</v>
      </c>
    </row>
    <row r="2681" spans="2:34" x14ac:dyDescent="0.2">
      <c r="B2681" s="2">
        <f ca="1"/>
        <v>0.32285236567703324</v>
      </c>
      <c r="O2681" s="2">
        <f ca="1"/>
        <v>-1.5287218624599284</v>
      </c>
      <c r="X2681" s="2">
        <f ca="1"/>
        <v>50.792321683771789</v>
      </c>
      <c r="AG2681" s="2">
        <f ca="1"/>
        <v>0.13571104761595132</v>
      </c>
      <c r="AH2681" s="2" t="str">
        <f ca="1"/>
        <v>OK</v>
      </c>
    </row>
    <row r="2682" spans="2:34" x14ac:dyDescent="0.2">
      <c r="B2682" s="2">
        <f ca="1"/>
        <v>0.50034370871378275</v>
      </c>
      <c r="O2682" s="2">
        <f ca="1"/>
        <v>5.5975374885458708E-2</v>
      </c>
      <c r="X2682" s="2">
        <f ca="1"/>
        <v>29.082832776595744</v>
      </c>
      <c r="AG2682" s="2">
        <f ca="1"/>
        <v>0.13645674972982857</v>
      </c>
      <c r="AH2682" s="2" t="str">
        <f ca="1"/>
        <v>OK</v>
      </c>
    </row>
    <row r="2683" spans="2:34" x14ac:dyDescent="0.2">
      <c r="B2683" s="2">
        <f ca="1"/>
        <v>0.43054535484048606</v>
      </c>
      <c r="O2683" s="2">
        <f ca="1"/>
        <v>-0.76766714178997542</v>
      </c>
      <c r="X2683" s="2">
        <f ca="1"/>
        <v>26.675133023145957</v>
      </c>
      <c r="AG2683" s="2">
        <f ca="1"/>
        <v>0.70009674077744144</v>
      </c>
      <c r="AH2683" s="2" t="str">
        <f ca="1"/>
        <v>Bad</v>
      </c>
    </row>
    <row r="2684" spans="2:34" x14ac:dyDescent="0.2">
      <c r="B2684" s="2">
        <f ca="1"/>
        <v>0.62813123827336304</v>
      </c>
      <c r="O2684" s="2">
        <f ca="1"/>
        <v>-0.18256245384498201</v>
      </c>
      <c r="X2684" s="2">
        <f ca="1"/>
        <v>62.164556298221818</v>
      </c>
      <c r="AG2684" s="2">
        <f ca="1"/>
        <v>0.56067332629457822</v>
      </c>
      <c r="AH2684" s="2" t="str">
        <f ca="1"/>
        <v>Bad</v>
      </c>
    </row>
    <row r="2685" spans="2:34" x14ac:dyDescent="0.2">
      <c r="B2685" s="2">
        <f ca="1"/>
        <v>0.50449623488563233</v>
      </c>
      <c r="O2685" s="2">
        <f ca="1"/>
        <v>-1.2000910953762667</v>
      </c>
      <c r="X2685" s="2">
        <f ca="1"/>
        <v>34.458570676845241</v>
      </c>
      <c r="AG2685" s="2">
        <f ca="1"/>
        <v>9.0052259231362175E-2</v>
      </c>
      <c r="AH2685" s="2" t="str">
        <f ca="1"/>
        <v>OK</v>
      </c>
    </row>
    <row r="2686" spans="2:34" x14ac:dyDescent="0.2">
      <c r="B2686" s="2">
        <f ca="1"/>
        <v>0.16311580112053625</v>
      </c>
      <c r="O2686" s="2">
        <f ca="1"/>
        <v>0.76914943674128566</v>
      </c>
      <c r="X2686" s="2">
        <f ca="1"/>
        <v>37.072390601319604</v>
      </c>
      <c r="AG2686" s="2">
        <f ca="1"/>
        <v>0.63755179928458738</v>
      </c>
      <c r="AH2686" s="2" t="str">
        <f ca="1"/>
        <v>Bad</v>
      </c>
    </row>
    <row r="2687" spans="2:34" x14ac:dyDescent="0.2">
      <c r="B2687" s="2">
        <f ca="1"/>
        <v>0.56266656775486745</v>
      </c>
      <c r="O2687" s="2">
        <f ca="1"/>
        <v>0.1041197724780437</v>
      </c>
      <c r="X2687" s="2">
        <f ca="1"/>
        <v>51.224599868114247</v>
      </c>
      <c r="AG2687" s="2">
        <f ca="1"/>
        <v>0.81315348186504943</v>
      </c>
      <c r="AH2687" s="2" t="str">
        <f ca="1"/>
        <v>Bad</v>
      </c>
    </row>
    <row r="2688" spans="2:34" x14ac:dyDescent="0.2">
      <c r="B2688" s="2">
        <f ca="1"/>
        <v>0.23657975012513921</v>
      </c>
      <c r="O2688" s="2">
        <f ca="1"/>
        <v>7.5467478611121436E-2</v>
      </c>
      <c r="X2688" s="2">
        <f ca="1"/>
        <v>31.863031172791207</v>
      </c>
      <c r="AG2688" s="2">
        <f ca="1"/>
        <v>0.46497998072786739</v>
      </c>
      <c r="AH2688" s="2" t="str">
        <f ca="1"/>
        <v>Bad</v>
      </c>
    </row>
    <row r="2689" spans="2:34" x14ac:dyDescent="0.2">
      <c r="B2689" s="2">
        <f ca="1"/>
        <v>0.59742283902418825</v>
      </c>
      <c r="O2689" s="2">
        <f ca="1"/>
        <v>0.40810647680238621</v>
      </c>
      <c r="X2689" s="2">
        <f ca="1"/>
        <v>24.500232785801749</v>
      </c>
      <c r="AG2689" s="2">
        <f ca="1"/>
        <v>0.97470480979419993</v>
      </c>
      <c r="AH2689" s="2" t="str">
        <f ca="1"/>
        <v>Bad</v>
      </c>
    </row>
    <row r="2690" spans="2:34" x14ac:dyDescent="0.2">
      <c r="B2690" s="2">
        <f ca="1"/>
        <v>0.79660026017092522</v>
      </c>
      <c r="O2690" s="2">
        <f ca="1"/>
        <v>-1.11856496138432</v>
      </c>
      <c r="X2690" s="2">
        <f ca="1"/>
        <v>46.144865260328174</v>
      </c>
      <c r="AG2690" s="2">
        <f ca="1"/>
        <v>0.71852263503247493</v>
      </c>
      <c r="AH2690" s="2" t="str">
        <f ca="1"/>
        <v>Bad</v>
      </c>
    </row>
    <row r="2691" spans="2:34" x14ac:dyDescent="0.2">
      <c r="B2691" s="2">
        <f ca="1"/>
        <v>0.39308386308015653</v>
      </c>
      <c r="O2691" s="2">
        <f ca="1"/>
        <v>-0.26322291124030089</v>
      </c>
      <c r="X2691" s="2">
        <f ca="1"/>
        <v>49.673867513814791</v>
      </c>
      <c r="AG2691" s="2">
        <f ca="1"/>
        <v>0.3469016168940704</v>
      </c>
      <c r="AH2691" s="2" t="str">
        <f ca="1"/>
        <v>OK</v>
      </c>
    </row>
    <row r="2692" spans="2:34" x14ac:dyDescent="0.2">
      <c r="B2692" s="2">
        <f ca="1"/>
        <v>0.80082114992398146</v>
      </c>
      <c r="O2692" s="2">
        <f ca="1"/>
        <v>-0.72082706481946413</v>
      </c>
      <c r="X2692" s="2">
        <f ca="1"/>
        <v>53.085091172279853</v>
      </c>
      <c r="AG2692" s="2">
        <f ca="1"/>
        <v>0.86659695313835705</v>
      </c>
      <c r="AH2692" s="2" t="str">
        <f ca="1"/>
        <v>Bad</v>
      </c>
    </row>
    <row r="2693" spans="2:34" x14ac:dyDescent="0.2">
      <c r="B2693" s="2">
        <f ca="1"/>
        <v>0.41263953193551051</v>
      </c>
      <c r="O2693" s="2">
        <f ca="1"/>
        <v>-5.1501356048151363E-2</v>
      </c>
      <c r="X2693" s="2">
        <f ca="1"/>
        <v>72.501389309823466</v>
      </c>
      <c r="AG2693" s="2">
        <f ca="1"/>
        <v>0.76134418821428529</v>
      </c>
      <c r="AH2693" s="2" t="str">
        <f ca="1"/>
        <v>Bad</v>
      </c>
    </row>
    <row r="2694" spans="2:34" x14ac:dyDescent="0.2">
      <c r="B2694" s="2">
        <f ca="1"/>
        <v>0.96245386680522782</v>
      </c>
      <c r="O2694" s="2">
        <f ca="1"/>
        <v>6.8960181035183601E-2</v>
      </c>
      <c r="X2694" s="2">
        <f ca="1"/>
        <v>22.494768577600045</v>
      </c>
      <c r="AG2694" s="2">
        <f ca="1"/>
        <v>0.1825162671780689</v>
      </c>
      <c r="AH2694" s="2" t="str">
        <f ca="1"/>
        <v>OK</v>
      </c>
    </row>
    <row r="2695" spans="2:34" x14ac:dyDescent="0.2">
      <c r="B2695" s="2">
        <f ca="1"/>
        <v>0.66099167880352327</v>
      </c>
      <c r="O2695" s="2">
        <f ca="1"/>
        <v>-0.47283652811895582</v>
      </c>
      <c r="X2695" s="2">
        <f ca="1"/>
        <v>48.185152671189535</v>
      </c>
      <c r="AG2695" s="2">
        <f ca="1"/>
        <v>0.33478797969670571</v>
      </c>
      <c r="AH2695" s="2" t="str">
        <f ca="1"/>
        <v>OK</v>
      </c>
    </row>
    <row r="2696" spans="2:34" x14ac:dyDescent="0.2">
      <c r="B2696" s="2">
        <f ca="1"/>
        <v>0.44786643727465614</v>
      </c>
      <c r="O2696" s="2">
        <f ca="1"/>
        <v>0.27523832779139157</v>
      </c>
      <c r="X2696" s="2">
        <f ca="1"/>
        <v>82.273446856422623</v>
      </c>
      <c r="AG2696" s="2">
        <f ca="1"/>
        <v>0.18886575152840646</v>
      </c>
      <c r="AH2696" s="2" t="str">
        <f ca="1"/>
        <v>OK</v>
      </c>
    </row>
    <row r="2697" spans="2:34" x14ac:dyDescent="0.2">
      <c r="B2697" s="2">
        <f ca="1"/>
        <v>0.8541450611749799</v>
      </c>
      <c r="O2697" s="2">
        <f ca="1"/>
        <v>-0.11311746883731301</v>
      </c>
      <c r="X2697" s="2">
        <f ca="1"/>
        <v>24.215567704093793</v>
      </c>
      <c r="AG2697" s="2">
        <f ca="1"/>
        <v>0.52901870059690137</v>
      </c>
      <c r="AH2697" s="2" t="str">
        <f ca="1"/>
        <v>Bad</v>
      </c>
    </row>
    <row r="2698" spans="2:34" x14ac:dyDescent="0.2">
      <c r="B2698" s="2">
        <f ca="1"/>
        <v>0.26888308537673677</v>
      </c>
      <c r="O2698" s="2">
        <f ca="1"/>
        <v>-0.11457711999225484</v>
      </c>
      <c r="X2698" s="2">
        <f ca="1"/>
        <v>62.207711066686784</v>
      </c>
      <c r="AG2698" s="2">
        <f ca="1"/>
        <v>0.3668124750169659</v>
      </c>
      <c r="AH2698" s="2" t="str">
        <f ca="1"/>
        <v>OK</v>
      </c>
    </row>
    <row r="2699" spans="2:34" x14ac:dyDescent="0.2">
      <c r="B2699" s="2">
        <f ca="1"/>
        <v>0.28648646160744051</v>
      </c>
      <c r="O2699" s="2">
        <f ca="1"/>
        <v>1.1159327292288186</v>
      </c>
      <c r="X2699" s="2">
        <f ca="1"/>
        <v>86.11537002330914</v>
      </c>
      <c r="AG2699" s="2">
        <f ca="1"/>
        <v>0.56177201805390631</v>
      </c>
      <c r="AH2699" s="2" t="str">
        <f ca="1"/>
        <v>Bad</v>
      </c>
    </row>
    <row r="2700" spans="2:34" x14ac:dyDescent="0.2">
      <c r="B2700" s="2">
        <f ca="1"/>
        <v>5.0341873352717892E-2</v>
      </c>
      <c r="O2700" s="2">
        <f ca="1"/>
        <v>-0.48522548116511505</v>
      </c>
      <c r="X2700" s="2">
        <f ca="1"/>
        <v>41.999344067845286</v>
      </c>
      <c r="AG2700" s="2">
        <f ca="1"/>
        <v>0.18731219302998348</v>
      </c>
      <c r="AH2700" s="2" t="str">
        <f ca="1"/>
        <v>OK</v>
      </c>
    </row>
    <row r="2701" spans="2:34" x14ac:dyDescent="0.2">
      <c r="B2701" s="2">
        <f ca="1"/>
        <v>6.3042237467461071E-2</v>
      </c>
      <c r="O2701" s="2">
        <f ca="1"/>
        <v>8.5311316690456704E-2</v>
      </c>
      <c r="X2701" s="2">
        <f ca="1"/>
        <v>60.58188106738217</v>
      </c>
      <c r="AG2701" s="2">
        <f ca="1"/>
        <v>0.51978057593953597</v>
      </c>
      <c r="AH2701" s="2" t="str">
        <f ca="1"/>
        <v>Bad</v>
      </c>
    </row>
    <row r="2702" spans="2:34" x14ac:dyDescent="0.2">
      <c r="B2702" s="2">
        <f ca="1"/>
        <v>0.63486301120316946</v>
      </c>
      <c r="O2702" s="2">
        <f ca="1"/>
        <v>-0.577334081203567</v>
      </c>
      <c r="X2702" s="2">
        <f ca="1"/>
        <v>26.70843303449432</v>
      </c>
      <c r="AG2702" s="2">
        <f ca="1"/>
        <v>0.80770117829069776</v>
      </c>
      <c r="AH2702" s="2" t="str">
        <f ca="1"/>
        <v>Bad</v>
      </c>
    </row>
    <row r="2703" spans="2:34" x14ac:dyDescent="0.2">
      <c r="B2703" s="2">
        <f ca="1"/>
        <v>5.9899092455652392E-2</v>
      </c>
      <c r="O2703" s="2">
        <f ca="1"/>
        <v>-1.6795747855264807</v>
      </c>
      <c r="X2703" s="2">
        <f ca="1"/>
        <v>64.124960928006701</v>
      </c>
      <c r="AG2703" s="2">
        <f ca="1"/>
        <v>0.21467036366032199</v>
      </c>
      <c r="AH2703" s="2" t="str">
        <f ca="1"/>
        <v>OK</v>
      </c>
    </row>
    <row r="2704" spans="2:34" x14ac:dyDescent="0.2">
      <c r="B2704" s="2">
        <f ca="1"/>
        <v>0.35242179425241416</v>
      </c>
      <c r="O2704" s="2">
        <f ca="1"/>
        <v>0.31596225733959649</v>
      </c>
      <c r="X2704" s="2">
        <f ca="1"/>
        <v>32.28895815405123</v>
      </c>
      <c r="AG2704" s="2">
        <f ca="1"/>
        <v>0.88549661335291208</v>
      </c>
      <c r="AH2704" s="2" t="str">
        <f ca="1"/>
        <v>Bad</v>
      </c>
    </row>
    <row r="2705" spans="2:34" x14ac:dyDescent="0.2">
      <c r="B2705" s="2">
        <f ca="1"/>
        <v>0.652944205339961</v>
      </c>
      <c r="O2705" s="2">
        <f ca="1"/>
        <v>-0.53064122444733763</v>
      </c>
      <c r="X2705" s="2">
        <f ca="1"/>
        <v>33.97066091113814</v>
      </c>
      <c r="AG2705" s="2">
        <f ca="1"/>
        <v>6.1908347064589808E-2</v>
      </c>
      <c r="AH2705" s="2" t="str">
        <f ca="1"/>
        <v>OK</v>
      </c>
    </row>
    <row r="2706" spans="2:34" x14ac:dyDescent="0.2">
      <c r="B2706" s="2">
        <f ca="1"/>
        <v>0.40782382836129361</v>
      </c>
      <c r="O2706" s="2">
        <f ca="1"/>
        <v>0.7570076164846018</v>
      </c>
      <c r="X2706" s="2">
        <f ca="1"/>
        <v>40.66194016281343</v>
      </c>
      <c r="AG2706" s="2">
        <f ca="1"/>
        <v>0.73208934013978766</v>
      </c>
      <c r="AH2706" s="2" t="str">
        <f ca="1"/>
        <v>Bad</v>
      </c>
    </row>
    <row r="2707" spans="2:34" x14ac:dyDescent="0.2">
      <c r="B2707" s="2">
        <f ca="1"/>
        <v>0.94567763204486033</v>
      </c>
      <c r="O2707" s="2">
        <f ca="1"/>
        <v>-6.0222593411878106E-2</v>
      </c>
      <c r="X2707" s="2">
        <f ca="1"/>
        <v>25.773231041051147</v>
      </c>
      <c r="AG2707" s="2">
        <f ca="1"/>
        <v>0.43863707153752629</v>
      </c>
      <c r="AH2707" s="2" t="str">
        <f ca="1"/>
        <v>Bad</v>
      </c>
    </row>
    <row r="2708" spans="2:34" x14ac:dyDescent="0.2">
      <c r="B2708" s="2">
        <f ca="1"/>
        <v>0.18844041248519727</v>
      </c>
      <c r="O2708" s="2">
        <f ca="1"/>
        <v>0.45613762359751109</v>
      </c>
      <c r="X2708" s="2">
        <f ca="1"/>
        <v>36.260769335084021</v>
      </c>
      <c r="AG2708" s="2">
        <f ca="1"/>
        <v>0.56210985529531565</v>
      </c>
      <c r="AH2708" s="2" t="str">
        <f ca="1"/>
        <v>Bad</v>
      </c>
    </row>
    <row r="2709" spans="2:34" x14ac:dyDescent="0.2">
      <c r="B2709" s="2">
        <f ca="1"/>
        <v>0.57027843661458322</v>
      </c>
      <c r="O2709" s="2">
        <f ca="1"/>
        <v>0.13523278457582094</v>
      </c>
      <c r="X2709" s="2">
        <f ca="1"/>
        <v>50.220737438215082</v>
      </c>
      <c r="AG2709" s="2">
        <f ca="1"/>
        <v>0.70178571071179174</v>
      </c>
      <c r="AH2709" s="2" t="str">
        <f ca="1"/>
        <v>Bad</v>
      </c>
    </row>
    <row r="2710" spans="2:34" x14ac:dyDescent="0.2">
      <c r="B2710" s="2">
        <f ca="1"/>
        <v>0.87141030748434001</v>
      </c>
      <c r="O2710" s="2">
        <f ca="1"/>
        <v>-1.9325959901691903</v>
      </c>
      <c r="X2710" s="2">
        <f ca="1"/>
        <v>76.370140879207113</v>
      </c>
      <c r="AG2710" s="2">
        <f ca="1"/>
        <v>0.87339905500122672</v>
      </c>
      <c r="AH2710" s="2" t="str">
        <f ca="1"/>
        <v>Bad</v>
      </c>
    </row>
    <row r="2711" spans="2:34" x14ac:dyDescent="0.2">
      <c r="B2711" s="2">
        <f ca="1"/>
        <v>0.75174436703244485</v>
      </c>
      <c r="O2711" s="2">
        <f ca="1"/>
        <v>0.43441392248088834</v>
      </c>
      <c r="X2711" s="2">
        <f ca="1"/>
        <v>36.867668373042136</v>
      </c>
      <c r="AG2711" s="2">
        <f ca="1"/>
        <v>0.12849435662460063</v>
      </c>
      <c r="AH2711" s="2" t="str">
        <f ca="1"/>
        <v>OK</v>
      </c>
    </row>
    <row r="2712" spans="2:34" x14ac:dyDescent="0.2">
      <c r="B2712" s="2">
        <f ca="1"/>
        <v>0.58461236199137967</v>
      </c>
      <c r="O2712" s="2">
        <f ca="1"/>
        <v>0.15322908735341512</v>
      </c>
      <c r="X2712" s="2">
        <f ca="1"/>
        <v>45.765223295297389</v>
      </c>
      <c r="AG2712" s="2">
        <f ca="1"/>
        <v>2.1112676016689536E-2</v>
      </c>
      <c r="AH2712" s="2" t="str">
        <f ca="1"/>
        <v>Good</v>
      </c>
    </row>
    <row r="2713" spans="2:34" x14ac:dyDescent="0.2">
      <c r="B2713" s="2">
        <f ca="1"/>
        <v>0.49630357777068634</v>
      </c>
      <c r="O2713" s="2">
        <f ca="1"/>
        <v>-0.84342920378995656</v>
      </c>
      <c r="X2713" s="2">
        <f ca="1"/>
        <v>36.906116180386675</v>
      </c>
      <c r="AG2713" s="2">
        <f ca="1"/>
        <v>0.18425105371908446</v>
      </c>
      <c r="AH2713" s="2" t="str">
        <f ca="1"/>
        <v>OK</v>
      </c>
    </row>
    <row r="2714" spans="2:34" x14ac:dyDescent="0.2">
      <c r="B2714" s="2">
        <f ca="1"/>
        <v>0.28224915835741737</v>
      </c>
      <c r="O2714" s="2">
        <f ca="1"/>
        <v>-3.8976581882202856E-2</v>
      </c>
      <c r="X2714" s="2">
        <f ca="1"/>
        <v>55.133798005662229</v>
      </c>
      <c r="AG2714" s="2">
        <f ca="1"/>
        <v>0.97372814877145575</v>
      </c>
      <c r="AH2714" s="2" t="str">
        <f ca="1"/>
        <v>Bad</v>
      </c>
    </row>
    <row r="2715" spans="2:34" x14ac:dyDescent="0.2">
      <c r="B2715" s="2">
        <f ca="1"/>
        <v>0.17753558972526529</v>
      </c>
      <c r="O2715" s="2">
        <f ca="1"/>
        <v>-0.8941885225664129</v>
      </c>
      <c r="X2715" s="2">
        <f ca="1"/>
        <v>77.149571504963433</v>
      </c>
      <c r="AG2715" s="2">
        <f ca="1"/>
        <v>0.82125162024535814</v>
      </c>
      <c r="AH2715" s="2" t="str">
        <f ca="1"/>
        <v>Bad</v>
      </c>
    </row>
    <row r="2716" spans="2:34" x14ac:dyDescent="0.2">
      <c r="B2716" s="2">
        <f ca="1"/>
        <v>0.31869744396345512</v>
      </c>
      <c r="O2716" s="2">
        <f ca="1"/>
        <v>1.1842283321975264</v>
      </c>
      <c r="X2716" s="2">
        <f ca="1"/>
        <v>59.820488731126609</v>
      </c>
      <c r="AG2716" s="2">
        <f ca="1"/>
        <v>0.824365531088741</v>
      </c>
      <c r="AH2716" s="2" t="str">
        <f ca="1"/>
        <v>Bad</v>
      </c>
    </row>
    <row r="2717" spans="2:34" x14ac:dyDescent="0.2">
      <c r="B2717" s="2">
        <f ca="1"/>
        <v>0.49497010802102759</v>
      </c>
      <c r="O2717" s="2">
        <f ca="1"/>
        <v>1.5391858701808587</v>
      </c>
      <c r="X2717" s="2">
        <f ca="1"/>
        <v>43.177194223313293</v>
      </c>
      <c r="AG2717" s="2">
        <f ca="1"/>
        <v>0.36527449011927682</v>
      </c>
      <c r="AH2717" s="2" t="str">
        <f ca="1"/>
        <v>OK</v>
      </c>
    </row>
    <row r="2718" spans="2:34" x14ac:dyDescent="0.2">
      <c r="B2718" s="2">
        <f ca="1"/>
        <v>0.5564366710384645</v>
      </c>
      <c r="O2718" s="2">
        <f ca="1"/>
        <v>-0.5199287575049808</v>
      </c>
      <c r="X2718" s="2">
        <f ca="1"/>
        <v>46.763992409851213</v>
      </c>
      <c r="AG2718" s="2">
        <f ca="1"/>
        <v>0.24353064515514311</v>
      </c>
      <c r="AH2718" s="2" t="str">
        <f ca="1"/>
        <v>OK</v>
      </c>
    </row>
    <row r="2719" spans="2:34" x14ac:dyDescent="0.2">
      <c r="B2719" s="2">
        <f ca="1"/>
        <v>0.4830644638655972</v>
      </c>
      <c r="O2719" s="2">
        <f ca="1"/>
        <v>-0.57649918582118265</v>
      </c>
      <c r="X2719" s="2">
        <f ca="1"/>
        <v>46.807685170734146</v>
      </c>
      <c r="AG2719" s="2">
        <f ca="1"/>
        <v>1.9416483427763032E-2</v>
      </c>
      <c r="AH2719" s="2" t="str">
        <f ca="1"/>
        <v>Good</v>
      </c>
    </row>
    <row r="2720" spans="2:34" x14ac:dyDescent="0.2">
      <c r="B2720" s="2">
        <f ca="1"/>
        <v>0.7729240241473041</v>
      </c>
      <c r="O2720" s="2">
        <f ca="1"/>
        <v>-1.0172073437493727</v>
      </c>
      <c r="X2720" s="2">
        <f ca="1"/>
        <v>46.166901130714209</v>
      </c>
      <c r="AG2720" s="2">
        <f ca="1"/>
        <v>0.86593354401523315</v>
      </c>
      <c r="AH2720" s="2" t="str">
        <f ca="1"/>
        <v>Bad</v>
      </c>
    </row>
    <row r="2721" spans="2:34" x14ac:dyDescent="0.2">
      <c r="B2721" s="2">
        <f ca="1"/>
        <v>0.11654087695422444</v>
      </c>
      <c r="O2721" s="2">
        <f ca="1"/>
        <v>-1.1669473010442475</v>
      </c>
      <c r="X2721" s="2">
        <f ca="1"/>
        <v>53.527960441470476</v>
      </c>
      <c r="AG2721" s="2">
        <f ca="1"/>
        <v>0.79817731564586203</v>
      </c>
      <c r="AH2721" s="2" t="str">
        <f ca="1"/>
        <v>Bad</v>
      </c>
    </row>
    <row r="2722" spans="2:34" x14ac:dyDescent="0.2">
      <c r="B2722" s="2">
        <f ca="1"/>
        <v>3.4818522991676204E-2</v>
      </c>
      <c r="O2722" s="2">
        <f ca="1"/>
        <v>-0.23915305823696753</v>
      </c>
      <c r="X2722" s="2">
        <f ca="1"/>
        <v>48.119530611592943</v>
      </c>
      <c r="AG2722" s="2">
        <f ca="1"/>
        <v>0.10034478230891275</v>
      </c>
      <c r="AH2722" s="2" t="str">
        <f ca="1"/>
        <v>OK</v>
      </c>
    </row>
    <row r="2723" spans="2:34" x14ac:dyDescent="0.2">
      <c r="B2723" s="2">
        <f ca="1"/>
        <v>0.76166089768623269</v>
      </c>
      <c r="O2723" s="2">
        <f ca="1"/>
        <v>0.83688111820110878</v>
      </c>
      <c r="X2723" s="2">
        <f ca="1"/>
        <v>29.257665808458846</v>
      </c>
      <c r="AG2723" s="2">
        <f ca="1"/>
        <v>0.12393981446736668</v>
      </c>
      <c r="AH2723" s="2" t="str">
        <f ca="1"/>
        <v>OK</v>
      </c>
    </row>
    <row r="2724" spans="2:34" x14ac:dyDescent="0.2">
      <c r="B2724" s="2">
        <f ca="1"/>
        <v>0.30998824606057429</v>
      </c>
      <c r="O2724" s="2">
        <f ca="1"/>
        <v>-0.29990724169321209</v>
      </c>
      <c r="X2724" s="2">
        <f ca="1"/>
        <v>49.660189282514423</v>
      </c>
      <c r="AG2724" s="2">
        <f ca="1"/>
        <v>0.24107735540919162</v>
      </c>
      <c r="AH2724" s="2" t="str">
        <f ca="1"/>
        <v>OK</v>
      </c>
    </row>
    <row r="2725" spans="2:34" x14ac:dyDescent="0.2">
      <c r="B2725" s="2">
        <f ca="1"/>
        <v>0.47392001577529896</v>
      </c>
      <c r="O2725" s="2">
        <f ca="1"/>
        <v>0.10089234932306575</v>
      </c>
      <c r="X2725" s="2">
        <f ca="1"/>
        <v>90.923024406674884</v>
      </c>
      <c r="AG2725" s="2">
        <f ca="1"/>
        <v>0.62133940552082523</v>
      </c>
      <c r="AH2725" s="2" t="str">
        <f ca="1"/>
        <v>Bad</v>
      </c>
    </row>
    <row r="2726" spans="2:34" x14ac:dyDescent="0.2">
      <c r="B2726" s="2">
        <f ca="1"/>
        <v>0.61904090109231924</v>
      </c>
      <c r="O2726" s="2">
        <f ca="1"/>
        <v>-0.83091683322153942</v>
      </c>
      <c r="X2726" s="2">
        <f ca="1"/>
        <v>42.939133391627408</v>
      </c>
      <c r="AG2726" s="2">
        <f ca="1"/>
        <v>0.36078185255853623</v>
      </c>
      <c r="AH2726" s="2" t="str">
        <f ca="1"/>
        <v>OK</v>
      </c>
    </row>
    <row r="2727" spans="2:34" x14ac:dyDescent="0.2">
      <c r="B2727" s="2">
        <f ca="1"/>
        <v>0.5433580813068053</v>
      </c>
      <c r="O2727" s="2">
        <f ca="1"/>
        <v>0.32544691712961293</v>
      </c>
      <c r="X2727" s="2">
        <f ca="1"/>
        <v>35.290828183251854</v>
      </c>
      <c r="AG2727" s="2">
        <f ca="1"/>
        <v>0.56885461383149227</v>
      </c>
      <c r="AH2727" s="2" t="str">
        <f ca="1"/>
        <v>Bad</v>
      </c>
    </row>
    <row r="2728" spans="2:34" x14ac:dyDescent="0.2">
      <c r="B2728" s="2">
        <f ca="1"/>
        <v>4.5133069539320614E-2</v>
      </c>
      <c r="O2728" s="2">
        <f ca="1"/>
        <v>0.5998835535296505</v>
      </c>
      <c r="X2728" s="2">
        <f ca="1"/>
        <v>42.720042073783816</v>
      </c>
      <c r="AG2728" s="2">
        <f ca="1"/>
        <v>0.75311199180932831</v>
      </c>
      <c r="AH2728" s="2" t="str">
        <f ca="1"/>
        <v>Bad</v>
      </c>
    </row>
    <row r="2729" spans="2:34" x14ac:dyDescent="0.2">
      <c r="B2729" s="2">
        <f ca="1"/>
        <v>0.45862141107347387</v>
      </c>
      <c r="O2729" s="2">
        <f ca="1"/>
        <v>-1.0042753697642748</v>
      </c>
      <c r="X2729" s="2">
        <f ca="1"/>
        <v>63.790977248639756</v>
      </c>
      <c r="AG2729" s="2">
        <f ca="1"/>
        <v>0.72524362489025518</v>
      </c>
      <c r="AH2729" s="2" t="str">
        <f ca="1"/>
        <v>Bad</v>
      </c>
    </row>
    <row r="2730" spans="2:34" x14ac:dyDescent="0.2">
      <c r="B2730" s="2">
        <f ca="1"/>
        <v>0.56479454218426839</v>
      </c>
      <c r="O2730" s="2">
        <f ca="1"/>
        <v>0.19787266432288933</v>
      </c>
      <c r="X2730" s="2">
        <f ca="1"/>
        <v>34.921939163622334</v>
      </c>
      <c r="AG2730" s="2">
        <f ca="1"/>
        <v>0.697517754987381</v>
      </c>
      <c r="AH2730" s="2" t="str">
        <f ca="1"/>
        <v>Bad</v>
      </c>
    </row>
    <row r="2731" spans="2:34" x14ac:dyDescent="0.2">
      <c r="B2731" s="2">
        <f ca="1"/>
        <v>0.90244132468519545</v>
      </c>
      <c r="O2731" s="2">
        <f ca="1"/>
        <v>-9.2069938819910893E-2</v>
      </c>
      <c r="X2731" s="2">
        <f ca="1"/>
        <v>48.75092756731523</v>
      </c>
      <c r="AG2731" s="2">
        <f ca="1"/>
        <v>0.96647064326414478</v>
      </c>
      <c r="AH2731" s="2" t="str">
        <f ca="1"/>
        <v>Bad</v>
      </c>
    </row>
    <row r="2732" spans="2:34" x14ac:dyDescent="0.2">
      <c r="B2732" s="2">
        <f ca="1"/>
        <v>0.91151620207992945</v>
      </c>
      <c r="O2732" s="2">
        <f ca="1"/>
        <v>-1.48616535878461</v>
      </c>
      <c r="X2732" s="2">
        <f ca="1"/>
        <v>61.21311203675824</v>
      </c>
      <c r="AG2732" s="2">
        <f ca="1"/>
        <v>0.15982765580411518</v>
      </c>
      <c r="AH2732" s="2" t="str">
        <f ca="1"/>
        <v>OK</v>
      </c>
    </row>
    <row r="2733" spans="2:34" x14ac:dyDescent="0.2">
      <c r="B2733" s="2">
        <f ca="1"/>
        <v>0.71471325590225088</v>
      </c>
      <c r="O2733" s="2">
        <f ca="1"/>
        <v>1.5561010111754636</v>
      </c>
      <c r="X2733" s="2">
        <f ca="1"/>
        <v>31.155338322489619</v>
      </c>
      <c r="AG2733" s="2">
        <f ca="1"/>
        <v>0.16602686428446556</v>
      </c>
      <c r="AH2733" s="2" t="str">
        <f ca="1"/>
        <v>OK</v>
      </c>
    </row>
    <row r="2734" spans="2:34" x14ac:dyDescent="0.2">
      <c r="B2734" s="2">
        <f ca="1"/>
        <v>0.57539441446567952</v>
      </c>
      <c r="O2734" s="2">
        <f ca="1"/>
        <v>-0.70659270272780728</v>
      </c>
      <c r="X2734" s="2">
        <f ca="1"/>
        <v>37.300109151703545</v>
      </c>
      <c r="AG2734" s="2">
        <f ca="1"/>
        <v>0.39321750205310435</v>
      </c>
      <c r="AH2734" s="2" t="str">
        <f ca="1"/>
        <v>OK</v>
      </c>
    </row>
    <row r="2735" spans="2:34" x14ac:dyDescent="0.2">
      <c r="B2735" s="2">
        <f ca="1"/>
        <v>0.41075334458888824</v>
      </c>
      <c r="O2735" s="2">
        <f ca="1"/>
        <v>-1.4247871164227004</v>
      </c>
      <c r="X2735" s="2">
        <f ca="1"/>
        <v>35.895152963884598</v>
      </c>
      <c r="AG2735" s="2">
        <f ca="1"/>
        <v>0.32040910841263526</v>
      </c>
      <c r="AH2735" s="2" t="str">
        <f ca="1"/>
        <v>OK</v>
      </c>
    </row>
    <row r="2736" spans="2:34" x14ac:dyDescent="0.2">
      <c r="B2736" s="2">
        <f ca="1"/>
        <v>0.36188253753028188</v>
      </c>
      <c r="O2736" s="2">
        <f ca="1"/>
        <v>-0.18753997512842002</v>
      </c>
      <c r="X2736" s="2">
        <f ca="1"/>
        <v>30.059299450160658</v>
      </c>
      <c r="AG2736" s="2">
        <f ca="1"/>
        <v>0.72590406552835662</v>
      </c>
      <c r="AH2736" s="2" t="str">
        <f ca="1"/>
        <v>Bad</v>
      </c>
    </row>
    <row r="2737" spans="2:34" x14ac:dyDescent="0.2">
      <c r="B2737" s="2">
        <f ca="1"/>
        <v>0.1592843962041246</v>
      </c>
      <c r="O2737" s="2">
        <f ca="1"/>
        <v>0.39763392713530937</v>
      </c>
      <c r="X2737" s="2">
        <f ca="1"/>
        <v>52.997743177681748</v>
      </c>
      <c r="AG2737" s="2">
        <f ca="1"/>
        <v>0.68859078107438476</v>
      </c>
      <c r="AH2737" s="2" t="str">
        <f ca="1"/>
        <v>Bad</v>
      </c>
    </row>
    <row r="2738" spans="2:34" x14ac:dyDescent="0.2">
      <c r="B2738" s="2">
        <f ca="1"/>
        <v>5.8785673739322197E-2</v>
      </c>
      <c r="O2738" s="2">
        <f ca="1"/>
        <v>0.5899036818945973</v>
      </c>
      <c r="X2738" s="2">
        <f ca="1"/>
        <v>56.278018818860218</v>
      </c>
      <c r="AG2738" s="2">
        <f ca="1"/>
        <v>0.44787018042587179</v>
      </c>
      <c r="AH2738" s="2" t="str">
        <f ca="1"/>
        <v>Bad</v>
      </c>
    </row>
    <row r="2739" spans="2:34" x14ac:dyDescent="0.2">
      <c r="B2739" s="2">
        <f ca="1"/>
        <v>0.7877512646370608</v>
      </c>
      <c r="O2739" s="2">
        <f ca="1"/>
        <v>0.13026191796506023</v>
      </c>
      <c r="X2739" s="2">
        <f ca="1"/>
        <v>46.454661377070707</v>
      </c>
      <c r="AG2739" s="2">
        <f ca="1"/>
        <v>0.10989064783809877</v>
      </c>
      <c r="AH2739" s="2" t="str">
        <f ca="1"/>
        <v>OK</v>
      </c>
    </row>
    <row r="2740" spans="2:34" x14ac:dyDescent="0.2">
      <c r="B2740" s="2">
        <f ca="1"/>
        <v>0.37851104648306166</v>
      </c>
      <c r="O2740" s="2">
        <f ca="1"/>
        <v>-0.76467240595771435</v>
      </c>
      <c r="X2740" s="2">
        <f ca="1"/>
        <v>38.548195900592248</v>
      </c>
      <c r="AG2740" s="2">
        <f ca="1"/>
        <v>0.58156817258763538</v>
      </c>
      <c r="AH2740" s="2" t="str">
        <f ca="1"/>
        <v>Bad</v>
      </c>
    </row>
    <row r="2741" spans="2:34" x14ac:dyDescent="0.2">
      <c r="B2741" s="2">
        <f ca="1"/>
        <v>0.16882166621143679</v>
      </c>
      <c r="O2741" s="2">
        <f ca="1"/>
        <v>-2.1920901555608063</v>
      </c>
      <c r="X2741" s="2">
        <f ca="1"/>
        <v>43.735158327067147</v>
      </c>
      <c r="AG2741" s="2">
        <f ca="1"/>
        <v>0.22364806043891794</v>
      </c>
      <c r="AH2741" s="2" t="str">
        <f ca="1"/>
        <v>OK</v>
      </c>
    </row>
    <row r="2742" spans="2:34" x14ac:dyDescent="0.2">
      <c r="B2742" s="2">
        <f ca="1"/>
        <v>0.88651356296280492</v>
      </c>
      <c r="O2742" s="2">
        <f ca="1"/>
        <v>-0.7229061327338594</v>
      </c>
      <c r="X2742" s="2">
        <f ca="1"/>
        <v>42.142055500489306</v>
      </c>
      <c r="AG2742" s="2">
        <f ca="1"/>
        <v>0.19906193258179972</v>
      </c>
      <c r="AH2742" s="2" t="str">
        <f ca="1"/>
        <v>OK</v>
      </c>
    </row>
    <row r="2743" spans="2:34" x14ac:dyDescent="0.2">
      <c r="B2743" s="2">
        <f ca="1"/>
        <v>0.92399419248798176</v>
      </c>
      <c r="O2743" s="2">
        <f ca="1"/>
        <v>0.56099606342836628</v>
      </c>
      <c r="X2743" s="2">
        <f ca="1"/>
        <v>68.986667670306161</v>
      </c>
      <c r="AG2743" s="2">
        <f ca="1"/>
        <v>0.26345465134437163</v>
      </c>
      <c r="AH2743" s="2" t="str">
        <f ca="1"/>
        <v>OK</v>
      </c>
    </row>
    <row r="2744" spans="2:34" x14ac:dyDescent="0.2">
      <c r="B2744" s="2">
        <f ca="1"/>
        <v>9.7164321008446075E-2</v>
      </c>
      <c r="O2744" s="2">
        <f ca="1"/>
        <v>0.69858162422300962</v>
      </c>
      <c r="X2744" s="2">
        <f ca="1"/>
        <v>53.455758138895781</v>
      </c>
      <c r="AG2744" s="2">
        <f ca="1"/>
        <v>0.51032724962522491</v>
      </c>
      <c r="AH2744" s="2" t="str">
        <f ca="1"/>
        <v>Bad</v>
      </c>
    </row>
    <row r="2745" spans="2:34" x14ac:dyDescent="0.2">
      <c r="B2745" s="2">
        <f ca="1"/>
        <v>0.79035894382445382</v>
      </c>
      <c r="O2745" s="2">
        <f ca="1"/>
        <v>0.68193656170709516</v>
      </c>
      <c r="X2745" s="2">
        <f ca="1"/>
        <v>34.832481463310259</v>
      </c>
      <c r="AG2745" s="2">
        <f ca="1"/>
        <v>0.71819170170065205</v>
      </c>
      <c r="AH2745" s="2" t="str">
        <f ca="1"/>
        <v>Bad</v>
      </c>
    </row>
    <row r="2746" spans="2:34" x14ac:dyDescent="0.2">
      <c r="B2746" s="2">
        <f ca="1"/>
        <v>0.66525382947090583</v>
      </c>
      <c r="O2746" s="2">
        <f ca="1"/>
        <v>-0.25438308160987555</v>
      </c>
      <c r="X2746" s="2">
        <f ca="1"/>
        <v>59.91006434092256</v>
      </c>
      <c r="AG2746" s="2">
        <f ca="1"/>
        <v>0.40965710793439691</v>
      </c>
      <c r="AH2746" s="2" t="str">
        <f ca="1"/>
        <v>Bad</v>
      </c>
    </row>
    <row r="2747" spans="2:34" x14ac:dyDescent="0.2">
      <c r="B2747" s="2">
        <f ca="1"/>
        <v>0.37184771778751879</v>
      </c>
      <c r="O2747" s="2">
        <f ca="1"/>
        <v>-0.36258767907493911</v>
      </c>
      <c r="X2747" s="2">
        <f ca="1"/>
        <v>64.426009875474222</v>
      </c>
      <c r="AG2747" s="2">
        <f ca="1"/>
        <v>6.4484750141497793E-2</v>
      </c>
      <c r="AH2747" s="2" t="str">
        <f ca="1"/>
        <v>OK</v>
      </c>
    </row>
    <row r="2748" spans="2:34" x14ac:dyDescent="0.2">
      <c r="B2748" s="2">
        <f ca="1"/>
        <v>0.20154744376865308</v>
      </c>
      <c r="O2748" s="2">
        <f ca="1"/>
        <v>0.64150720051442556</v>
      </c>
      <c r="X2748" s="2">
        <f ca="1"/>
        <v>33.63571492845643</v>
      </c>
      <c r="AG2748" s="2">
        <f ca="1"/>
        <v>0.10327518806937008</v>
      </c>
      <c r="AH2748" s="2" t="str">
        <f ca="1"/>
        <v>OK</v>
      </c>
    </row>
    <row r="2749" spans="2:34" x14ac:dyDescent="0.2">
      <c r="B2749" s="2">
        <f ca="1"/>
        <v>9.7471247192553179E-2</v>
      </c>
      <c r="O2749" s="2">
        <f ca="1"/>
        <v>1.8660061137535344</v>
      </c>
      <c r="X2749" s="2">
        <f ca="1"/>
        <v>39.57653529008131</v>
      </c>
      <c r="AG2749" s="2">
        <f ca="1"/>
        <v>6.2135424270485018E-2</v>
      </c>
      <c r="AH2749" s="2" t="str">
        <f ca="1"/>
        <v>OK</v>
      </c>
    </row>
    <row r="2750" spans="2:34" x14ac:dyDescent="0.2">
      <c r="B2750" s="2">
        <f ca="1"/>
        <v>7.3145145483124896E-2</v>
      </c>
      <c r="O2750" s="2">
        <f ca="1"/>
        <v>-2.6318075479604648</v>
      </c>
      <c r="X2750" s="2">
        <f ca="1"/>
        <v>48.247452792911936</v>
      </c>
      <c r="AG2750" s="2">
        <f ca="1"/>
        <v>7.625567890989049E-2</v>
      </c>
      <c r="AH2750" s="2" t="str">
        <f ca="1"/>
        <v>OK</v>
      </c>
    </row>
    <row r="2751" spans="2:34" x14ac:dyDescent="0.2">
      <c r="B2751" s="2">
        <f ca="1"/>
        <v>0.64112185369759334</v>
      </c>
      <c r="O2751" s="2">
        <f ca="1"/>
        <v>-0.88483862219079334</v>
      </c>
      <c r="X2751" s="2">
        <f ca="1"/>
        <v>50.052239637081357</v>
      </c>
      <c r="AG2751" s="2">
        <f ca="1"/>
        <v>0.74845805057031645</v>
      </c>
      <c r="AH2751" s="2" t="str">
        <f ca="1"/>
        <v>Bad</v>
      </c>
    </row>
    <row r="2752" spans="2:34" x14ac:dyDescent="0.2">
      <c r="B2752" s="2">
        <f ca="1"/>
        <v>0.16976232736797447</v>
      </c>
      <c r="O2752" s="2">
        <f ca="1"/>
        <v>0.31425043562232485</v>
      </c>
      <c r="X2752" s="2">
        <f ca="1"/>
        <v>77.979341693878084</v>
      </c>
      <c r="AG2752" s="2">
        <f ca="1"/>
        <v>0.18223341833705331</v>
      </c>
      <c r="AH2752" s="2" t="str">
        <f ca="1"/>
        <v>OK</v>
      </c>
    </row>
    <row r="2753" spans="2:34" x14ac:dyDescent="0.2">
      <c r="B2753" s="2">
        <f ca="1"/>
        <v>0.5094738289754015</v>
      </c>
      <c r="O2753" s="2">
        <f ca="1"/>
        <v>-0.76860725832821719</v>
      </c>
      <c r="X2753" s="2">
        <f ca="1"/>
        <v>53.602765265871575</v>
      </c>
      <c r="AG2753" s="2">
        <f ca="1"/>
        <v>0.10789680361149623</v>
      </c>
      <c r="AH2753" s="2" t="str">
        <f ca="1"/>
        <v>OK</v>
      </c>
    </row>
    <row r="2754" spans="2:34" x14ac:dyDescent="0.2">
      <c r="B2754" s="2">
        <f ca="1"/>
        <v>0.65928702940993955</v>
      </c>
      <c r="O2754" s="2">
        <f ca="1"/>
        <v>-1.3501565952581334</v>
      </c>
      <c r="X2754" s="2">
        <f ca="1"/>
        <v>59.123841170493058</v>
      </c>
      <c r="AG2754" s="2">
        <f ca="1"/>
        <v>0.20158101093089154</v>
      </c>
      <c r="AH2754" s="2" t="str">
        <f ca="1"/>
        <v>OK</v>
      </c>
    </row>
    <row r="2755" spans="2:34" x14ac:dyDescent="0.2">
      <c r="B2755" s="2">
        <f ca="1"/>
        <v>0.90548612444064247</v>
      </c>
      <c r="O2755" s="2">
        <f ca="1"/>
        <v>0.69407933436307456</v>
      </c>
      <c r="X2755" s="2">
        <f ca="1"/>
        <v>41.498963695936943</v>
      </c>
      <c r="AG2755" s="2">
        <f ca="1"/>
        <v>0.87551980686496766</v>
      </c>
      <c r="AH2755" s="2" t="str">
        <f ca="1"/>
        <v>Bad</v>
      </c>
    </row>
    <row r="2756" spans="2:34" x14ac:dyDescent="0.2">
      <c r="B2756" s="2">
        <f ca="1"/>
        <v>0.14020344001060958</v>
      </c>
      <c r="O2756" s="2">
        <f ca="1"/>
        <v>0.95414103582135834</v>
      </c>
      <c r="X2756" s="2">
        <f ca="1"/>
        <v>23.865442824224161</v>
      </c>
      <c r="AG2756" s="2">
        <f ca="1"/>
        <v>0.51386174973228549</v>
      </c>
      <c r="AH2756" s="2" t="str">
        <f ca="1"/>
        <v>Bad</v>
      </c>
    </row>
    <row r="2757" spans="2:34" x14ac:dyDescent="0.2">
      <c r="B2757" s="2">
        <f ca="1"/>
        <v>0.88120064280163013</v>
      </c>
      <c r="O2757" s="2">
        <f ca="1"/>
        <v>0.87471731003790265</v>
      </c>
      <c r="X2757" s="2">
        <f ca="1"/>
        <v>62.470049109405025</v>
      </c>
      <c r="AG2757" s="2">
        <f ca="1"/>
        <v>0.15604829324410008</v>
      </c>
      <c r="AH2757" s="2" t="str">
        <f ca="1"/>
        <v>OK</v>
      </c>
    </row>
    <row r="2758" spans="2:34" x14ac:dyDescent="0.2">
      <c r="B2758" s="2">
        <f ca="1"/>
        <v>0.56238891368244825</v>
      </c>
      <c r="O2758" s="2">
        <f ca="1"/>
        <v>-0.58006622203407765</v>
      </c>
      <c r="X2758" s="2">
        <f ca="1"/>
        <v>112.82802510362229</v>
      </c>
      <c r="AG2758" s="2">
        <f ca="1"/>
        <v>9.5271490379595924E-2</v>
      </c>
      <c r="AH2758" s="2" t="str">
        <f ca="1"/>
        <v>OK</v>
      </c>
    </row>
    <row r="2759" spans="2:34" x14ac:dyDescent="0.2">
      <c r="B2759" s="2">
        <f ca="1"/>
        <v>0.63822844384138944</v>
      </c>
      <c r="O2759" s="2">
        <f ca="1"/>
        <v>0.92554515881422306</v>
      </c>
      <c r="X2759" s="2">
        <f ca="1"/>
        <v>36.78029227087567</v>
      </c>
      <c r="AG2759" s="2">
        <f ca="1"/>
        <v>0.84340584513675942</v>
      </c>
      <c r="AH2759" s="2" t="str">
        <f ca="1"/>
        <v>Bad</v>
      </c>
    </row>
    <row r="2760" spans="2:34" x14ac:dyDescent="0.2">
      <c r="B2760" s="2">
        <f ca="1"/>
        <v>0.58858053178219971</v>
      </c>
      <c r="O2760" s="2">
        <f ca="1"/>
        <v>9.3012851187018158E-2</v>
      </c>
      <c r="X2760" s="2">
        <f ca="1"/>
        <v>28.400336992176058</v>
      </c>
      <c r="AG2760" s="2">
        <f ca="1"/>
        <v>0.72386486177638476</v>
      </c>
      <c r="AH2760" s="2" t="str">
        <f ca="1"/>
        <v>Bad</v>
      </c>
    </row>
    <row r="2761" spans="2:34" x14ac:dyDescent="0.2">
      <c r="B2761" s="2">
        <f ca="1"/>
        <v>0.97029729811436916</v>
      </c>
      <c r="O2761" s="2">
        <f ca="1"/>
        <v>0.70759311179838458</v>
      </c>
      <c r="X2761" s="2">
        <f ca="1"/>
        <v>30.686411777230877</v>
      </c>
      <c r="AG2761" s="2">
        <f ca="1"/>
        <v>0.88686712033928217</v>
      </c>
      <c r="AH2761" s="2" t="str">
        <f ca="1"/>
        <v>Bad</v>
      </c>
    </row>
    <row r="2762" spans="2:34" x14ac:dyDescent="0.2">
      <c r="B2762" s="2">
        <f ca="1"/>
        <v>0.93131091338323913</v>
      </c>
      <c r="O2762" s="2">
        <f ca="1"/>
        <v>-0.47080591089801382</v>
      </c>
      <c r="X2762" s="2">
        <f ca="1"/>
        <v>44.7748899997178</v>
      </c>
      <c r="AG2762" s="2">
        <f ca="1"/>
        <v>0.54677770985054885</v>
      </c>
      <c r="AH2762" s="2" t="str">
        <f ca="1"/>
        <v>Bad</v>
      </c>
    </row>
    <row r="2763" spans="2:34" x14ac:dyDescent="0.2">
      <c r="B2763" s="2">
        <f ca="1"/>
        <v>0.84881117531070127</v>
      </c>
      <c r="O2763" s="2">
        <f ca="1"/>
        <v>-2.2485127332249268</v>
      </c>
      <c r="X2763" s="2">
        <f ca="1"/>
        <v>41.659068264800851</v>
      </c>
      <c r="AG2763" s="2">
        <f ca="1"/>
        <v>0.47684040280221396</v>
      </c>
      <c r="AH2763" s="2" t="str">
        <f ca="1"/>
        <v>Bad</v>
      </c>
    </row>
    <row r="2764" spans="2:34" x14ac:dyDescent="0.2">
      <c r="B2764" s="2">
        <f ca="1"/>
        <v>0.70365351756764127</v>
      </c>
      <c r="O2764" s="2">
        <f ca="1"/>
        <v>-1.2195831642341777</v>
      </c>
      <c r="X2764" s="2">
        <f ca="1"/>
        <v>30.818822245786528</v>
      </c>
      <c r="AG2764" s="2">
        <f ca="1"/>
        <v>0.57264927647742581</v>
      </c>
      <c r="AH2764" s="2" t="str">
        <f ca="1"/>
        <v>Bad</v>
      </c>
    </row>
    <row r="2765" spans="2:34" x14ac:dyDescent="0.2">
      <c r="B2765" s="2">
        <f ca="1"/>
        <v>4.0293435811476153E-2</v>
      </c>
      <c r="O2765" s="2">
        <f ca="1"/>
        <v>0.29754439498484792</v>
      </c>
      <c r="X2765" s="2">
        <f ca="1"/>
        <v>29.336527028416622</v>
      </c>
      <c r="AG2765" s="2">
        <f ca="1"/>
        <v>0.82016776323121121</v>
      </c>
      <c r="AH2765" s="2" t="str">
        <f ca="1"/>
        <v>Bad</v>
      </c>
    </row>
    <row r="2766" spans="2:34" x14ac:dyDescent="0.2">
      <c r="B2766" s="2">
        <f ca="1"/>
        <v>0.11710254314943125</v>
      </c>
      <c r="O2766" s="2">
        <f ca="1"/>
        <v>-0.67385070877156161</v>
      </c>
      <c r="X2766" s="2">
        <f ca="1"/>
        <v>42.298556918618964</v>
      </c>
      <c r="AG2766" s="2">
        <f ca="1"/>
        <v>0.54416081624910051</v>
      </c>
      <c r="AH2766" s="2" t="str">
        <f ca="1"/>
        <v>Bad</v>
      </c>
    </row>
    <row r="2767" spans="2:34" x14ac:dyDescent="0.2">
      <c r="B2767" s="2">
        <f ca="1"/>
        <v>0.1002364534879383</v>
      </c>
      <c r="O2767" s="2">
        <f ca="1"/>
        <v>-0.82764982240861174</v>
      </c>
      <c r="X2767" s="2">
        <f ca="1"/>
        <v>32.369951344531074</v>
      </c>
      <c r="AG2767" s="2">
        <f ca="1"/>
        <v>0.36495658523661301</v>
      </c>
      <c r="AH2767" s="2" t="str">
        <f ca="1"/>
        <v>OK</v>
      </c>
    </row>
    <row r="2768" spans="2:34" x14ac:dyDescent="0.2">
      <c r="B2768" s="2">
        <f ca="1"/>
        <v>0.83455043151028163</v>
      </c>
      <c r="O2768" s="2">
        <f ca="1"/>
        <v>-1.1234039505698032</v>
      </c>
      <c r="X2768" s="2">
        <f ca="1"/>
        <v>38.087258802468995</v>
      </c>
      <c r="AG2768" s="2">
        <f ca="1"/>
        <v>0.56682126300466629</v>
      </c>
      <c r="AH2768" s="2" t="str">
        <f ca="1"/>
        <v>Bad</v>
      </c>
    </row>
    <row r="2769" spans="2:34" x14ac:dyDescent="0.2">
      <c r="B2769" s="2">
        <f ca="1"/>
        <v>5.649863410992717E-3</v>
      </c>
      <c r="O2769" s="2">
        <f ca="1"/>
        <v>-0.15365537225318793</v>
      </c>
      <c r="X2769" s="2">
        <f ca="1"/>
        <v>72.346276573797411</v>
      </c>
      <c r="AG2769" s="2">
        <f ca="1"/>
        <v>0.58073546488708394</v>
      </c>
      <c r="AH2769" s="2" t="str">
        <f ca="1"/>
        <v>Bad</v>
      </c>
    </row>
    <row r="2770" spans="2:34" x14ac:dyDescent="0.2">
      <c r="B2770" s="2">
        <f ca="1"/>
        <v>4.119950072261469E-2</v>
      </c>
      <c r="O2770" s="2">
        <f ca="1"/>
        <v>0.17213948971784521</v>
      </c>
      <c r="X2770" s="2">
        <f ca="1"/>
        <v>23.6040055003145</v>
      </c>
      <c r="AG2770" s="2">
        <f ca="1"/>
        <v>0.54205352182739408</v>
      </c>
      <c r="AH2770" s="2" t="str">
        <f ca="1"/>
        <v>Bad</v>
      </c>
    </row>
    <row r="2771" spans="2:34" x14ac:dyDescent="0.2">
      <c r="B2771" s="2">
        <f ca="1"/>
        <v>0.41329037129031954</v>
      </c>
      <c r="O2771" s="2">
        <f ca="1"/>
        <v>-1.1208548770987259</v>
      </c>
      <c r="X2771" s="2">
        <f ca="1"/>
        <v>43.812034795384385</v>
      </c>
      <c r="AG2771" s="2">
        <f ca="1"/>
        <v>0.98785230600381313</v>
      </c>
      <c r="AH2771" s="2" t="str">
        <f ca="1"/>
        <v>Bad</v>
      </c>
    </row>
    <row r="2772" spans="2:34" x14ac:dyDescent="0.2">
      <c r="B2772" s="2">
        <f ca="1"/>
        <v>0.93790227571037654</v>
      </c>
      <c r="O2772" s="2">
        <f ca="1"/>
        <v>1.9756426760015307</v>
      </c>
      <c r="X2772" s="2">
        <f ca="1"/>
        <v>50.41257312607285</v>
      </c>
      <c r="AG2772" s="2">
        <f ca="1"/>
        <v>0.68054715623045414</v>
      </c>
      <c r="AH2772" s="2" t="str">
        <f ca="1"/>
        <v>Bad</v>
      </c>
    </row>
    <row r="2773" spans="2:34" x14ac:dyDescent="0.2">
      <c r="B2773" s="2">
        <f ca="1"/>
        <v>0.56244058618178516</v>
      </c>
      <c r="O2773" s="2">
        <f ca="1"/>
        <v>-0.63849655003750427</v>
      </c>
      <c r="X2773" s="2">
        <f ca="1"/>
        <v>43.280725233275668</v>
      </c>
      <c r="AG2773" s="2">
        <f ca="1"/>
        <v>0.1546581717663591</v>
      </c>
      <c r="AH2773" s="2" t="str">
        <f ca="1"/>
        <v>OK</v>
      </c>
    </row>
    <row r="2774" spans="2:34" x14ac:dyDescent="0.2">
      <c r="B2774" s="2">
        <f ca="1"/>
        <v>0.4673491887249126</v>
      </c>
      <c r="O2774" s="2">
        <f ca="1"/>
        <v>0.18544801451491702</v>
      </c>
      <c r="X2774" s="2">
        <f ca="1"/>
        <v>52.727253460355996</v>
      </c>
      <c r="AG2774" s="2">
        <f ca="1"/>
        <v>0.32465213320336406</v>
      </c>
      <c r="AH2774" s="2" t="str">
        <f ca="1"/>
        <v>OK</v>
      </c>
    </row>
    <row r="2775" spans="2:34" x14ac:dyDescent="0.2">
      <c r="B2775" s="2">
        <f ca="1"/>
        <v>0.51811372426509483</v>
      </c>
      <c r="O2775" s="2">
        <f ca="1"/>
        <v>0.40761193148017466</v>
      </c>
      <c r="X2775" s="2">
        <f ca="1"/>
        <v>51.545927496190188</v>
      </c>
      <c r="AG2775" s="2">
        <f ca="1"/>
        <v>0.19973573687206092</v>
      </c>
      <c r="AH2775" s="2" t="str">
        <f ca="1"/>
        <v>OK</v>
      </c>
    </row>
    <row r="2776" spans="2:34" x14ac:dyDescent="0.2">
      <c r="B2776" s="2">
        <f ca="1"/>
        <v>0.80545846861841452</v>
      </c>
      <c r="O2776" s="2">
        <f ca="1"/>
        <v>-8.582200446341888E-2</v>
      </c>
      <c r="X2776" s="2">
        <f ca="1"/>
        <v>87.04450565390745</v>
      </c>
      <c r="AG2776" s="2">
        <f ca="1"/>
        <v>0.14280947113745279</v>
      </c>
      <c r="AH2776" s="2" t="str">
        <f ca="1"/>
        <v>OK</v>
      </c>
    </row>
    <row r="2777" spans="2:34" x14ac:dyDescent="0.2">
      <c r="B2777" s="2">
        <f ca="1"/>
        <v>0.8986624605994431</v>
      </c>
      <c r="O2777" s="2">
        <f ca="1"/>
        <v>1.4787452806684984</v>
      </c>
      <c r="X2777" s="2">
        <f ca="1"/>
        <v>64.73629527760491</v>
      </c>
      <c r="AG2777" s="2">
        <f ca="1"/>
        <v>0.9518364037647975</v>
      </c>
      <c r="AH2777" s="2" t="str">
        <f ca="1"/>
        <v>Bad</v>
      </c>
    </row>
    <row r="2778" spans="2:34" x14ac:dyDescent="0.2">
      <c r="B2778" s="2">
        <f ca="1"/>
        <v>0.39255368788568923</v>
      </c>
      <c r="O2778" s="2">
        <f ca="1"/>
        <v>1.5655069321828716</v>
      </c>
      <c r="X2778" s="2">
        <f ca="1"/>
        <v>47.511356566360881</v>
      </c>
      <c r="AG2778" s="2">
        <f ca="1"/>
        <v>0.14040525078604116</v>
      </c>
      <c r="AH2778" s="2" t="str">
        <f ca="1"/>
        <v>OK</v>
      </c>
    </row>
    <row r="2779" spans="2:34" x14ac:dyDescent="0.2">
      <c r="B2779" s="2">
        <f ca="1"/>
        <v>0.83542984794653252</v>
      </c>
      <c r="O2779" s="2">
        <f ca="1"/>
        <v>0.4629052232249854</v>
      </c>
      <c r="X2779" s="2">
        <f ca="1"/>
        <v>35.558065405949279</v>
      </c>
      <c r="AG2779" s="2">
        <f ca="1"/>
        <v>0.49591783688303992</v>
      </c>
      <c r="AH2779" s="2" t="str">
        <f ca="1"/>
        <v>Bad</v>
      </c>
    </row>
    <row r="2780" spans="2:34" x14ac:dyDescent="0.2">
      <c r="B2780" s="2">
        <f ca="1"/>
        <v>0.58838702021404199</v>
      </c>
      <c r="O2780" s="2">
        <f ca="1"/>
        <v>5.2528702404426406E-2</v>
      </c>
      <c r="X2780" s="2">
        <f ca="1"/>
        <v>55.446016397954416</v>
      </c>
      <c r="AG2780" s="2">
        <f ca="1"/>
        <v>0.30895573334654625</v>
      </c>
      <c r="AH2780" s="2" t="str">
        <f ca="1"/>
        <v>OK</v>
      </c>
    </row>
    <row r="2781" spans="2:34" x14ac:dyDescent="0.2">
      <c r="B2781" s="2">
        <f ca="1"/>
        <v>3.9149180247799453E-2</v>
      </c>
      <c r="O2781" s="2">
        <f ca="1"/>
        <v>0.52751156548420852</v>
      </c>
      <c r="X2781" s="2">
        <f ca="1"/>
        <v>73.591136967831815</v>
      </c>
      <c r="AG2781" s="2">
        <f ca="1"/>
        <v>0.6709081204386198</v>
      </c>
      <c r="AH2781" s="2" t="str">
        <f ca="1"/>
        <v>Bad</v>
      </c>
    </row>
    <row r="2782" spans="2:34" x14ac:dyDescent="0.2">
      <c r="B2782" s="2">
        <f ca="1"/>
        <v>0.24396499176108821</v>
      </c>
      <c r="O2782" s="2">
        <f ca="1"/>
        <v>0.48675237619315442</v>
      </c>
      <c r="X2782" s="2">
        <f ca="1"/>
        <v>56.986720243160079</v>
      </c>
      <c r="AG2782" s="2">
        <f ca="1"/>
        <v>7.3522844403342447E-2</v>
      </c>
      <c r="AH2782" s="2" t="str">
        <f ca="1"/>
        <v>OK</v>
      </c>
    </row>
    <row r="2783" spans="2:34" x14ac:dyDescent="0.2">
      <c r="B2783" s="2">
        <f ca="1"/>
        <v>0.66101114686155182</v>
      </c>
      <c r="O2783" s="2">
        <f ca="1"/>
        <v>0.65778778884533651</v>
      </c>
      <c r="X2783" s="2">
        <f ca="1"/>
        <v>40.54222439208651</v>
      </c>
      <c r="AG2783" s="2">
        <f ca="1"/>
        <v>0.22304754516913783</v>
      </c>
      <c r="AH2783" s="2" t="str">
        <f ca="1"/>
        <v>OK</v>
      </c>
    </row>
    <row r="2784" spans="2:34" x14ac:dyDescent="0.2">
      <c r="B2784" s="2">
        <f ca="1"/>
        <v>0.62984906876949465</v>
      </c>
      <c r="O2784" s="2">
        <f ca="1"/>
        <v>-0.45720155416907454</v>
      </c>
      <c r="X2784" s="2">
        <f ca="1"/>
        <v>49.295290164582248</v>
      </c>
      <c r="AG2784" s="2">
        <f ca="1"/>
        <v>0.16900351701609928</v>
      </c>
      <c r="AH2784" s="2" t="str">
        <f ca="1"/>
        <v>OK</v>
      </c>
    </row>
    <row r="2785" spans="2:34" x14ac:dyDescent="0.2">
      <c r="B2785" s="2">
        <f ca="1"/>
        <v>0.52199377674667669</v>
      </c>
      <c r="O2785" s="2">
        <f ca="1"/>
        <v>1.4337498553981878</v>
      </c>
      <c r="X2785" s="2">
        <f ca="1"/>
        <v>59.86553278958575</v>
      </c>
      <c r="AG2785" s="2">
        <f ca="1"/>
        <v>0.93923030767907933</v>
      </c>
      <c r="AH2785" s="2" t="str">
        <f ca="1"/>
        <v>Bad</v>
      </c>
    </row>
    <row r="2786" spans="2:34" x14ac:dyDescent="0.2">
      <c r="B2786" s="2">
        <f ca="1"/>
        <v>0.14288228650610302</v>
      </c>
      <c r="O2786" s="2">
        <f ca="1"/>
        <v>0.58971066526921867</v>
      </c>
      <c r="X2786" s="2">
        <f ca="1"/>
        <v>66.823871853548383</v>
      </c>
      <c r="AG2786" s="2">
        <f ca="1"/>
        <v>0.42472165710845089</v>
      </c>
      <c r="AH2786" s="2" t="str">
        <f ca="1"/>
        <v>Bad</v>
      </c>
    </row>
    <row r="2787" spans="2:34" x14ac:dyDescent="0.2">
      <c r="B2787" s="2">
        <f ca="1"/>
        <v>0.11018794895143169</v>
      </c>
      <c r="O2787" s="2">
        <f ca="1"/>
        <v>7.1208021984597719E-2</v>
      </c>
      <c r="X2787" s="2">
        <f ca="1"/>
        <v>36.356993477234198</v>
      </c>
      <c r="AG2787" s="2">
        <f ca="1"/>
        <v>0.8577772638520702</v>
      </c>
      <c r="AH2787" s="2" t="str">
        <f ca="1"/>
        <v>Bad</v>
      </c>
    </row>
    <row r="2788" spans="2:34" x14ac:dyDescent="0.2">
      <c r="B2788" s="2">
        <f ca="1"/>
        <v>0.86644344733271783</v>
      </c>
      <c r="O2788" s="2">
        <f ca="1"/>
        <v>0.43084389758643843</v>
      </c>
      <c r="X2788" s="2">
        <f ca="1"/>
        <v>56.897026709640485</v>
      </c>
      <c r="AG2788" s="2">
        <f ca="1"/>
        <v>0.25365599977778119</v>
      </c>
      <c r="AH2788" s="2" t="str">
        <f ca="1"/>
        <v>OK</v>
      </c>
    </row>
    <row r="2789" spans="2:34" x14ac:dyDescent="0.2">
      <c r="B2789" s="2">
        <f ca="1"/>
        <v>0.2944078046669123</v>
      </c>
      <c r="O2789" s="2">
        <f ca="1"/>
        <v>0.29824214794249587</v>
      </c>
      <c r="X2789" s="2">
        <f ca="1"/>
        <v>52.392908468798282</v>
      </c>
      <c r="AG2789" s="2">
        <f ca="1"/>
        <v>9.7756871417405744E-2</v>
      </c>
      <c r="AH2789" s="2" t="str">
        <f ca="1"/>
        <v>OK</v>
      </c>
    </row>
    <row r="2790" spans="2:34" x14ac:dyDescent="0.2">
      <c r="B2790" s="2">
        <f ca="1"/>
        <v>0.27008368979019104</v>
      </c>
      <c r="O2790" s="2">
        <f ca="1"/>
        <v>2.1636570120106682</v>
      </c>
      <c r="X2790" s="2">
        <f ca="1"/>
        <v>54.901952521136849</v>
      </c>
      <c r="AG2790" s="2">
        <f ca="1"/>
        <v>4.1868727999196498E-2</v>
      </c>
      <c r="AH2790" s="2" t="str">
        <f ca="1"/>
        <v>Good</v>
      </c>
    </row>
    <row r="2791" spans="2:34" x14ac:dyDescent="0.2">
      <c r="B2791" s="2">
        <f ca="1"/>
        <v>0.12910745314926952</v>
      </c>
      <c r="O2791" s="2">
        <f ca="1"/>
        <v>8.0362996853111143E-2</v>
      </c>
      <c r="X2791" s="2">
        <f ca="1"/>
        <v>63.473078852400846</v>
      </c>
      <c r="AG2791" s="2">
        <f ca="1"/>
        <v>0.68678672083160452</v>
      </c>
      <c r="AH2791" s="2" t="str">
        <f ca="1"/>
        <v>Bad</v>
      </c>
    </row>
    <row r="2792" spans="2:34" x14ac:dyDescent="0.2">
      <c r="B2792" s="2">
        <f ca="1"/>
        <v>0.36640833888709623</v>
      </c>
      <c r="O2792" s="2">
        <f ca="1"/>
        <v>0.22217511165655751</v>
      </c>
      <c r="X2792" s="2">
        <f ca="1"/>
        <v>73.558395747788296</v>
      </c>
      <c r="AG2792" s="2">
        <f ca="1"/>
        <v>0.81742836759757864</v>
      </c>
      <c r="AH2792" s="2" t="str">
        <f ca="1"/>
        <v>Bad</v>
      </c>
    </row>
    <row r="2793" spans="2:34" x14ac:dyDescent="0.2">
      <c r="B2793" s="2">
        <f ca="1"/>
        <v>0.69244749926039861</v>
      </c>
      <c r="O2793" s="2">
        <f ca="1"/>
        <v>-0.24098011903900629</v>
      </c>
      <c r="X2793" s="2">
        <f ca="1"/>
        <v>16.467492827867595</v>
      </c>
      <c r="AG2793" s="2">
        <f ca="1"/>
        <v>0.73575359307582078</v>
      </c>
      <c r="AH2793" s="2" t="str">
        <f ca="1"/>
        <v>Bad</v>
      </c>
    </row>
    <row r="2794" spans="2:34" x14ac:dyDescent="0.2">
      <c r="B2794" s="2">
        <f ca="1"/>
        <v>0.26970296342085254</v>
      </c>
      <c r="O2794" s="2">
        <f ca="1"/>
        <v>0.56436989194924603</v>
      </c>
      <c r="X2794" s="2">
        <f ca="1"/>
        <v>39.750799741417012</v>
      </c>
      <c r="AG2794" s="2">
        <f ca="1"/>
        <v>0.22463338924098308</v>
      </c>
      <c r="AH2794" s="2" t="str">
        <f ca="1"/>
        <v>OK</v>
      </c>
    </row>
    <row r="2795" spans="2:34" x14ac:dyDescent="0.2">
      <c r="B2795" s="2">
        <f ca="1"/>
        <v>0.50261806194341352</v>
      </c>
      <c r="O2795" s="2">
        <f ca="1"/>
        <v>-0.80611348823819295</v>
      </c>
      <c r="X2795" s="2">
        <f ca="1"/>
        <v>37.604373128258246</v>
      </c>
      <c r="AG2795" s="2">
        <f ca="1"/>
        <v>0.21734950181676349</v>
      </c>
      <c r="AH2795" s="2" t="str">
        <f ca="1"/>
        <v>OK</v>
      </c>
    </row>
    <row r="2796" spans="2:34" x14ac:dyDescent="0.2">
      <c r="B2796" s="2">
        <f ca="1"/>
        <v>0.65766329555476677</v>
      </c>
      <c r="O2796" s="2">
        <f ca="1"/>
        <v>-0.22558414555336409</v>
      </c>
      <c r="X2796" s="2">
        <f ca="1"/>
        <v>44.762235513186923</v>
      </c>
      <c r="AG2796" s="2">
        <f ca="1"/>
        <v>0.87886003456237383</v>
      </c>
      <c r="AH2796" s="2" t="str">
        <f ca="1"/>
        <v>Bad</v>
      </c>
    </row>
    <row r="2797" spans="2:34" x14ac:dyDescent="0.2">
      <c r="B2797" s="2">
        <f ca="1"/>
        <v>0.90855884069943982</v>
      </c>
      <c r="O2797" s="2">
        <f ca="1"/>
        <v>-0.21767921333183707</v>
      </c>
      <c r="X2797" s="2">
        <f ca="1"/>
        <v>43.487452764158476</v>
      </c>
      <c r="AG2797" s="2">
        <f ca="1"/>
        <v>0.35421870453886495</v>
      </c>
      <c r="AH2797" s="2" t="str">
        <f ca="1"/>
        <v>OK</v>
      </c>
    </row>
    <row r="2798" spans="2:34" x14ac:dyDescent="0.2">
      <c r="B2798" s="2">
        <f ca="1"/>
        <v>0.21108463387423271</v>
      </c>
      <c r="O2798" s="2">
        <f ca="1"/>
        <v>-0.2165718296049525</v>
      </c>
      <c r="X2798" s="2">
        <f ca="1"/>
        <v>72.749739024722132</v>
      </c>
      <c r="AG2798" s="2">
        <f ca="1"/>
        <v>0.25335697530710655</v>
      </c>
      <c r="AH2798" s="2" t="str">
        <f ca="1"/>
        <v>OK</v>
      </c>
    </row>
    <row r="2799" spans="2:34" x14ac:dyDescent="0.2">
      <c r="B2799" s="2">
        <f ca="1"/>
        <v>0.45750294025177429</v>
      </c>
      <c r="O2799" s="2">
        <f ca="1"/>
        <v>-0.48367671674868745</v>
      </c>
      <c r="X2799" s="2">
        <f ca="1"/>
        <v>35.376219628200154</v>
      </c>
      <c r="AG2799" s="2">
        <f ca="1"/>
        <v>0.28830298178533775</v>
      </c>
      <c r="AH2799" s="2" t="str">
        <f ca="1"/>
        <v>OK</v>
      </c>
    </row>
    <row r="2800" spans="2:34" x14ac:dyDescent="0.2">
      <c r="B2800" s="2">
        <f ca="1"/>
        <v>0.33325958244848963</v>
      </c>
      <c r="O2800" s="2">
        <f ca="1"/>
        <v>-2.4565302177077815</v>
      </c>
      <c r="X2800" s="2">
        <f ca="1"/>
        <v>37.418483077465808</v>
      </c>
      <c r="AG2800" s="2">
        <f ca="1"/>
        <v>0.12615145200580757</v>
      </c>
      <c r="AH2800" s="2" t="str">
        <f ca="1"/>
        <v>OK</v>
      </c>
    </row>
    <row r="2801" spans="2:34" x14ac:dyDescent="0.2">
      <c r="B2801" s="2">
        <f ca="1"/>
        <v>0.54841087626084883</v>
      </c>
      <c r="O2801" s="2">
        <f ca="1"/>
        <v>-1.0161871762280386</v>
      </c>
      <c r="X2801" s="2">
        <f ca="1"/>
        <v>89.966632029712471</v>
      </c>
      <c r="AG2801" s="2">
        <f ca="1"/>
        <v>0.39235818316035087</v>
      </c>
      <c r="AH2801" s="2" t="str">
        <f ca="1"/>
        <v>OK</v>
      </c>
    </row>
    <row r="2802" spans="2:34" x14ac:dyDescent="0.2">
      <c r="B2802" s="2">
        <f ca="1"/>
        <v>9.1706015969780452E-2</v>
      </c>
      <c r="O2802" s="2">
        <f ca="1"/>
        <v>0.84707712214623399</v>
      </c>
      <c r="X2802" s="2">
        <f ca="1"/>
        <v>98.158921398405212</v>
      </c>
      <c r="AG2802" s="2">
        <f ca="1"/>
        <v>4.8817922527359947E-3</v>
      </c>
      <c r="AH2802" s="2" t="str">
        <f ca="1"/>
        <v>Good</v>
      </c>
    </row>
    <row r="2803" spans="2:34" x14ac:dyDescent="0.2">
      <c r="B2803" s="2">
        <f ca="1"/>
        <v>0.22295128582395352</v>
      </c>
      <c r="O2803" s="2">
        <f ca="1"/>
        <v>2.4018970825975892</v>
      </c>
      <c r="X2803" s="2">
        <f ca="1"/>
        <v>48.540456242001362</v>
      </c>
      <c r="AG2803" s="2">
        <f ca="1"/>
        <v>0.50097474896676464</v>
      </c>
      <c r="AH2803" s="2" t="str">
        <f ca="1"/>
        <v>Bad</v>
      </c>
    </row>
    <row r="2804" spans="2:34" x14ac:dyDescent="0.2">
      <c r="B2804" s="2">
        <f ca="1"/>
        <v>0.63139968260850421</v>
      </c>
      <c r="O2804" s="2">
        <f ca="1"/>
        <v>0.31670228630426961</v>
      </c>
      <c r="X2804" s="2">
        <f ca="1"/>
        <v>45.180535241369014</v>
      </c>
      <c r="AG2804" s="2">
        <f ca="1"/>
        <v>0.39523781307078365</v>
      </c>
      <c r="AH2804" s="2" t="str">
        <f ca="1"/>
        <v>OK</v>
      </c>
    </row>
    <row r="2805" spans="2:34" x14ac:dyDescent="0.2">
      <c r="B2805" s="2">
        <f ca="1"/>
        <v>0.17308951015432639</v>
      </c>
      <c r="O2805" s="2">
        <f ca="1"/>
        <v>1.7501730841184391</v>
      </c>
      <c r="X2805" s="2">
        <f ca="1"/>
        <v>60.634315814119006</v>
      </c>
      <c r="AG2805" s="2">
        <f ca="1"/>
        <v>9.0378956295268376E-2</v>
      </c>
      <c r="AH2805" s="2" t="str">
        <f ca="1"/>
        <v>OK</v>
      </c>
    </row>
    <row r="2806" spans="2:34" x14ac:dyDescent="0.2">
      <c r="B2806" s="2">
        <f ca="1"/>
        <v>7.8617609898538499E-2</v>
      </c>
      <c r="O2806" s="2">
        <f ca="1"/>
        <v>0.52690166965502316</v>
      </c>
      <c r="X2806" s="2">
        <f ca="1"/>
        <v>52.118134961077402</v>
      </c>
      <c r="AG2806" s="2">
        <f ca="1"/>
        <v>0.65194771324742296</v>
      </c>
      <c r="AH2806" s="2" t="str">
        <f ca="1"/>
        <v>Bad</v>
      </c>
    </row>
    <row r="2807" spans="2:34" x14ac:dyDescent="0.2">
      <c r="B2807" s="2">
        <f ca="1"/>
        <v>0.20078499304541952</v>
      </c>
      <c r="O2807" s="2">
        <f ca="1"/>
        <v>0.47600984019512149</v>
      </c>
      <c r="X2807" s="2">
        <f ca="1"/>
        <v>43.466299617053529</v>
      </c>
      <c r="AG2807" s="2">
        <f ca="1"/>
        <v>0.87518821788108037</v>
      </c>
      <c r="AH2807" s="2" t="str">
        <f ca="1"/>
        <v>Bad</v>
      </c>
    </row>
    <row r="2808" spans="2:34" x14ac:dyDescent="0.2">
      <c r="B2808" s="2">
        <f ca="1"/>
        <v>0.6214010789331037</v>
      </c>
      <c r="O2808" s="2">
        <f ca="1"/>
        <v>0.32098341600189345</v>
      </c>
      <c r="X2808" s="2">
        <f ca="1"/>
        <v>45.504975305171122</v>
      </c>
      <c r="AG2808" s="2">
        <f ca="1"/>
        <v>0.33168602440153006</v>
      </c>
      <c r="AH2808" s="2" t="str">
        <f ca="1"/>
        <v>OK</v>
      </c>
    </row>
    <row r="2809" spans="2:34" x14ac:dyDescent="0.2">
      <c r="B2809" s="2">
        <f ca="1"/>
        <v>0.9310055106384949</v>
      </c>
      <c r="O2809" s="2">
        <f ca="1"/>
        <v>9.8946070418031037E-2</v>
      </c>
      <c r="X2809" s="2">
        <f ca="1"/>
        <v>63.077908842319282</v>
      </c>
      <c r="AG2809" s="2">
        <f ca="1"/>
        <v>0.95850761377271798</v>
      </c>
      <c r="AH2809" s="2" t="str">
        <f ca="1"/>
        <v>Bad</v>
      </c>
    </row>
    <row r="2810" spans="2:34" x14ac:dyDescent="0.2">
      <c r="B2810" s="2">
        <f ca="1"/>
        <v>0.4197486925786087</v>
      </c>
      <c r="O2810" s="2">
        <f ca="1"/>
        <v>0.24559009958910041</v>
      </c>
      <c r="X2810" s="2">
        <f ca="1"/>
        <v>75.312374008926625</v>
      </c>
      <c r="AG2810" s="2">
        <f ca="1"/>
        <v>0.78051788086905205</v>
      </c>
      <c r="AH2810" s="2" t="str">
        <f ca="1"/>
        <v>Bad</v>
      </c>
    </row>
    <row r="2811" spans="2:34" x14ac:dyDescent="0.2">
      <c r="B2811" s="2">
        <f ca="1"/>
        <v>0.20688677770916986</v>
      </c>
      <c r="O2811" s="2">
        <f ca="1"/>
        <v>0.14247878634588396</v>
      </c>
      <c r="X2811" s="2">
        <f ca="1"/>
        <v>48.397049503109749</v>
      </c>
      <c r="AG2811" s="2">
        <f ca="1"/>
        <v>0.99398936463052046</v>
      </c>
      <c r="AH2811" s="2" t="str">
        <f ca="1"/>
        <v>Bad</v>
      </c>
    </row>
    <row r="2812" spans="2:34" x14ac:dyDescent="0.2">
      <c r="B2812" s="2">
        <f ca="1"/>
        <v>0.65525871946962</v>
      </c>
      <c r="O2812" s="2">
        <f ca="1"/>
        <v>0.66222988879120914</v>
      </c>
      <c r="X2812" s="2">
        <f ca="1"/>
        <v>30.545332416190444</v>
      </c>
      <c r="AG2812" s="2">
        <f ca="1"/>
        <v>0.90173432052343983</v>
      </c>
      <c r="AH2812" s="2" t="str">
        <f ca="1"/>
        <v>Bad</v>
      </c>
    </row>
    <row r="2813" spans="2:34" x14ac:dyDescent="0.2">
      <c r="B2813" s="2">
        <f ca="1"/>
        <v>0.40783143965067548</v>
      </c>
      <c r="O2813" s="2">
        <f ca="1"/>
        <v>-0.80559538317362489</v>
      </c>
      <c r="X2813" s="2">
        <f ca="1"/>
        <v>55.828804214406219</v>
      </c>
      <c r="AG2813" s="2">
        <f ca="1"/>
        <v>0.50020681751670049</v>
      </c>
      <c r="AH2813" s="2" t="str">
        <f ca="1"/>
        <v>Bad</v>
      </c>
    </row>
    <row r="2814" spans="2:34" x14ac:dyDescent="0.2">
      <c r="B2814" s="2">
        <f ca="1"/>
        <v>0.73979498366420748</v>
      </c>
      <c r="O2814" s="2">
        <f ca="1"/>
        <v>-0.60429676349126382</v>
      </c>
      <c r="X2814" s="2">
        <f ca="1"/>
        <v>29.918567464781081</v>
      </c>
      <c r="AG2814" s="2">
        <f ca="1"/>
        <v>0.21294841795697139</v>
      </c>
      <c r="AH2814" s="2" t="str">
        <f ca="1"/>
        <v>OK</v>
      </c>
    </row>
    <row r="2815" spans="2:34" x14ac:dyDescent="0.2">
      <c r="B2815" s="2">
        <f ca="1"/>
        <v>0.29362527797794757</v>
      </c>
      <c r="O2815" s="2">
        <f ca="1"/>
        <v>0.62143922184178901</v>
      </c>
      <c r="X2815" s="2">
        <f ca="1"/>
        <v>51.72669490049423</v>
      </c>
      <c r="AG2815" s="2">
        <f ca="1"/>
        <v>0.26891107148555293</v>
      </c>
      <c r="AH2815" s="2" t="str">
        <f ca="1"/>
        <v>OK</v>
      </c>
    </row>
    <row r="2816" spans="2:34" x14ac:dyDescent="0.2">
      <c r="B2816" s="2">
        <f ca="1"/>
        <v>0.735349815119551</v>
      </c>
      <c r="O2816" s="2">
        <f ca="1"/>
        <v>1.9743088133497129E-2</v>
      </c>
      <c r="X2816" s="2">
        <f ca="1"/>
        <v>62.339477211286962</v>
      </c>
      <c r="AG2816" s="2">
        <f ca="1"/>
        <v>0.27016979349321368</v>
      </c>
      <c r="AH2816" s="2" t="str">
        <f ca="1"/>
        <v>OK</v>
      </c>
    </row>
    <row r="2817" spans="2:34" x14ac:dyDescent="0.2">
      <c r="B2817" s="2">
        <f ca="1"/>
        <v>0.802287812506151</v>
      </c>
      <c r="O2817" s="2">
        <f ca="1"/>
        <v>-0.21912295121502842</v>
      </c>
      <c r="X2817" s="2">
        <f ca="1"/>
        <v>46.706132018494422</v>
      </c>
      <c r="AG2817" s="2">
        <f ca="1"/>
        <v>0.39189767629407979</v>
      </c>
      <c r="AH2817" s="2" t="str">
        <f ca="1"/>
        <v>OK</v>
      </c>
    </row>
    <row r="2818" spans="2:34" x14ac:dyDescent="0.2">
      <c r="B2818" s="2">
        <f ca="1"/>
        <v>0.85466841906398749</v>
      </c>
      <c r="O2818" s="2">
        <f ca="1"/>
        <v>0.74801832926968659</v>
      </c>
      <c r="X2818" s="2">
        <f ca="1"/>
        <v>40.041961724435069</v>
      </c>
      <c r="AG2818" s="2">
        <f ca="1"/>
        <v>0.39740205157352837</v>
      </c>
      <c r="AH2818" s="2" t="str">
        <f ca="1"/>
        <v>OK</v>
      </c>
    </row>
    <row r="2819" spans="2:34" x14ac:dyDescent="0.2">
      <c r="B2819" s="2">
        <f ca="1"/>
        <v>0.67282264654727042</v>
      </c>
      <c r="O2819" s="2">
        <f ca="1"/>
        <v>0.53696659221858745</v>
      </c>
      <c r="X2819" s="2">
        <f ca="1"/>
        <v>53.497100525315304</v>
      </c>
      <c r="AG2819" s="2">
        <f ca="1"/>
        <v>0.82001479424621726</v>
      </c>
      <c r="AH2819" s="2" t="str">
        <f ca="1"/>
        <v>Bad</v>
      </c>
    </row>
    <row r="2820" spans="2:34" x14ac:dyDescent="0.2">
      <c r="B2820" s="2">
        <f ca="1"/>
        <v>0.63933255615846085</v>
      </c>
      <c r="O2820" s="2">
        <f ca="1"/>
        <v>-1.2302070847575128</v>
      </c>
      <c r="X2820" s="2">
        <f ca="1"/>
        <v>40.156810607914764</v>
      </c>
      <c r="AG2820" s="2">
        <f ca="1"/>
        <v>0.66076290909595703</v>
      </c>
      <c r="AH2820" s="2" t="str">
        <f ca="1"/>
        <v>Bad</v>
      </c>
    </row>
    <row r="2821" spans="2:34" x14ac:dyDescent="0.2">
      <c r="B2821" s="2">
        <f ca="1"/>
        <v>0.33069879885294862</v>
      </c>
      <c r="O2821" s="2">
        <f ca="1"/>
        <v>-0.81567654130777656</v>
      </c>
      <c r="X2821" s="2">
        <f ca="1"/>
        <v>58.044785216695878</v>
      </c>
      <c r="AG2821" s="2">
        <f ca="1"/>
        <v>0.7184562385080222</v>
      </c>
      <c r="AH2821" s="2" t="str">
        <f ca="1"/>
        <v>Bad</v>
      </c>
    </row>
    <row r="2822" spans="2:34" x14ac:dyDescent="0.2">
      <c r="B2822" s="2">
        <f ca="1"/>
        <v>0.88816111195533654</v>
      </c>
      <c r="O2822" s="2">
        <f ca="1"/>
        <v>0.39084254781265221</v>
      </c>
      <c r="X2822" s="2">
        <f ca="1"/>
        <v>60.912859012678389</v>
      </c>
      <c r="AG2822" s="2">
        <f ca="1"/>
        <v>0.60604041173807333</v>
      </c>
      <c r="AH2822" s="2" t="str">
        <f ca="1"/>
        <v>Bad</v>
      </c>
    </row>
    <row r="2823" spans="2:34" x14ac:dyDescent="0.2">
      <c r="B2823" s="2">
        <f ca="1"/>
        <v>0.58118305924198732</v>
      </c>
      <c r="O2823" s="2">
        <f ca="1"/>
        <v>-2.9489609212091848E-2</v>
      </c>
      <c r="X2823" s="2">
        <f ca="1"/>
        <v>45.284084280620561</v>
      </c>
      <c r="AG2823" s="2">
        <f ca="1"/>
        <v>7.9661384786096967E-2</v>
      </c>
      <c r="AH2823" s="2" t="str">
        <f ca="1"/>
        <v>OK</v>
      </c>
    </row>
    <row r="2824" spans="2:34" x14ac:dyDescent="0.2">
      <c r="B2824" s="2">
        <f ca="1"/>
        <v>0.65230188728307548</v>
      </c>
      <c r="O2824" s="2">
        <f ca="1"/>
        <v>0.88713697336430619</v>
      </c>
      <c r="X2824" s="2">
        <f ca="1"/>
        <v>66.456944209552887</v>
      </c>
      <c r="AG2824" s="2">
        <f ca="1"/>
        <v>0.4239990892333152</v>
      </c>
      <c r="AH2824" s="2" t="str">
        <f ca="1"/>
        <v>Bad</v>
      </c>
    </row>
    <row r="2825" spans="2:34" x14ac:dyDescent="0.2">
      <c r="B2825" s="2">
        <f ca="1"/>
        <v>0.37006136739418194</v>
      </c>
      <c r="O2825" s="2">
        <f ca="1"/>
        <v>-0.26390209926184827</v>
      </c>
      <c r="X2825" s="2">
        <f ca="1"/>
        <v>35.927808577277965</v>
      </c>
      <c r="AG2825" s="2">
        <f ca="1"/>
        <v>0.22828489944475772</v>
      </c>
      <c r="AH2825" s="2" t="str">
        <f ca="1"/>
        <v>OK</v>
      </c>
    </row>
    <row r="2826" spans="2:34" x14ac:dyDescent="0.2">
      <c r="B2826" s="2">
        <f ca="1"/>
        <v>9.4349459184082773E-2</v>
      </c>
      <c r="O2826" s="2">
        <f ca="1"/>
        <v>-0.53598644205246171</v>
      </c>
      <c r="X2826" s="2">
        <f ca="1"/>
        <v>37.400119850828339</v>
      </c>
      <c r="AG2826" s="2">
        <f ca="1"/>
        <v>0.94966900301326507</v>
      </c>
      <c r="AH2826" s="2" t="str">
        <f ca="1"/>
        <v>Bad</v>
      </c>
    </row>
    <row r="2827" spans="2:34" x14ac:dyDescent="0.2">
      <c r="B2827" s="2">
        <f ca="1"/>
        <v>0.45334733191623178</v>
      </c>
      <c r="O2827" s="2">
        <f ca="1"/>
        <v>0.35561848729164974</v>
      </c>
      <c r="X2827" s="2">
        <f ca="1"/>
        <v>57.61410599502031</v>
      </c>
      <c r="AG2827" s="2">
        <f ca="1"/>
        <v>0.52619956702687509</v>
      </c>
      <c r="AH2827" s="2" t="str">
        <f ca="1"/>
        <v>Bad</v>
      </c>
    </row>
    <row r="2828" spans="2:34" x14ac:dyDescent="0.2">
      <c r="B2828" s="2">
        <f ca="1"/>
        <v>0.20337445406604981</v>
      </c>
      <c r="O2828" s="2">
        <f ca="1"/>
        <v>-0.4086555414270106</v>
      </c>
      <c r="X2828" s="2">
        <f ca="1"/>
        <v>17.738957648623732</v>
      </c>
      <c r="AG2828" s="2">
        <f ca="1"/>
        <v>0.16995120577022527</v>
      </c>
      <c r="AH2828" s="2" t="str">
        <f ca="1"/>
        <v>OK</v>
      </c>
    </row>
    <row r="2829" spans="2:34" x14ac:dyDescent="0.2">
      <c r="B2829" s="2">
        <f ca="1"/>
        <v>0.1061144723049845</v>
      </c>
      <c r="O2829" s="2">
        <f ca="1"/>
        <v>-6.0561992421555688E-2</v>
      </c>
      <c r="X2829" s="2">
        <f ca="1"/>
        <v>49.966895306729207</v>
      </c>
      <c r="AG2829" s="2">
        <f ca="1"/>
        <v>0.36997605489248753</v>
      </c>
      <c r="AH2829" s="2" t="str">
        <f ca="1"/>
        <v>OK</v>
      </c>
    </row>
    <row r="2830" spans="2:34" x14ac:dyDescent="0.2">
      <c r="B2830" s="2">
        <f ca="1"/>
        <v>0.48136113992064589</v>
      </c>
      <c r="O2830" s="2">
        <f ca="1"/>
        <v>2.2263068733289595</v>
      </c>
      <c r="X2830" s="2">
        <f ca="1"/>
        <v>77.901486348097265</v>
      </c>
      <c r="AG2830" s="2">
        <f ca="1"/>
        <v>0.12966592423031398</v>
      </c>
      <c r="AH2830" s="2" t="str">
        <f ca="1"/>
        <v>OK</v>
      </c>
    </row>
    <row r="2831" spans="2:34" x14ac:dyDescent="0.2">
      <c r="B2831" s="2">
        <f ca="1"/>
        <v>0.86738598088864993</v>
      </c>
      <c r="O2831" s="2">
        <f ca="1"/>
        <v>-0.33462562853179229</v>
      </c>
      <c r="X2831" s="2">
        <f ca="1"/>
        <v>38.724125226447917</v>
      </c>
      <c r="AG2831" s="2">
        <f ca="1"/>
        <v>0.54673959415128648</v>
      </c>
      <c r="AH2831" s="2" t="str">
        <f ca="1"/>
        <v>Bad</v>
      </c>
    </row>
    <row r="2832" spans="2:34" x14ac:dyDescent="0.2">
      <c r="B2832" s="2">
        <f ca="1"/>
        <v>0.92900137965402241</v>
      </c>
      <c r="O2832" s="2">
        <f ca="1"/>
        <v>-0.22983354599546624</v>
      </c>
      <c r="X2832" s="2">
        <f ca="1"/>
        <v>74.368592214662343</v>
      </c>
      <c r="AG2832" s="2">
        <f ca="1"/>
        <v>0.41161591353565541</v>
      </c>
      <c r="AH2832" s="2" t="str">
        <f ca="1"/>
        <v>Bad</v>
      </c>
    </row>
    <row r="2833" spans="2:34" x14ac:dyDescent="0.2">
      <c r="B2833" s="2">
        <f ca="1"/>
        <v>0.80368560564802927</v>
      </c>
      <c r="O2833" s="2">
        <f ca="1"/>
        <v>1.1840457562196274</v>
      </c>
      <c r="X2833" s="2">
        <f ca="1"/>
        <v>33.873142877029309</v>
      </c>
      <c r="AG2833" s="2">
        <f ca="1"/>
        <v>0.25089182963216539</v>
      </c>
      <c r="AH2833" s="2" t="str">
        <f ca="1"/>
        <v>OK</v>
      </c>
    </row>
    <row r="2834" spans="2:34" x14ac:dyDescent="0.2">
      <c r="B2834" s="2">
        <f ca="1"/>
        <v>0.76607671539459887</v>
      </c>
      <c r="O2834" s="2">
        <f ca="1"/>
        <v>0.38322954170109624</v>
      </c>
      <c r="X2834" s="2">
        <f ca="1"/>
        <v>32.199185240269003</v>
      </c>
      <c r="AG2834" s="2">
        <f ca="1"/>
        <v>0.13181473149336309</v>
      </c>
      <c r="AH2834" s="2" t="str">
        <f ca="1"/>
        <v>OK</v>
      </c>
    </row>
    <row r="2835" spans="2:34" x14ac:dyDescent="0.2">
      <c r="B2835" s="2">
        <f ca="1"/>
        <v>0.24267059680366421</v>
      </c>
      <c r="O2835" s="2">
        <f ca="1"/>
        <v>-1.6358905214195445</v>
      </c>
      <c r="X2835" s="2">
        <f ca="1"/>
        <v>51.98349673208962</v>
      </c>
      <c r="AG2835" s="2">
        <f ca="1"/>
        <v>0.58338291052546776</v>
      </c>
      <c r="AH2835" s="2" t="str">
        <f ca="1"/>
        <v>Bad</v>
      </c>
    </row>
    <row r="2836" spans="2:34" x14ac:dyDescent="0.2">
      <c r="B2836" s="2">
        <f ca="1"/>
        <v>0.97260643219883058</v>
      </c>
      <c r="O2836" s="2">
        <f ca="1"/>
        <v>-0.46417883044048064</v>
      </c>
      <c r="X2836" s="2">
        <f ca="1"/>
        <v>44.076673047820535</v>
      </c>
      <c r="AG2836" s="2">
        <f ca="1"/>
        <v>0.12670886932089531</v>
      </c>
      <c r="AH2836" s="2" t="str">
        <f ca="1"/>
        <v>OK</v>
      </c>
    </row>
    <row r="2837" spans="2:34" x14ac:dyDescent="0.2">
      <c r="B2837" s="2">
        <f ca="1"/>
        <v>7.0782273339150992E-2</v>
      </c>
      <c r="O2837" s="2">
        <f ca="1"/>
        <v>-0.27974830643075099</v>
      </c>
      <c r="X2837" s="2">
        <f ca="1"/>
        <v>88.803658737854434</v>
      </c>
      <c r="AG2837" s="2">
        <f ca="1"/>
        <v>6.3963206228900615E-2</v>
      </c>
      <c r="AH2837" s="2" t="str">
        <f ca="1"/>
        <v>OK</v>
      </c>
    </row>
    <row r="2838" spans="2:34" x14ac:dyDescent="0.2">
      <c r="B2838" s="2">
        <f ca="1"/>
        <v>0.89598676736057237</v>
      </c>
      <c r="O2838" s="2">
        <f ca="1"/>
        <v>0.159066426426201</v>
      </c>
      <c r="X2838" s="2">
        <f ca="1"/>
        <v>28.535296672716321</v>
      </c>
      <c r="AG2838" s="2">
        <f ca="1"/>
        <v>0.19996353365080255</v>
      </c>
      <c r="AH2838" s="2" t="str">
        <f ca="1"/>
        <v>OK</v>
      </c>
    </row>
    <row r="2839" spans="2:34" x14ac:dyDescent="0.2">
      <c r="B2839" s="2">
        <f ca="1"/>
        <v>0.3170549773676179</v>
      </c>
      <c r="O2839" s="2">
        <f ca="1"/>
        <v>-0.54689036503453725</v>
      </c>
      <c r="X2839" s="2">
        <f ca="1"/>
        <v>51.348935482120439</v>
      </c>
      <c r="AG2839" s="2">
        <f ca="1"/>
        <v>0.98120403527306621</v>
      </c>
      <c r="AH2839" s="2" t="str">
        <f ca="1"/>
        <v>Bad</v>
      </c>
    </row>
    <row r="2840" spans="2:34" x14ac:dyDescent="0.2">
      <c r="B2840" s="2">
        <f ca="1"/>
        <v>0.38764369221870698</v>
      </c>
      <c r="O2840" s="2">
        <f ca="1"/>
        <v>-1.2166006831477576</v>
      </c>
      <c r="X2840" s="2">
        <f ca="1"/>
        <v>28.806323239452055</v>
      </c>
      <c r="AG2840" s="2">
        <f ca="1"/>
        <v>0.63040272568548028</v>
      </c>
      <c r="AH2840" s="2" t="str">
        <f ca="1"/>
        <v>Bad</v>
      </c>
    </row>
    <row r="2841" spans="2:34" x14ac:dyDescent="0.2">
      <c r="B2841" s="2">
        <f ca="1"/>
        <v>0.29657605456953773</v>
      </c>
      <c r="O2841" s="2">
        <f ca="1"/>
        <v>-0.2027552581173325</v>
      </c>
      <c r="X2841" s="2">
        <f ca="1"/>
        <v>64.064173752988296</v>
      </c>
      <c r="AG2841" s="2">
        <f ca="1"/>
        <v>0.88055322477804765</v>
      </c>
      <c r="AH2841" s="2" t="str">
        <f ca="1"/>
        <v>Bad</v>
      </c>
    </row>
    <row r="2842" spans="2:34" x14ac:dyDescent="0.2">
      <c r="B2842" s="2">
        <f ca="1"/>
        <v>0.76728466676096518</v>
      </c>
      <c r="O2842" s="2">
        <f ca="1"/>
        <v>-1.899873283998941</v>
      </c>
      <c r="X2842" s="2">
        <f ca="1"/>
        <v>69.447283624146024</v>
      </c>
      <c r="AG2842" s="2">
        <f ca="1"/>
        <v>0.21884266698669386</v>
      </c>
      <c r="AH2842" s="2" t="str">
        <f ca="1"/>
        <v>OK</v>
      </c>
    </row>
    <row r="2843" spans="2:34" x14ac:dyDescent="0.2">
      <c r="B2843" s="2">
        <f ca="1"/>
        <v>0.88227621217681285</v>
      </c>
      <c r="O2843" s="2">
        <f ca="1"/>
        <v>-0.40178274702822159</v>
      </c>
      <c r="X2843" s="2">
        <f ca="1"/>
        <v>69.203194162722141</v>
      </c>
      <c r="AG2843" s="2">
        <f ca="1"/>
        <v>0.40669571507087654</v>
      </c>
      <c r="AH2843" s="2" t="str">
        <f ca="1"/>
        <v>Bad</v>
      </c>
    </row>
    <row r="2844" spans="2:34" x14ac:dyDescent="0.2">
      <c r="B2844" s="2">
        <f ca="1"/>
        <v>0.57076245730571795</v>
      </c>
      <c r="O2844" s="2">
        <f ca="1"/>
        <v>0.13602881033040629</v>
      </c>
      <c r="X2844" s="2">
        <f ca="1"/>
        <v>92.706784482101341</v>
      </c>
      <c r="AG2844" s="2">
        <f ca="1"/>
        <v>0.1285972525327721</v>
      </c>
      <c r="AH2844" s="2" t="str">
        <f ca="1"/>
        <v>OK</v>
      </c>
    </row>
    <row r="2845" spans="2:34" x14ac:dyDescent="0.2">
      <c r="B2845" s="2">
        <f ca="1"/>
        <v>0.46132714987358558</v>
      </c>
      <c r="O2845" s="2">
        <f ca="1"/>
        <v>1.1341366214124857</v>
      </c>
      <c r="X2845" s="2">
        <f ca="1"/>
        <v>39.636715126233895</v>
      </c>
      <c r="AG2845" s="2">
        <f ca="1"/>
        <v>0.85714170716631344</v>
      </c>
      <c r="AH2845" s="2" t="str">
        <f ca="1"/>
        <v>Bad</v>
      </c>
    </row>
    <row r="2846" spans="2:34" x14ac:dyDescent="0.2">
      <c r="B2846" s="2">
        <f ca="1"/>
        <v>0.37931385331374057</v>
      </c>
      <c r="O2846" s="2">
        <f ca="1"/>
        <v>1.3113991613476002</v>
      </c>
      <c r="X2846" s="2">
        <f ca="1"/>
        <v>53.100383433075386</v>
      </c>
      <c r="AG2846" s="2">
        <f ca="1"/>
        <v>0.29384977107042043</v>
      </c>
      <c r="AH2846" s="2" t="str">
        <f ca="1"/>
        <v>OK</v>
      </c>
    </row>
    <row r="2847" spans="2:34" x14ac:dyDescent="0.2">
      <c r="B2847" s="2">
        <f ca="1"/>
        <v>0.77733815065236</v>
      </c>
      <c r="O2847" s="2">
        <f ca="1"/>
        <v>0.77542237479436793</v>
      </c>
      <c r="X2847" s="2">
        <f ca="1"/>
        <v>59.081401723789938</v>
      </c>
      <c r="AG2847" s="2">
        <f ca="1"/>
        <v>3.9340505005031501E-2</v>
      </c>
      <c r="AH2847" s="2" t="str">
        <f ca="1"/>
        <v>Good</v>
      </c>
    </row>
    <row r="2848" spans="2:34" x14ac:dyDescent="0.2">
      <c r="B2848" s="2">
        <f ca="1"/>
        <v>0.46018308303293498</v>
      </c>
      <c r="O2848" s="2">
        <f ca="1"/>
        <v>-0.28329264592264192</v>
      </c>
      <c r="X2848" s="2">
        <f ca="1"/>
        <v>56.434896125245146</v>
      </c>
      <c r="AG2848" s="2">
        <f ca="1"/>
        <v>0.40533422040092026</v>
      </c>
      <c r="AH2848" s="2" t="str">
        <f ca="1"/>
        <v>Bad</v>
      </c>
    </row>
    <row r="2849" spans="2:34" x14ac:dyDescent="0.2">
      <c r="B2849" s="2">
        <f ca="1"/>
        <v>0.93631940663659297</v>
      </c>
      <c r="O2849" s="2">
        <f ca="1"/>
        <v>-7.1529210882157095E-3</v>
      </c>
      <c r="X2849" s="2">
        <f ca="1"/>
        <v>31.152232824156329</v>
      </c>
      <c r="AG2849" s="2">
        <f ca="1"/>
        <v>0.41770302988511743</v>
      </c>
      <c r="AH2849" s="2" t="str">
        <f ca="1"/>
        <v>Bad</v>
      </c>
    </row>
    <row r="2850" spans="2:34" x14ac:dyDescent="0.2">
      <c r="B2850" s="2">
        <f ca="1"/>
        <v>0.17092329034217979</v>
      </c>
      <c r="O2850" s="2">
        <f ca="1"/>
        <v>1.8857014663940341</v>
      </c>
      <c r="X2850" s="2">
        <f ca="1"/>
        <v>59.94483145231488</v>
      </c>
      <c r="AG2850" s="2">
        <f ca="1"/>
        <v>0.82463997994166993</v>
      </c>
      <c r="AH2850" s="2" t="str">
        <f ca="1"/>
        <v>Bad</v>
      </c>
    </row>
    <row r="2851" spans="2:34" x14ac:dyDescent="0.2">
      <c r="B2851" s="2">
        <f ca="1"/>
        <v>0.74911176469598595</v>
      </c>
      <c r="O2851" s="2">
        <f ca="1"/>
        <v>-1.1740830732273932</v>
      </c>
      <c r="X2851" s="2">
        <f ca="1"/>
        <v>53.278994752889233</v>
      </c>
      <c r="AG2851" s="2">
        <f ca="1"/>
        <v>0.50363386287406131</v>
      </c>
      <c r="AH2851" s="2" t="str">
        <f ca="1"/>
        <v>Bad</v>
      </c>
    </row>
    <row r="2852" spans="2:34" x14ac:dyDescent="0.2">
      <c r="B2852" s="2">
        <f ca="1"/>
        <v>0.9440557676433885</v>
      </c>
      <c r="O2852" s="2">
        <f ca="1"/>
        <v>-0.57971332622694016</v>
      </c>
      <c r="X2852" s="2">
        <f ca="1"/>
        <v>48.374822513243188</v>
      </c>
      <c r="AG2852" s="2">
        <f ca="1"/>
        <v>0.33956794168522242</v>
      </c>
      <c r="AH2852" s="2" t="str">
        <f ca="1"/>
        <v>OK</v>
      </c>
    </row>
    <row r="2853" spans="2:34" x14ac:dyDescent="0.2">
      <c r="B2853" s="2">
        <f ca="1"/>
        <v>0.96885205869204327</v>
      </c>
      <c r="O2853" s="2">
        <f ca="1"/>
        <v>-0.53218788387836147</v>
      </c>
      <c r="X2853" s="2">
        <f ca="1"/>
        <v>71.613938383326442</v>
      </c>
      <c r="AG2853" s="2">
        <f ca="1"/>
        <v>0.41088222136014285</v>
      </c>
      <c r="AH2853" s="2" t="str">
        <f ca="1"/>
        <v>Bad</v>
      </c>
    </row>
    <row r="2854" spans="2:34" x14ac:dyDescent="0.2">
      <c r="B2854" s="2">
        <f ca="1"/>
        <v>0.56313623329675644</v>
      </c>
      <c r="O2854" s="2">
        <f ca="1"/>
        <v>-0.53809413172982001</v>
      </c>
      <c r="X2854" s="2">
        <f ca="1"/>
        <v>31.335449026176324</v>
      </c>
      <c r="AG2854" s="2">
        <f ca="1"/>
        <v>0.12482477486319654</v>
      </c>
      <c r="AH2854" s="2" t="str">
        <f ca="1"/>
        <v>OK</v>
      </c>
    </row>
    <row r="2855" spans="2:34" x14ac:dyDescent="0.2">
      <c r="B2855" s="2">
        <f ca="1"/>
        <v>0.29815116238779393</v>
      </c>
      <c r="O2855" s="2">
        <f ca="1"/>
        <v>-0.76936863307803627</v>
      </c>
      <c r="X2855" s="2">
        <f ca="1"/>
        <v>67.547774347074437</v>
      </c>
      <c r="AG2855" s="2">
        <f ca="1"/>
        <v>0.67152403733340393</v>
      </c>
      <c r="AH2855" s="2" t="str">
        <f ca="1"/>
        <v>Bad</v>
      </c>
    </row>
    <row r="2856" spans="2:34" x14ac:dyDescent="0.2">
      <c r="B2856" s="2">
        <f ca="1"/>
        <v>0.67137047600639832</v>
      </c>
      <c r="O2856" s="2">
        <f ca="1"/>
        <v>-3.9436647309808982E-2</v>
      </c>
      <c r="X2856" s="2">
        <f ca="1"/>
        <v>61.809447810454294</v>
      </c>
      <c r="AG2856" s="2">
        <f ca="1"/>
        <v>0.78418769115355635</v>
      </c>
      <c r="AH2856" s="2" t="str">
        <f ca="1"/>
        <v>Bad</v>
      </c>
    </row>
    <row r="2857" spans="2:34" x14ac:dyDescent="0.2">
      <c r="B2857" s="2">
        <f ca="1"/>
        <v>0.33430179154862949</v>
      </c>
      <c r="O2857" s="2">
        <f ca="1"/>
        <v>-3.5400822399623637E-3</v>
      </c>
      <c r="X2857" s="2">
        <f ca="1"/>
        <v>47.230651870894519</v>
      </c>
      <c r="AG2857" s="2">
        <f ca="1"/>
        <v>0.30911879387802177</v>
      </c>
      <c r="AH2857" s="2" t="str">
        <f ca="1"/>
        <v>OK</v>
      </c>
    </row>
    <row r="2858" spans="2:34" x14ac:dyDescent="0.2">
      <c r="B2858" s="2">
        <f ca="1"/>
        <v>0.46787880592898912</v>
      </c>
      <c r="O2858" s="2">
        <f ca="1"/>
        <v>-1.317283190542317</v>
      </c>
      <c r="X2858" s="2">
        <f ca="1"/>
        <v>49.977629066045012</v>
      </c>
      <c r="AG2858" s="2">
        <f ca="1"/>
        <v>0.24929634909925458</v>
      </c>
      <c r="AH2858" s="2" t="str">
        <f ca="1"/>
        <v>OK</v>
      </c>
    </row>
    <row r="2859" spans="2:34" x14ac:dyDescent="0.2">
      <c r="B2859" s="2">
        <f ca="1"/>
        <v>0.68374768394750784</v>
      </c>
      <c r="O2859" s="2">
        <f ca="1"/>
        <v>0.10062816323226764</v>
      </c>
      <c r="X2859" s="2">
        <f ca="1"/>
        <v>78.919454020652395</v>
      </c>
      <c r="AG2859" s="2">
        <f ca="1"/>
        <v>0.93108740818045654</v>
      </c>
      <c r="AH2859" s="2" t="str">
        <f ca="1"/>
        <v>Bad</v>
      </c>
    </row>
    <row r="2860" spans="2:34" x14ac:dyDescent="0.2">
      <c r="B2860" s="2">
        <f ca="1"/>
        <v>0.33641889783116796</v>
      </c>
      <c r="O2860" s="2">
        <f ca="1"/>
        <v>-0.15046773931224924</v>
      </c>
      <c r="X2860" s="2">
        <f ca="1"/>
        <v>17.779627160030408</v>
      </c>
      <c r="AG2860" s="2">
        <f ca="1"/>
        <v>0.56481916263745635</v>
      </c>
      <c r="AH2860" s="2" t="str">
        <f ca="1"/>
        <v>Bad</v>
      </c>
    </row>
    <row r="2861" spans="2:34" x14ac:dyDescent="0.2">
      <c r="B2861" s="2">
        <f ca="1"/>
        <v>0.94479370671805007</v>
      </c>
      <c r="O2861" s="2">
        <f ca="1"/>
        <v>-0.39341858908927785</v>
      </c>
      <c r="X2861" s="2">
        <f ca="1"/>
        <v>39.808408654190465</v>
      </c>
      <c r="AG2861" s="2">
        <f ca="1"/>
        <v>0.32768884649356367</v>
      </c>
      <c r="AH2861" s="2" t="str">
        <f ca="1"/>
        <v>OK</v>
      </c>
    </row>
    <row r="2862" spans="2:34" x14ac:dyDescent="0.2">
      <c r="B2862" s="2">
        <f ca="1"/>
        <v>0.27689751466192591</v>
      </c>
      <c r="O2862" s="2">
        <f ca="1"/>
        <v>-0.46078752672094919</v>
      </c>
      <c r="X2862" s="2">
        <f ca="1"/>
        <v>58.624451094274256</v>
      </c>
      <c r="AG2862" s="2">
        <f ca="1"/>
        <v>0.13150333067842457</v>
      </c>
      <c r="AH2862" s="2" t="str">
        <f ca="1"/>
        <v>OK</v>
      </c>
    </row>
    <row r="2863" spans="2:34" x14ac:dyDescent="0.2">
      <c r="B2863" s="2">
        <f ca="1"/>
        <v>0.22347685066625322</v>
      </c>
      <c r="O2863" s="2">
        <f ca="1"/>
        <v>-2.1476207349766629</v>
      </c>
      <c r="X2863" s="2">
        <f ca="1"/>
        <v>48.364416029058418</v>
      </c>
      <c r="AG2863" s="2">
        <f ca="1"/>
        <v>0.4569853515707154</v>
      </c>
      <c r="AH2863" s="2" t="str">
        <f ca="1"/>
        <v>Bad</v>
      </c>
    </row>
    <row r="2864" spans="2:34" x14ac:dyDescent="0.2">
      <c r="B2864" s="2">
        <f ca="1"/>
        <v>0.12029609092593807</v>
      </c>
      <c r="O2864" s="2">
        <f ca="1"/>
        <v>-1.5121897066923591</v>
      </c>
      <c r="X2864" s="2">
        <f ca="1"/>
        <v>41.951847457935457</v>
      </c>
      <c r="AG2864" s="2">
        <f ca="1"/>
        <v>0.23748083389026831</v>
      </c>
      <c r="AH2864" s="2" t="str">
        <f ca="1"/>
        <v>OK</v>
      </c>
    </row>
    <row r="2865" spans="2:34" x14ac:dyDescent="0.2">
      <c r="B2865" s="2">
        <f ca="1"/>
        <v>0.91117981380629898</v>
      </c>
      <c r="O2865" s="2">
        <f ca="1"/>
        <v>0.83933956486655392</v>
      </c>
      <c r="X2865" s="2">
        <f ca="1"/>
        <v>40.012143490440735</v>
      </c>
      <c r="AG2865" s="2">
        <f ca="1"/>
        <v>0.56061305650404503</v>
      </c>
      <c r="AH2865" s="2" t="str">
        <f ca="1"/>
        <v>Bad</v>
      </c>
    </row>
    <row r="2866" spans="2:34" x14ac:dyDescent="0.2">
      <c r="B2866" s="2">
        <f ca="1"/>
        <v>0.86007935856374296</v>
      </c>
      <c r="O2866" s="2">
        <f ca="1"/>
        <v>0.23264756820827409</v>
      </c>
      <c r="X2866" s="2">
        <f ca="1"/>
        <v>38.6535691606787</v>
      </c>
      <c r="AG2866" s="2">
        <f ca="1"/>
        <v>0.4182178443155502</v>
      </c>
      <c r="AH2866" s="2" t="str">
        <f ca="1"/>
        <v>Bad</v>
      </c>
    </row>
    <row r="2867" spans="2:34" x14ac:dyDescent="0.2">
      <c r="B2867" s="2">
        <f ca="1"/>
        <v>0.82617008536154035</v>
      </c>
      <c r="O2867" s="2">
        <f ca="1"/>
        <v>1.0304736808770574</v>
      </c>
      <c r="X2867" s="2">
        <f ca="1"/>
        <v>50.070938411249124</v>
      </c>
      <c r="AG2867" s="2">
        <f ca="1"/>
        <v>0.4287539502348463</v>
      </c>
      <c r="AH2867" s="2" t="str">
        <f ca="1"/>
        <v>Bad</v>
      </c>
    </row>
    <row r="2868" spans="2:34" x14ac:dyDescent="0.2">
      <c r="B2868" s="2">
        <f ca="1"/>
        <v>0.23059284185669449</v>
      </c>
      <c r="O2868" s="2">
        <f ca="1"/>
        <v>0.40191059145782498</v>
      </c>
      <c r="X2868" s="2">
        <f ca="1"/>
        <v>34.331498303442956</v>
      </c>
      <c r="AG2868" s="2">
        <f ca="1"/>
        <v>0.58903551063140136</v>
      </c>
      <c r="AH2868" s="2" t="str">
        <f ca="1"/>
        <v>Bad</v>
      </c>
    </row>
    <row r="2869" spans="2:34" x14ac:dyDescent="0.2">
      <c r="B2869" s="2">
        <f ca="1"/>
        <v>0.54775699544645917</v>
      </c>
      <c r="O2869" s="2">
        <f ca="1"/>
        <v>1.0233409130895774</v>
      </c>
      <c r="X2869" s="2">
        <f ca="1"/>
        <v>47.815429294647856</v>
      </c>
      <c r="AG2869" s="2">
        <f ca="1"/>
        <v>0.68319487651449928</v>
      </c>
      <c r="AH2869" s="2" t="str">
        <f ca="1"/>
        <v>Bad</v>
      </c>
    </row>
    <row r="2870" spans="2:34" x14ac:dyDescent="0.2">
      <c r="B2870" s="2">
        <f ca="1"/>
        <v>0.29257094656594895</v>
      </c>
      <c r="O2870" s="2">
        <f ca="1"/>
        <v>-6.7310483814802327E-2</v>
      </c>
      <c r="X2870" s="2">
        <f ca="1"/>
        <v>62.139503754038614</v>
      </c>
      <c r="AG2870" s="2">
        <f ca="1"/>
        <v>0.42224225020875727</v>
      </c>
      <c r="AH2870" s="2" t="str">
        <f ca="1"/>
        <v>Bad</v>
      </c>
    </row>
    <row r="2871" spans="2:34" x14ac:dyDescent="0.2">
      <c r="B2871" s="2">
        <f ca="1"/>
        <v>0.25291779678943294</v>
      </c>
      <c r="O2871" s="2">
        <f ca="1"/>
        <v>0.91865626045360704</v>
      </c>
      <c r="X2871" s="2">
        <f ca="1"/>
        <v>70.210209695583131</v>
      </c>
      <c r="AG2871" s="2">
        <f ca="1"/>
        <v>0.19362768392067387</v>
      </c>
      <c r="AH2871" s="2" t="str">
        <f ca="1"/>
        <v>OK</v>
      </c>
    </row>
    <row r="2872" spans="2:34" x14ac:dyDescent="0.2">
      <c r="B2872" s="2">
        <f ca="1"/>
        <v>0.9443411420271921</v>
      </c>
      <c r="O2872" s="2">
        <f ca="1"/>
        <v>-0.33813133653193783</v>
      </c>
      <c r="X2872" s="2">
        <f ca="1"/>
        <v>101.40776019415654</v>
      </c>
      <c r="AG2872" s="2">
        <f ca="1"/>
        <v>0.22665686928992357</v>
      </c>
      <c r="AH2872" s="2" t="str">
        <f ca="1"/>
        <v>OK</v>
      </c>
    </row>
    <row r="2873" spans="2:34" x14ac:dyDescent="0.2">
      <c r="B2873" s="2">
        <f ca="1"/>
        <v>0.24372932194080055</v>
      </c>
      <c r="O2873" s="2">
        <f ca="1"/>
        <v>0.3096234551444465</v>
      </c>
      <c r="X2873" s="2">
        <f ca="1"/>
        <v>24.502275881314905</v>
      </c>
      <c r="AG2873" s="2">
        <f ca="1"/>
        <v>7.3267687071145282E-2</v>
      </c>
      <c r="AH2873" s="2" t="str">
        <f ca="1"/>
        <v>OK</v>
      </c>
    </row>
    <row r="2874" spans="2:34" x14ac:dyDescent="0.2">
      <c r="B2874" s="2">
        <f ca="1"/>
        <v>0.94295551626836938</v>
      </c>
      <c r="O2874" s="2">
        <f ca="1"/>
        <v>0.73919430272774256</v>
      </c>
      <c r="X2874" s="2">
        <f ca="1"/>
        <v>95.052388241140946</v>
      </c>
      <c r="AG2874" s="2">
        <f ca="1"/>
        <v>0.87729035020449442</v>
      </c>
      <c r="AH2874" s="2" t="str">
        <f ca="1"/>
        <v>Bad</v>
      </c>
    </row>
    <row r="2875" spans="2:34" x14ac:dyDescent="0.2">
      <c r="B2875" s="2">
        <f ca="1"/>
        <v>0.35764598085299415</v>
      </c>
      <c r="O2875" s="2">
        <f ca="1"/>
        <v>0.22243128130844872</v>
      </c>
      <c r="X2875" s="2">
        <f ca="1"/>
        <v>36.253650652066753</v>
      </c>
      <c r="AG2875" s="2">
        <f ca="1"/>
        <v>0.72164157935012785</v>
      </c>
      <c r="AH2875" s="2" t="str">
        <f ca="1"/>
        <v>Bad</v>
      </c>
    </row>
    <row r="2876" spans="2:34" x14ac:dyDescent="0.2">
      <c r="B2876" s="2">
        <f ca="1"/>
        <v>0.25777321797406283</v>
      </c>
      <c r="O2876" s="2">
        <f ca="1"/>
        <v>-1.3528466793969212</v>
      </c>
      <c r="X2876" s="2">
        <f ca="1"/>
        <v>63.920559998937925</v>
      </c>
      <c r="AG2876" s="2">
        <f ca="1"/>
        <v>0.5611035279287675</v>
      </c>
      <c r="AH2876" s="2" t="str">
        <f ca="1"/>
        <v>Bad</v>
      </c>
    </row>
    <row r="2877" spans="2:34" x14ac:dyDescent="0.2">
      <c r="B2877" s="2">
        <f ca="1"/>
        <v>0.91239986993414801</v>
      </c>
      <c r="O2877" s="2">
        <f ca="1"/>
        <v>-0.49992929135196662</v>
      </c>
      <c r="X2877" s="2">
        <f ca="1"/>
        <v>36.39457511284013</v>
      </c>
      <c r="AG2877" s="2">
        <f ca="1"/>
        <v>0.72306720134631375</v>
      </c>
      <c r="AH2877" s="2" t="str">
        <f ca="1"/>
        <v>Bad</v>
      </c>
    </row>
    <row r="2878" spans="2:34" x14ac:dyDescent="0.2">
      <c r="B2878" s="2">
        <f ca="1"/>
        <v>0.29945828254505624</v>
      </c>
      <c r="O2878" s="2">
        <f ca="1"/>
        <v>-0.39914796256758939</v>
      </c>
      <c r="X2878" s="2">
        <f ca="1"/>
        <v>96.792981679480249</v>
      </c>
      <c r="AG2878" s="2">
        <f ca="1"/>
        <v>0.19150116783544058</v>
      </c>
      <c r="AH2878" s="2" t="str">
        <f ca="1"/>
        <v>OK</v>
      </c>
    </row>
    <row r="2879" spans="2:34" x14ac:dyDescent="0.2">
      <c r="B2879" s="2">
        <f ca="1"/>
        <v>0.78277580779132627</v>
      </c>
      <c r="O2879" s="2">
        <f ca="1"/>
        <v>-8.4313776577461114E-2</v>
      </c>
      <c r="X2879" s="2">
        <f ca="1"/>
        <v>62.506588717296168</v>
      </c>
      <c r="AG2879" s="2">
        <f ca="1"/>
        <v>0.9587535585346032</v>
      </c>
      <c r="AH2879" s="2" t="str">
        <f ca="1"/>
        <v>Bad</v>
      </c>
    </row>
    <row r="2880" spans="2:34" x14ac:dyDescent="0.2">
      <c r="B2880" s="2">
        <f ca="1"/>
        <v>0.83863540093887412</v>
      </c>
      <c r="O2880" s="2">
        <f ca="1"/>
        <v>0.45323426048394139</v>
      </c>
      <c r="X2880" s="2">
        <f ca="1"/>
        <v>23.516005504778981</v>
      </c>
      <c r="AG2880" s="2">
        <f ca="1"/>
        <v>0.75752277683695302</v>
      </c>
      <c r="AH2880" s="2" t="str">
        <f ca="1"/>
        <v>Bad</v>
      </c>
    </row>
    <row r="2881" spans="2:34" x14ac:dyDescent="0.2">
      <c r="B2881" s="2">
        <f ca="1"/>
        <v>0.69001300416802636</v>
      </c>
      <c r="O2881" s="2">
        <f ca="1"/>
        <v>-0.63347670194558947</v>
      </c>
      <c r="X2881" s="2">
        <f ca="1"/>
        <v>33.722413639177681</v>
      </c>
      <c r="AG2881" s="2">
        <f ca="1"/>
        <v>0.18665062564243473</v>
      </c>
      <c r="AH2881" s="2" t="str">
        <f ca="1"/>
        <v>OK</v>
      </c>
    </row>
    <row r="2882" spans="2:34" x14ac:dyDescent="0.2">
      <c r="B2882" s="2">
        <f ca="1"/>
        <v>0.684234051732171</v>
      </c>
      <c r="O2882" s="2">
        <f ca="1"/>
        <v>1.0285919267163544</v>
      </c>
      <c r="X2882" s="2">
        <f ca="1"/>
        <v>39.180176401241631</v>
      </c>
      <c r="AG2882" s="2">
        <f ca="1"/>
        <v>0.32718875431262706</v>
      </c>
      <c r="AH2882" s="2" t="str">
        <f ca="1"/>
        <v>OK</v>
      </c>
    </row>
    <row r="2883" spans="2:34" x14ac:dyDescent="0.2">
      <c r="B2883" s="2">
        <f ca="1"/>
        <v>0.59510733558752382</v>
      </c>
      <c r="O2883" s="2">
        <f ca="1"/>
        <v>-2.0402917862105467</v>
      </c>
      <c r="X2883" s="2">
        <f ca="1"/>
        <v>39.914309244904182</v>
      </c>
      <c r="AG2883" s="2">
        <f ca="1"/>
        <v>0.90343022189376443</v>
      </c>
      <c r="AH2883" s="2" t="str">
        <f ca="1"/>
        <v>Bad</v>
      </c>
    </row>
    <row r="2884" spans="2:34" x14ac:dyDescent="0.2">
      <c r="B2884" s="2">
        <f ca="1"/>
        <v>0.83282994168784374</v>
      </c>
      <c r="O2884" s="2">
        <f ca="1"/>
        <v>0.22627950467888755</v>
      </c>
      <c r="X2884" s="2">
        <f ca="1"/>
        <v>64.615650421625347</v>
      </c>
      <c r="AG2884" s="2">
        <f ca="1"/>
        <v>0.10361691188529409</v>
      </c>
      <c r="AH2884" s="2" t="str">
        <f ca="1"/>
        <v>OK</v>
      </c>
    </row>
    <row r="2885" spans="2:34" x14ac:dyDescent="0.2">
      <c r="B2885" s="2">
        <f ca="1"/>
        <v>0.10937494804124648</v>
      </c>
      <c r="O2885" s="2">
        <f ca="1"/>
        <v>-1.32941318547606</v>
      </c>
      <c r="X2885" s="2">
        <f ca="1"/>
        <v>69.077804363174153</v>
      </c>
      <c r="AG2885" s="2">
        <f ca="1"/>
        <v>0.7505832831719037</v>
      </c>
      <c r="AH2885" s="2" t="str">
        <f ca="1"/>
        <v>Bad</v>
      </c>
    </row>
    <row r="2886" spans="2:34" x14ac:dyDescent="0.2">
      <c r="B2886" s="2">
        <f ca="1"/>
        <v>6.4600868606743411E-3</v>
      </c>
      <c r="O2886" s="2">
        <f ca="1"/>
        <v>0.10883819662472681</v>
      </c>
      <c r="X2886" s="2">
        <f ca="1"/>
        <v>45.669669784859494</v>
      </c>
      <c r="AG2886" s="2">
        <f ca="1"/>
        <v>0.26141125972167401</v>
      </c>
      <c r="AH2886" s="2" t="str">
        <f ca="1"/>
        <v>OK</v>
      </c>
    </row>
    <row r="2887" spans="2:34" x14ac:dyDescent="0.2">
      <c r="B2887" s="2">
        <f ca="1"/>
        <v>0.27894331004070838</v>
      </c>
      <c r="O2887" s="2">
        <f ca="1"/>
        <v>2.7969571024650124E-2</v>
      </c>
      <c r="X2887" s="2">
        <f ca="1"/>
        <v>44.983920882875012</v>
      </c>
      <c r="AG2887" s="2">
        <f ca="1"/>
        <v>0.51014658198909979</v>
      </c>
      <c r="AH2887" s="2" t="str">
        <f ca="1"/>
        <v>Bad</v>
      </c>
    </row>
    <row r="2888" spans="2:34" x14ac:dyDescent="0.2">
      <c r="B2888" s="2">
        <f ca="1"/>
        <v>0.30400458353416115</v>
      </c>
      <c r="O2888" s="2">
        <f ca="1"/>
        <v>0.5533223805159978</v>
      </c>
      <c r="X2888" s="2">
        <f ca="1"/>
        <v>39.167085230654386</v>
      </c>
      <c r="AG2888" s="2">
        <f ca="1"/>
        <v>0.29485090632174993</v>
      </c>
      <c r="AH2888" s="2" t="str">
        <f ca="1"/>
        <v>OK</v>
      </c>
    </row>
    <row r="2889" spans="2:34" x14ac:dyDescent="0.2">
      <c r="B2889" s="2">
        <f ca="1"/>
        <v>3.2663731458730139E-2</v>
      </c>
      <c r="O2889" s="2">
        <f ca="1"/>
        <v>-3.2020762574317747E-2</v>
      </c>
      <c r="X2889" s="2">
        <f ca="1"/>
        <v>34.271874620222711</v>
      </c>
      <c r="AG2889" s="2">
        <f ca="1"/>
        <v>2.7211007613647142E-2</v>
      </c>
      <c r="AH2889" s="2" t="str">
        <f ca="1"/>
        <v>Good</v>
      </c>
    </row>
    <row r="2890" spans="2:34" x14ac:dyDescent="0.2">
      <c r="B2890" s="2">
        <f ca="1"/>
        <v>0.8000232747148841</v>
      </c>
      <c r="O2890" s="2">
        <f ca="1"/>
        <v>0.73020101401953696</v>
      </c>
      <c r="X2890" s="2">
        <f ca="1"/>
        <v>50.343285511871571</v>
      </c>
      <c r="AG2890" s="2">
        <f ca="1"/>
        <v>0.10540119401699655</v>
      </c>
      <c r="AH2890" s="2" t="str">
        <f ca="1"/>
        <v>OK</v>
      </c>
    </row>
    <row r="2891" spans="2:34" x14ac:dyDescent="0.2">
      <c r="B2891" s="2">
        <f ca="1"/>
        <v>0.44262843155672682</v>
      </c>
      <c r="O2891" s="2">
        <f ca="1"/>
        <v>0.78309211628598752</v>
      </c>
      <c r="X2891" s="2">
        <f ca="1"/>
        <v>65.242160443389068</v>
      </c>
      <c r="AG2891" s="2">
        <f ca="1"/>
        <v>0.28481265038261294</v>
      </c>
      <c r="AH2891" s="2" t="str">
        <f ca="1"/>
        <v>OK</v>
      </c>
    </row>
    <row r="2892" spans="2:34" x14ac:dyDescent="0.2">
      <c r="B2892" s="2">
        <f ca="1"/>
        <v>0.86185147867250089</v>
      </c>
      <c r="O2892" s="2">
        <f ca="1"/>
        <v>0.3738224424998034</v>
      </c>
      <c r="X2892" s="2">
        <f ca="1"/>
        <v>34.936271793110429</v>
      </c>
      <c r="AG2892" s="2">
        <f ca="1"/>
        <v>0.24191358253083184</v>
      </c>
      <c r="AH2892" s="2" t="str">
        <f ca="1"/>
        <v>OK</v>
      </c>
    </row>
    <row r="2893" spans="2:34" x14ac:dyDescent="0.2">
      <c r="B2893" s="2">
        <f ca="1"/>
        <v>2.8756488906463318E-2</v>
      </c>
      <c r="O2893" s="2">
        <f ca="1"/>
        <v>1.2844642717766115</v>
      </c>
      <c r="X2893" s="2">
        <f ca="1"/>
        <v>66.267680246097385</v>
      </c>
      <c r="AG2893" s="2">
        <f ca="1"/>
        <v>0.93218396442354612</v>
      </c>
      <c r="AH2893" s="2" t="str">
        <f ca="1"/>
        <v>Bad</v>
      </c>
    </row>
    <row r="2894" spans="2:34" x14ac:dyDescent="0.2">
      <c r="B2894" s="2">
        <f ca="1"/>
        <v>0.83816501832756929</v>
      </c>
      <c r="O2894" s="2">
        <f ca="1"/>
        <v>-1.0372621096322301</v>
      </c>
      <c r="X2894" s="2">
        <f ca="1"/>
        <v>31.579009617311403</v>
      </c>
      <c r="AG2894" s="2">
        <f ca="1"/>
        <v>8.0123047376538192E-2</v>
      </c>
      <c r="AH2894" s="2" t="str">
        <f ca="1"/>
        <v>OK</v>
      </c>
    </row>
    <row r="2895" spans="2:34" x14ac:dyDescent="0.2">
      <c r="B2895" s="2">
        <f ca="1"/>
        <v>0.18144378976478803</v>
      </c>
      <c r="O2895" s="2">
        <f ca="1"/>
        <v>-1.8024305229506403</v>
      </c>
      <c r="X2895" s="2">
        <f ca="1"/>
        <v>45.640221050758278</v>
      </c>
      <c r="AG2895" s="2">
        <f ca="1"/>
        <v>0.8553087799155179</v>
      </c>
      <c r="AH2895" s="2" t="str">
        <f ca="1"/>
        <v>Bad</v>
      </c>
    </row>
    <row r="2896" spans="2:34" x14ac:dyDescent="0.2">
      <c r="B2896" s="2">
        <f ca="1"/>
        <v>9.8379100647807416E-2</v>
      </c>
      <c r="O2896" s="2">
        <f ca="1"/>
        <v>1.4999728423014833</v>
      </c>
      <c r="X2896" s="2">
        <f ca="1"/>
        <v>38.094749511378879</v>
      </c>
      <c r="AG2896" s="2">
        <f ca="1"/>
        <v>1.5559379445730936E-2</v>
      </c>
      <c r="AH2896" s="2" t="str">
        <f ca="1"/>
        <v>Good</v>
      </c>
    </row>
    <row r="2897" spans="2:34" x14ac:dyDescent="0.2">
      <c r="B2897" s="2">
        <f ca="1"/>
        <v>5.9355425416920626E-2</v>
      </c>
      <c r="O2897" s="2">
        <f ca="1"/>
        <v>9.2899219419387127E-2</v>
      </c>
      <c r="X2897" s="2">
        <f ca="1"/>
        <v>21.225849659425297</v>
      </c>
      <c r="AG2897" s="2">
        <f ca="1"/>
        <v>0.12500532243454998</v>
      </c>
      <c r="AH2897" s="2" t="str">
        <f ca="1"/>
        <v>OK</v>
      </c>
    </row>
    <row r="2898" spans="2:34" x14ac:dyDescent="0.2">
      <c r="B2898" s="2">
        <f ca="1"/>
        <v>0.6998518450778255</v>
      </c>
      <c r="O2898" s="2">
        <f ca="1"/>
        <v>1.0468339656998957</v>
      </c>
      <c r="X2898" s="2">
        <f ca="1"/>
        <v>27.76814228231634</v>
      </c>
      <c r="AG2898" s="2">
        <f ca="1"/>
        <v>1.6744421633117623E-2</v>
      </c>
      <c r="AH2898" s="2" t="str">
        <f ca="1"/>
        <v>Good</v>
      </c>
    </row>
    <row r="2899" spans="2:34" x14ac:dyDescent="0.2">
      <c r="B2899" s="2">
        <f ca="1"/>
        <v>0.79532716397696612</v>
      </c>
      <c r="O2899" s="2">
        <f ca="1"/>
        <v>1.1101727736448415</v>
      </c>
      <c r="X2899" s="2">
        <f ca="1"/>
        <v>60.978350506406301</v>
      </c>
      <c r="AG2899" s="2">
        <f ca="1"/>
        <v>0.1849479605219424</v>
      </c>
      <c r="AH2899" s="2" t="str">
        <f ca="1"/>
        <v>OK</v>
      </c>
    </row>
    <row r="2900" spans="2:34" x14ac:dyDescent="0.2">
      <c r="B2900" s="2">
        <f ca="1"/>
        <v>0.62227759737711263</v>
      </c>
      <c r="O2900" s="2">
        <f ca="1"/>
        <v>-0.42419899548027123</v>
      </c>
      <c r="X2900" s="2">
        <f ca="1"/>
        <v>60.060496101123356</v>
      </c>
      <c r="AG2900" s="2">
        <f ca="1"/>
        <v>0.62472704384844691</v>
      </c>
      <c r="AH2900" s="2" t="str">
        <f ca="1"/>
        <v>Bad</v>
      </c>
    </row>
    <row r="2901" spans="2:34" x14ac:dyDescent="0.2">
      <c r="B2901" s="2">
        <f ca="1"/>
        <v>0.20364478361326532</v>
      </c>
      <c r="O2901" s="2">
        <f ca="1"/>
        <v>-1.1986052595989476</v>
      </c>
      <c r="X2901" s="2">
        <f ca="1"/>
        <v>64.628984846320094</v>
      </c>
      <c r="AG2901" s="2">
        <f ca="1"/>
        <v>0.48878134989831223</v>
      </c>
      <c r="AH2901" s="2" t="str">
        <f ca="1"/>
        <v>Bad</v>
      </c>
    </row>
    <row r="2902" spans="2:34" x14ac:dyDescent="0.2">
      <c r="B2902" s="2">
        <f ca="1"/>
        <v>0.65417577379147129</v>
      </c>
      <c r="O2902" s="2">
        <f ca="1"/>
        <v>-0.41515397675270527</v>
      </c>
      <c r="X2902" s="2">
        <f ca="1"/>
        <v>61.336738965839487</v>
      </c>
      <c r="AG2902" s="2">
        <f ca="1"/>
        <v>0.82704122740534691</v>
      </c>
      <c r="AH2902" s="2" t="str">
        <f ca="1"/>
        <v>Bad</v>
      </c>
    </row>
    <row r="2903" spans="2:34" x14ac:dyDescent="0.2">
      <c r="B2903" s="2">
        <f ca="1"/>
        <v>0.43928501306705625</v>
      </c>
      <c r="O2903" s="2">
        <f ca="1"/>
        <v>0.50834034771920755</v>
      </c>
      <c r="X2903" s="2">
        <f ca="1"/>
        <v>29.3802275665516</v>
      </c>
      <c r="AG2903" s="2">
        <f ca="1"/>
        <v>9.8007153550997428E-2</v>
      </c>
      <c r="AH2903" s="2" t="str">
        <f ca="1"/>
        <v>OK</v>
      </c>
    </row>
    <row r="2904" spans="2:34" x14ac:dyDescent="0.2">
      <c r="B2904" s="2">
        <f ca="1"/>
        <v>0.19194092034684074</v>
      </c>
      <c r="O2904" s="2">
        <f ca="1"/>
        <v>-2.0855619610107818</v>
      </c>
      <c r="X2904" s="2">
        <f ca="1"/>
        <v>58.333748310768954</v>
      </c>
      <c r="AG2904" s="2">
        <f ca="1"/>
        <v>0.59743335986218082</v>
      </c>
      <c r="AH2904" s="2" t="str">
        <f ca="1"/>
        <v>Bad</v>
      </c>
    </row>
    <row r="2905" spans="2:34" x14ac:dyDescent="0.2">
      <c r="B2905" s="2">
        <f ca="1"/>
        <v>0.69000382543167471</v>
      </c>
      <c r="O2905" s="2">
        <f ca="1"/>
        <v>0.22312127476845175</v>
      </c>
      <c r="X2905" s="2">
        <f ca="1"/>
        <v>30.80994061185919</v>
      </c>
      <c r="AG2905" s="2">
        <f ca="1"/>
        <v>0.25268538312706679</v>
      </c>
      <c r="AH2905" s="2" t="str">
        <f ca="1"/>
        <v>OK</v>
      </c>
    </row>
    <row r="2906" spans="2:34" x14ac:dyDescent="0.2">
      <c r="B2906" s="2">
        <f ca="1"/>
        <v>0.80205765010834251</v>
      </c>
      <c r="O2906" s="2">
        <f ca="1"/>
        <v>-0.71476387855789481</v>
      </c>
      <c r="X2906" s="2">
        <f ca="1"/>
        <v>85.806210660451129</v>
      </c>
      <c r="AG2906" s="2">
        <f ca="1"/>
        <v>0.4994751093171319</v>
      </c>
      <c r="AH2906" s="2" t="str">
        <f ca="1"/>
        <v>Bad</v>
      </c>
    </row>
    <row r="2907" spans="2:34" x14ac:dyDescent="0.2">
      <c r="B2907" s="2">
        <f ca="1"/>
        <v>0.99799729213514521</v>
      </c>
      <c r="O2907" s="2">
        <f ca="1"/>
        <v>-1.1240420471372246</v>
      </c>
      <c r="X2907" s="2">
        <f ca="1"/>
        <v>38.583916084543041</v>
      </c>
      <c r="AG2907" s="2">
        <f ca="1"/>
        <v>4.0959891614902988E-2</v>
      </c>
      <c r="AH2907" s="2" t="str">
        <f ca="1"/>
        <v>Good</v>
      </c>
    </row>
    <row r="2908" spans="2:34" x14ac:dyDescent="0.2">
      <c r="B2908" s="2">
        <f ca="1"/>
        <v>0.84701089410218589</v>
      </c>
      <c r="O2908" s="2">
        <f ca="1"/>
        <v>0.42164957659459729</v>
      </c>
      <c r="X2908" s="2">
        <f ca="1"/>
        <v>49.987289966893435</v>
      </c>
      <c r="AG2908" s="2">
        <f ca="1"/>
        <v>0.51595760872605356</v>
      </c>
      <c r="AH2908" s="2" t="str">
        <f ca="1"/>
        <v>Bad</v>
      </c>
    </row>
    <row r="2909" spans="2:34" x14ac:dyDescent="0.2">
      <c r="B2909" s="2">
        <f ca="1"/>
        <v>0.85674788356093501</v>
      </c>
      <c r="O2909" s="2">
        <f ca="1"/>
        <v>0.33500766199387716</v>
      </c>
      <c r="X2909" s="2">
        <f ca="1"/>
        <v>41.637261454286858</v>
      </c>
      <c r="AG2909" s="2">
        <f ca="1"/>
        <v>0.97566492068526012</v>
      </c>
      <c r="AH2909" s="2" t="str">
        <f ca="1"/>
        <v>Bad</v>
      </c>
    </row>
    <row r="2910" spans="2:34" x14ac:dyDescent="0.2">
      <c r="B2910" s="2">
        <f ca="1"/>
        <v>0.1449216544900549</v>
      </c>
      <c r="O2910" s="2">
        <f ca="1"/>
        <v>5.4848861702821453E-2</v>
      </c>
      <c r="X2910" s="2">
        <f ca="1"/>
        <v>41.062494488240382</v>
      </c>
      <c r="AG2910" s="2">
        <f ca="1"/>
        <v>0.22331544102968848</v>
      </c>
      <c r="AH2910" s="2" t="str">
        <f ca="1"/>
        <v>OK</v>
      </c>
    </row>
    <row r="2911" spans="2:34" x14ac:dyDescent="0.2">
      <c r="B2911" s="2">
        <f ca="1"/>
        <v>9.1792977255692243E-2</v>
      </c>
      <c r="O2911" s="2">
        <f ca="1"/>
        <v>-3.0069789509087994</v>
      </c>
      <c r="X2911" s="2">
        <f ca="1"/>
        <v>33.772843833169063</v>
      </c>
      <c r="AG2911" s="2">
        <f ca="1"/>
        <v>0.85151096863342923</v>
      </c>
      <c r="AH2911" s="2" t="str">
        <f ca="1"/>
        <v>Bad</v>
      </c>
    </row>
    <row r="2912" spans="2:34" x14ac:dyDescent="0.2">
      <c r="B2912" s="2">
        <f ca="1"/>
        <v>0.62121864798003479</v>
      </c>
      <c r="O2912" s="2">
        <f ca="1"/>
        <v>0.88011553552223398</v>
      </c>
      <c r="X2912" s="2">
        <f ca="1"/>
        <v>52.198100384000128</v>
      </c>
      <c r="AG2912" s="2">
        <f ca="1"/>
        <v>0.55953502087255469</v>
      </c>
      <c r="AH2912" s="2" t="str">
        <f ca="1"/>
        <v>Bad</v>
      </c>
    </row>
    <row r="2913" spans="2:34" x14ac:dyDescent="0.2">
      <c r="B2913" s="2">
        <f ca="1"/>
        <v>0.92234394615562199</v>
      </c>
      <c r="O2913" s="2">
        <f ca="1"/>
        <v>-0.43735389375830441</v>
      </c>
      <c r="X2913" s="2">
        <f ca="1"/>
        <v>34.575360153798727</v>
      </c>
      <c r="AG2913" s="2">
        <f ca="1"/>
        <v>0.34399039250768237</v>
      </c>
      <c r="AH2913" s="2" t="str">
        <f ca="1"/>
        <v>OK</v>
      </c>
    </row>
    <row r="2914" spans="2:34" x14ac:dyDescent="0.2">
      <c r="B2914" s="2">
        <f ca="1"/>
        <v>0.38436273338023286</v>
      </c>
      <c r="O2914" s="2">
        <f ca="1"/>
        <v>0.48409131806459682</v>
      </c>
      <c r="X2914" s="2">
        <f ca="1"/>
        <v>35.314501991901054</v>
      </c>
      <c r="AG2914" s="2">
        <f ca="1"/>
        <v>0.52195944182602516</v>
      </c>
      <c r="AH2914" s="2" t="str">
        <f ca="1"/>
        <v>Bad</v>
      </c>
    </row>
    <row r="2915" spans="2:34" x14ac:dyDescent="0.2">
      <c r="B2915" s="2">
        <f ca="1"/>
        <v>0.48957829360026728</v>
      </c>
      <c r="O2915" s="2">
        <f ca="1"/>
        <v>-1.3255519187361302</v>
      </c>
      <c r="X2915" s="2">
        <f ca="1"/>
        <v>42.072048129506541</v>
      </c>
      <c r="AG2915" s="2">
        <f ca="1"/>
        <v>6.6785124278057939E-2</v>
      </c>
      <c r="AH2915" s="2" t="str">
        <f ca="1"/>
        <v>OK</v>
      </c>
    </row>
    <row r="2916" spans="2:34" x14ac:dyDescent="0.2">
      <c r="B2916" s="2">
        <f ca="1"/>
        <v>0.3432810260685355</v>
      </c>
      <c r="O2916" s="2">
        <f ca="1"/>
        <v>0.91416353509258552</v>
      </c>
      <c r="X2916" s="2">
        <f ca="1"/>
        <v>37.369302320329211</v>
      </c>
      <c r="AG2916" s="2">
        <f ca="1"/>
        <v>3.5007705080568829E-2</v>
      </c>
      <c r="AH2916" s="2" t="str">
        <f ca="1"/>
        <v>Good</v>
      </c>
    </row>
    <row r="2917" spans="2:34" x14ac:dyDescent="0.2">
      <c r="B2917" s="2">
        <f ca="1"/>
        <v>0.97702671296216526</v>
      </c>
      <c r="O2917" s="2">
        <f ca="1"/>
        <v>-1.7630461807058528</v>
      </c>
      <c r="X2917" s="2">
        <f ca="1"/>
        <v>52.93784770006566</v>
      </c>
      <c r="AG2917" s="2">
        <f ca="1"/>
        <v>0.44785114215718269</v>
      </c>
      <c r="AH2917" s="2" t="str">
        <f ca="1"/>
        <v>Bad</v>
      </c>
    </row>
    <row r="2918" spans="2:34" x14ac:dyDescent="0.2">
      <c r="B2918" s="2">
        <f ca="1"/>
        <v>0.48530919075413981</v>
      </c>
      <c r="O2918" s="2">
        <f ca="1"/>
        <v>-1.7307677076607566</v>
      </c>
      <c r="X2918" s="2">
        <f ca="1"/>
        <v>29.64366196090651</v>
      </c>
      <c r="AG2918" s="2">
        <f ca="1"/>
        <v>0.67614210348524306</v>
      </c>
      <c r="AH2918" s="2" t="str">
        <f ca="1"/>
        <v>Bad</v>
      </c>
    </row>
    <row r="2919" spans="2:34" x14ac:dyDescent="0.2">
      <c r="B2919" s="2">
        <f ca="1"/>
        <v>0.77841373489147925</v>
      </c>
      <c r="O2919" s="2">
        <f ca="1"/>
        <v>2.1152916314005652</v>
      </c>
      <c r="X2919" s="2">
        <f ca="1"/>
        <v>62.832787179380425</v>
      </c>
      <c r="AG2919" s="2">
        <f ca="1"/>
        <v>0.81599835458134606</v>
      </c>
      <c r="AH2919" s="2" t="str">
        <f ca="1"/>
        <v>Bad</v>
      </c>
    </row>
    <row r="2920" spans="2:34" x14ac:dyDescent="0.2">
      <c r="B2920" s="2">
        <f ca="1"/>
        <v>0.83852961575492313</v>
      </c>
      <c r="O2920" s="2">
        <f ca="1"/>
        <v>0.28309935870627972</v>
      </c>
      <c r="X2920" s="2">
        <f ca="1"/>
        <v>64.247268724491391</v>
      </c>
      <c r="AG2920" s="2">
        <f ca="1"/>
        <v>0.85956805190195706</v>
      </c>
      <c r="AH2920" s="2" t="str">
        <f ca="1"/>
        <v>Bad</v>
      </c>
    </row>
    <row r="2921" spans="2:34" x14ac:dyDescent="0.2">
      <c r="B2921" s="2">
        <f ca="1"/>
        <v>0.83818311601234452</v>
      </c>
      <c r="O2921" s="2">
        <f ca="1"/>
        <v>-0.78212322467734163</v>
      </c>
      <c r="X2921" s="2">
        <f ca="1"/>
        <v>49.836558705768191</v>
      </c>
      <c r="AG2921" s="2">
        <f ca="1"/>
        <v>0.14649023292462138</v>
      </c>
      <c r="AH2921" s="2" t="str">
        <f ca="1"/>
        <v>OK</v>
      </c>
    </row>
    <row r="2922" spans="2:34" x14ac:dyDescent="0.2">
      <c r="B2922" s="2">
        <f ca="1"/>
        <v>5.8649193104091113E-2</v>
      </c>
      <c r="O2922" s="2">
        <f ca="1"/>
        <v>-0.12667291697376945</v>
      </c>
      <c r="X2922" s="2">
        <f ca="1"/>
        <v>39.827451741461942</v>
      </c>
      <c r="AG2922" s="2">
        <f ca="1"/>
        <v>0.94635075337064944</v>
      </c>
      <c r="AH2922" s="2" t="str">
        <f ca="1"/>
        <v>Bad</v>
      </c>
    </row>
    <row r="2923" spans="2:34" x14ac:dyDescent="0.2">
      <c r="B2923" s="2">
        <f ca="1"/>
        <v>0.89410716370233612</v>
      </c>
      <c r="O2923" s="2">
        <f ca="1"/>
        <v>-0.69183993947858624</v>
      </c>
      <c r="X2923" s="2">
        <f ca="1"/>
        <v>63.329078982793668</v>
      </c>
      <c r="AG2923" s="2">
        <f ca="1"/>
        <v>0.67167199486472851</v>
      </c>
      <c r="AH2923" s="2" t="str">
        <f ca="1"/>
        <v>Bad</v>
      </c>
    </row>
    <row r="2924" spans="2:34" x14ac:dyDescent="0.2">
      <c r="B2924" s="2">
        <f ca="1"/>
        <v>2.9316272649970054E-2</v>
      </c>
      <c r="O2924" s="2">
        <f ca="1"/>
        <v>0.26764341055210494</v>
      </c>
      <c r="X2924" s="2">
        <f ca="1"/>
        <v>66.823618703201021</v>
      </c>
      <c r="AG2924" s="2">
        <f ca="1"/>
        <v>0.49308030666838665</v>
      </c>
      <c r="AH2924" s="2" t="str">
        <f ca="1"/>
        <v>Bad</v>
      </c>
    </row>
    <row r="2925" spans="2:34" x14ac:dyDescent="0.2">
      <c r="B2925" s="2">
        <f ca="1"/>
        <v>0.79604696671696895</v>
      </c>
      <c r="O2925" s="2">
        <f ca="1"/>
        <v>-0.32348371493800615</v>
      </c>
      <c r="X2925" s="2">
        <f ca="1"/>
        <v>22.943699189169202</v>
      </c>
      <c r="AG2925" s="2">
        <f ca="1"/>
        <v>0.22565761700871279</v>
      </c>
      <c r="AH2925" s="2" t="str">
        <f ca="1"/>
        <v>OK</v>
      </c>
    </row>
    <row r="2926" spans="2:34" x14ac:dyDescent="0.2">
      <c r="B2926" s="2">
        <f ca="1"/>
        <v>0.29535514079234026</v>
      </c>
      <c r="O2926" s="2">
        <f ca="1"/>
        <v>1.9169863542675807</v>
      </c>
      <c r="X2926" s="2">
        <f ca="1"/>
        <v>39.112110059467099</v>
      </c>
      <c r="AG2926" s="2">
        <f ca="1"/>
        <v>3.6382410517255659E-2</v>
      </c>
      <c r="AH2926" s="2" t="str">
        <f ca="1"/>
        <v>Good</v>
      </c>
    </row>
    <row r="2927" spans="2:34" x14ac:dyDescent="0.2">
      <c r="B2927" s="2">
        <f ca="1"/>
        <v>0.94410939168291108</v>
      </c>
      <c r="O2927" s="2">
        <f ca="1"/>
        <v>0.14983981159973409</v>
      </c>
      <c r="X2927" s="2">
        <f ca="1"/>
        <v>57.366444849001503</v>
      </c>
      <c r="AG2927" s="2">
        <f ca="1"/>
        <v>0.46041091516325605</v>
      </c>
      <c r="AH2927" s="2" t="str">
        <f ca="1"/>
        <v>Bad</v>
      </c>
    </row>
    <row r="2928" spans="2:34" x14ac:dyDescent="0.2">
      <c r="B2928" s="2">
        <f ca="1"/>
        <v>0.84044773674441431</v>
      </c>
      <c r="O2928" s="2">
        <f ca="1"/>
        <v>-1.0146007388049343</v>
      </c>
      <c r="X2928" s="2">
        <f ca="1"/>
        <v>48.408690842087708</v>
      </c>
      <c r="AG2928" s="2">
        <f ca="1"/>
        <v>0.74861559376337383</v>
      </c>
      <c r="AH2928" s="2" t="str">
        <f ca="1"/>
        <v>Bad</v>
      </c>
    </row>
    <row r="2929" spans="2:34" x14ac:dyDescent="0.2">
      <c r="B2929" s="2">
        <f ca="1"/>
        <v>0.88713329976412503</v>
      </c>
      <c r="O2929" s="2">
        <f ca="1"/>
        <v>2.0815211658900639</v>
      </c>
      <c r="X2929" s="2">
        <f ca="1"/>
        <v>28.179458142889224</v>
      </c>
      <c r="AG2929" s="2">
        <f ca="1"/>
        <v>3.2817265473072954E-2</v>
      </c>
      <c r="AH2929" s="2" t="str">
        <f ca="1"/>
        <v>Good</v>
      </c>
    </row>
    <row r="2930" spans="2:34" x14ac:dyDescent="0.2">
      <c r="B2930" s="2">
        <f ca="1"/>
        <v>0.81917694068787594</v>
      </c>
      <c r="O2930" s="2">
        <f ca="1"/>
        <v>1.5948791100399975</v>
      </c>
      <c r="X2930" s="2">
        <f ca="1"/>
        <v>52.783457172549213</v>
      </c>
      <c r="AG2930" s="2">
        <f ca="1"/>
        <v>0.41830308226318946</v>
      </c>
      <c r="AH2930" s="2" t="str">
        <f ca="1"/>
        <v>Bad</v>
      </c>
    </row>
    <row r="2931" spans="2:34" x14ac:dyDescent="0.2">
      <c r="B2931" s="2">
        <f ca="1"/>
        <v>0.25383090987636425</v>
      </c>
      <c r="O2931" s="2">
        <f ca="1"/>
        <v>0.94775268490237863</v>
      </c>
      <c r="X2931" s="2">
        <f ca="1"/>
        <v>49.779098295028405</v>
      </c>
      <c r="AG2931" s="2">
        <f ca="1"/>
        <v>0.62559377150413309</v>
      </c>
      <c r="AH2931" s="2" t="str">
        <f ca="1"/>
        <v>Bad</v>
      </c>
    </row>
    <row r="2932" spans="2:34" x14ac:dyDescent="0.2">
      <c r="B2932" s="2">
        <f ca="1"/>
        <v>0.59109314490890275</v>
      </c>
      <c r="O2932" s="2">
        <f ca="1"/>
        <v>-0.25905377207797897</v>
      </c>
      <c r="X2932" s="2">
        <f ca="1"/>
        <v>52.344334431190148</v>
      </c>
      <c r="AG2932" s="2">
        <f ca="1"/>
        <v>0.16767056610576403</v>
      </c>
      <c r="AH2932" s="2" t="str">
        <f ca="1"/>
        <v>OK</v>
      </c>
    </row>
    <row r="2933" spans="2:34" x14ac:dyDescent="0.2">
      <c r="B2933" s="2">
        <f ca="1"/>
        <v>6.2367309220909162E-2</v>
      </c>
      <c r="O2933" s="2">
        <f ca="1"/>
        <v>2.2287471056554842</v>
      </c>
      <c r="X2933" s="2">
        <f ca="1"/>
        <v>41.003078809014255</v>
      </c>
      <c r="AG2933" s="2">
        <f ca="1"/>
        <v>0.20115108900171985</v>
      </c>
      <c r="AH2933" s="2" t="str">
        <f ca="1"/>
        <v>OK</v>
      </c>
    </row>
    <row r="2934" spans="2:34" x14ac:dyDescent="0.2">
      <c r="B2934" s="2">
        <f ca="1"/>
        <v>0.70556130579439214</v>
      </c>
      <c r="O2934" s="2">
        <f ca="1"/>
        <v>2.2113110966333309</v>
      </c>
      <c r="X2934" s="2">
        <f ca="1"/>
        <v>38.483701313054588</v>
      </c>
      <c r="AG2934" s="2">
        <f ca="1"/>
        <v>0.82234034016983237</v>
      </c>
      <c r="AH2934" s="2" t="str">
        <f ca="1"/>
        <v>Bad</v>
      </c>
    </row>
    <row r="2935" spans="2:34" x14ac:dyDescent="0.2">
      <c r="B2935" s="2">
        <f ca="1"/>
        <v>0.10393062940010078</v>
      </c>
      <c r="O2935" s="2">
        <f ca="1"/>
        <v>-0.91870792398925383</v>
      </c>
      <c r="X2935" s="2">
        <f ca="1"/>
        <v>53.369740849992304</v>
      </c>
      <c r="AG2935" s="2">
        <f ca="1"/>
        <v>0.42068450922444556</v>
      </c>
      <c r="AH2935" s="2" t="str">
        <f ca="1"/>
        <v>Bad</v>
      </c>
    </row>
    <row r="2936" spans="2:34" x14ac:dyDescent="0.2">
      <c r="B2936" s="2">
        <f ca="1"/>
        <v>0.53600259661804617</v>
      </c>
      <c r="O2936" s="2">
        <f ca="1"/>
        <v>-0.35875264045424554</v>
      </c>
      <c r="X2936" s="2">
        <f ca="1"/>
        <v>52.395668296784848</v>
      </c>
      <c r="AG2936" s="2">
        <f ca="1"/>
        <v>0.71508454486932127</v>
      </c>
      <c r="AH2936" s="2" t="str">
        <f ca="1"/>
        <v>Bad</v>
      </c>
    </row>
    <row r="2937" spans="2:34" x14ac:dyDescent="0.2">
      <c r="B2937" s="2">
        <f ca="1"/>
        <v>6.56603830087088E-2</v>
      </c>
      <c r="O2937" s="2">
        <f ca="1"/>
        <v>0.36482538460886094</v>
      </c>
      <c r="X2937" s="2">
        <f ca="1"/>
        <v>51.704260041013931</v>
      </c>
      <c r="AG2937" s="2">
        <f ca="1"/>
        <v>0.89095096973810017</v>
      </c>
      <c r="AH2937" s="2" t="str">
        <f ca="1"/>
        <v>Bad</v>
      </c>
    </row>
    <row r="2938" spans="2:34" x14ac:dyDescent="0.2">
      <c r="B2938" s="2">
        <f ca="1"/>
        <v>0.237946748719708</v>
      </c>
      <c r="O2938" s="2">
        <f ca="1"/>
        <v>1.0018643378877199</v>
      </c>
      <c r="X2938" s="2">
        <f ca="1"/>
        <v>56.580209231267389</v>
      </c>
      <c r="AG2938" s="2">
        <f ca="1"/>
        <v>0.90625315834354003</v>
      </c>
      <c r="AH2938" s="2" t="str">
        <f ca="1"/>
        <v>Bad</v>
      </c>
    </row>
    <row r="2939" spans="2:34" x14ac:dyDescent="0.2">
      <c r="B2939" s="2">
        <f ca="1"/>
        <v>0.14280216893971276</v>
      </c>
      <c r="O2939" s="2">
        <f ca="1"/>
        <v>-1.1626237794876744</v>
      </c>
      <c r="X2939" s="2">
        <f ca="1"/>
        <v>28.584034575182894</v>
      </c>
      <c r="AG2939" s="2">
        <f ca="1"/>
        <v>0.6987043729764213</v>
      </c>
      <c r="AH2939" s="2" t="str">
        <f ca="1"/>
        <v>Bad</v>
      </c>
    </row>
    <row r="2940" spans="2:34" x14ac:dyDescent="0.2">
      <c r="B2940" s="2">
        <f ca="1"/>
        <v>0.67184819301395793</v>
      </c>
      <c r="O2940" s="2">
        <f ca="1"/>
        <v>-1.3132589077403714</v>
      </c>
      <c r="X2940" s="2">
        <f ca="1"/>
        <v>29.492046460207355</v>
      </c>
      <c r="AG2940" s="2">
        <f ca="1"/>
        <v>0.92746549876525597</v>
      </c>
      <c r="AH2940" s="2" t="str">
        <f ca="1"/>
        <v>Bad</v>
      </c>
    </row>
    <row r="2941" spans="2:34" x14ac:dyDescent="0.2">
      <c r="B2941" s="2">
        <f ca="1"/>
        <v>0.16881400411214953</v>
      </c>
      <c r="O2941" s="2">
        <f ca="1"/>
        <v>0.6952186357058584</v>
      </c>
      <c r="X2941" s="2">
        <f ca="1"/>
        <v>52.160331578047803</v>
      </c>
      <c r="AG2941" s="2">
        <f ca="1"/>
        <v>0.40980552418896798</v>
      </c>
      <c r="AH2941" s="2" t="str">
        <f ca="1"/>
        <v>Bad</v>
      </c>
    </row>
    <row r="2942" spans="2:34" x14ac:dyDescent="0.2">
      <c r="B2942" s="2">
        <f ca="1"/>
        <v>0.25747554470478806</v>
      </c>
      <c r="O2942" s="2">
        <f ca="1"/>
        <v>0.30815261566350644</v>
      </c>
      <c r="X2942" s="2">
        <f ca="1"/>
        <v>29.388339841127198</v>
      </c>
      <c r="AG2942" s="2">
        <f ca="1"/>
        <v>0.13707117104427335</v>
      </c>
      <c r="AH2942" s="2" t="str">
        <f ca="1"/>
        <v>OK</v>
      </c>
    </row>
    <row r="2943" spans="2:34" x14ac:dyDescent="0.2">
      <c r="B2943" s="2">
        <f ca="1"/>
        <v>0.88309584720383039</v>
      </c>
      <c r="O2943" s="2">
        <f ca="1"/>
        <v>0.28741608318676559</v>
      </c>
      <c r="X2943" s="2">
        <f ca="1"/>
        <v>59.286125906769854</v>
      </c>
      <c r="AG2943" s="2">
        <f ca="1"/>
        <v>0.89141262001294463</v>
      </c>
      <c r="AH2943" s="2" t="str">
        <f ca="1"/>
        <v>Bad</v>
      </c>
    </row>
    <row r="2944" spans="2:34" x14ac:dyDescent="0.2">
      <c r="B2944" s="2">
        <f ca="1"/>
        <v>0.36755049893135783</v>
      </c>
      <c r="O2944" s="2">
        <f ca="1"/>
        <v>-1.5777049035446002</v>
      </c>
      <c r="X2944" s="2">
        <f ca="1"/>
        <v>29.727803109042288</v>
      </c>
      <c r="AG2944" s="2">
        <f ca="1"/>
        <v>0.24124201939714207</v>
      </c>
      <c r="AH2944" s="2" t="str">
        <f ca="1"/>
        <v>OK</v>
      </c>
    </row>
    <row r="2945" spans="2:34" x14ac:dyDescent="0.2">
      <c r="B2945" s="2">
        <f ca="1"/>
        <v>0.3322325671852755</v>
      </c>
      <c r="O2945" s="2">
        <f ca="1"/>
        <v>1.8860674147963319</v>
      </c>
      <c r="X2945" s="2">
        <f ca="1"/>
        <v>42.640680580507599</v>
      </c>
      <c r="AG2945" s="2">
        <f ca="1"/>
        <v>0.12808154088008505</v>
      </c>
      <c r="AH2945" s="2" t="str">
        <f ca="1"/>
        <v>OK</v>
      </c>
    </row>
    <row r="2946" spans="2:34" x14ac:dyDescent="0.2">
      <c r="B2946" s="2">
        <f ca="1"/>
        <v>0.29774738772349019</v>
      </c>
      <c r="O2946" s="2">
        <f ca="1"/>
        <v>-0.88184476895503916</v>
      </c>
      <c r="X2946" s="2">
        <f ca="1"/>
        <v>63.554309190405604</v>
      </c>
      <c r="AG2946" s="2">
        <f ca="1"/>
        <v>0.18118565904807316</v>
      </c>
      <c r="AH2946" s="2" t="str">
        <f ca="1"/>
        <v>OK</v>
      </c>
    </row>
    <row r="2947" spans="2:34" x14ac:dyDescent="0.2">
      <c r="B2947" s="2">
        <f ca="1"/>
        <v>0.9658822437135306</v>
      </c>
      <c r="O2947" s="2">
        <f ca="1"/>
        <v>0.83268352393625</v>
      </c>
      <c r="X2947" s="2">
        <f ca="1"/>
        <v>52.23307241975963</v>
      </c>
      <c r="AG2947" s="2">
        <f ca="1"/>
        <v>0.92986504473868159</v>
      </c>
      <c r="AH2947" s="2" t="str">
        <f ca="1"/>
        <v>Bad</v>
      </c>
    </row>
    <row r="2948" spans="2:34" x14ac:dyDescent="0.2">
      <c r="B2948" s="2">
        <f ca="1"/>
        <v>0.16177962648682809</v>
      </c>
      <c r="O2948" s="2">
        <f ca="1"/>
        <v>-5.0625952796819119E-2</v>
      </c>
      <c r="X2948" s="2">
        <f ca="1"/>
        <v>78.955557140146396</v>
      </c>
      <c r="AG2948" s="2">
        <f ca="1"/>
        <v>0.89444985340026562</v>
      </c>
      <c r="AH2948" s="2" t="str">
        <f ca="1"/>
        <v>Bad</v>
      </c>
    </row>
    <row r="2949" spans="2:34" x14ac:dyDescent="0.2">
      <c r="B2949" s="2">
        <f ca="1"/>
        <v>0.49835774599480565</v>
      </c>
      <c r="O2949" s="2">
        <f ca="1"/>
        <v>-1.1058402645584229</v>
      </c>
      <c r="X2949" s="2">
        <f ca="1"/>
        <v>76.979874073208208</v>
      </c>
      <c r="AG2949" s="2">
        <f ca="1"/>
        <v>9.3070661104569075E-2</v>
      </c>
      <c r="AH2949" s="2" t="str">
        <f ca="1"/>
        <v>OK</v>
      </c>
    </row>
    <row r="2950" spans="2:34" x14ac:dyDescent="0.2">
      <c r="B2950" s="2">
        <f ca="1"/>
        <v>0.62696028726882269</v>
      </c>
      <c r="O2950" s="2">
        <f ca="1"/>
        <v>-5.1094055122172716E-2</v>
      </c>
      <c r="X2950" s="2">
        <f ca="1"/>
        <v>78.437866670381396</v>
      </c>
      <c r="AG2950" s="2">
        <f ca="1"/>
        <v>0.23866220233360869</v>
      </c>
      <c r="AH2950" s="2" t="str">
        <f ca="1"/>
        <v>OK</v>
      </c>
    </row>
    <row r="2951" spans="2:34" x14ac:dyDescent="0.2">
      <c r="B2951" s="2">
        <f ca="1"/>
        <v>0.77832321082153322</v>
      </c>
      <c r="O2951" s="2">
        <f ca="1"/>
        <v>-1.6944501399313343</v>
      </c>
      <c r="X2951" s="2">
        <f ca="1"/>
        <v>44.722830102179223</v>
      </c>
      <c r="AG2951" s="2">
        <f ca="1"/>
        <v>0.68017704675724255</v>
      </c>
      <c r="AH2951" s="2" t="str">
        <f ca="1"/>
        <v>Bad</v>
      </c>
    </row>
    <row r="2952" spans="2:34" x14ac:dyDescent="0.2">
      <c r="B2952" s="2">
        <f ca="1"/>
        <v>0.2880757468294779</v>
      </c>
      <c r="O2952" s="2">
        <f ca="1"/>
        <v>0.22196930505996237</v>
      </c>
      <c r="X2952" s="2">
        <f ca="1"/>
        <v>51.231275895366736</v>
      </c>
      <c r="AG2952" s="2">
        <f ca="1"/>
        <v>0.50939571125290861</v>
      </c>
      <c r="AH2952" s="2" t="str">
        <f ca="1"/>
        <v>Bad</v>
      </c>
    </row>
    <row r="2953" spans="2:34" x14ac:dyDescent="0.2">
      <c r="B2953" s="2">
        <f ca="1"/>
        <v>0.15284662755090417</v>
      </c>
      <c r="O2953" s="2">
        <f ca="1"/>
        <v>0.30614692408782856</v>
      </c>
      <c r="X2953" s="2">
        <f ca="1"/>
        <v>60.471781837857712</v>
      </c>
      <c r="AG2953" s="2">
        <f ca="1"/>
        <v>0.99396691207058252</v>
      </c>
      <c r="AH2953" s="2" t="str">
        <f ca="1"/>
        <v>Bad</v>
      </c>
    </row>
    <row r="2954" spans="2:34" x14ac:dyDescent="0.2">
      <c r="B2954" s="2">
        <f ca="1"/>
        <v>0.17905900678555464</v>
      </c>
      <c r="O2954" s="2">
        <f ca="1"/>
        <v>-1.2602643686583677</v>
      </c>
      <c r="X2954" s="2">
        <f ca="1"/>
        <v>31.089385510497287</v>
      </c>
      <c r="AG2954" s="2">
        <f ca="1"/>
        <v>0.789230415429236</v>
      </c>
      <c r="AH2954" s="2" t="str">
        <f ca="1"/>
        <v>Bad</v>
      </c>
    </row>
    <row r="2955" spans="2:34" x14ac:dyDescent="0.2">
      <c r="B2955" s="2">
        <f ca="1"/>
        <v>0.59940232280881167</v>
      </c>
      <c r="O2955" s="2">
        <f ca="1"/>
        <v>-1.2056271054763765</v>
      </c>
      <c r="X2955" s="2">
        <f ca="1"/>
        <v>28.241053959969943</v>
      </c>
      <c r="AG2955" s="2">
        <f ca="1"/>
        <v>0.43713756632731093</v>
      </c>
      <c r="AH2955" s="2" t="str">
        <f ca="1"/>
        <v>Bad</v>
      </c>
    </row>
    <row r="2956" spans="2:34" x14ac:dyDescent="0.2">
      <c r="B2956" s="2">
        <f ca="1"/>
        <v>0.81240065071858791</v>
      </c>
      <c r="O2956" s="2">
        <f ca="1"/>
        <v>2.6408128214516862E-2</v>
      </c>
      <c r="X2956" s="2">
        <f ca="1"/>
        <v>39.856363790997598</v>
      </c>
      <c r="AG2956" s="2">
        <f ca="1"/>
        <v>0.11364060809166876</v>
      </c>
      <c r="AH2956" s="2" t="str">
        <f ca="1"/>
        <v>OK</v>
      </c>
    </row>
    <row r="2957" spans="2:34" x14ac:dyDescent="0.2">
      <c r="B2957" s="2">
        <f ca="1"/>
        <v>0.88677688342108185</v>
      </c>
      <c r="O2957" s="2">
        <f ca="1"/>
        <v>1.7338291485009978</v>
      </c>
      <c r="X2957" s="2">
        <f ca="1"/>
        <v>57.364582307800525</v>
      </c>
      <c r="AG2957" s="2">
        <f ca="1"/>
        <v>6.4888090764028572E-2</v>
      </c>
      <c r="AH2957" s="2" t="str">
        <f ca="1"/>
        <v>OK</v>
      </c>
    </row>
    <row r="2958" spans="2:34" x14ac:dyDescent="0.2">
      <c r="B2958" s="2">
        <f ca="1"/>
        <v>0.88245745658651553</v>
      </c>
      <c r="O2958" s="2">
        <f ca="1"/>
        <v>-0.42609427720476006</v>
      </c>
      <c r="X2958" s="2">
        <f ca="1"/>
        <v>44.986948594431773</v>
      </c>
      <c r="AG2958" s="2">
        <f ca="1"/>
        <v>0.73743109487581648</v>
      </c>
      <c r="AH2958" s="2" t="str">
        <f ca="1"/>
        <v>Bad</v>
      </c>
    </row>
    <row r="2959" spans="2:34" x14ac:dyDescent="0.2">
      <c r="B2959" s="2">
        <f ca="1"/>
        <v>0.89557789377628194</v>
      </c>
      <c r="O2959" s="2">
        <f ca="1"/>
        <v>-6.8682469263721652E-2</v>
      </c>
      <c r="X2959" s="2">
        <f ca="1"/>
        <v>66.26746813185089</v>
      </c>
      <c r="AG2959" s="2">
        <f ca="1"/>
        <v>9.311163078573359E-2</v>
      </c>
      <c r="AH2959" s="2" t="str">
        <f ca="1"/>
        <v>OK</v>
      </c>
    </row>
    <row r="2960" spans="2:34" x14ac:dyDescent="0.2">
      <c r="B2960" s="2">
        <f ca="1"/>
        <v>0.47026321574311858</v>
      </c>
      <c r="O2960" s="2">
        <f ca="1"/>
        <v>0.13280112789752321</v>
      </c>
      <c r="X2960" s="2">
        <f ca="1"/>
        <v>40.134705649032078</v>
      </c>
      <c r="AG2960" s="2">
        <f ca="1"/>
        <v>0.60410255488471609</v>
      </c>
      <c r="AH2960" s="2" t="str">
        <f ca="1"/>
        <v>Bad</v>
      </c>
    </row>
    <row r="2961" spans="2:34" x14ac:dyDescent="0.2">
      <c r="B2961" s="2">
        <f ca="1"/>
        <v>0.98417279236877198</v>
      </c>
      <c r="O2961" s="2">
        <f ca="1"/>
        <v>-0.18806698990845661</v>
      </c>
      <c r="X2961" s="2">
        <f ca="1"/>
        <v>54.161008747049422</v>
      </c>
      <c r="AG2961" s="2">
        <f ca="1"/>
        <v>0.49772431352693092</v>
      </c>
      <c r="AH2961" s="2" t="str">
        <f ca="1"/>
        <v>Bad</v>
      </c>
    </row>
    <row r="2962" spans="2:34" x14ac:dyDescent="0.2">
      <c r="B2962" s="2">
        <f ca="1"/>
        <v>0.66018167186209498</v>
      </c>
      <c r="O2962" s="2">
        <f ca="1"/>
        <v>0.69216298419925337</v>
      </c>
      <c r="X2962" s="2">
        <f ca="1"/>
        <v>34.277186819123031</v>
      </c>
      <c r="AG2962" s="2">
        <f ca="1"/>
        <v>0.19572833920018007</v>
      </c>
      <c r="AH2962" s="2" t="str">
        <f ca="1"/>
        <v>OK</v>
      </c>
    </row>
    <row r="2963" spans="2:34" x14ac:dyDescent="0.2">
      <c r="B2963" s="2">
        <f ca="1"/>
        <v>0.58799448028790091</v>
      </c>
      <c r="O2963" s="2">
        <f ca="1"/>
        <v>-1.2915675566736209</v>
      </c>
      <c r="X2963" s="2">
        <f ca="1"/>
        <v>30.05644564607676</v>
      </c>
      <c r="AG2963" s="2">
        <f ca="1"/>
        <v>2.5794544045521395E-2</v>
      </c>
      <c r="AH2963" s="2" t="str">
        <f ca="1"/>
        <v>Good</v>
      </c>
    </row>
    <row r="2964" spans="2:34" x14ac:dyDescent="0.2">
      <c r="B2964" s="2">
        <f ca="1"/>
        <v>0.60637973018802183</v>
      </c>
      <c r="O2964" s="2">
        <f ca="1"/>
        <v>0.10586044453222593</v>
      </c>
      <c r="X2964" s="2">
        <f ca="1"/>
        <v>38.371764157004222</v>
      </c>
      <c r="AG2964" s="2">
        <f ca="1"/>
        <v>0.58605672901914496</v>
      </c>
      <c r="AH2964" s="2" t="str">
        <f ca="1"/>
        <v>Bad</v>
      </c>
    </row>
    <row r="2965" spans="2:34" x14ac:dyDescent="0.2">
      <c r="B2965" s="2">
        <f ca="1"/>
        <v>0.39080800874175181</v>
      </c>
      <c r="O2965" s="2">
        <f ca="1"/>
        <v>-0.23058623702654577</v>
      </c>
      <c r="X2965" s="2">
        <f ca="1"/>
        <v>36.761464733136265</v>
      </c>
      <c r="AG2965" s="2">
        <f ca="1"/>
        <v>0.82290730322123107</v>
      </c>
      <c r="AH2965" s="2" t="str">
        <f ca="1"/>
        <v>Bad</v>
      </c>
    </row>
    <row r="2966" spans="2:34" x14ac:dyDescent="0.2">
      <c r="B2966" s="2">
        <f ca="1"/>
        <v>0.21246800665329157</v>
      </c>
      <c r="O2966" s="2">
        <f ca="1"/>
        <v>0.23969503441948189</v>
      </c>
      <c r="X2966" s="2">
        <f ca="1"/>
        <v>61.686811363648985</v>
      </c>
      <c r="AG2966" s="2">
        <f ca="1"/>
        <v>0.83230975081154823</v>
      </c>
      <c r="AH2966" s="2" t="str">
        <f ca="1"/>
        <v>Bad</v>
      </c>
    </row>
    <row r="2967" spans="2:34" x14ac:dyDescent="0.2">
      <c r="B2967" s="2">
        <f ca="1"/>
        <v>5.6481007632759983E-2</v>
      </c>
      <c r="O2967" s="2">
        <f ca="1"/>
        <v>-1.6334611789341043</v>
      </c>
      <c r="X2967" s="2">
        <f ca="1"/>
        <v>13.869812941245856</v>
      </c>
      <c r="AG2967" s="2">
        <f ca="1"/>
        <v>0.16688283668217063</v>
      </c>
      <c r="AH2967" s="2" t="str">
        <f ca="1"/>
        <v>OK</v>
      </c>
    </row>
    <row r="2968" spans="2:34" x14ac:dyDescent="0.2">
      <c r="B2968" s="2">
        <f ca="1"/>
        <v>0.14953192103828883</v>
      </c>
      <c r="O2968" s="2">
        <f ca="1"/>
        <v>-0.66378185984075078</v>
      </c>
      <c r="X2968" s="2">
        <f ca="1"/>
        <v>40.828342763759373</v>
      </c>
      <c r="AG2968" s="2">
        <f ca="1"/>
        <v>0.28210130818459001</v>
      </c>
      <c r="AH2968" s="2" t="str">
        <f ca="1"/>
        <v>OK</v>
      </c>
    </row>
    <row r="2969" spans="2:34" x14ac:dyDescent="0.2">
      <c r="B2969" s="2">
        <f ca="1"/>
        <v>0.3401266403203731</v>
      </c>
      <c r="O2969" s="2">
        <f ca="1"/>
        <v>-0.23854879785295216</v>
      </c>
      <c r="X2969" s="2">
        <f ca="1"/>
        <v>45.703257809338027</v>
      </c>
      <c r="AG2969" s="2">
        <f ca="1"/>
        <v>0.64366386145313226</v>
      </c>
      <c r="AH2969" s="2" t="str">
        <f ca="1"/>
        <v>Bad</v>
      </c>
    </row>
    <row r="2970" spans="2:34" x14ac:dyDescent="0.2">
      <c r="B2970" s="2">
        <f ca="1"/>
        <v>3.2826969385743476E-2</v>
      </c>
      <c r="O2970" s="2">
        <f ca="1"/>
        <v>1.3594483287177219</v>
      </c>
      <c r="X2970" s="2">
        <f ca="1"/>
        <v>60.807618370686555</v>
      </c>
      <c r="AG2970" s="2">
        <f ca="1"/>
        <v>0.99660015246330214</v>
      </c>
      <c r="AH2970" s="2" t="str">
        <f ca="1"/>
        <v>Bad</v>
      </c>
    </row>
    <row r="2971" spans="2:34" x14ac:dyDescent="0.2">
      <c r="B2971" s="2">
        <f ca="1"/>
        <v>0.72896883515659061</v>
      </c>
      <c r="O2971" s="2">
        <f ca="1"/>
        <v>-0.438656995981556</v>
      </c>
      <c r="X2971" s="2">
        <f ca="1"/>
        <v>34.660155822828429</v>
      </c>
      <c r="AG2971" s="2">
        <f ca="1"/>
        <v>0.75143247445744632</v>
      </c>
      <c r="AH2971" s="2" t="str">
        <f ca="1"/>
        <v>Bad</v>
      </c>
    </row>
    <row r="2972" spans="2:34" x14ac:dyDescent="0.2">
      <c r="B2972" s="2">
        <f ca="1"/>
        <v>0.67128013845653678</v>
      </c>
      <c r="O2972" s="2">
        <f ca="1"/>
        <v>0.80153289769462566</v>
      </c>
      <c r="X2972" s="2">
        <f ca="1"/>
        <v>60.609727394817583</v>
      </c>
      <c r="AG2972" s="2">
        <f ca="1"/>
        <v>0.75550932251275715</v>
      </c>
      <c r="AH2972" s="2" t="str">
        <f ca="1"/>
        <v>Bad</v>
      </c>
    </row>
    <row r="2973" spans="2:34" x14ac:dyDescent="0.2">
      <c r="B2973" s="2">
        <f ca="1"/>
        <v>0.2650619423647782</v>
      </c>
      <c r="O2973" s="2">
        <f ca="1"/>
        <v>0.7893242346406053</v>
      </c>
      <c r="X2973" s="2">
        <f ca="1"/>
        <v>45.401177460085798</v>
      </c>
      <c r="AG2973" s="2">
        <f ca="1"/>
        <v>0.4517464307925132</v>
      </c>
      <c r="AH2973" s="2" t="str">
        <f ca="1"/>
        <v>Bad</v>
      </c>
    </row>
    <row r="2974" spans="2:34" x14ac:dyDescent="0.2">
      <c r="B2974" s="2">
        <f ca="1"/>
        <v>0.95898178766773157</v>
      </c>
      <c r="O2974" s="2">
        <f ca="1"/>
        <v>-0.26666795882215494</v>
      </c>
      <c r="X2974" s="2">
        <f ca="1"/>
        <v>60.16589649536801</v>
      </c>
      <c r="AG2974" s="2">
        <f ca="1"/>
        <v>0.2542608907352506</v>
      </c>
      <c r="AH2974" s="2" t="str">
        <f ca="1"/>
        <v>OK</v>
      </c>
    </row>
    <row r="2975" spans="2:34" x14ac:dyDescent="0.2">
      <c r="B2975" s="2">
        <f ca="1"/>
        <v>0.79444766274750123</v>
      </c>
      <c r="O2975" s="2">
        <f ca="1"/>
        <v>0.47572722558775965</v>
      </c>
      <c r="X2975" s="2">
        <f ca="1"/>
        <v>36.669398664892718</v>
      </c>
      <c r="AG2975" s="2">
        <f ca="1"/>
        <v>0.70977825442217912</v>
      </c>
      <c r="AH2975" s="2" t="str">
        <f ca="1"/>
        <v>Bad</v>
      </c>
    </row>
    <row r="2976" spans="2:34" x14ac:dyDescent="0.2">
      <c r="B2976" s="2">
        <f ca="1"/>
        <v>0.70474882167595165</v>
      </c>
      <c r="O2976" s="2">
        <f ca="1"/>
        <v>0.11220466109472721</v>
      </c>
      <c r="X2976" s="2">
        <f ca="1"/>
        <v>51.284538093402517</v>
      </c>
      <c r="AG2976" s="2">
        <f ca="1"/>
        <v>9.4039352220724792E-2</v>
      </c>
      <c r="AH2976" s="2" t="str">
        <f ca="1"/>
        <v>OK</v>
      </c>
    </row>
    <row r="2977" spans="2:34" x14ac:dyDescent="0.2">
      <c r="B2977" s="2">
        <f ca="1"/>
        <v>0.34213767376425475</v>
      </c>
      <c r="O2977" s="2">
        <f ca="1"/>
        <v>3.6295600549087877E-2</v>
      </c>
      <c r="X2977" s="2">
        <f ca="1"/>
        <v>48.492932541872833</v>
      </c>
      <c r="AG2977" s="2">
        <f ca="1"/>
        <v>0.78862715401216255</v>
      </c>
      <c r="AH2977" s="2" t="str">
        <f ca="1"/>
        <v>Bad</v>
      </c>
    </row>
    <row r="2978" spans="2:34" x14ac:dyDescent="0.2">
      <c r="B2978" s="2">
        <f ca="1"/>
        <v>0.88943279728159186</v>
      </c>
      <c r="O2978" s="2">
        <f ca="1"/>
        <v>-0.70571517251593319</v>
      </c>
      <c r="X2978" s="2">
        <f ca="1"/>
        <v>53.082606701105597</v>
      </c>
      <c r="AG2978" s="2">
        <f ca="1"/>
        <v>0.27129874858070147</v>
      </c>
      <c r="AH2978" s="2" t="str">
        <f ca="1"/>
        <v>OK</v>
      </c>
    </row>
    <row r="2979" spans="2:34" x14ac:dyDescent="0.2">
      <c r="B2979" s="2">
        <f ca="1"/>
        <v>0.32382514367764759</v>
      </c>
      <c r="O2979" s="2">
        <f ca="1"/>
        <v>2.3980673525852048</v>
      </c>
      <c r="X2979" s="2">
        <f ca="1"/>
        <v>61.378838472809896</v>
      </c>
      <c r="AG2979" s="2">
        <f ca="1"/>
        <v>5.8511598338821136E-2</v>
      </c>
      <c r="AH2979" s="2" t="str">
        <f ca="1"/>
        <v>OK</v>
      </c>
    </row>
    <row r="2980" spans="2:34" x14ac:dyDescent="0.2">
      <c r="B2980" s="2">
        <f ca="1"/>
        <v>9.1019762070458921E-3</v>
      </c>
      <c r="O2980" s="2">
        <f ca="1"/>
        <v>-0.49420083598010278</v>
      </c>
      <c r="X2980" s="2">
        <f ca="1"/>
        <v>42.244868644972911</v>
      </c>
      <c r="AG2980" s="2">
        <f ca="1"/>
        <v>0.13717060509573664</v>
      </c>
      <c r="AH2980" s="2" t="str">
        <f ca="1"/>
        <v>OK</v>
      </c>
    </row>
    <row r="2981" spans="2:34" x14ac:dyDescent="0.2">
      <c r="B2981" s="2">
        <f ca="1"/>
        <v>0.35117627848288802</v>
      </c>
      <c r="O2981" s="2">
        <f ca="1"/>
        <v>0.6316911989633881</v>
      </c>
      <c r="X2981" s="2">
        <f ca="1"/>
        <v>48.371491497065627</v>
      </c>
      <c r="AG2981" s="2">
        <f ca="1"/>
        <v>0.87820204084637132</v>
      </c>
      <c r="AH2981" s="2" t="str">
        <f ca="1"/>
        <v>Bad</v>
      </c>
    </row>
    <row r="2982" spans="2:34" x14ac:dyDescent="0.2">
      <c r="B2982" s="2">
        <f ca="1"/>
        <v>0.20091811579673324</v>
      </c>
      <c r="O2982" s="2">
        <f ca="1"/>
        <v>0.18955806989333296</v>
      </c>
      <c r="X2982" s="2">
        <f ca="1"/>
        <v>28.915111718964475</v>
      </c>
      <c r="AG2982" s="2">
        <f ca="1"/>
        <v>0.380567610147027</v>
      </c>
      <c r="AH2982" s="2" t="str">
        <f ca="1"/>
        <v>OK</v>
      </c>
    </row>
    <row r="2983" spans="2:34" x14ac:dyDescent="0.2">
      <c r="B2983" s="2">
        <f ca="1"/>
        <v>0.972045752464469</v>
      </c>
      <c r="O2983" s="2">
        <f ca="1"/>
        <v>-0.5167450606003936</v>
      </c>
      <c r="X2983" s="2">
        <f ca="1"/>
        <v>25.904682347706682</v>
      </c>
      <c r="AG2983" s="2">
        <f ca="1"/>
        <v>0.75280377819769173</v>
      </c>
      <c r="AH2983" s="2" t="str">
        <f ca="1"/>
        <v>Bad</v>
      </c>
    </row>
    <row r="2984" spans="2:34" x14ac:dyDescent="0.2">
      <c r="B2984" s="2">
        <f ca="1"/>
        <v>0.86496364725005281</v>
      </c>
      <c r="O2984" s="2">
        <f ca="1"/>
        <v>-1.1853949273351896</v>
      </c>
      <c r="X2984" s="2">
        <f ca="1"/>
        <v>66.564387243607356</v>
      </c>
      <c r="AG2984" s="2">
        <f ca="1"/>
        <v>0.65019381603737436</v>
      </c>
      <c r="AH2984" s="2" t="str">
        <f ca="1"/>
        <v>Bad</v>
      </c>
    </row>
    <row r="2985" spans="2:34" x14ac:dyDescent="0.2">
      <c r="B2985" s="2">
        <f ca="1"/>
        <v>0.53911341262006651</v>
      </c>
      <c r="O2985" s="2">
        <f ca="1"/>
        <v>4.4804412846868064E-2</v>
      </c>
      <c r="X2985" s="2">
        <f ca="1"/>
        <v>73.606579834457875</v>
      </c>
      <c r="AG2985" s="2">
        <f ca="1"/>
        <v>4.8020388053507723E-2</v>
      </c>
      <c r="AH2985" s="2" t="str">
        <f ca="1"/>
        <v>Good</v>
      </c>
    </row>
    <row r="2986" spans="2:34" x14ac:dyDescent="0.2">
      <c r="B2986" s="2">
        <f ca="1"/>
        <v>0.76669213284274784</v>
      </c>
      <c r="O2986" s="2">
        <f ca="1"/>
        <v>1.0633469159529341</v>
      </c>
      <c r="X2986" s="2">
        <f ca="1"/>
        <v>38.255976196715288</v>
      </c>
      <c r="AG2986" s="2">
        <f ca="1"/>
        <v>0.63703823743065624</v>
      </c>
      <c r="AH2986" s="2" t="str">
        <f ca="1"/>
        <v>Bad</v>
      </c>
    </row>
    <row r="2987" spans="2:34" x14ac:dyDescent="0.2">
      <c r="B2987" s="2">
        <f ca="1"/>
        <v>0.96950337574922041</v>
      </c>
      <c r="O2987" s="2">
        <f ca="1"/>
        <v>5.1634187982441994E-2</v>
      </c>
      <c r="X2987" s="2">
        <f ca="1"/>
        <v>100.31258025647078</v>
      </c>
      <c r="AG2987" s="2">
        <f ca="1"/>
        <v>0.7009188121406702</v>
      </c>
      <c r="AH2987" s="2" t="str">
        <f ca="1"/>
        <v>Bad</v>
      </c>
    </row>
    <row r="2988" spans="2:34" x14ac:dyDescent="0.2">
      <c r="B2988" s="2">
        <f ca="1"/>
        <v>0.58318442778413604</v>
      </c>
      <c r="O2988" s="2">
        <f ca="1"/>
        <v>-0.31022307450818332</v>
      </c>
      <c r="X2988" s="2">
        <f ca="1"/>
        <v>37.900996213435143</v>
      </c>
      <c r="AG2988" s="2">
        <f ca="1"/>
        <v>8.3745953718764587E-2</v>
      </c>
      <c r="AH2988" s="2" t="str">
        <f ca="1"/>
        <v>OK</v>
      </c>
    </row>
    <row r="2989" spans="2:34" x14ac:dyDescent="0.2">
      <c r="B2989" s="2">
        <f ca="1"/>
        <v>0.3048527385484423</v>
      </c>
      <c r="O2989" s="2">
        <f ca="1"/>
        <v>1.8532558359607938</v>
      </c>
      <c r="X2989" s="2">
        <f ca="1"/>
        <v>32.829587300913659</v>
      </c>
      <c r="AG2989" s="2">
        <f ca="1"/>
        <v>0.53755215651645272</v>
      </c>
      <c r="AH2989" s="2" t="str">
        <f ca="1"/>
        <v>Bad</v>
      </c>
    </row>
    <row r="2990" spans="2:34" x14ac:dyDescent="0.2">
      <c r="B2990" s="2">
        <f ca="1"/>
        <v>0.33439694512889062</v>
      </c>
      <c r="O2990" s="2">
        <f ca="1"/>
        <v>1.8649596765741587</v>
      </c>
      <c r="X2990" s="2">
        <f ca="1"/>
        <v>50.071157901771386</v>
      </c>
      <c r="AG2990" s="2">
        <f ca="1"/>
        <v>0.7695041690802007</v>
      </c>
      <c r="AH2990" s="2" t="str">
        <f ca="1"/>
        <v>Bad</v>
      </c>
    </row>
    <row r="2991" spans="2:34" x14ac:dyDescent="0.2">
      <c r="B2991" s="2">
        <f ca="1"/>
        <v>0.99862450352586607</v>
      </c>
      <c r="O2991" s="2">
        <f ca="1"/>
        <v>-1.0135552160578412</v>
      </c>
      <c r="X2991" s="2">
        <f ca="1"/>
        <v>33.699631297820936</v>
      </c>
      <c r="AG2991" s="2">
        <f ca="1"/>
        <v>0.56998833265799553</v>
      </c>
      <c r="AH2991" s="2" t="str">
        <f ca="1"/>
        <v>Bad</v>
      </c>
    </row>
    <row r="2992" spans="2:34" x14ac:dyDescent="0.2">
      <c r="B2992" s="2">
        <f ca="1"/>
        <v>0.65951966313128785</v>
      </c>
      <c r="O2992" s="2">
        <f ca="1"/>
        <v>1.6708561041039554</v>
      </c>
      <c r="X2992" s="2">
        <f ca="1"/>
        <v>66.913416383813427</v>
      </c>
      <c r="AG2992" s="2">
        <f ca="1"/>
        <v>0.87556289315539448</v>
      </c>
      <c r="AH2992" s="2" t="str">
        <f ca="1"/>
        <v>Bad</v>
      </c>
    </row>
    <row r="2993" spans="2:34" x14ac:dyDescent="0.2">
      <c r="B2993" s="2">
        <f ca="1"/>
        <v>0.52685537949392791</v>
      </c>
      <c r="O2993" s="2">
        <f ca="1"/>
        <v>-1.9429210240565999</v>
      </c>
      <c r="X2993" s="2">
        <f ca="1"/>
        <v>45.778663257354395</v>
      </c>
      <c r="AG2993" s="2">
        <f ca="1"/>
        <v>0.21751515674955346</v>
      </c>
      <c r="AH2993" s="2" t="str">
        <f ca="1"/>
        <v>OK</v>
      </c>
    </row>
    <row r="2994" spans="2:34" x14ac:dyDescent="0.2">
      <c r="B2994" s="2">
        <f ca="1"/>
        <v>0.62374408659187219</v>
      </c>
      <c r="O2994" s="2">
        <f ca="1"/>
        <v>1.0302897857609434</v>
      </c>
      <c r="X2994" s="2">
        <f ca="1"/>
        <v>32.702941790281876</v>
      </c>
      <c r="AG2994" s="2">
        <f ca="1"/>
        <v>0.923626503650397</v>
      </c>
      <c r="AH2994" s="2" t="str">
        <f ca="1"/>
        <v>Bad</v>
      </c>
    </row>
    <row r="2995" spans="2:34" x14ac:dyDescent="0.2">
      <c r="B2995" s="2">
        <f ca="1"/>
        <v>0.9054509502204684</v>
      </c>
      <c r="O2995" s="2">
        <f ca="1"/>
        <v>-5.3749945922306981E-2</v>
      </c>
      <c r="X2995" s="2">
        <f ca="1"/>
        <v>38.33266290186522</v>
      </c>
      <c r="AG2995" s="2">
        <f ca="1"/>
        <v>0.73115315957751492</v>
      </c>
      <c r="AH2995" s="2" t="str">
        <f ca="1"/>
        <v>Bad</v>
      </c>
    </row>
    <row r="2996" spans="2:34" x14ac:dyDescent="0.2">
      <c r="B2996" s="2">
        <f ca="1"/>
        <v>1.5451090397857081E-2</v>
      </c>
      <c r="O2996" s="2">
        <f ca="1"/>
        <v>0.90984312567281111</v>
      </c>
      <c r="X2996" s="2">
        <f ca="1"/>
        <v>35.720253360118349</v>
      </c>
      <c r="AG2996" s="2">
        <f ca="1"/>
        <v>0.28947810951911501</v>
      </c>
      <c r="AH2996" s="2" t="str">
        <f ca="1"/>
        <v>OK</v>
      </c>
    </row>
    <row r="2997" spans="2:34" x14ac:dyDescent="0.2">
      <c r="B2997" s="2">
        <f ca="1"/>
        <v>0.19778762657779758</v>
      </c>
      <c r="O2997" s="2">
        <f ca="1"/>
        <v>-8.5400725700465724E-2</v>
      </c>
      <c r="X2997" s="2">
        <f ca="1"/>
        <v>48.586345745040319</v>
      </c>
      <c r="AG2997" s="2">
        <f ca="1"/>
        <v>0.60554079510844772</v>
      </c>
      <c r="AH2997" s="2" t="str">
        <f ca="1"/>
        <v>Bad</v>
      </c>
    </row>
    <row r="2998" spans="2:34" x14ac:dyDescent="0.2">
      <c r="B2998" s="2">
        <f ca="1"/>
        <v>0.12366627264213115</v>
      </c>
      <c r="O2998" s="2">
        <f ca="1"/>
        <v>-0.67482471249527298</v>
      </c>
      <c r="X2998" s="2">
        <f ca="1"/>
        <v>27.373110676036788</v>
      </c>
      <c r="AG2998" s="2">
        <f ca="1"/>
        <v>0.29163708745790906</v>
      </c>
      <c r="AH2998" s="2" t="str">
        <f ca="1"/>
        <v>OK</v>
      </c>
    </row>
    <row r="2999" spans="2:34" x14ac:dyDescent="0.2">
      <c r="B2999" s="2">
        <f ca="1"/>
        <v>0.23498717221398624</v>
      </c>
      <c r="O2999" s="2">
        <f ca="1"/>
        <v>-5.3664136568150958E-2</v>
      </c>
      <c r="X2999" s="2">
        <f ca="1"/>
        <v>28.378523036927632</v>
      </c>
      <c r="AG2999" s="2">
        <f ca="1"/>
        <v>0.65367019172419005</v>
      </c>
      <c r="AH2999" s="2" t="str">
        <f ca="1"/>
        <v>Bad</v>
      </c>
    </row>
    <row r="3000" spans="2:34" x14ac:dyDescent="0.2">
      <c r="B3000" s="2">
        <f ca="1"/>
        <v>0.42540654238469289</v>
      </c>
      <c r="O3000" s="2">
        <f ca="1"/>
        <v>0.15121677304236475</v>
      </c>
      <c r="X3000" s="2">
        <f ca="1"/>
        <v>55.961533363185758</v>
      </c>
      <c r="AG3000" s="2">
        <f ca="1"/>
        <v>0.23042310384964027</v>
      </c>
      <c r="AH3000" s="2" t="str">
        <f ca="1"/>
        <v>OK</v>
      </c>
    </row>
    <row r="3001" spans="2:34" x14ac:dyDescent="0.2">
      <c r="B3001" s="2">
        <f ca="1"/>
        <v>0.36787548830194217</v>
      </c>
      <c r="O3001" s="2">
        <f ca="1"/>
        <v>0.80517549908657626</v>
      </c>
      <c r="X3001" s="2">
        <f ca="1"/>
        <v>44.819907176827911</v>
      </c>
      <c r="AG3001" s="2">
        <f ca="1"/>
        <v>8.8891337510996982E-2</v>
      </c>
      <c r="AH3001" s="2" t="str">
        <f ca="1"/>
        <v>OK</v>
      </c>
    </row>
    <row r="3002" spans="2:34" x14ac:dyDescent="0.2">
      <c r="B3002" s="2">
        <f ca="1"/>
        <v>0.1848762642323063</v>
      </c>
      <c r="O3002" s="2">
        <f ca="1"/>
        <v>0.78036001913521569</v>
      </c>
      <c r="X3002" s="2">
        <f ca="1"/>
        <v>52.745438320658536</v>
      </c>
      <c r="AG3002" s="2">
        <f ca="1"/>
        <v>7.8231081936439573E-2</v>
      </c>
      <c r="AH3002" s="2" t="str">
        <f ca="1"/>
        <v>OK</v>
      </c>
    </row>
    <row r="3003" spans="2:34" x14ac:dyDescent="0.2">
      <c r="B3003" s="2">
        <f ca="1"/>
        <v>0.30823567823507814</v>
      </c>
      <c r="O3003" s="2">
        <f ca="1"/>
        <v>1.2722383987055561</v>
      </c>
      <c r="X3003" s="2">
        <f ca="1"/>
        <v>59.794070942813001</v>
      </c>
      <c r="AG3003" s="2">
        <f ca="1"/>
        <v>0.38221180517647779</v>
      </c>
      <c r="AH3003" s="2" t="str">
        <f ca="1"/>
        <v>OK</v>
      </c>
    </row>
    <row r="3004" spans="2:34" x14ac:dyDescent="0.2">
      <c r="B3004" s="2">
        <f ca="1"/>
        <v>0.77227053058997108</v>
      </c>
      <c r="O3004" s="2">
        <f ca="1"/>
        <v>9.2123963622018842E-2</v>
      </c>
      <c r="X3004" s="2">
        <f ca="1"/>
        <v>45.006654181342405</v>
      </c>
      <c r="AG3004" s="2">
        <f ca="1"/>
        <v>0.53403039838075261</v>
      </c>
      <c r="AH3004" s="2" t="str">
        <f ca="1"/>
        <v>Bad</v>
      </c>
    </row>
    <row r="3005" spans="2:34" x14ac:dyDescent="0.2">
      <c r="B3005" s="2">
        <f ca="1"/>
        <v>0.9998917069804707</v>
      </c>
      <c r="O3005" s="2">
        <f ca="1"/>
        <v>2.1716574904752037</v>
      </c>
      <c r="X3005" s="2">
        <f ca="1"/>
        <v>35.59810504517376</v>
      </c>
      <c r="AG3005" s="2">
        <f ca="1"/>
        <v>0.52888596578591085</v>
      </c>
      <c r="AH3005" s="2" t="str">
        <f ca="1"/>
        <v>Bad</v>
      </c>
    </row>
    <row r="3006" spans="2:34" x14ac:dyDescent="0.2">
      <c r="B3006" s="2">
        <f ca="1"/>
        <v>0.85494633110676377</v>
      </c>
      <c r="O3006" s="2">
        <f ca="1"/>
        <v>-1.9157340842174309</v>
      </c>
      <c r="X3006" s="2">
        <f ca="1"/>
        <v>73.142251049641871</v>
      </c>
      <c r="AG3006" s="2">
        <f ca="1"/>
        <v>0.86564675059452023</v>
      </c>
      <c r="AH3006" s="2" t="str">
        <f ca="1"/>
        <v>Bad</v>
      </c>
    </row>
    <row r="3007" spans="2:34" x14ac:dyDescent="0.2">
      <c r="B3007" s="2">
        <f ca="1"/>
        <v>0.29561984412798603</v>
      </c>
      <c r="O3007" s="2">
        <f ca="1"/>
        <v>-1.335758031255692</v>
      </c>
      <c r="X3007" s="2">
        <f ca="1"/>
        <v>46.459365339922428</v>
      </c>
      <c r="AG3007" s="2">
        <f ca="1"/>
        <v>0.1394464729729239</v>
      </c>
      <c r="AH3007" s="2" t="str">
        <f ca="1"/>
        <v>OK</v>
      </c>
    </row>
    <row r="3008" spans="2:34" x14ac:dyDescent="0.2">
      <c r="B3008" s="2">
        <f ca="1"/>
        <v>0.47136147180628529</v>
      </c>
      <c r="O3008" s="2">
        <f ca="1"/>
        <v>-0.57620055173061846</v>
      </c>
      <c r="X3008" s="2">
        <f ca="1"/>
        <v>46.730834517239785</v>
      </c>
      <c r="AG3008" s="2">
        <f ca="1"/>
        <v>0.15971441478069504</v>
      </c>
      <c r="AH3008" s="2" t="str">
        <f ca="1"/>
        <v>OK</v>
      </c>
    </row>
    <row r="3009" spans="2:34" x14ac:dyDescent="0.2">
      <c r="B3009" s="2">
        <f ca="1"/>
        <v>0.60054017375753799</v>
      </c>
      <c r="O3009" s="2">
        <f ca="1"/>
        <v>-0.50788469916767476</v>
      </c>
      <c r="X3009" s="2">
        <f ca="1"/>
        <v>45.637424024223051</v>
      </c>
      <c r="AG3009" s="2">
        <f ca="1"/>
        <v>6.2251091259109881E-2</v>
      </c>
      <c r="AH3009" s="2" t="str">
        <f ca="1"/>
        <v>OK</v>
      </c>
    </row>
    <row r="3010" spans="2:34" x14ac:dyDescent="0.2">
      <c r="B3010" s="2">
        <f ca="1"/>
        <v>0.86343478876363844</v>
      </c>
      <c r="O3010" s="2">
        <f ca="1"/>
        <v>1.4180671078308491</v>
      </c>
      <c r="X3010" s="2">
        <f ca="1"/>
        <v>23.258715992224058</v>
      </c>
      <c r="AG3010" s="2">
        <f ca="1"/>
        <v>0.19005992509860659</v>
      </c>
      <c r="AH3010" s="2" t="str">
        <f ca="1"/>
        <v>OK</v>
      </c>
    </row>
    <row r="3011" spans="2:34" x14ac:dyDescent="0.2">
      <c r="B3011" s="2">
        <f ca="1"/>
        <v>0.133026733218925</v>
      </c>
      <c r="O3011" s="2">
        <f ca="1"/>
        <v>0.20539078163196492</v>
      </c>
      <c r="X3011" s="2">
        <f ca="1"/>
        <v>30.123302183031409</v>
      </c>
      <c r="AG3011" s="2">
        <f ca="1"/>
        <v>0.13209607697706205</v>
      </c>
      <c r="AH3011" s="2" t="str">
        <f ca="1"/>
        <v>OK</v>
      </c>
    </row>
    <row r="3012" spans="2:34" x14ac:dyDescent="0.2">
      <c r="B3012" s="2">
        <f ca="1"/>
        <v>0.59037445322660753</v>
      </c>
      <c r="O3012" s="2">
        <f ca="1"/>
        <v>1.0134418500349882</v>
      </c>
      <c r="X3012" s="2">
        <f ca="1"/>
        <v>56.757480605274793</v>
      </c>
      <c r="AG3012" s="2">
        <f ca="1"/>
        <v>0.1772195473757554</v>
      </c>
      <c r="AH3012" s="2" t="str">
        <f ca="1"/>
        <v>OK</v>
      </c>
    </row>
    <row r="3013" spans="2:34" x14ac:dyDescent="0.2">
      <c r="B3013" s="2">
        <f ca="1"/>
        <v>0.85260099053062377</v>
      </c>
      <c r="O3013" s="2">
        <f ca="1"/>
        <v>0.11142293838895447</v>
      </c>
      <c r="X3013" s="2">
        <f ca="1"/>
        <v>39.559933525701197</v>
      </c>
      <c r="AG3013" s="2">
        <f ca="1"/>
        <v>0.42294587023144947</v>
      </c>
      <c r="AH3013" s="2" t="str">
        <f ca="1"/>
        <v>Bad</v>
      </c>
    </row>
    <row r="3014" spans="2:34" x14ac:dyDescent="0.2">
      <c r="B3014" s="2">
        <f ca="1"/>
        <v>0.11830804928390526</v>
      </c>
      <c r="O3014" s="2">
        <f ca="1"/>
        <v>1.022183816993975</v>
      </c>
      <c r="X3014" s="2">
        <f ca="1"/>
        <v>46.909646609752343</v>
      </c>
      <c r="AG3014" s="2">
        <f ca="1"/>
        <v>0.31633980676828855</v>
      </c>
      <c r="AH3014" s="2" t="str">
        <f ca="1"/>
        <v>OK</v>
      </c>
    </row>
    <row r="3015" spans="2:34" x14ac:dyDescent="0.2">
      <c r="B3015" s="2">
        <f ca="1"/>
        <v>0.29164698939253975</v>
      </c>
      <c r="O3015" s="2">
        <f ca="1"/>
        <v>-1.380325776525746</v>
      </c>
      <c r="X3015" s="2">
        <f ca="1"/>
        <v>23.708265096368031</v>
      </c>
      <c r="AG3015" s="2">
        <f ca="1"/>
        <v>0.52524087510748463</v>
      </c>
      <c r="AH3015" s="2" t="str">
        <f ca="1"/>
        <v>Bad</v>
      </c>
    </row>
    <row r="3016" spans="2:34" x14ac:dyDescent="0.2">
      <c r="B3016" s="2">
        <f ca="1"/>
        <v>8.7771625529642128E-2</v>
      </c>
      <c r="O3016" s="2">
        <f ca="1"/>
        <v>-1.4645497692122182</v>
      </c>
      <c r="X3016" s="2">
        <f ca="1"/>
        <v>42.152890102886396</v>
      </c>
      <c r="AG3016" s="2">
        <f ca="1"/>
        <v>0.71723494365416074</v>
      </c>
      <c r="AH3016" s="2" t="str">
        <f ca="1"/>
        <v>Bad</v>
      </c>
    </row>
    <row r="3017" spans="2:34" x14ac:dyDescent="0.2">
      <c r="B3017" s="2">
        <f ca="1"/>
        <v>0.87636740572363547</v>
      </c>
      <c r="O3017" s="2">
        <f ca="1"/>
        <v>-1.0777220295781365</v>
      </c>
      <c r="X3017" s="2">
        <f ca="1"/>
        <v>51.853901994124755</v>
      </c>
      <c r="AG3017" s="2">
        <f ca="1"/>
        <v>7.5684273839321303E-2</v>
      </c>
      <c r="AH3017" s="2" t="str">
        <f ca="1"/>
        <v>OK</v>
      </c>
    </row>
    <row r="3018" spans="2:34" x14ac:dyDescent="0.2">
      <c r="B3018" s="2">
        <f ca="1"/>
        <v>0.4478836511336417</v>
      </c>
      <c r="O3018" s="2">
        <f ca="1"/>
        <v>-0.53853435506124958</v>
      </c>
      <c r="X3018" s="2">
        <f ca="1"/>
        <v>30.988834336178662</v>
      </c>
      <c r="AG3018" s="2">
        <f ca="1"/>
        <v>0.18105812328477255</v>
      </c>
      <c r="AH3018" s="2" t="str">
        <f ca="1"/>
        <v>OK</v>
      </c>
    </row>
    <row r="3019" spans="2:34" x14ac:dyDescent="0.2">
      <c r="B3019" s="2">
        <f ca="1"/>
        <v>0.52264810894906888</v>
      </c>
      <c r="O3019" s="2">
        <f ca="1"/>
        <v>-0.22707527661252735</v>
      </c>
      <c r="X3019" s="2">
        <f ca="1"/>
        <v>43.601311373027166</v>
      </c>
      <c r="AG3019" s="2">
        <f ca="1"/>
        <v>0.39215478674088255</v>
      </c>
      <c r="AH3019" s="2" t="str">
        <f ca="1"/>
        <v>OK</v>
      </c>
    </row>
    <row r="3020" spans="2:34" x14ac:dyDescent="0.2">
      <c r="B3020" s="2">
        <f ca="1"/>
        <v>0.73350360191959596</v>
      </c>
      <c r="O3020" s="2">
        <f ca="1"/>
        <v>-1.3918428724425385</v>
      </c>
      <c r="X3020" s="2">
        <f ca="1"/>
        <v>31.118179786040507</v>
      </c>
      <c r="AG3020" s="2">
        <f ca="1"/>
        <v>0.12400893157949078</v>
      </c>
      <c r="AH3020" s="2" t="str">
        <f ca="1"/>
        <v>OK</v>
      </c>
    </row>
    <row r="3021" spans="2:34" x14ac:dyDescent="0.2">
      <c r="B3021" s="2">
        <f ca="1"/>
        <v>0.22383628310598591</v>
      </c>
      <c r="O3021" s="2">
        <f ca="1"/>
        <v>-0.69205246257162967</v>
      </c>
      <c r="X3021" s="2">
        <f ca="1"/>
        <v>19.998570573657474</v>
      </c>
      <c r="AG3021" s="2">
        <f ca="1"/>
        <v>0.92214081933159786</v>
      </c>
      <c r="AH3021" s="2" t="str">
        <f ca="1"/>
        <v>Bad</v>
      </c>
    </row>
    <row r="3022" spans="2:34" x14ac:dyDescent="0.2">
      <c r="B3022" s="2">
        <f ca="1"/>
        <v>0.86494243300792251</v>
      </c>
      <c r="O3022" s="2">
        <f ca="1"/>
        <v>-0.29255344287614538</v>
      </c>
      <c r="X3022" s="2">
        <f ca="1"/>
        <v>67.743444771710998</v>
      </c>
      <c r="AG3022" s="2">
        <f ca="1"/>
        <v>0.42477973765866595</v>
      </c>
      <c r="AH3022" s="2" t="str">
        <f ca="1"/>
        <v>Bad</v>
      </c>
    </row>
    <row r="3023" spans="2:34" x14ac:dyDescent="0.2">
      <c r="B3023" s="2">
        <f ca="1"/>
        <v>0.9929740583009441</v>
      </c>
      <c r="O3023" s="2">
        <f ca="1"/>
        <v>-0.79811088137265762</v>
      </c>
      <c r="X3023" s="2">
        <f ca="1"/>
        <v>81.622898509266207</v>
      </c>
      <c r="AG3023" s="2">
        <f ca="1"/>
        <v>8.4043296624981112E-2</v>
      </c>
      <c r="AH3023" s="2" t="str">
        <f ca="1"/>
        <v>OK</v>
      </c>
    </row>
    <row r="3024" spans="2:34" x14ac:dyDescent="0.2">
      <c r="B3024" s="2">
        <f ca="1"/>
        <v>0.91941926517959671</v>
      </c>
      <c r="O3024" s="2">
        <f ca="1"/>
        <v>0.56037153413997942</v>
      </c>
      <c r="X3024" s="2">
        <f ca="1"/>
        <v>33.021224206634685</v>
      </c>
      <c r="AG3024" s="2">
        <f ca="1"/>
        <v>0.48490611528461347</v>
      </c>
      <c r="AH3024" s="2" t="str">
        <f ca="1"/>
        <v>Bad</v>
      </c>
    </row>
    <row r="3025" spans="2:34" x14ac:dyDescent="0.2">
      <c r="B3025" s="2">
        <f ca="1"/>
        <v>0.4304470838503951</v>
      </c>
      <c r="O3025" s="2">
        <f ca="1"/>
        <v>1.5311055728787357</v>
      </c>
      <c r="X3025" s="2">
        <f ca="1"/>
        <v>37.507037896350319</v>
      </c>
      <c r="AG3025" s="2">
        <f ca="1"/>
        <v>0.56956116868074691</v>
      </c>
      <c r="AH3025" s="2" t="str">
        <f ca="1"/>
        <v>Bad</v>
      </c>
    </row>
    <row r="3026" spans="2:34" x14ac:dyDescent="0.2">
      <c r="B3026" s="2">
        <f ca="1"/>
        <v>0.53383398973408824</v>
      </c>
      <c r="O3026" s="2">
        <f ca="1"/>
        <v>-0.51429732233282266</v>
      </c>
      <c r="X3026" s="2">
        <f ca="1"/>
        <v>82.908475538471293</v>
      </c>
      <c r="AG3026" s="2">
        <f ca="1"/>
        <v>0.82223899233635267</v>
      </c>
      <c r="AH3026" s="2" t="str">
        <f ca="1"/>
        <v>Bad</v>
      </c>
    </row>
    <row r="3027" spans="2:34" x14ac:dyDescent="0.2">
      <c r="B3027" s="2">
        <f ca="1"/>
        <v>0.31117528081466839</v>
      </c>
      <c r="O3027" s="2">
        <f ca="1"/>
        <v>-0.52808602366362012</v>
      </c>
      <c r="X3027" s="2">
        <f ca="1"/>
        <v>65.670289560334922</v>
      </c>
      <c r="AG3027" s="2">
        <f ca="1"/>
        <v>0.47877024971511317</v>
      </c>
      <c r="AH3027" s="2" t="str">
        <f ca="1"/>
        <v>Bad</v>
      </c>
    </row>
    <row r="3028" spans="2:34" x14ac:dyDescent="0.2">
      <c r="B3028" s="2">
        <f ca="1"/>
        <v>2.4084018933348217E-2</v>
      </c>
      <c r="O3028" s="2">
        <f ca="1"/>
        <v>-1.3833997282970936</v>
      </c>
      <c r="X3028" s="2">
        <f ca="1"/>
        <v>39.808986232532469</v>
      </c>
      <c r="AG3028" s="2">
        <f ca="1"/>
        <v>0.6067773634458582</v>
      </c>
      <c r="AH3028" s="2" t="str">
        <f ca="1"/>
        <v>Bad</v>
      </c>
    </row>
    <row r="3029" spans="2:34" x14ac:dyDescent="0.2">
      <c r="B3029" s="2">
        <f ca="1"/>
        <v>0.43683634573107399</v>
      </c>
      <c r="O3029" s="2">
        <f ca="1"/>
        <v>1.033762611634033</v>
      </c>
      <c r="X3029" s="2">
        <f ca="1"/>
        <v>35.906522301170696</v>
      </c>
      <c r="AG3029" s="2">
        <f ca="1"/>
        <v>0.47499861782184971</v>
      </c>
      <c r="AH3029" s="2" t="str">
        <f ca="1"/>
        <v>Bad</v>
      </c>
    </row>
    <row r="3030" spans="2:34" x14ac:dyDescent="0.2">
      <c r="B3030" s="2">
        <f ca="1"/>
        <v>0.28200225218499098</v>
      </c>
      <c r="O3030" s="2">
        <f ca="1"/>
        <v>-0.84408134255473799</v>
      </c>
      <c r="X3030" s="2">
        <f ca="1"/>
        <v>40.428160484402412</v>
      </c>
      <c r="AG3030" s="2">
        <f ca="1"/>
        <v>0.52490695428338263</v>
      </c>
      <c r="AH3030" s="2" t="str">
        <f ca="1"/>
        <v>Bad</v>
      </c>
    </row>
    <row r="3031" spans="2:34" x14ac:dyDescent="0.2">
      <c r="B3031" s="2">
        <f ca="1"/>
        <v>0.4068885934655353</v>
      </c>
      <c r="O3031" s="2">
        <f ca="1"/>
        <v>1.667564239512348</v>
      </c>
      <c r="X3031" s="2">
        <f ca="1"/>
        <v>69.117297392114409</v>
      </c>
      <c r="AG3031" s="2">
        <f ca="1"/>
        <v>0.18938343639193334</v>
      </c>
      <c r="AH3031" s="2" t="str">
        <f ca="1"/>
        <v>OK</v>
      </c>
    </row>
    <row r="3032" spans="2:34" x14ac:dyDescent="0.2">
      <c r="B3032" s="2">
        <f ca="1"/>
        <v>0.31875097491906779</v>
      </c>
      <c r="O3032" s="2">
        <f ca="1"/>
        <v>0.9492624234438185</v>
      </c>
      <c r="X3032" s="2">
        <f ca="1"/>
        <v>36.639565672249205</v>
      </c>
      <c r="AG3032" s="2">
        <f ca="1"/>
        <v>0.66887766631978152</v>
      </c>
      <c r="AH3032" s="2" t="str">
        <f ca="1"/>
        <v>Bad</v>
      </c>
    </row>
    <row r="3033" spans="2:34" x14ac:dyDescent="0.2">
      <c r="B3033" s="2">
        <f ca="1"/>
        <v>4.7807730086739886E-2</v>
      </c>
      <c r="O3033" s="2">
        <f ca="1"/>
        <v>0.42112943692228161</v>
      </c>
      <c r="X3033" s="2">
        <f ca="1"/>
        <v>70.520641560091136</v>
      </c>
      <c r="AG3033" s="2">
        <f ca="1"/>
        <v>0.93560198568219022</v>
      </c>
      <c r="AH3033" s="2" t="str">
        <f ca="1"/>
        <v>Bad</v>
      </c>
    </row>
    <row r="3034" spans="2:34" x14ac:dyDescent="0.2">
      <c r="B3034" s="2">
        <f ca="1"/>
        <v>0.69443061028302489</v>
      </c>
      <c r="O3034" s="2">
        <f ca="1"/>
        <v>-1.0307036047498983</v>
      </c>
      <c r="X3034" s="2">
        <f ca="1"/>
        <v>64.725630164089736</v>
      </c>
      <c r="AG3034" s="2">
        <f ca="1"/>
        <v>0.67619502896348904</v>
      </c>
      <c r="AH3034" s="2" t="str">
        <f ca="1"/>
        <v>Bad</v>
      </c>
    </row>
    <row r="3035" spans="2:34" x14ac:dyDescent="0.2">
      <c r="B3035" s="2">
        <f ca="1"/>
        <v>0.13482125106604737</v>
      </c>
      <c r="O3035" s="2">
        <f ca="1"/>
        <v>0.12984946326669108</v>
      </c>
      <c r="X3035" s="2">
        <f ca="1"/>
        <v>33.971131372307312</v>
      </c>
      <c r="AG3035" s="2">
        <f ca="1"/>
        <v>0.14205644082807467</v>
      </c>
      <c r="AH3035" s="2" t="str">
        <f ca="1"/>
        <v>OK</v>
      </c>
    </row>
    <row r="3036" spans="2:34" x14ac:dyDescent="0.2">
      <c r="B3036" s="2">
        <f ca="1"/>
        <v>0.93614446204403912</v>
      </c>
      <c r="O3036" s="2">
        <f ca="1"/>
        <v>1.7341919209886176</v>
      </c>
      <c r="X3036" s="2">
        <f ca="1"/>
        <v>82.796883767280661</v>
      </c>
      <c r="AG3036" s="2">
        <f ca="1"/>
        <v>0.24330842044369283</v>
      </c>
      <c r="AH3036" s="2" t="str">
        <f ca="1"/>
        <v>OK</v>
      </c>
    </row>
    <row r="3037" spans="2:34" x14ac:dyDescent="0.2">
      <c r="B3037" s="2">
        <f ca="1"/>
        <v>0.37361502213381859</v>
      </c>
      <c r="O3037" s="2">
        <f ca="1"/>
        <v>0.20434062445742948</v>
      </c>
      <c r="X3037" s="2">
        <f ca="1"/>
        <v>25.536059800132328</v>
      </c>
      <c r="AG3037" s="2">
        <f ca="1"/>
        <v>0.92320181148886538</v>
      </c>
      <c r="AH3037" s="2" t="str">
        <f ca="1"/>
        <v>Bad</v>
      </c>
    </row>
    <row r="3038" spans="2:34" x14ac:dyDescent="0.2">
      <c r="B3038" s="2">
        <f ca="1"/>
        <v>0.72754786692014561</v>
      </c>
      <c r="O3038" s="2">
        <f ca="1"/>
        <v>0.19885721738297607</v>
      </c>
      <c r="X3038" s="2">
        <f ca="1"/>
        <v>41.40831682994979</v>
      </c>
      <c r="AG3038" s="2">
        <f ca="1"/>
        <v>0.80078815705301176</v>
      </c>
      <c r="AH3038" s="2" t="str">
        <f ca="1"/>
        <v>Bad</v>
      </c>
    </row>
    <row r="3039" spans="2:34" x14ac:dyDescent="0.2">
      <c r="B3039" s="2">
        <f ca="1"/>
        <v>0.34360503139443965</v>
      </c>
      <c r="O3039" s="2">
        <f ca="1"/>
        <v>-1.4892317759771552</v>
      </c>
      <c r="X3039" s="2">
        <f ca="1"/>
        <v>74.179252092581436</v>
      </c>
      <c r="AG3039" s="2">
        <f ca="1"/>
        <v>8.8941074210893811E-2</v>
      </c>
      <c r="AH3039" s="2" t="str">
        <f ca="1"/>
        <v>OK</v>
      </c>
    </row>
    <row r="3040" spans="2:34" x14ac:dyDescent="0.2">
      <c r="B3040" s="2">
        <f ca="1"/>
        <v>0.6542001321002382</v>
      </c>
      <c r="O3040" s="2">
        <f ca="1"/>
        <v>-0.31938580622160923</v>
      </c>
      <c r="X3040" s="2">
        <f ca="1"/>
        <v>35.671122858069154</v>
      </c>
      <c r="AG3040" s="2">
        <f ca="1"/>
        <v>4.1571653660076091E-2</v>
      </c>
      <c r="AH3040" s="2" t="str">
        <f ca="1"/>
        <v>Good</v>
      </c>
    </row>
    <row r="3041" spans="2:34" x14ac:dyDescent="0.2">
      <c r="B3041" s="2">
        <f ca="1"/>
        <v>0.81795893441008705</v>
      </c>
      <c r="O3041" s="2">
        <f ca="1"/>
        <v>0.93330620542400911</v>
      </c>
      <c r="X3041" s="2">
        <f ca="1"/>
        <v>47.111557347821822</v>
      </c>
      <c r="AG3041" s="2">
        <f ca="1"/>
        <v>0.99165988083429313</v>
      </c>
      <c r="AH3041" s="2" t="str">
        <f ca="1"/>
        <v>Bad</v>
      </c>
    </row>
    <row r="3042" spans="2:34" x14ac:dyDescent="0.2">
      <c r="B3042" s="2">
        <f ca="1"/>
        <v>0.57566809340726133</v>
      </c>
      <c r="O3042" s="2">
        <f ca="1"/>
        <v>0.2569438576910848</v>
      </c>
      <c r="X3042" s="2">
        <f ca="1"/>
        <v>51.914264477199509</v>
      </c>
      <c r="AG3042" s="2">
        <f ca="1"/>
        <v>0.97735936891958675</v>
      </c>
      <c r="AH3042" s="2" t="str">
        <f ca="1"/>
        <v>Bad</v>
      </c>
    </row>
    <row r="3043" spans="2:34" x14ac:dyDescent="0.2">
      <c r="B3043" s="2">
        <f ca="1"/>
        <v>0.76890702841718261</v>
      </c>
      <c r="O3043" s="2">
        <f ca="1"/>
        <v>-1.0100094672154085</v>
      </c>
      <c r="X3043" s="2">
        <f ca="1"/>
        <v>40.320677989409873</v>
      </c>
      <c r="AG3043" s="2">
        <f ca="1"/>
        <v>0.96714105026579711</v>
      </c>
      <c r="AH3043" s="2" t="str">
        <f ca="1"/>
        <v>Bad</v>
      </c>
    </row>
    <row r="3044" spans="2:34" x14ac:dyDescent="0.2">
      <c r="B3044" s="2">
        <f ca="1"/>
        <v>0.45148788864562994</v>
      </c>
      <c r="O3044" s="2">
        <f ca="1"/>
        <v>-1.5826864351432997</v>
      </c>
      <c r="X3044" s="2">
        <f ca="1"/>
        <v>54.065682667449018</v>
      </c>
      <c r="AG3044" s="2">
        <f ca="1"/>
        <v>0.5177725345593458</v>
      </c>
      <c r="AH3044" s="2" t="str">
        <f ca="1"/>
        <v>Bad</v>
      </c>
    </row>
    <row r="3045" spans="2:34" x14ac:dyDescent="0.2">
      <c r="B3045" s="2">
        <f ca="1"/>
        <v>4.3339391241234759E-2</v>
      </c>
      <c r="O3045" s="2">
        <f ca="1"/>
        <v>0.58033914435806866</v>
      </c>
      <c r="X3045" s="2">
        <f ca="1"/>
        <v>60.485898710699509</v>
      </c>
      <c r="AG3045" s="2">
        <f ca="1"/>
        <v>5.2170425701268508E-2</v>
      </c>
      <c r="AH3045" s="2" t="str">
        <f ca="1"/>
        <v>OK</v>
      </c>
    </row>
    <row r="3046" spans="2:34" x14ac:dyDescent="0.2">
      <c r="B3046" s="2">
        <f ca="1"/>
        <v>0.65773462549665962</v>
      </c>
      <c r="O3046" s="2">
        <f ca="1"/>
        <v>-1.4703231699392589</v>
      </c>
      <c r="X3046" s="2">
        <f ca="1"/>
        <v>28.773049475701981</v>
      </c>
      <c r="AG3046" s="2">
        <f ca="1"/>
        <v>0.26922563606483663</v>
      </c>
      <c r="AH3046" s="2" t="str">
        <f ca="1"/>
        <v>OK</v>
      </c>
    </row>
    <row r="3047" spans="2:34" x14ac:dyDescent="0.2">
      <c r="B3047" s="2">
        <f ca="1"/>
        <v>0.3370101463270101</v>
      </c>
      <c r="O3047" s="2">
        <f ca="1"/>
        <v>-2.4886506335908307</v>
      </c>
      <c r="X3047" s="2">
        <f ca="1"/>
        <v>66.846948067827867</v>
      </c>
      <c r="AG3047" s="2">
        <f ca="1"/>
        <v>0.86055824933548064</v>
      </c>
      <c r="AH3047" s="2" t="str">
        <f ca="1"/>
        <v>Bad</v>
      </c>
    </row>
    <row r="3048" spans="2:34" x14ac:dyDescent="0.2">
      <c r="B3048" s="2">
        <f ca="1"/>
        <v>0.13139753257975317</v>
      </c>
      <c r="O3048" s="2">
        <f ca="1"/>
        <v>-0.64929722581112925</v>
      </c>
      <c r="X3048" s="2">
        <f ca="1"/>
        <v>23.208464550048149</v>
      </c>
      <c r="AG3048" s="2">
        <f ca="1"/>
        <v>0.42747989275353704</v>
      </c>
      <c r="AH3048" s="2" t="str">
        <f ca="1"/>
        <v>Bad</v>
      </c>
    </row>
    <row r="3049" spans="2:34" x14ac:dyDescent="0.2">
      <c r="B3049" s="2">
        <f ca="1"/>
        <v>0.58944664814163295</v>
      </c>
      <c r="O3049" s="2">
        <f ca="1"/>
        <v>-1.5225456595401592</v>
      </c>
      <c r="X3049" s="2">
        <f ca="1"/>
        <v>60.151864493131832</v>
      </c>
      <c r="AG3049" s="2">
        <f ca="1"/>
        <v>0.47586037776385415</v>
      </c>
      <c r="AH3049" s="2" t="str">
        <f ca="1"/>
        <v>Bad</v>
      </c>
    </row>
    <row r="3050" spans="2:34" x14ac:dyDescent="0.2">
      <c r="B3050" s="2">
        <f ca="1"/>
        <v>0.3046445215579654</v>
      </c>
      <c r="O3050" s="2">
        <f ca="1"/>
        <v>-1.1600433061230997</v>
      </c>
      <c r="X3050" s="2">
        <f ca="1"/>
        <v>54.137627668423256</v>
      </c>
      <c r="AG3050" s="2">
        <f ca="1"/>
        <v>0.22324135421586822</v>
      </c>
      <c r="AH3050" s="2" t="str">
        <f ca="1"/>
        <v>OK</v>
      </c>
    </row>
    <row r="3051" spans="2:34" x14ac:dyDescent="0.2">
      <c r="B3051" s="2">
        <f ca="1"/>
        <v>0.26769718635156026</v>
      </c>
      <c r="O3051" s="2">
        <f ca="1"/>
        <v>0.35274042848635656</v>
      </c>
      <c r="X3051" s="2">
        <f ca="1"/>
        <v>47.537796910186756</v>
      </c>
      <c r="AG3051" s="2">
        <f ca="1"/>
        <v>0.41250310645271537</v>
      </c>
      <c r="AH3051" s="2" t="str">
        <f ca="1"/>
        <v>Bad</v>
      </c>
    </row>
    <row r="3052" spans="2:34" x14ac:dyDescent="0.2">
      <c r="B3052" s="2">
        <f ca="1"/>
        <v>0.62100064897899121</v>
      </c>
      <c r="O3052" s="2">
        <f ca="1"/>
        <v>1.2683117076367381</v>
      </c>
      <c r="X3052" s="2">
        <f ca="1"/>
        <v>62.3799527556817</v>
      </c>
      <c r="AG3052" s="2">
        <f ca="1"/>
        <v>0.65653895628644765</v>
      </c>
      <c r="AH3052" s="2" t="str">
        <f ca="1"/>
        <v>Bad</v>
      </c>
    </row>
    <row r="3053" spans="2:34" x14ac:dyDescent="0.2">
      <c r="B3053" s="2">
        <f ca="1"/>
        <v>0.28542829411422166</v>
      </c>
      <c r="O3053" s="2">
        <f ca="1"/>
        <v>-0.85567870180871353</v>
      </c>
      <c r="X3053" s="2">
        <f ca="1"/>
        <v>70.632392141785814</v>
      </c>
      <c r="AG3053" s="2">
        <f ca="1"/>
        <v>0.10860874001165355</v>
      </c>
      <c r="AH3053" s="2" t="str">
        <f ca="1"/>
        <v>OK</v>
      </c>
    </row>
    <row r="3054" spans="2:34" x14ac:dyDescent="0.2">
      <c r="B3054" s="2">
        <f ca="1"/>
        <v>0.57716661343242537</v>
      </c>
      <c r="O3054" s="2">
        <f ca="1"/>
        <v>-8.1342462880873462E-2</v>
      </c>
      <c r="X3054" s="2">
        <f ca="1"/>
        <v>34.9032079521821</v>
      </c>
      <c r="AG3054" s="2">
        <f ca="1"/>
        <v>0.29836411155520803</v>
      </c>
      <c r="AH3054" s="2" t="str">
        <f ca="1"/>
        <v>OK</v>
      </c>
    </row>
    <row r="3055" spans="2:34" x14ac:dyDescent="0.2">
      <c r="B3055" s="2">
        <f ca="1"/>
        <v>0.38870728294055334</v>
      </c>
      <c r="O3055" s="2">
        <f ca="1"/>
        <v>0.96739330333324958</v>
      </c>
      <c r="X3055" s="2">
        <f ca="1"/>
        <v>55.03063767113855</v>
      </c>
      <c r="AG3055" s="2">
        <f ca="1"/>
        <v>0.91661393276868885</v>
      </c>
      <c r="AH3055" s="2" t="str">
        <f ca="1"/>
        <v>Bad</v>
      </c>
    </row>
    <row r="3056" spans="2:34" x14ac:dyDescent="0.2">
      <c r="B3056" s="2">
        <f ca="1"/>
        <v>0.66033423442144223</v>
      </c>
      <c r="O3056" s="2">
        <f ca="1"/>
        <v>2.7204093472789324</v>
      </c>
      <c r="X3056" s="2">
        <f ca="1"/>
        <v>23.757403741153283</v>
      </c>
      <c r="AG3056" s="2">
        <f ca="1"/>
        <v>0.77935072823710683</v>
      </c>
      <c r="AH3056" s="2" t="str">
        <f ca="1"/>
        <v>Bad</v>
      </c>
    </row>
    <row r="3057" spans="2:34" x14ac:dyDescent="0.2">
      <c r="B3057" s="2">
        <f ca="1"/>
        <v>0.77097255968570422</v>
      </c>
      <c r="O3057" s="2">
        <f ca="1"/>
        <v>-2.0072075159799865</v>
      </c>
      <c r="X3057" s="2">
        <f ca="1"/>
        <v>28.573497968793266</v>
      </c>
      <c r="AG3057" s="2">
        <f ca="1"/>
        <v>0.85392072436961675</v>
      </c>
      <c r="AH3057" s="2" t="str">
        <f ca="1"/>
        <v>Bad</v>
      </c>
    </row>
    <row r="3058" spans="2:34" x14ac:dyDescent="0.2">
      <c r="B3058" s="2">
        <f ca="1"/>
        <v>0.33767993220158488</v>
      </c>
      <c r="O3058" s="2">
        <f ca="1"/>
        <v>-1.1091066565208754</v>
      </c>
      <c r="X3058" s="2">
        <f ca="1"/>
        <v>36.9643394863186</v>
      </c>
      <c r="AG3058" s="2">
        <f ca="1"/>
        <v>0.96695423599550701</v>
      </c>
      <c r="AH3058" s="2" t="str">
        <f ca="1"/>
        <v>Bad</v>
      </c>
    </row>
    <row r="3059" spans="2:34" x14ac:dyDescent="0.2">
      <c r="B3059" s="2">
        <f ca="1"/>
        <v>0.55972695270826778</v>
      </c>
      <c r="O3059" s="2">
        <f ca="1"/>
        <v>2.2061665953792144</v>
      </c>
      <c r="X3059" s="2">
        <f ca="1"/>
        <v>54.553900692101145</v>
      </c>
      <c r="AG3059" s="2">
        <f ca="1"/>
        <v>0.30485000794579675</v>
      </c>
      <c r="AH3059" s="2" t="str">
        <f ca="1"/>
        <v>OK</v>
      </c>
    </row>
    <row r="3060" spans="2:34" x14ac:dyDescent="0.2">
      <c r="B3060" s="2">
        <f ca="1"/>
        <v>0.54196460264553181</v>
      </c>
      <c r="O3060" s="2">
        <f ca="1"/>
        <v>2.3587696520141974</v>
      </c>
      <c r="X3060" s="2">
        <f ca="1"/>
        <v>41.038448488917751</v>
      </c>
      <c r="AG3060" s="2">
        <f ca="1"/>
        <v>0.50601099922548021</v>
      </c>
      <c r="AH3060" s="2" t="str">
        <f ca="1"/>
        <v>Bad</v>
      </c>
    </row>
    <row r="3061" spans="2:34" x14ac:dyDescent="0.2">
      <c r="B3061" s="2">
        <f ca="1"/>
        <v>0.73857050141470082</v>
      </c>
      <c r="O3061" s="2">
        <f ca="1"/>
        <v>-1.1381248430889075</v>
      </c>
      <c r="X3061" s="2">
        <f ca="1"/>
        <v>40.839146307882935</v>
      </c>
      <c r="AG3061" s="2">
        <f ca="1"/>
        <v>0.90677994405687179</v>
      </c>
      <c r="AH3061" s="2" t="str">
        <f ca="1"/>
        <v>Bad</v>
      </c>
    </row>
    <row r="3062" spans="2:34" x14ac:dyDescent="0.2">
      <c r="B3062" s="2">
        <f ca="1"/>
        <v>4.1878610283005768E-2</v>
      </c>
      <c r="O3062" s="2">
        <f ca="1"/>
        <v>0.70965575665709413</v>
      </c>
      <c r="X3062" s="2">
        <f ca="1"/>
        <v>65.479386851331384</v>
      </c>
      <c r="AG3062" s="2">
        <f ca="1"/>
        <v>2.0006123777362106E-2</v>
      </c>
      <c r="AH3062" s="2" t="str">
        <f ca="1"/>
        <v>Good</v>
      </c>
    </row>
    <row r="3063" spans="2:34" x14ac:dyDescent="0.2">
      <c r="B3063" s="2">
        <f ca="1"/>
        <v>0.91724623258281679</v>
      </c>
      <c r="O3063" s="2">
        <f ca="1"/>
        <v>0.62241017699356771</v>
      </c>
      <c r="X3063" s="2">
        <f ca="1"/>
        <v>41.574159198480302</v>
      </c>
      <c r="AG3063" s="2">
        <f ca="1"/>
        <v>0.30035188201593344</v>
      </c>
      <c r="AH3063" s="2" t="str">
        <f ca="1"/>
        <v>OK</v>
      </c>
    </row>
    <row r="3064" spans="2:34" x14ac:dyDescent="0.2">
      <c r="B3064" s="2">
        <f ca="1"/>
        <v>0.77443265352708157</v>
      </c>
      <c r="O3064" s="2">
        <f ca="1"/>
        <v>0.39808481860375361</v>
      </c>
      <c r="X3064" s="2">
        <f ca="1"/>
        <v>60.744201992303744</v>
      </c>
      <c r="AG3064" s="2">
        <f ca="1"/>
        <v>0.13836268628815129</v>
      </c>
      <c r="AH3064" s="2" t="str">
        <f ca="1"/>
        <v>OK</v>
      </c>
    </row>
    <row r="3065" spans="2:34" x14ac:dyDescent="0.2">
      <c r="B3065" s="2">
        <f ca="1"/>
        <v>0.37028802751675238</v>
      </c>
      <c r="O3065" s="2">
        <f ca="1"/>
        <v>0.69778728917000754</v>
      </c>
      <c r="X3065" s="2">
        <f ca="1"/>
        <v>65.669937741906196</v>
      </c>
      <c r="AG3065" s="2">
        <f ca="1"/>
        <v>0.8776578534611994</v>
      </c>
      <c r="AH3065" s="2" t="str">
        <f ca="1"/>
        <v>Bad</v>
      </c>
    </row>
    <row r="3066" spans="2:34" x14ac:dyDescent="0.2">
      <c r="B3066" s="2">
        <f ca="1"/>
        <v>0.96792599534292934</v>
      </c>
      <c r="O3066" s="2">
        <f ca="1"/>
        <v>0.68060200577104923</v>
      </c>
      <c r="X3066" s="2">
        <f ca="1"/>
        <v>37.593324705180954</v>
      </c>
      <c r="AG3066" s="2">
        <f ca="1"/>
        <v>9.9277795501286903E-2</v>
      </c>
      <c r="AH3066" s="2" t="str">
        <f ca="1"/>
        <v>OK</v>
      </c>
    </row>
    <row r="3067" spans="2:34" x14ac:dyDescent="0.2">
      <c r="B3067" s="2">
        <f ca="1"/>
        <v>0.20027668767225948</v>
      </c>
      <c r="O3067" s="2">
        <f ca="1"/>
        <v>-4.2640463319210231E-2</v>
      </c>
      <c r="X3067" s="2">
        <f ca="1"/>
        <v>58.02101146177052</v>
      </c>
      <c r="AG3067" s="2">
        <f ca="1"/>
        <v>0.93534636736111421</v>
      </c>
      <c r="AH3067" s="2" t="str">
        <f ca="1"/>
        <v>Bad</v>
      </c>
    </row>
    <row r="3068" spans="2:34" x14ac:dyDescent="0.2">
      <c r="B3068" s="2">
        <f ca="1"/>
        <v>0.55101193706934271</v>
      </c>
      <c r="O3068" s="2">
        <f ca="1"/>
        <v>-0.16580558144983243</v>
      </c>
      <c r="X3068" s="2">
        <f ca="1"/>
        <v>41.111717167831671</v>
      </c>
      <c r="AG3068" s="2">
        <f ca="1"/>
        <v>0.68312236981774377</v>
      </c>
      <c r="AH3068" s="2" t="str">
        <f ca="1"/>
        <v>Bad</v>
      </c>
    </row>
    <row r="3069" spans="2:34" x14ac:dyDescent="0.2">
      <c r="B3069" s="2">
        <f ca="1"/>
        <v>0.86835333538909687</v>
      </c>
      <c r="O3069" s="2">
        <f ca="1"/>
        <v>3.6721803785476195</v>
      </c>
      <c r="X3069" s="2">
        <f ca="1"/>
        <v>46.869255411184753</v>
      </c>
      <c r="AG3069" s="2">
        <f ca="1"/>
        <v>0.31162450531033814</v>
      </c>
      <c r="AH3069" s="2" t="str">
        <f ca="1"/>
        <v>OK</v>
      </c>
    </row>
    <row r="3070" spans="2:34" x14ac:dyDescent="0.2">
      <c r="B3070" s="2">
        <f ca="1"/>
        <v>0.17460512571073949</v>
      </c>
      <c r="O3070" s="2">
        <f ca="1"/>
        <v>1.629585156469112</v>
      </c>
      <c r="X3070" s="2">
        <f ca="1"/>
        <v>44.828769216291036</v>
      </c>
      <c r="AG3070" s="2">
        <f ca="1"/>
        <v>0.57119255305177163</v>
      </c>
      <c r="AH3070" s="2" t="str">
        <f ca="1"/>
        <v>Bad</v>
      </c>
    </row>
    <row r="3071" spans="2:34" x14ac:dyDescent="0.2">
      <c r="B3071" s="2">
        <f ca="1"/>
        <v>0.65319351589334262</v>
      </c>
      <c r="O3071" s="2">
        <f ca="1"/>
        <v>6.9818137304427624E-2</v>
      </c>
      <c r="X3071" s="2">
        <f ca="1"/>
        <v>68.041293415921317</v>
      </c>
      <c r="AG3071" s="2">
        <f ca="1"/>
        <v>0.40644727415302606</v>
      </c>
      <c r="AH3071" s="2" t="str">
        <f ca="1"/>
        <v>Bad</v>
      </c>
    </row>
    <row r="3072" spans="2:34" x14ac:dyDescent="0.2">
      <c r="B3072" s="2">
        <f ca="1"/>
        <v>4.2567381846747798E-2</v>
      </c>
      <c r="O3072" s="2">
        <f ca="1"/>
        <v>1.1215671270921204</v>
      </c>
      <c r="X3072" s="2">
        <f ca="1"/>
        <v>56.716244836191201</v>
      </c>
      <c r="AG3072" s="2">
        <f ca="1"/>
        <v>0.33312866168399946</v>
      </c>
      <c r="AH3072" s="2" t="str">
        <f ca="1"/>
        <v>OK</v>
      </c>
    </row>
    <row r="3073" spans="2:34" x14ac:dyDescent="0.2">
      <c r="B3073" s="2">
        <f ca="1"/>
        <v>0.60606947257844768</v>
      </c>
      <c r="O3073" s="2">
        <f ca="1"/>
        <v>0.65076722957729827</v>
      </c>
      <c r="X3073" s="2">
        <f ca="1"/>
        <v>35.386275996864221</v>
      </c>
      <c r="AG3073" s="2">
        <f ca="1"/>
        <v>0.89380086292288818</v>
      </c>
      <c r="AH3073" s="2" t="str">
        <f ca="1"/>
        <v>Bad</v>
      </c>
    </row>
    <row r="3074" spans="2:34" x14ac:dyDescent="0.2">
      <c r="B3074" s="2">
        <f ca="1"/>
        <v>0.68329895366488214</v>
      </c>
      <c r="O3074" s="2">
        <f ca="1"/>
        <v>-1.0885050925646924</v>
      </c>
      <c r="X3074" s="2">
        <f ca="1"/>
        <v>26.165218193860031</v>
      </c>
      <c r="AG3074" s="2">
        <f ca="1"/>
        <v>0.45474250061584787</v>
      </c>
      <c r="AH3074" s="2" t="str">
        <f ca="1"/>
        <v>Bad</v>
      </c>
    </row>
    <row r="3075" spans="2:34" x14ac:dyDescent="0.2">
      <c r="B3075" s="2">
        <f ca="1"/>
        <v>0.55647494992509294</v>
      </c>
      <c r="O3075" s="2">
        <f ca="1"/>
        <v>-1.9831723387420603</v>
      </c>
      <c r="X3075" s="2">
        <f ca="1"/>
        <v>99.301300519559703</v>
      </c>
      <c r="AG3075" s="2">
        <f ca="1"/>
        <v>0.67317106027513263</v>
      </c>
      <c r="AH3075" s="2" t="str">
        <f ca="1"/>
        <v>Bad</v>
      </c>
    </row>
    <row r="3076" spans="2:34" x14ac:dyDescent="0.2">
      <c r="B3076" s="2">
        <f ca="1"/>
        <v>0.97461664869343578</v>
      </c>
      <c r="O3076" s="2">
        <f ca="1"/>
        <v>1.1440639385810514</v>
      </c>
      <c r="X3076" s="2">
        <f ca="1"/>
        <v>37.261673766802026</v>
      </c>
      <c r="AG3076" s="2">
        <f ca="1"/>
        <v>0.19670706027922269</v>
      </c>
      <c r="AH3076" s="2" t="str">
        <f ca="1"/>
        <v>OK</v>
      </c>
    </row>
    <row r="3077" spans="2:34" x14ac:dyDescent="0.2">
      <c r="B3077" s="2">
        <f ca="1"/>
        <v>0.41390362858073759</v>
      </c>
      <c r="O3077" s="2">
        <f ca="1"/>
        <v>-0.58970881505438344</v>
      </c>
      <c r="X3077" s="2">
        <f ca="1"/>
        <v>29.272684421484719</v>
      </c>
      <c r="AG3077" s="2">
        <f ca="1"/>
        <v>7.5050758016730335E-2</v>
      </c>
      <c r="AH3077" s="2" t="str">
        <f ca="1"/>
        <v>OK</v>
      </c>
    </row>
    <row r="3078" spans="2:34" x14ac:dyDescent="0.2">
      <c r="B3078" s="2">
        <f ca="1"/>
        <v>0.82172051882923713</v>
      </c>
      <c r="O3078" s="2">
        <f ca="1"/>
        <v>-1.5984407401192811</v>
      </c>
      <c r="X3078" s="2">
        <f ca="1"/>
        <v>31.215477354269222</v>
      </c>
      <c r="AG3078" s="2">
        <f ca="1"/>
        <v>0.11791500652086651</v>
      </c>
      <c r="AH3078" s="2" t="str">
        <f ca="1"/>
        <v>OK</v>
      </c>
    </row>
    <row r="3079" spans="2:34" x14ac:dyDescent="0.2">
      <c r="B3079" s="2">
        <f ca="1"/>
        <v>3.6155255571505229E-2</v>
      </c>
      <c r="O3079" s="2">
        <f ca="1"/>
        <v>0.51434396898797119</v>
      </c>
      <c r="X3079" s="2">
        <f ca="1"/>
        <v>46.713688986796754</v>
      </c>
      <c r="AG3079" s="2">
        <f ca="1"/>
        <v>0.69811263360866849</v>
      </c>
      <c r="AH3079" s="2" t="str">
        <f ca="1"/>
        <v>Bad</v>
      </c>
    </row>
    <row r="3080" spans="2:34" x14ac:dyDescent="0.2">
      <c r="B3080" s="2">
        <f ca="1"/>
        <v>3.584656910103079E-2</v>
      </c>
      <c r="O3080" s="2">
        <f ca="1"/>
        <v>-1.209965544129296</v>
      </c>
      <c r="X3080" s="2">
        <f ca="1"/>
        <v>66.254075387336684</v>
      </c>
      <c r="AG3080" s="2">
        <f ca="1"/>
        <v>0.47760095268055824</v>
      </c>
      <c r="AH3080" s="2" t="str">
        <f ca="1"/>
        <v>Bad</v>
      </c>
    </row>
    <row r="3081" spans="2:34" x14ac:dyDescent="0.2">
      <c r="B3081" s="2">
        <f ca="1"/>
        <v>0.78707576431569604</v>
      </c>
      <c r="O3081" s="2">
        <f ca="1"/>
        <v>-0.26177044018784396</v>
      </c>
      <c r="X3081" s="2">
        <f ca="1"/>
        <v>35.350974205842633</v>
      </c>
      <c r="AG3081" s="2">
        <f ca="1"/>
        <v>0.58449407880498927</v>
      </c>
      <c r="AH3081" s="2" t="str">
        <f ca="1"/>
        <v>Bad</v>
      </c>
    </row>
    <row r="3082" spans="2:34" x14ac:dyDescent="0.2">
      <c r="B3082" s="2">
        <f ca="1"/>
        <v>0.20739906978986467</v>
      </c>
      <c r="O3082" s="2">
        <f ca="1"/>
        <v>-0.51717904233836176</v>
      </c>
      <c r="X3082" s="2">
        <f ca="1"/>
        <v>51.917425660071011</v>
      </c>
      <c r="AG3082" s="2">
        <f ca="1"/>
        <v>9.0894353246435022E-2</v>
      </c>
      <c r="AH3082" s="2" t="str">
        <f ca="1"/>
        <v>OK</v>
      </c>
    </row>
    <row r="3083" spans="2:34" x14ac:dyDescent="0.2">
      <c r="B3083" s="2">
        <f ca="1"/>
        <v>0.63588171604697341</v>
      </c>
      <c r="O3083" s="2">
        <f ca="1"/>
        <v>1.1025081063564335</v>
      </c>
      <c r="X3083" s="2">
        <f ca="1"/>
        <v>40.157873158535367</v>
      </c>
      <c r="AG3083" s="2">
        <f ca="1"/>
        <v>0.41447785593062147</v>
      </c>
      <c r="AH3083" s="2" t="str">
        <f ca="1"/>
        <v>Bad</v>
      </c>
    </row>
    <row r="3084" spans="2:34" x14ac:dyDescent="0.2">
      <c r="B3084" s="2">
        <f ca="1"/>
        <v>5.2542327580451742E-2</v>
      </c>
      <c r="O3084" s="2">
        <f ca="1"/>
        <v>-0.35927110704895365</v>
      </c>
      <c r="X3084" s="2">
        <f ca="1"/>
        <v>49.229085588507672</v>
      </c>
      <c r="AG3084" s="2">
        <f ca="1"/>
        <v>0.38539979405478553</v>
      </c>
      <c r="AH3084" s="2" t="str">
        <f ca="1"/>
        <v>OK</v>
      </c>
    </row>
    <row r="3085" spans="2:34" x14ac:dyDescent="0.2">
      <c r="B3085" s="2">
        <f ca="1"/>
        <v>0.57313970851188412</v>
      </c>
      <c r="O3085" s="2">
        <f ca="1"/>
        <v>-0.26917534612741595</v>
      </c>
      <c r="X3085" s="2">
        <f ca="1"/>
        <v>52.485758801228883</v>
      </c>
      <c r="AG3085" s="2">
        <f ca="1"/>
        <v>0.95134591676128255</v>
      </c>
      <c r="AH3085" s="2" t="str">
        <f ca="1"/>
        <v>Bad</v>
      </c>
    </row>
    <row r="3086" spans="2:34" x14ac:dyDescent="0.2">
      <c r="B3086" s="2">
        <f ca="1"/>
        <v>0.93340137531917255</v>
      </c>
      <c r="O3086" s="2">
        <f ca="1"/>
        <v>-0.47844389800911252</v>
      </c>
      <c r="X3086" s="2">
        <f ca="1"/>
        <v>58.727536813917396</v>
      </c>
      <c r="AG3086" s="2">
        <f ca="1"/>
        <v>0.35323879005579961</v>
      </c>
      <c r="AH3086" s="2" t="str">
        <f ca="1"/>
        <v>OK</v>
      </c>
    </row>
    <row r="3087" spans="2:34" x14ac:dyDescent="0.2">
      <c r="B3087" s="2">
        <f ca="1"/>
        <v>0.77871146969534277</v>
      </c>
      <c r="O3087" s="2">
        <f ca="1"/>
        <v>1.0129002814975345</v>
      </c>
      <c r="X3087" s="2">
        <f ca="1"/>
        <v>31.846577644062908</v>
      </c>
      <c r="AG3087" s="2">
        <f ca="1"/>
        <v>0.9185976636130011</v>
      </c>
      <c r="AH3087" s="2" t="str">
        <f ca="1"/>
        <v>Bad</v>
      </c>
    </row>
    <row r="3088" spans="2:34" x14ac:dyDescent="0.2">
      <c r="B3088" s="2">
        <f ca="1"/>
        <v>0.839885854211883</v>
      </c>
      <c r="O3088" s="2">
        <f ca="1"/>
        <v>1.118969377102609</v>
      </c>
      <c r="X3088" s="2">
        <f ca="1"/>
        <v>38.724513856254077</v>
      </c>
      <c r="AG3088" s="2">
        <f ca="1"/>
        <v>0.65027705160078053</v>
      </c>
      <c r="AH3088" s="2" t="str">
        <f ca="1"/>
        <v>Bad</v>
      </c>
    </row>
    <row r="3089" spans="2:34" x14ac:dyDescent="0.2">
      <c r="B3089" s="2">
        <f ca="1"/>
        <v>0.36699336939112137</v>
      </c>
      <c r="O3089" s="2">
        <f ca="1"/>
        <v>-0.29454967354133788</v>
      </c>
      <c r="X3089" s="2">
        <f ca="1"/>
        <v>25.031554236434577</v>
      </c>
      <c r="AG3089" s="2">
        <f ca="1"/>
        <v>8.0937858720746991E-2</v>
      </c>
      <c r="AH3089" s="2" t="str">
        <f ca="1"/>
        <v>OK</v>
      </c>
    </row>
    <row r="3090" spans="2:34" x14ac:dyDescent="0.2">
      <c r="B3090" s="2">
        <f ca="1"/>
        <v>0.99063551282984164</v>
      </c>
      <c r="O3090" s="2">
        <f ca="1"/>
        <v>0.82826768316452559</v>
      </c>
      <c r="X3090" s="2">
        <f ca="1"/>
        <v>64.073286873178233</v>
      </c>
      <c r="AG3090" s="2">
        <f ca="1"/>
        <v>0.3117320779213788</v>
      </c>
      <c r="AH3090" s="2" t="str">
        <f ca="1"/>
        <v>OK</v>
      </c>
    </row>
    <row r="3091" spans="2:34" x14ac:dyDescent="0.2">
      <c r="B3091" s="2">
        <f ca="1"/>
        <v>0.33842321878516524</v>
      </c>
      <c r="O3091" s="2">
        <f ca="1"/>
        <v>1.2263203703160523</v>
      </c>
      <c r="X3091" s="2">
        <f ca="1"/>
        <v>45.738618443303736</v>
      </c>
      <c r="AG3091" s="2">
        <f ca="1"/>
        <v>1.7943129035287164E-3</v>
      </c>
      <c r="AH3091" s="2" t="str">
        <f ca="1"/>
        <v>Good</v>
      </c>
    </row>
    <row r="3092" spans="2:34" x14ac:dyDescent="0.2">
      <c r="B3092" s="2">
        <f ca="1"/>
        <v>7.6565487563233781E-3</v>
      </c>
      <c r="O3092" s="2">
        <f ca="1"/>
        <v>-0.72500275544745119</v>
      </c>
      <c r="X3092" s="2">
        <f ca="1"/>
        <v>60.600665448030881</v>
      </c>
      <c r="AG3092" s="2">
        <f ca="1"/>
        <v>0.31607598358135292</v>
      </c>
      <c r="AH3092" s="2" t="str">
        <f ca="1"/>
        <v>OK</v>
      </c>
    </row>
    <row r="3093" spans="2:34" x14ac:dyDescent="0.2">
      <c r="B3093" s="2">
        <f ca="1"/>
        <v>0.49570300157264913</v>
      </c>
      <c r="O3093" s="2">
        <f ca="1"/>
        <v>1.1535278078303901</v>
      </c>
      <c r="X3093" s="2">
        <f ca="1"/>
        <v>60.812231807785146</v>
      </c>
      <c r="AG3093" s="2">
        <f ca="1"/>
        <v>0.85668204885515808</v>
      </c>
      <c r="AH3093" s="2" t="str">
        <f ca="1"/>
        <v>Bad</v>
      </c>
    </row>
    <row r="3094" spans="2:34" x14ac:dyDescent="0.2">
      <c r="B3094" s="2">
        <f ca="1"/>
        <v>0.11484073826346686</v>
      </c>
      <c r="O3094" s="2">
        <f ca="1"/>
        <v>-0.40985350244693886</v>
      </c>
      <c r="X3094" s="2">
        <f ca="1"/>
        <v>36.141654876543406</v>
      </c>
      <c r="AG3094" s="2">
        <f ca="1"/>
        <v>0.6098521617635182</v>
      </c>
      <c r="AH3094" s="2" t="str">
        <f ca="1"/>
        <v>Bad</v>
      </c>
    </row>
    <row r="3095" spans="2:34" x14ac:dyDescent="0.2">
      <c r="B3095" s="2">
        <f ca="1"/>
        <v>0.2292532638546303</v>
      </c>
      <c r="O3095" s="2">
        <f ca="1"/>
        <v>0.46873938765383494</v>
      </c>
      <c r="X3095" s="2">
        <f ca="1"/>
        <v>26.228747343242667</v>
      </c>
      <c r="AG3095" s="2">
        <f ca="1"/>
        <v>0.52442628582792361</v>
      </c>
      <c r="AH3095" s="2" t="str">
        <f ca="1"/>
        <v>Bad</v>
      </c>
    </row>
    <row r="3096" spans="2:34" x14ac:dyDescent="0.2">
      <c r="B3096" s="2">
        <f ca="1"/>
        <v>0.69950917975193017</v>
      </c>
      <c r="O3096" s="2">
        <f ca="1"/>
        <v>-0.74578259127856839</v>
      </c>
      <c r="X3096" s="2">
        <f ca="1"/>
        <v>91.654704132087573</v>
      </c>
      <c r="AG3096" s="2">
        <f ca="1"/>
        <v>0.46924389690494861</v>
      </c>
      <c r="AH3096" s="2" t="str">
        <f ca="1"/>
        <v>Bad</v>
      </c>
    </row>
    <row r="3097" spans="2:34" x14ac:dyDescent="0.2">
      <c r="B3097" s="2">
        <f ca="1"/>
        <v>0.87520478422974102</v>
      </c>
      <c r="O3097" s="2">
        <f ca="1"/>
        <v>0.24665713952490217</v>
      </c>
      <c r="X3097" s="2">
        <f ca="1"/>
        <v>53.606144369320212</v>
      </c>
      <c r="AG3097" s="2">
        <f ca="1"/>
        <v>0.75694452589213612</v>
      </c>
      <c r="AH3097" s="2" t="str">
        <f ca="1"/>
        <v>Bad</v>
      </c>
    </row>
    <row r="3098" spans="2:34" x14ac:dyDescent="0.2">
      <c r="B3098" s="2">
        <f ca="1"/>
        <v>6.0272074632581996E-2</v>
      </c>
      <c r="O3098" s="2">
        <f ca="1"/>
        <v>0.56236073497579475</v>
      </c>
      <c r="X3098" s="2">
        <f ca="1"/>
        <v>41.064464350945102</v>
      </c>
      <c r="AG3098" s="2">
        <f ca="1"/>
        <v>0.71746615988251516</v>
      </c>
      <c r="AH3098" s="2" t="str">
        <f ca="1"/>
        <v>Bad</v>
      </c>
    </row>
    <row r="3099" spans="2:34" x14ac:dyDescent="0.2">
      <c r="B3099" s="2">
        <f ca="1"/>
        <v>0.55021704822147344</v>
      </c>
      <c r="O3099" s="2">
        <f ca="1"/>
        <v>-1.2160386284227251</v>
      </c>
      <c r="X3099" s="2">
        <f ca="1"/>
        <v>36.43537912093101</v>
      </c>
      <c r="AG3099" s="2">
        <f ca="1"/>
        <v>0.11799466671032888</v>
      </c>
      <c r="AH3099" s="2" t="str">
        <f ca="1"/>
        <v>OK</v>
      </c>
    </row>
    <row r="3100" spans="2:34" x14ac:dyDescent="0.2">
      <c r="B3100" s="2">
        <f ca="1"/>
        <v>6.2178281068157926E-2</v>
      </c>
      <c r="O3100" s="2">
        <f ca="1"/>
        <v>-0.24821885689922807</v>
      </c>
      <c r="X3100" s="2">
        <f ca="1"/>
        <v>59.093759032872875</v>
      </c>
      <c r="AG3100" s="2">
        <f ca="1"/>
        <v>0.8374857995725471</v>
      </c>
      <c r="AH3100" s="2" t="str">
        <f ca="1"/>
        <v>Bad</v>
      </c>
    </row>
    <row r="3101" spans="2:34" x14ac:dyDescent="0.2">
      <c r="B3101" s="2">
        <f ca="1"/>
        <v>0.16388734784772785</v>
      </c>
      <c r="O3101" s="2">
        <f ca="1"/>
        <v>9.1618077998385922E-2</v>
      </c>
      <c r="X3101" s="2">
        <f ca="1"/>
        <v>29.978334267805458</v>
      </c>
      <c r="AG3101" s="2">
        <f ca="1"/>
        <v>0.20481183948438164</v>
      </c>
      <c r="AH3101" s="2" t="str">
        <f ca="1"/>
        <v>OK</v>
      </c>
    </row>
    <row r="3102" spans="2:34" x14ac:dyDescent="0.2">
      <c r="B3102" s="2">
        <f ca="1"/>
        <v>0.38587466201309706</v>
      </c>
      <c r="O3102" s="2">
        <f ca="1"/>
        <v>-0.28304316202467633</v>
      </c>
      <c r="X3102" s="2">
        <f ca="1"/>
        <v>30.981760225102551</v>
      </c>
      <c r="AG3102" s="2">
        <f ca="1"/>
        <v>0.82192140018158066</v>
      </c>
      <c r="AH3102" s="2" t="str">
        <f ca="1"/>
        <v>Bad</v>
      </c>
    </row>
    <row r="3103" spans="2:34" x14ac:dyDescent="0.2">
      <c r="B3103" s="2">
        <f ca="1"/>
        <v>8.815936230011534E-2</v>
      </c>
      <c r="O3103" s="2">
        <f ca="1"/>
        <v>0.45544772600674072</v>
      </c>
      <c r="X3103" s="2">
        <f ca="1"/>
        <v>47.922094077905804</v>
      </c>
      <c r="AG3103" s="2">
        <f ca="1"/>
        <v>0.41394576421586149</v>
      </c>
      <c r="AH3103" s="2" t="str">
        <f ca="1"/>
        <v>Bad</v>
      </c>
    </row>
    <row r="3104" spans="2:34" x14ac:dyDescent="0.2">
      <c r="B3104" s="2">
        <f ca="1"/>
        <v>0.44935668657603212</v>
      </c>
      <c r="O3104" s="2">
        <f ca="1"/>
        <v>-0.76420402732178083</v>
      </c>
      <c r="X3104" s="2">
        <f ca="1"/>
        <v>72.443202839828999</v>
      </c>
      <c r="AG3104" s="2">
        <f ca="1"/>
        <v>0.34137094436462445</v>
      </c>
      <c r="AH3104" s="2" t="str">
        <f ca="1"/>
        <v>OK</v>
      </c>
    </row>
    <row r="3105" spans="2:34" x14ac:dyDescent="0.2">
      <c r="B3105" s="2">
        <f ca="1"/>
        <v>0.16569803093053981</v>
      </c>
      <c r="O3105" s="2">
        <f ca="1"/>
        <v>0.17319691561305423</v>
      </c>
      <c r="X3105" s="2">
        <f ca="1"/>
        <v>51.85054865290553</v>
      </c>
      <c r="AG3105" s="2">
        <f ca="1"/>
        <v>0.81117231546120183</v>
      </c>
      <c r="AH3105" s="2" t="str">
        <f ca="1"/>
        <v>Bad</v>
      </c>
    </row>
    <row r="3106" spans="2:34" x14ac:dyDescent="0.2">
      <c r="B3106" s="2">
        <f ca="1"/>
        <v>0.3997836648416635</v>
      </c>
      <c r="O3106" s="2">
        <f ca="1"/>
        <v>0.25141809730130582</v>
      </c>
      <c r="X3106" s="2">
        <f ca="1"/>
        <v>37.46415145676832</v>
      </c>
      <c r="AG3106" s="2">
        <f ca="1"/>
        <v>0.58684282573375013</v>
      </c>
      <c r="AH3106" s="2" t="str">
        <f ca="1"/>
        <v>Bad</v>
      </c>
    </row>
    <row r="3107" spans="2:34" x14ac:dyDescent="0.2">
      <c r="B3107" s="2">
        <f ca="1"/>
        <v>0.75295799360936866</v>
      </c>
      <c r="O3107" s="2">
        <f ca="1"/>
        <v>-0.68704595614513209</v>
      </c>
      <c r="X3107" s="2">
        <f ca="1"/>
        <v>71.751528725818559</v>
      </c>
      <c r="AG3107" s="2">
        <f ca="1"/>
        <v>0.8589461286053397</v>
      </c>
      <c r="AH3107" s="2" t="str">
        <f ca="1"/>
        <v>Bad</v>
      </c>
    </row>
    <row r="3108" spans="2:34" x14ac:dyDescent="0.2">
      <c r="B3108" s="2">
        <f ca="1"/>
        <v>0.79857799189002843</v>
      </c>
      <c r="O3108" s="2">
        <f ca="1"/>
        <v>2.1230520465773037</v>
      </c>
      <c r="X3108" s="2">
        <f ca="1"/>
        <v>84.936386691935866</v>
      </c>
      <c r="AG3108" s="2">
        <f ca="1"/>
        <v>0.71413220925787746</v>
      </c>
      <c r="AH3108" s="2" t="str">
        <f ca="1"/>
        <v>Bad</v>
      </c>
    </row>
    <row r="3109" spans="2:34" x14ac:dyDescent="0.2">
      <c r="B3109" s="2">
        <f ca="1"/>
        <v>0.82041087939836999</v>
      </c>
      <c r="O3109" s="2">
        <f ca="1"/>
        <v>-0.60529924449867378</v>
      </c>
      <c r="X3109" s="2">
        <f ca="1"/>
        <v>48.539949317095022</v>
      </c>
      <c r="AG3109" s="2">
        <f ca="1"/>
        <v>0.291787069928239</v>
      </c>
      <c r="AH3109" s="2" t="str">
        <f ca="1"/>
        <v>OK</v>
      </c>
    </row>
    <row r="3110" spans="2:34" x14ac:dyDescent="0.2">
      <c r="B3110" s="2">
        <f ca="1"/>
        <v>0.63283103744641922</v>
      </c>
      <c r="O3110" s="2">
        <f ca="1"/>
        <v>0.78492755376948131</v>
      </c>
      <c r="X3110" s="2">
        <f ca="1"/>
        <v>50.324831886498075</v>
      </c>
      <c r="AG3110" s="2">
        <f ca="1"/>
        <v>0.32198296804346294</v>
      </c>
      <c r="AH3110" s="2" t="str">
        <f ca="1"/>
        <v>OK</v>
      </c>
    </row>
    <row r="3111" spans="2:34" x14ac:dyDescent="0.2">
      <c r="B3111" s="2">
        <f ca="1"/>
        <v>0.6775688006424847</v>
      </c>
      <c r="O3111" s="2">
        <f ca="1"/>
        <v>0.18319801105946357</v>
      </c>
      <c r="X3111" s="2">
        <f ca="1"/>
        <v>49.735905568276202</v>
      </c>
      <c r="AG3111" s="2">
        <f ca="1"/>
        <v>0.57628047791841275</v>
      </c>
      <c r="AH3111" s="2" t="str">
        <f ca="1"/>
        <v>Bad</v>
      </c>
    </row>
    <row r="3112" spans="2:34" x14ac:dyDescent="0.2">
      <c r="B3112" s="2">
        <f ca="1"/>
        <v>0.5868459308802696</v>
      </c>
      <c r="O3112" s="2">
        <f ca="1"/>
        <v>-0.28992001871841883</v>
      </c>
      <c r="X3112" s="2">
        <f ca="1"/>
        <v>78.971699806252076</v>
      </c>
      <c r="AG3112" s="2">
        <f ca="1"/>
        <v>0.54974709047026327</v>
      </c>
      <c r="AH3112" s="2" t="str">
        <f ca="1"/>
        <v>Bad</v>
      </c>
    </row>
    <row r="3113" spans="2:34" x14ac:dyDescent="0.2">
      <c r="B3113" s="2">
        <f ca="1"/>
        <v>0.5767969958257475</v>
      </c>
      <c r="O3113" s="2">
        <f ca="1"/>
        <v>-0.87770671353671259</v>
      </c>
      <c r="X3113" s="2">
        <f ca="1"/>
        <v>37.85552487040448</v>
      </c>
      <c r="AG3113" s="2">
        <f ca="1"/>
        <v>0.16164919920783172</v>
      </c>
      <c r="AH3113" s="2" t="str">
        <f ca="1"/>
        <v>OK</v>
      </c>
    </row>
    <row r="3114" spans="2:34" x14ac:dyDescent="0.2">
      <c r="B3114" s="2">
        <f ca="1"/>
        <v>0.30711468545681275</v>
      </c>
      <c r="O3114" s="2">
        <f ca="1"/>
        <v>-2.596755426045242E-2</v>
      </c>
      <c r="X3114" s="2">
        <f ca="1"/>
        <v>58.309632633945412</v>
      </c>
      <c r="AG3114" s="2">
        <f ca="1"/>
        <v>0.61694864539672922</v>
      </c>
      <c r="AH3114" s="2" t="str">
        <f ca="1"/>
        <v>Bad</v>
      </c>
    </row>
    <row r="3115" spans="2:34" x14ac:dyDescent="0.2">
      <c r="B3115" s="2">
        <f ca="1"/>
        <v>0.59231649903888095</v>
      </c>
      <c r="O3115" s="2">
        <f ca="1"/>
        <v>0.65748616455413067</v>
      </c>
      <c r="X3115" s="2">
        <f ca="1"/>
        <v>30.22079277847233</v>
      </c>
      <c r="AG3115" s="2">
        <f ca="1"/>
        <v>0.20127941177571684</v>
      </c>
      <c r="AH3115" s="2" t="str">
        <f ca="1"/>
        <v>OK</v>
      </c>
    </row>
    <row r="3116" spans="2:34" x14ac:dyDescent="0.2">
      <c r="B3116" s="2">
        <f ca="1"/>
        <v>0.81938232425517077</v>
      </c>
      <c r="O3116" s="2">
        <f ca="1"/>
        <v>0.98248754739758193</v>
      </c>
      <c r="X3116" s="2">
        <f ca="1"/>
        <v>31.94230355316208</v>
      </c>
      <c r="AG3116" s="2">
        <f ca="1"/>
        <v>5.4154636772569598E-2</v>
      </c>
      <c r="AH3116" s="2" t="str">
        <f ca="1"/>
        <v>OK</v>
      </c>
    </row>
    <row r="3117" spans="2:34" x14ac:dyDescent="0.2">
      <c r="B3117" s="2">
        <f ca="1"/>
        <v>7.0828376817378524E-2</v>
      </c>
      <c r="O3117" s="2">
        <f ca="1"/>
        <v>1.618986987241487</v>
      </c>
      <c r="X3117" s="2">
        <f ca="1"/>
        <v>52.927929802239959</v>
      </c>
      <c r="AG3117" s="2">
        <f ca="1"/>
        <v>0.68468128723285515</v>
      </c>
      <c r="AH3117" s="2" t="str">
        <f ca="1"/>
        <v>Bad</v>
      </c>
    </row>
    <row r="3118" spans="2:34" x14ac:dyDescent="0.2">
      <c r="B3118" s="2">
        <f ca="1"/>
        <v>0.16339505193899506</v>
      </c>
      <c r="O3118" s="2">
        <f ca="1"/>
        <v>-0.17034281284580194</v>
      </c>
      <c r="X3118" s="2">
        <f ca="1"/>
        <v>37.189844740795039</v>
      </c>
      <c r="AG3118" s="2">
        <f ca="1"/>
        <v>0.77777937522258145</v>
      </c>
      <c r="AH3118" s="2" t="str">
        <f ca="1"/>
        <v>Bad</v>
      </c>
    </row>
    <row r="3119" spans="2:34" x14ac:dyDescent="0.2">
      <c r="B3119" s="2">
        <f ca="1"/>
        <v>0.17609125676262671</v>
      </c>
      <c r="O3119" s="2">
        <f ca="1"/>
        <v>-0.59592921804177723</v>
      </c>
      <c r="X3119" s="2">
        <f ca="1"/>
        <v>43.278938244421042</v>
      </c>
      <c r="AG3119" s="2">
        <f ca="1"/>
        <v>0.38370915261554761</v>
      </c>
      <c r="AH3119" s="2" t="str">
        <f ca="1"/>
        <v>OK</v>
      </c>
    </row>
    <row r="3120" spans="2:34" x14ac:dyDescent="0.2">
      <c r="B3120" s="2">
        <f ca="1"/>
        <v>0.31635584014036744</v>
      </c>
      <c r="O3120" s="2">
        <f ca="1"/>
        <v>0.17179541487677547</v>
      </c>
      <c r="X3120" s="2">
        <f ca="1"/>
        <v>49.300205504177612</v>
      </c>
      <c r="AG3120" s="2">
        <f ca="1"/>
        <v>0.44844411695280884</v>
      </c>
      <c r="AH3120" s="2" t="str">
        <f ca="1"/>
        <v>Bad</v>
      </c>
    </row>
    <row r="3121" spans="2:34" x14ac:dyDescent="0.2">
      <c r="B3121" s="2">
        <f ca="1"/>
        <v>2.233153285468914E-2</v>
      </c>
      <c r="O3121" s="2">
        <f ca="1"/>
        <v>0.33327545065967551</v>
      </c>
      <c r="X3121" s="2">
        <f ca="1"/>
        <v>46.91205775014641</v>
      </c>
      <c r="AG3121" s="2">
        <f ca="1"/>
        <v>0.67104114588383124</v>
      </c>
      <c r="AH3121" s="2" t="str">
        <f ca="1"/>
        <v>Bad</v>
      </c>
    </row>
    <row r="3122" spans="2:34" x14ac:dyDescent="0.2">
      <c r="B3122" s="2">
        <f ca="1"/>
        <v>0.55601506830839975</v>
      </c>
      <c r="O3122" s="2">
        <f ca="1"/>
        <v>-0.69514128721114055</v>
      </c>
      <c r="X3122" s="2">
        <f ca="1"/>
        <v>47.062241239940228</v>
      </c>
      <c r="AG3122" s="2">
        <f ca="1"/>
        <v>0.34524956665301976</v>
      </c>
      <c r="AH3122" s="2" t="str">
        <f ca="1"/>
        <v>OK</v>
      </c>
    </row>
    <row r="3123" spans="2:34" x14ac:dyDescent="0.2">
      <c r="B3123" s="2">
        <f ca="1"/>
        <v>4.5511331641414188E-2</v>
      </c>
      <c r="O3123" s="2">
        <f ca="1"/>
        <v>-0.28120278571706592</v>
      </c>
      <c r="X3123" s="2">
        <f ca="1"/>
        <v>25.175686959728974</v>
      </c>
      <c r="AG3123" s="2">
        <f ca="1"/>
        <v>0.55514427054138094</v>
      </c>
      <c r="AH3123" s="2" t="str">
        <f ca="1"/>
        <v>Bad</v>
      </c>
    </row>
    <row r="3124" spans="2:34" x14ac:dyDescent="0.2">
      <c r="B3124" s="2">
        <f ca="1"/>
        <v>0.67658885321838436</v>
      </c>
      <c r="O3124" s="2">
        <f ca="1"/>
        <v>1.0406121399610466</v>
      </c>
      <c r="X3124" s="2">
        <f ca="1"/>
        <v>49.282397868457039</v>
      </c>
      <c r="AG3124" s="2">
        <f ca="1"/>
        <v>0.28239260219661211</v>
      </c>
      <c r="AH3124" s="2" t="str">
        <f ca="1"/>
        <v>OK</v>
      </c>
    </row>
    <row r="3125" spans="2:34" x14ac:dyDescent="0.2">
      <c r="B3125" s="2">
        <f ca="1"/>
        <v>0.39698445762346801</v>
      </c>
      <c r="O3125" s="2">
        <f ca="1"/>
        <v>0.81733117107241759</v>
      </c>
      <c r="X3125" s="2">
        <f ca="1"/>
        <v>41.247226949272417</v>
      </c>
      <c r="AG3125" s="2">
        <f ca="1"/>
        <v>0.10075096314966059</v>
      </c>
      <c r="AH3125" s="2" t="str">
        <f ca="1"/>
        <v>OK</v>
      </c>
    </row>
    <row r="3126" spans="2:34" x14ac:dyDescent="0.2">
      <c r="B3126" s="2">
        <f ca="1"/>
        <v>0.99968846128722499</v>
      </c>
      <c r="O3126" s="2">
        <f ca="1"/>
        <v>-1.4122253897006827</v>
      </c>
      <c r="X3126" s="2">
        <f ca="1"/>
        <v>66.933902107814703</v>
      </c>
      <c r="AG3126" s="2">
        <f ca="1"/>
        <v>0.37248165106976616</v>
      </c>
      <c r="AH3126" s="2" t="str">
        <f ca="1"/>
        <v>OK</v>
      </c>
    </row>
    <row r="3127" spans="2:34" x14ac:dyDescent="0.2">
      <c r="B3127" s="2">
        <f ca="1"/>
        <v>0.74335835562088914</v>
      </c>
      <c r="O3127" s="2">
        <f ca="1"/>
        <v>-0.1725148994309969</v>
      </c>
      <c r="X3127" s="2">
        <f ca="1"/>
        <v>42.001515672571834</v>
      </c>
      <c r="AG3127" s="2">
        <f ca="1"/>
        <v>0.24529315093380122</v>
      </c>
      <c r="AH3127" s="2" t="str">
        <f ca="1"/>
        <v>OK</v>
      </c>
    </row>
    <row r="3128" spans="2:34" x14ac:dyDescent="0.2">
      <c r="B3128" s="2">
        <f ca="1"/>
        <v>0.32725609320758964</v>
      </c>
      <c r="O3128" s="2">
        <f ca="1"/>
        <v>-0.87877757759246145</v>
      </c>
      <c r="X3128" s="2">
        <f ca="1"/>
        <v>43.079025514694678</v>
      </c>
      <c r="AG3128" s="2">
        <f ca="1"/>
        <v>0.86836839691613643</v>
      </c>
      <c r="AH3128" s="2" t="str">
        <f ca="1"/>
        <v>Bad</v>
      </c>
    </row>
    <row r="3129" spans="2:34" x14ac:dyDescent="0.2">
      <c r="B3129" s="2">
        <f ca="1"/>
        <v>0.92958240102817324</v>
      </c>
      <c r="O3129" s="2">
        <f ca="1"/>
        <v>-0.39746549769988154</v>
      </c>
      <c r="X3129" s="2">
        <f ca="1"/>
        <v>49.674680210361203</v>
      </c>
      <c r="AG3129" s="2">
        <f ca="1"/>
        <v>0.53711639071703354</v>
      </c>
      <c r="AH3129" s="2" t="str">
        <f ca="1"/>
        <v>Bad</v>
      </c>
    </row>
    <row r="3130" spans="2:34" x14ac:dyDescent="0.2">
      <c r="B3130" s="2">
        <f ca="1"/>
        <v>1.6809331935065286E-2</v>
      </c>
      <c r="O3130" s="2">
        <f ca="1"/>
        <v>0.61547057049642395</v>
      </c>
      <c r="X3130" s="2">
        <f ca="1"/>
        <v>23.07569321325542</v>
      </c>
      <c r="AG3130" s="2">
        <f ca="1"/>
        <v>0.56225784638603749</v>
      </c>
      <c r="AH3130" s="2" t="str">
        <f ca="1"/>
        <v>Bad</v>
      </c>
    </row>
    <row r="3131" spans="2:34" x14ac:dyDescent="0.2">
      <c r="B3131" s="2">
        <f ca="1"/>
        <v>0.68634900937589927</v>
      </c>
      <c r="O3131" s="2">
        <f ca="1"/>
        <v>0.18162992693584737</v>
      </c>
      <c r="X3131" s="2">
        <f ca="1"/>
        <v>31.745629288685592</v>
      </c>
      <c r="AG3131" s="2">
        <f ca="1"/>
        <v>0.10334942950126758</v>
      </c>
      <c r="AH3131" s="2" t="str">
        <f ca="1"/>
        <v>OK</v>
      </c>
    </row>
    <row r="3132" spans="2:34" x14ac:dyDescent="0.2">
      <c r="B3132" s="2">
        <f ca="1"/>
        <v>0.15299076978994752</v>
      </c>
      <c r="O3132" s="2">
        <f ca="1"/>
        <v>-0.94141606568844594</v>
      </c>
      <c r="X3132" s="2">
        <f ca="1"/>
        <v>49.352301824252081</v>
      </c>
      <c r="AG3132" s="2">
        <f ca="1"/>
        <v>0.43259553787774263</v>
      </c>
      <c r="AH3132" s="2" t="str">
        <f ca="1"/>
        <v>Bad</v>
      </c>
    </row>
    <row r="3133" spans="2:34" x14ac:dyDescent="0.2">
      <c r="B3133" s="2">
        <f ca="1"/>
        <v>0.71958793042122671</v>
      </c>
      <c r="O3133" s="2">
        <f ca="1"/>
        <v>-0.28921952899343883</v>
      </c>
      <c r="X3133" s="2">
        <f ca="1"/>
        <v>35.475901690635709</v>
      </c>
      <c r="AG3133" s="2">
        <f ca="1"/>
        <v>0.32668227611868894</v>
      </c>
      <c r="AH3133" s="2" t="str">
        <f ca="1"/>
        <v>OK</v>
      </c>
    </row>
    <row r="3134" spans="2:34" x14ac:dyDescent="0.2">
      <c r="B3134" s="2">
        <f ca="1"/>
        <v>0.95378330540671641</v>
      </c>
      <c r="O3134" s="2">
        <f ca="1"/>
        <v>1.8626266251707104</v>
      </c>
      <c r="X3134" s="2">
        <f ca="1"/>
        <v>31.729041310362312</v>
      </c>
      <c r="AG3134" s="2">
        <f ca="1"/>
        <v>0.71036327920771081</v>
      </c>
      <c r="AH3134" s="2" t="str">
        <f ca="1"/>
        <v>Bad</v>
      </c>
    </row>
    <row r="3135" spans="2:34" x14ac:dyDescent="0.2">
      <c r="B3135" s="2">
        <f ca="1"/>
        <v>0.90829389890012346</v>
      </c>
      <c r="O3135" s="2">
        <f ca="1"/>
        <v>0.21102601465913717</v>
      </c>
      <c r="X3135" s="2">
        <f ca="1"/>
        <v>58.819268755347267</v>
      </c>
      <c r="AG3135" s="2">
        <f ca="1"/>
        <v>0.10316476261149488</v>
      </c>
      <c r="AH3135" s="2" t="str">
        <f ca="1"/>
        <v>OK</v>
      </c>
    </row>
    <row r="3136" spans="2:34" x14ac:dyDescent="0.2">
      <c r="B3136" s="2">
        <f ca="1"/>
        <v>0.74757882236021467</v>
      </c>
      <c r="O3136" s="2">
        <f ca="1"/>
        <v>-0.7707182683490672</v>
      </c>
      <c r="X3136" s="2">
        <f ca="1"/>
        <v>47.419525072497599</v>
      </c>
      <c r="AG3136" s="2">
        <f ca="1"/>
        <v>3.0421297191651542E-2</v>
      </c>
      <c r="AH3136" s="2" t="str">
        <f ca="1"/>
        <v>Good</v>
      </c>
    </row>
    <row r="3137" spans="2:34" x14ac:dyDescent="0.2">
      <c r="B3137" s="2">
        <f ca="1"/>
        <v>0.38401424591587729</v>
      </c>
      <c r="O3137" s="2">
        <f ca="1"/>
        <v>-2.6509745134891152E-2</v>
      </c>
      <c r="X3137" s="2">
        <f ca="1"/>
        <v>49.835099769452817</v>
      </c>
      <c r="AG3137" s="2">
        <f ca="1"/>
        <v>0.21039285015116227</v>
      </c>
      <c r="AH3137" s="2" t="str">
        <f ca="1"/>
        <v>OK</v>
      </c>
    </row>
    <row r="3138" spans="2:34" x14ac:dyDescent="0.2">
      <c r="B3138" s="2">
        <f ca="1"/>
        <v>0.35444791911963591</v>
      </c>
      <c r="O3138" s="2">
        <f ca="1"/>
        <v>-9.1316289018188779E-2</v>
      </c>
      <c r="X3138" s="2">
        <f ca="1"/>
        <v>60.481471957346791</v>
      </c>
      <c r="AG3138" s="2">
        <f ca="1"/>
        <v>0.29431899241435833</v>
      </c>
      <c r="AH3138" s="2" t="str">
        <f ca="1"/>
        <v>OK</v>
      </c>
    </row>
    <row r="3139" spans="2:34" x14ac:dyDescent="0.2">
      <c r="B3139" s="2">
        <f ca="1"/>
        <v>0.9054102196405327</v>
      </c>
      <c r="O3139" s="2">
        <f ca="1"/>
        <v>1.5448552122641726</v>
      </c>
      <c r="X3139" s="2">
        <f ca="1"/>
        <v>39.871387042939837</v>
      </c>
      <c r="AG3139" s="2">
        <f ca="1"/>
        <v>0.67649379437820234</v>
      </c>
      <c r="AH3139" s="2" t="str">
        <f ca="1"/>
        <v>Bad</v>
      </c>
    </row>
    <row r="3140" spans="2:34" x14ac:dyDescent="0.2">
      <c r="B3140" s="2">
        <f ca="1"/>
        <v>0.86023341961110344</v>
      </c>
      <c r="O3140" s="2">
        <f ca="1"/>
        <v>-0.3932466621485689</v>
      </c>
      <c r="X3140" s="2">
        <f ca="1"/>
        <v>45.142876042186472</v>
      </c>
      <c r="AG3140" s="2">
        <f ca="1"/>
        <v>0.18728077050899472</v>
      </c>
      <c r="AH3140" s="2" t="str">
        <f ca="1"/>
        <v>OK</v>
      </c>
    </row>
    <row r="3141" spans="2:34" x14ac:dyDescent="0.2">
      <c r="B3141" s="2">
        <f ca="1"/>
        <v>0.64924291202363116</v>
      </c>
      <c r="O3141" s="2">
        <f ca="1"/>
        <v>0.76968572269565783</v>
      </c>
      <c r="X3141" s="2">
        <f ca="1"/>
        <v>43.512955031217999</v>
      </c>
      <c r="AG3141" s="2">
        <f ca="1"/>
        <v>0.17292954034495867</v>
      </c>
      <c r="AH3141" s="2" t="str">
        <f ca="1"/>
        <v>OK</v>
      </c>
    </row>
    <row r="3142" spans="2:34" x14ac:dyDescent="0.2">
      <c r="B3142" s="2">
        <f ca="1"/>
        <v>0.60745801202724015</v>
      </c>
      <c r="O3142" s="2">
        <f ca="1"/>
        <v>0.39374255745665093</v>
      </c>
      <c r="X3142" s="2">
        <f ca="1"/>
        <v>61.021849890209914</v>
      </c>
      <c r="AG3142" s="2">
        <f ca="1"/>
        <v>0.90333553433590619</v>
      </c>
      <c r="AH3142" s="2" t="str">
        <f ca="1"/>
        <v>Bad</v>
      </c>
    </row>
    <row r="3143" spans="2:34" x14ac:dyDescent="0.2">
      <c r="B3143" s="2">
        <f ca="1"/>
        <v>0.59339382887230618</v>
      </c>
      <c r="O3143" s="2">
        <f ca="1"/>
        <v>0.44366723450643847</v>
      </c>
      <c r="X3143" s="2">
        <f ca="1"/>
        <v>43.429753578608256</v>
      </c>
      <c r="AG3143" s="2">
        <f ca="1"/>
        <v>0.81497353063459754</v>
      </c>
      <c r="AH3143" s="2" t="str">
        <f ca="1"/>
        <v>Bad</v>
      </c>
    </row>
    <row r="3144" spans="2:34" x14ac:dyDescent="0.2">
      <c r="B3144" s="2">
        <f ca="1"/>
        <v>0.59269419026262438</v>
      </c>
      <c r="O3144" s="2">
        <f ca="1"/>
        <v>-0.21873049558708768</v>
      </c>
      <c r="X3144" s="2">
        <f ca="1"/>
        <v>47.847011630912519</v>
      </c>
      <c r="AG3144" s="2">
        <f ca="1"/>
        <v>0.42817976021351911</v>
      </c>
      <c r="AH3144" s="2" t="str">
        <f ca="1"/>
        <v>Bad</v>
      </c>
    </row>
    <row r="3145" spans="2:34" x14ac:dyDescent="0.2">
      <c r="B3145" s="2">
        <f ca="1"/>
        <v>0.45608116490118222</v>
      </c>
      <c r="O3145" s="2">
        <f ca="1"/>
        <v>-0.53884782415471022</v>
      </c>
      <c r="X3145" s="2">
        <f ca="1"/>
        <v>66.965909078422555</v>
      </c>
      <c r="AG3145" s="2">
        <f ca="1"/>
        <v>3.0645494533777518E-2</v>
      </c>
      <c r="AH3145" s="2" t="str">
        <f ca="1"/>
        <v>Good</v>
      </c>
    </row>
    <row r="3146" spans="2:34" x14ac:dyDescent="0.2">
      <c r="B3146" s="2">
        <f ca="1"/>
        <v>0.24768603018931024</v>
      </c>
      <c r="O3146" s="2">
        <f ca="1"/>
        <v>0.10248198841673763</v>
      </c>
      <c r="X3146" s="2">
        <f ca="1"/>
        <v>67.278802090504627</v>
      </c>
      <c r="AG3146" s="2">
        <f ca="1"/>
        <v>0.18069662841253553</v>
      </c>
      <c r="AH3146" s="2" t="str">
        <f ca="1"/>
        <v>OK</v>
      </c>
    </row>
    <row r="3147" spans="2:34" x14ac:dyDescent="0.2">
      <c r="B3147" s="2">
        <f ca="1"/>
        <v>0.42403328006438978</v>
      </c>
      <c r="O3147" s="2">
        <f ca="1"/>
        <v>-1.0052410070941</v>
      </c>
      <c r="X3147" s="2">
        <f ca="1"/>
        <v>35.539453774462302</v>
      </c>
      <c r="AG3147" s="2">
        <f ca="1"/>
        <v>0.11789878840417889</v>
      </c>
      <c r="AH3147" s="2" t="str">
        <f ca="1"/>
        <v>OK</v>
      </c>
    </row>
    <row r="3148" spans="2:34" x14ac:dyDescent="0.2">
      <c r="B3148" s="2">
        <f ca="1"/>
        <v>0.32745184400209881</v>
      </c>
      <c r="O3148" s="2">
        <f ca="1"/>
        <v>-0.61734697239684466</v>
      </c>
      <c r="X3148" s="2">
        <f ca="1"/>
        <v>45.945703799118085</v>
      </c>
      <c r="AG3148" s="2">
        <f ca="1"/>
        <v>0.10647814719903215</v>
      </c>
      <c r="AH3148" s="2" t="str">
        <f ca="1"/>
        <v>OK</v>
      </c>
    </row>
    <row r="3149" spans="2:34" x14ac:dyDescent="0.2">
      <c r="B3149" s="2">
        <f ca="1"/>
        <v>0.27174813597312264</v>
      </c>
      <c r="O3149" s="2">
        <f ca="1"/>
        <v>1.2352738397174776</v>
      </c>
      <c r="X3149" s="2">
        <f ca="1"/>
        <v>36.965475553583595</v>
      </c>
      <c r="AG3149" s="2">
        <f ca="1"/>
        <v>0.11855623103335633</v>
      </c>
      <c r="AH3149" s="2" t="str">
        <f ca="1"/>
        <v>OK</v>
      </c>
    </row>
    <row r="3150" spans="2:34" x14ac:dyDescent="0.2">
      <c r="B3150" s="2">
        <f ca="1"/>
        <v>0.36880477134262657</v>
      </c>
      <c r="O3150" s="2">
        <f ca="1"/>
        <v>-0.28745335716283882</v>
      </c>
      <c r="X3150" s="2">
        <f ca="1"/>
        <v>37.754360362852722</v>
      </c>
      <c r="AG3150" s="2">
        <f ca="1"/>
        <v>7.3180773471744232E-2</v>
      </c>
      <c r="AH3150" s="2" t="str">
        <f ca="1"/>
        <v>OK</v>
      </c>
    </row>
    <row r="3151" spans="2:34" x14ac:dyDescent="0.2">
      <c r="B3151" s="2">
        <f ca="1"/>
        <v>0.59341972819567279</v>
      </c>
      <c r="O3151" s="2">
        <f ca="1"/>
        <v>0.32694910738035832</v>
      </c>
      <c r="X3151" s="2">
        <f ca="1"/>
        <v>31.602354421055061</v>
      </c>
      <c r="AG3151" s="2">
        <f ca="1"/>
        <v>0.52499323598181946</v>
      </c>
      <c r="AH3151" s="2" t="str">
        <f ca="1"/>
        <v>Bad</v>
      </c>
    </row>
    <row r="3152" spans="2:34" x14ac:dyDescent="0.2">
      <c r="B3152" s="2">
        <f ca="1"/>
        <v>0.2281922189182628</v>
      </c>
      <c r="O3152" s="2">
        <f ca="1"/>
        <v>0.73799177502607494</v>
      </c>
      <c r="X3152" s="2">
        <f ca="1"/>
        <v>56.592888794499927</v>
      </c>
      <c r="AG3152" s="2">
        <f ca="1"/>
        <v>0.49445019327309203</v>
      </c>
      <c r="AH3152" s="2" t="str">
        <f ca="1"/>
        <v>Bad</v>
      </c>
    </row>
    <row r="3153" spans="2:34" x14ac:dyDescent="0.2">
      <c r="B3153" s="2">
        <f ca="1"/>
        <v>0.69751443798504087</v>
      </c>
      <c r="O3153" s="2">
        <f ca="1"/>
        <v>0.27445631263410597</v>
      </c>
      <c r="X3153" s="2">
        <f ca="1"/>
        <v>45.512934589959535</v>
      </c>
      <c r="AG3153" s="2">
        <f ca="1"/>
        <v>0.80057625575886737</v>
      </c>
      <c r="AH3153" s="2" t="str">
        <f ca="1"/>
        <v>Bad</v>
      </c>
    </row>
    <row r="3154" spans="2:34" x14ac:dyDescent="0.2">
      <c r="B3154" s="2">
        <f ca="1"/>
        <v>0.75663624441789112</v>
      </c>
      <c r="O3154" s="2">
        <f ca="1"/>
        <v>-9.7948700420743093E-2</v>
      </c>
      <c r="X3154" s="2">
        <f ca="1"/>
        <v>41.751628591372103</v>
      </c>
      <c r="AG3154" s="2">
        <f ca="1"/>
        <v>0.19455062509314902</v>
      </c>
      <c r="AH3154" s="2" t="str">
        <f ca="1"/>
        <v>OK</v>
      </c>
    </row>
    <row r="3155" spans="2:34" x14ac:dyDescent="0.2">
      <c r="B3155" s="2">
        <f ca="1"/>
        <v>0.62665370703844481</v>
      </c>
      <c r="O3155" s="2">
        <f ca="1"/>
        <v>-0.35468143477044745</v>
      </c>
      <c r="X3155" s="2">
        <f ca="1"/>
        <v>39.801208597593657</v>
      </c>
      <c r="AG3155" s="2">
        <f ca="1"/>
        <v>5.6244943375761691E-2</v>
      </c>
      <c r="AH3155" s="2" t="str">
        <f ca="1"/>
        <v>OK</v>
      </c>
    </row>
    <row r="3156" spans="2:34" x14ac:dyDescent="0.2">
      <c r="B3156" s="2">
        <f ca="1"/>
        <v>0.56701936296332889</v>
      </c>
      <c r="O3156" s="2">
        <f ca="1"/>
        <v>-0.17618920461070381</v>
      </c>
      <c r="X3156" s="2">
        <f ca="1"/>
        <v>35.27271324588321</v>
      </c>
      <c r="AG3156" s="2">
        <f ca="1"/>
        <v>0.5414110812848576</v>
      </c>
      <c r="AH3156" s="2" t="str">
        <f ca="1"/>
        <v>Bad</v>
      </c>
    </row>
    <row r="3157" spans="2:34" x14ac:dyDescent="0.2">
      <c r="B3157" s="2">
        <f ca="1"/>
        <v>0.65371310020186613</v>
      </c>
      <c r="O3157" s="2">
        <f ca="1"/>
        <v>-0.65703669045154534</v>
      </c>
      <c r="X3157" s="2">
        <f ca="1"/>
        <v>46.422279505368223</v>
      </c>
      <c r="AG3157" s="2">
        <f ca="1"/>
        <v>0.87162372479993344</v>
      </c>
      <c r="AH3157" s="2" t="str">
        <f ca="1"/>
        <v>Bad</v>
      </c>
    </row>
    <row r="3158" spans="2:34" x14ac:dyDescent="0.2">
      <c r="B3158" s="2">
        <f ca="1"/>
        <v>0.68781734878269707</v>
      </c>
      <c r="O3158" s="2">
        <f ca="1"/>
        <v>0.35858062296069787</v>
      </c>
      <c r="X3158" s="2">
        <f ca="1"/>
        <v>40.397567657783839</v>
      </c>
      <c r="AG3158" s="2">
        <f ca="1"/>
        <v>0.38947476207782183</v>
      </c>
      <c r="AH3158" s="2" t="str">
        <f ca="1"/>
        <v>OK</v>
      </c>
    </row>
    <row r="3159" spans="2:34" x14ac:dyDescent="0.2">
      <c r="B3159" s="2">
        <f ca="1"/>
        <v>0.33336922143839476</v>
      </c>
      <c r="O3159" s="2">
        <f ca="1"/>
        <v>-2.3585874991179585</v>
      </c>
      <c r="X3159" s="2">
        <f ca="1"/>
        <v>97.773125388357286</v>
      </c>
      <c r="AG3159" s="2">
        <f ca="1"/>
        <v>0.88692809704744424</v>
      </c>
      <c r="AH3159" s="2" t="str">
        <f ca="1"/>
        <v>Bad</v>
      </c>
    </row>
    <row r="3160" spans="2:34" x14ac:dyDescent="0.2">
      <c r="B3160" s="2">
        <f ca="1"/>
        <v>0.74702160347328639</v>
      </c>
      <c r="O3160" s="2">
        <f ca="1"/>
        <v>-0.17173361569552753</v>
      </c>
      <c r="X3160" s="2">
        <f ca="1"/>
        <v>49.025980964048898</v>
      </c>
      <c r="AG3160" s="2">
        <f ca="1"/>
        <v>0.40433701358560215</v>
      </c>
      <c r="AH3160" s="2" t="str">
        <f ca="1"/>
        <v>Bad</v>
      </c>
    </row>
    <row r="3161" spans="2:34" x14ac:dyDescent="0.2">
      <c r="B3161" s="2">
        <f ca="1"/>
        <v>0.41798509216623958</v>
      </c>
      <c r="O3161" s="2">
        <f ca="1"/>
        <v>0.84210612939805363</v>
      </c>
      <c r="X3161" s="2">
        <f ca="1"/>
        <v>58.116810193069142</v>
      </c>
      <c r="AG3161" s="2">
        <f ca="1"/>
        <v>0.81627811572492792</v>
      </c>
      <c r="AH3161" s="2" t="str">
        <f ca="1"/>
        <v>Bad</v>
      </c>
    </row>
    <row r="3162" spans="2:34" x14ac:dyDescent="0.2">
      <c r="B3162" s="2">
        <f ca="1"/>
        <v>0.94565500042495687</v>
      </c>
      <c r="O3162" s="2">
        <f ca="1"/>
        <v>-0.57492439583269472</v>
      </c>
      <c r="X3162" s="2">
        <f ca="1"/>
        <v>45.387823368141618</v>
      </c>
      <c r="AG3162" s="2">
        <f ca="1"/>
        <v>0.92921161331103086</v>
      </c>
      <c r="AH3162" s="2" t="str">
        <f ca="1"/>
        <v>Bad</v>
      </c>
    </row>
    <row r="3163" spans="2:34" x14ac:dyDescent="0.2">
      <c r="B3163" s="2">
        <f ca="1"/>
        <v>0.82054184110935657</v>
      </c>
      <c r="O3163" s="2">
        <f ca="1"/>
        <v>1.788512479512864</v>
      </c>
      <c r="X3163" s="2">
        <f ca="1"/>
        <v>71.56547437482557</v>
      </c>
      <c r="AG3163" s="2">
        <f ca="1"/>
        <v>8.0492630702863721E-2</v>
      </c>
      <c r="AH3163" s="2" t="str">
        <f ca="1"/>
        <v>OK</v>
      </c>
    </row>
    <row r="3164" spans="2:34" x14ac:dyDescent="0.2">
      <c r="B3164" s="2">
        <f ca="1"/>
        <v>0.8855221935264177</v>
      </c>
      <c r="O3164" s="2">
        <f ca="1"/>
        <v>1.2199318831656476</v>
      </c>
      <c r="X3164" s="2">
        <f ca="1"/>
        <v>37.657189933199156</v>
      </c>
      <c r="AG3164" s="2">
        <f ca="1"/>
        <v>6.8720395826479042E-2</v>
      </c>
      <c r="AH3164" s="2" t="str">
        <f ca="1"/>
        <v>OK</v>
      </c>
    </row>
    <row r="3165" spans="2:34" x14ac:dyDescent="0.2">
      <c r="B3165" s="2">
        <f ca="1"/>
        <v>0.8757441628423126</v>
      </c>
      <c r="O3165" s="2">
        <f ca="1"/>
        <v>-1.0000531607543848</v>
      </c>
      <c r="X3165" s="2">
        <f ca="1"/>
        <v>68.474694249481757</v>
      </c>
      <c r="AG3165" s="2">
        <f ca="1"/>
        <v>0.89845562556824787</v>
      </c>
      <c r="AH3165" s="2" t="str">
        <f ca="1"/>
        <v>Bad</v>
      </c>
    </row>
    <row r="3166" spans="2:34" x14ac:dyDescent="0.2">
      <c r="B3166" s="2">
        <f ca="1"/>
        <v>0.670815060702316</v>
      </c>
      <c r="O3166" s="2">
        <f ca="1"/>
        <v>-0.79388850437426495</v>
      </c>
      <c r="X3166" s="2">
        <f ca="1"/>
        <v>41.848073406760008</v>
      </c>
      <c r="AG3166" s="2">
        <f ca="1"/>
        <v>0.39778123260203779</v>
      </c>
      <c r="AH3166" s="2" t="str">
        <f ca="1"/>
        <v>OK</v>
      </c>
    </row>
    <row r="3167" spans="2:34" x14ac:dyDescent="0.2">
      <c r="B3167" s="2">
        <f ca="1"/>
        <v>0.9011672255995411</v>
      </c>
      <c r="O3167" s="2">
        <f ca="1"/>
        <v>-0.76063522565541641</v>
      </c>
      <c r="X3167" s="2">
        <f ca="1"/>
        <v>44.728321573969566</v>
      </c>
      <c r="AG3167" s="2">
        <f ca="1"/>
        <v>0.26146782438172389</v>
      </c>
      <c r="AH3167" s="2" t="str">
        <f ca="1"/>
        <v>OK</v>
      </c>
    </row>
    <row r="3168" spans="2:34" x14ac:dyDescent="0.2">
      <c r="B3168" s="2">
        <f ca="1"/>
        <v>0.2332372110333627</v>
      </c>
      <c r="O3168" s="2">
        <f ca="1"/>
        <v>0.531491235378315</v>
      </c>
      <c r="X3168" s="2">
        <f ca="1"/>
        <v>23.503397150323</v>
      </c>
      <c r="AG3168" s="2">
        <f ca="1"/>
        <v>0.59845904425834107</v>
      </c>
      <c r="AH3168" s="2" t="str">
        <f ca="1"/>
        <v>Bad</v>
      </c>
    </row>
    <row r="3169" spans="2:34" x14ac:dyDescent="0.2">
      <c r="B3169" s="2">
        <f ca="1"/>
        <v>0.99207135000943292</v>
      </c>
      <c r="O3169" s="2">
        <f ca="1"/>
        <v>-1.3532463664203755</v>
      </c>
      <c r="X3169" s="2">
        <f ca="1"/>
        <v>34.260863741432772</v>
      </c>
      <c r="AG3169" s="2">
        <f ca="1"/>
        <v>0.23563684119302564</v>
      </c>
      <c r="AH3169" s="2" t="str">
        <f ca="1"/>
        <v>OK</v>
      </c>
    </row>
    <row r="3170" spans="2:34" x14ac:dyDescent="0.2">
      <c r="B3170" s="2">
        <f ca="1"/>
        <v>0.55149077844862826</v>
      </c>
      <c r="O3170" s="2">
        <f ca="1"/>
        <v>-0.24620577807187671</v>
      </c>
      <c r="X3170" s="2">
        <f ca="1"/>
        <v>24.358890845595237</v>
      </c>
      <c r="AG3170" s="2">
        <f ca="1"/>
        <v>0.17728263537449096</v>
      </c>
      <c r="AH3170" s="2" t="str">
        <f ca="1"/>
        <v>OK</v>
      </c>
    </row>
    <row r="3171" spans="2:34" x14ac:dyDescent="0.2">
      <c r="B3171" s="2">
        <f ca="1"/>
        <v>0.88327872465245894</v>
      </c>
      <c r="O3171" s="2">
        <f ca="1"/>
        <v>0.16067962265247066</v>
      </c>
      <c r="X3171" s="2">
        <f ca="1"/>
        <v>46.443353562987028</v>
      </c>
      <c r="AG3171" s="2">
        <f ca="1"/>
        <v>0.90334292063627464</v>
      </c>
      <c r="AH3171" s="2" t="str">
        <f ca="1"/>
        <v>Bad</v>
      </c>
    </row>
    <row r="3172" spans="2:34" x14ac:dyDescent="0.2">
      <c r="B3172" s="2">
        <f ca="1"/>
        <v>0.43245937710308557</v>
      </c>
      <c r="O3172" s="2">
        <f ca="1"/>
        <v>0.34087560328338573</v>
      </c>
      <c r="X3172" s="2">
        <f ca="1"/>
        <v>60.124253410273283</v>
      </c>
      <c r="AG3172" s="2">
        <f ca="1"/>
        <v>0.95461836487645901</v>
      </c>
      <c r="AH3172" s="2" t="str">
        <f ca="1"/>
        <v>Bad</v>
      </c>
    </row>
    <row r="3173" spans="2:34" x14ac:dyDescent="0.2">
      <c r="B3173" s="2">
        <f ca="1"/>
        <v>0.53741070085278864</v>
      </c>
      <c r="O3173" s="2">
        <f ca="1"/>
        <v>0.7918731753161472</v>
      </c>
      <c r="X3173" s="2">
        <f ca="1"/>
        <v>27.356970388714249</v>
      </c>
      <c r="AG3173" s="2">
        <f ca="1"/>
        <v>0.82149976472655539</v>
      </c>
      <c r="AH3173" s="2" t="str">
        <f ca="1"/>
        <v>Bad</v>
      </c>
    </row>
    <row r="3174" spans="2:34" x14ac:dyDescent="0.2">
      <c r="B3174" s="2">
        <f ca="1"/>
        <v>0.2251315242585834</v>
      </c>
      <c r="O3174" s="2">
        <f ca="1"/>
        <v>-1.4686437549068292</v>
      </c>
      <c r="X3174" s="2">
        <f ca="1"/>
        <v>45.703746818863351</v>
      </c>
      <c r="AG3174" s="2">
        <f ca="1"/>
        <v>0.3156068682677402</v>
      </c>
      <c r="AH3174" s="2" t="str">
        <f ca="1"/>
        <v>OK</v>
      </c>
    </row>
    <row r="3175" spans="2:34" x14ac:dyDescent="0.2">
      <c r="B3175" s="2">
        <f ca="1"/>
        <v>0.58905595082844675</v>
      </c>
      <c r="O3175" s="2">
        <f ca="1"/>
        <v>0.33871601648943356</v>
      </c>
      <c r="X3175" s="2">
        <f ca="1"/>
        <v>81.45709918182304</v>
      </c>
      <c r="AG3175" s="2">
        <f ca="1"/>
        <v>0.35370471985911545</v>
      </c>
      <c r="AH3175" s="2" t="str">
        <f ca="1"/>
        <v>OK</v>
      </c>
    </row>
    <row r="3176" spans="2:34" x14ac:dyDescent="0.2">
      <c r="B3176" s="2">
        <f ca="1"/>
        <v>0.52129644381567197</v>
      </c>
      <c r="O3176" s="2">
        <f ca="1"/>
        <v>0.10580853366248191</v>
      </c>
      <c r="X3176" s="2">
        <f ca="1"/>
        <v>47.652033914687138</v>
      </c>
      <c r="AG3176" s="2">
        <f ca="1"/>
        <v>0.60993361655182121</v>
      </c>
      <c r="AH3176" s="2" t="str">
        <f ca="1"/>
        <v>Bad</v>
      </c>
    </row>
    <row r="3177" spans="2:34" x14ac:dyDescent="0.2">
      <c r="B3177" s="2">
        <f ca="1"/>
        <v>0.50176026595441869</v>
      </c>
      <c r="O3177" s="2">
        <f ca="1"/>
        <v>-0.57901015137365131</v>
      </c>
      <c r="X3177" s="2">
        <f ca="1"/>
        <v>57.785480896705195</v>
      </c>
      <c r="AG3177" s="2">
        <f ca="1"/>
        <v>0.7262950306975231</v>
      </c>
      <c r="AH3177" s="2" t="str">
        <f ca="1"/>
        <v>Bad</v>
      </c>
    </row>
    <row r="3178" spans="2:34" x14ac:dyDescent="0.2">
      <c r="B3178" s="2">
        <f ca="1"/>
        <v>0.67809306638894795</v>
      </c>
      <c r="O3178" s="2">
        <f ca="1"/>
        <v>-0.43918479155128509</v>
      </c>
      <c r="X3178" s="2">
        <f ca="1"/>
        <v>50.672428426621394</v>
      </c>
      <c r="AG3178" s="2">
        <f ca="1"/>
        <v>0.17721366484617485</v>
      </c>
      <c r="AH3178" s="2" t="str">
        <f ca="1"/>
        <v>OK</v>
      </c>
    </row>
    <row r="3179" spans="2:34" x14ac:dyDescent="0.2">
      <c r="B3179" s="2">
        <f ca="1"/>
        <v>3.569681781856926E-2</v>
      </c>
      <c r="O3179" s="2">
        <f ca="1"/>
        <v>0.48354140122016764</v>
      </c>
      <c r="X3179" s="2">
        <f ca="1"/>
        <v>33.528413703408702</v>
      </c>
      <c r="AG3179" s="2">
        <f ca="1"/>
        <v>0.58290120310586846</v>
      </c>
      <c r="AH3179" s="2" t="str">
        <f ca="1"/>
        <v>Bad</v>
      </c>
    </row>
    <row r="3180" spans="2:34" x14ac:dyDescent="0.2">
      <c r="B3180" s="2">
        <f ca="1"/>
        <v>0.42624427622834649</v>
      </c>
      <c r="O3180" s="2">
        <f ca="1"/>
        <v>0.69264315186634573</v>
      </c>
      <c r="X3180" s="2">
        <f ca="1"/>
        <v>41.64418349609906</v>
      </c>
      <c r="AG3180" s="2">
        <f ca="1"/>
        <v>0.23166529291360538</v>
      </c>
      <c r="AH3180" s="2" t="str">
        <f ca="1"/>
        <v>OK</v>
      </c>
    </row>
    <row r="3181" spans="2:34" x14ac:dyDescent="0.2">
      <c r="B3181" s="2">
        <f ca="1"/>
        <v>0.52276901126122621</v>
      </c>
      <c r="O3181" s="2">
        <f ca="1"/>
        <v>-0.28973584866022745</v>
      </c>
      <c r="X3181" s="2">
        <f ca="1"/>
        <v>45.219988936823214</v>
      </c>
      <c r="AG3181" s="2">
        <f ca="1"/>
        <v>0.72340942095929073</v>
      </c>
      <c r="AH3181" s="2" t="str">
        <f ca="1"/>
        <v>Bad</v>
      </c>
    </row>
    <row r="3182" spans="2:34" x14ac:dyDescent="0.2">
      <c r="B3182" s="2">
        <f ca="1"/>
        <v>0.3227086392709142</v>
      </c>
      <c r="O3182" s="2">
        <f ca="1"/>
        <v>-0.37722175334641733</v>
      </c>
      <c r="X3182" s="2">
        <f ca="1"/>
        <v>33.178048785122897</v>
      </c>
      <c r="AG3182" s="2">
        <f ca="1"/>
        <v>0.85541955320996244</v>
      </c>
      <c r="AH3182" s="2" t="str">
        <f ca="1"/>
        <v>Bad</v>
      </c>
    </row>
    <row r="3183" spans="2:34" x14ac:dyDescent="0.2">
      <c r="B3183" s="2">
        <f ca="1"/>
        <v>0.69194237278381632</v>
      </c>
      <c r="O3183" s="2">
        <f ca="1"/>
        <v>0.12008320496355782</v>
      </c>
      <c r="X3183" s="2">
        <f ca="1"/>
        <v>73.185387560831032</v>
      </c>
      <c r="AG3183" s="2">
        <f ca="1"/>
        <v>0.67483050136094436</v>
      </c>
      <c r="AH3183" s="2" t="str">
        <f ca="1"/>
        <v>Bad</v>
      </c>
    </row>
    <row r="3184" spans="2:34" x14ac:dyDescent="0.2">
      <c r="B3184" s="2">
        <f ca="1"/>
        <v>0.30561301510760686</v>
      </c>
      <c r="O3184" s="2">
        <f ca="1"/>
        <v>0.64697804546216864</v>
      </c>
      <c r="X3184" s="2">
        <f ca="1"/>
        <v>45.147215269749175</v>
      </c>
      <c r="AG3184" s="2">
        <f ca="1"/>
        <v>0.37333668414287713</v>
      </c>
      <c r="AH3184" s="2" t="str">
        <f ca="1"/>
        <v>OK</v>
      </c>
    </row>
    <row r="3185" spans="2:34" x14ac:dyDescent="0.2">
      <c r="B3185" s="2">
        <f ca="1"/>
        <v>0.30324992396226857</v>
      </c>
      <c r="O3185" s="2">
        <f ca="1"/>
        <v>-0.12351635972154792</v>
      </c>
      <c r="X3185" s="2">
        <f ca="1"/>
        <v>20.511182659811652</v>
      </c>
      <c r="AG3185" s="2">
        <f ca="1"/>
        <v>0.79433772972739924</v>
      </c>
      <c r="AH3185" s="2" t="str">
        <f ca="1"/>
        <v>Bad</v>
      </c>
    </row>
    <row r="3186" spans="2:34" x14ac:dyDescent="0.2">
      <c r="B3186" s="2">
        <f ca="1"/>
        <v>6.7357803784688253E-2</v>
      </c>
      <c r="O3186" s="2">
        <f ca="1"/>
        <v>0.74654947949131356</v>
      </c>
      <c r="X3186" s="2">
        <f ca="1"/>
        <v>51.524114077501686</v>
      </c>
      <c r="AG3186" s="2">
        <f ca="1"/>
        <v>0.58282756249771195</v>
      </c>
      <c r="AH3186" s="2" t="str">
        <f ca="1"/>
        <v>Bad</v>
      </c>
    </row>
    <row r="3187" spans="2:34" x14ac:dyDescent="0.2">
      <c r="B3187" s="2">
        <f ca="1"/>
        <v>0.98573214523080499</v>
      </c>
      <c r="O3187" s="2">
        <f ca="1"/>
        <v>0.21641611177070588</v>
      </c>
      <c r="X3187" s="2">
        <f ca="1"/>
        <v>69.599724087354545</v>
      </c>
      <c r="AG3187" s="2">
        <f ca="1"/>
        <v>0.59633036684959073</v>
      </c>
      <c r="AH3187" s="2" t="str">
        <f ca="1"/>
        <v>Bad</v>
      </c>
    </row>
    <row r="3188" spans="2:34" x14ac:dyDescent="0.2">
      <c r="B3188" s="2">
        <f ca="1"/>
        <v>0.58865210050695338</v>
      </c>
      <c r="O3188" s="2">
        <f ca="1"/>
        <v>-1.064286666930222</v>
      </c>
      <c r="X3188" s="2">
        <f ca="1"/>
        <v>36.586155586146546</v>
      </c>
      <c r="AG3188" s="2">
        <f ca="1"/>
        <v>0.87955277846867941</v>
      </c>
      <c r="AH3188" s="2" t="str">
        <f ca="1"/>
        <v>Bad</v>
      </c>
    </row>
    <row r="3189" spans="2:34" x14ac:dyDescent="0.2">
      <c r="B3189" s="2">
        <f ca="1"/>
        <v>0.68060231442939112</v>
      </c>
      <c r="O3189" s="2">
        <f ca="1"/>
        <v>-0.18562201118308519</v>
      </c>
      <c r="X3189" s="2">
        <f ca="1"/>
        <v>118.98296908947367</v>
      </c>
      <c r="AG3189" s="2">
        <f ca="1"/>
        <v>0.68087809053911408</v>
      </c>
      <c r="AH3189" s="2" t="str">
        <f ca="1"/>
        <v>Bad</v>
      </c>
    </row>
    <row r="3190" spans="2:34" x14ac:dyDescent="0.2">
      <c r="B3190" s="2">
        <f ca="1"/>
        <v>0.35044051266734932</v>
      </c>
      <c r="O3190" s="2">
        <f ca="1"/>
        <v>6.2123909833607834E-3</v>
      </c>
      <c r="X3190" s="2">
        <f ca="1"/>
        <v>55.411954603940899</v>
      </c>
      <c r="AG3190" s="2">
        <f ca="1"/>
        <v>0.5488033385174016</v>
      </c>
      <c r="AH3190" s="2" t="str">
        <f ca="1"/>
        <v>Bad</v>
      </c>
    </row>
    <row r="3191" spans="2:34" x14ac:dyDescent="0.2">
      <c r="B3191" s="2">
        <f ca="1"/>
        <v>0.87902212701726534</v>
      </c>
      <c r="O3191" s="2">
        <f ca="1"/>
        <v>-0.21318113463619923</v>
      </c>
      <c r="X3191" s="2">
        <f ca="1"/>
        <v>61.864630834851368</v>
      </c>
      <c r="AG3191" s="2">
        <f ca="1"/>
        <v>0.26189516650257505</v>
      </c>
      <c r="AH3191" s="2" t="str">
        <f ca="1"/>
        <v>OK</v>
      </c>
    </row>
    <row r="3192" spans="2:34" x14ac:dyDescent="0.2">
      <c r="B3192" s="2">
        <f ca="1"/>
        <v>0.10876935335326365</v>
      </c>
      <c r="O3192" s="2">
        <f ca="1"/>
        <v>-0.81083259941481889</v>
      </c>
      <c r="X3192" s="2">
        <f ca="1"/>
        <v>32.858756352105715</v>
      </c>
      <c r="AG3192" s="2">
        <f ca="1"/>
        <v>0.58805498752316754</v>
      </c>
      <c r="AH3192" s="2" t="str">
        <f ca="1"/>
        <v>Bad</v>
      </c>
    </row>
    <row r="3193" spans="2:34" x14ac:dyDescent="0.2">
      <c r="B3193" s="2">
        <f ca="1"/>
        <v>0.45249430195805207</v>
      </c>
      <c r="O3193" s="2">
        <f ca="1"/>
        <v>0.23062938560325763</v>
      </c>
      <c r="X3193" s="2">
        <f ca="1"/>
        <v>29.264229582733176</v>
      </c>
      <c r="AG3193" s="2">
        <f ca="1"/>
        <v>0.53053114275622359</v>
      </c>
      <c r="AH3193" s="2" t="str">
        <f ca="1"/>
        <v>Bad</v>
      </c>
    </row>
    <row r="3194" spans="2:34" x14ac:dyDescent="0.2">
      <c r="B3194" s="2">
        <f ca="1"/>
        <v>0.45398763897136729</v>
      </c>
      <c r="O3194" s="2">
        <f ca="1"/>
        <v>-0.47256047821839542</v>
      </c>
      <c r="X3194" s="2">
        <f ca="1"/>
        <v>45.640412018024193</v>
      </c>
      <c r="AG3194" s="2">
        <f ca="1"/>
        <v>0.26057082596749459</v>
      </c>
      <c r="AH3194" s="2" t="str">
        <f ca="1"/>
        <v>OK</v>
      </c>
    </row>
    <row r="3195" spans="2:34" x14ac:dyDescent="0.2">
      <c r="B3195" s="2">
        <f ca="1"/>
        <v>0.70379313140123245</v>
      </c>
      <c r="O3195" s="2">
        <f ca="1"/>
        <v>4.8887689614261105E-2</v>
      </c>
      <c r="X3195" s="2">
        <f ca="1"/>
        <v>45.043020108996259</v>
      </c>
      <c r="AG3195" s="2">
        <f ca="1"/>
        <v>0.85102384582356994</v>
      </c>
      <c r="AH3195" s="2" t="str">
        <f ca="1"/>
        <v>Bad</v>
      </c>
    </row>
    <row r="3196" spans="2:34" x14ac:dyDescent="0.2">
      <c r="B3196" s="2">
        <f ca="1"/>
        <v>0.14744845630259551</v>
      </c>
      <c r="O3196" s="2">
        <f ca="1"/>
        <v>0.87332888264215391</v>
      </c>
      <c r="X3196" s="2">
        <f ca="1"/>
        <v>60.927980174837089</v>
      </c>
      <c r="AG3196" s="2">
        <f ca="1"/>
        <v>0.51698489538088266</v>
      </c>
      <c r="AH3196" s="2" t="str">
        <f ca="1"/>
        <v>Bad</v>
      </c>
    </row>
    <row r="3197" spans="2:34" x14ac:dyDescent="0.2">
      <c r="B3197" s="2">
        <f ca="1"/>
        <v>0.93052938469056201</v>
      </c>
      <c r="O3197" s="2">
        <f ca="1"/>
        <v>-0.45741504609717182</v>
      </c>
      <c r="X3197" s="2">
        <f ca="1"/>
        <v>63.65665646749737</v>
      </c>
      <c r="AG3197" s="2">
        <f ca="1"/>
        <v>0.88055086731758814</v>
      </c>
      <c r="AH3197" s="2" t="str">
        <f ca="1"/>
        <v>Bad</v>
      </c>
    </row>
    <row r="3198" spans="2:34" x14ac:dyDescent="0.2">
      <c r="B3198" s="2">
        <f ca="1"/>
        <v>0.34291855433685714</v>
      </c>
      <c r="O3198" s="2">
        <f ca="1"/>
        <v>1.7147282789437346</v>
      </c>
      <c r="X3198" s="2">
        <f ca="1"/>
        <v>55.122408389317997</v>
      </c>
      <c r="AG3198" s="2">
        <f ca="1"/>
        <v>0.21921864529248825</v>
      </c>
      <c r="AH3198" s="2" t="str">
        <f ca="1"/>
        <v>OK</v>
      </c>
    </row>
    <row r="3199" spans="2:34" x14ac:dyDescent="0.2">
      <c r="B3199" s="2">
        <f ca="1"/>
        <v>0.64402141360599519</v>
      </c>
      <c r="O3199" s="2">
        <f ca="1"/>
        <v>2.253173136280779E-2</v>
      </c>
      <c r="X3199" s="2">
        <f ca="1"/>
        <v>53.622623285725837</v>
      </c>
      <c r="AG3199" s="2">
        <f ca="1"/>
        <v>0.13936469042279298</v>
      </c>
      <c r="AH3199" s="2" t="str">
        <f ca="1"/>
        <v>OK</v>
      </c>
    </row>
    <row r="3200" spans="2:34" x14ac:dyDescent="0.2">
      <c r="B3200" s="2">
        <f ca="1"/>
        <v>0.46029835199988112</v>
      </c>
      <c r="O3200" s="2">
        <f ca="1"/>
        <v>0.72899926556170536</v>
      </c>
      <c r="X3200" s="2">
        <f ca="1"/>
        <v>25.673070204905827</v>
      </c>
      <c r="AG3200" s="2">
        <f ca="1"/>
        <v>0.63402781111707252</v>
      </c>
      <c r="AH3200" s="2" t="str">
        <f ca="1"/>
        <v>Bad</v>
      </c>
    </row>
    <row r="3201" spans="2:34" x14ac:dyDescent="0.2">
      <c r="B3201" s="2">
        <f ca="1"/>
        <v>0.98707947846838273</v>
      </c>
      <c r="O3201" s="2">
        <f ca="1"/>
        <v>-0.45352318305467509</v>
      </c>
      <c r="X3201" s="2">
        <f ca="1"/>
        <v>18.986199390223693</v>
      </c>
      <c r="AG3201" s="2">
        <f ca="1"/>
        <v>0.20664475324542786</v>
      </c>
      <c r="AH3201" s="2" t="str">
        <f ca="1"/>
        <v>OK</v>
      </c>
    </row>
    <row r="3202" spans="2:34" x14ac:dyDescent="0.2">
      <c r="B3202" s="2">
        <f ca="1"/>
        <v>0.66132194872466576</v>
      </c>
      <c r="O3202" s="2">
        <f ca="1"/>
        <v>-1.0852963976598797</v>
      </c>
      <c r="X3202" s="2">
        <f ca="1"/>
        <v>49.707652584260167</v>
      </c>
      <c r="AG3202" s="2">
        <f ca="1"/>
        <v>0.61855077117666202</v>
      </c>
      <c r="AH3202" s="2" t="str">
        <f ca="1"/>
        <v>Bad</v>
      </c>
    </row>
    <row r="3203" spans="2:34" x14ac:dyDescent="0.2">
      <c r="B3203" s="2">
        <f ca="1"/>
        <v>0.83961694801064257</v>
      </c>
      <c r="O3203" s="2">
        <f ca="1"/>
        <v>-0.28709259936057779</v>
      </c>
      <c r="X3203" s="2">
        <f ca="1"/>
        <v>36.080650270991889</v>
      </c>
      <c r="AG3203" s="2">
        <f ca="1"/>
        <v>0.13904406272459169</v>
      </c>
      <c r="AH3203" s="2" t="str">
        <f ca="1"/>
        <v>OK</v>
      </c>
    </row>
    <row r="3204" spans="2:34" x14ac:dyDescent="0.2">
      <c r="B3204" s="2">
        <f ca="1"/>
        <v>0.8441477317592152</v>
      </c>
      <c r="O3204" s="2">
        <f ca="1"/>
        <v>-0.72484344452675176</v>
      </c>
      <c r="X3204" s="2">
        <f ca="1"/>
        <v>36.388132213814806</v>
      </c>
      <c r="AG3204" s="2">
        <f ca="1"/>
        <v>0.54613044228573138</v>
      </c>
      <c r="AH3204" s="2" t="str">
        <f ca="1"/>
        <v>Bad</v>
      </c>
    </row>
    <row r="3205" spans="2:34" x14ac:dyDescent="0.2">
      <c r="B3205" s="2">
        <f ca="1"/>
        <v>0.54200710115606743</v>
      </c>
      <c r="O3205" s="2">
        <f ca="1"/>
        <v>0.68034401078743567</v>
      </c>
      <c r="X3205" s="2">
        <f ca="1"/>
        <v>38.954304898134865</v>
      </c>
      <c r="AG3205" s="2">
        <f ca="1"/>
        <v>0.43753159133145503</v>
      </c>
      <c r="AH3205" s="2" t="str">
        <f ca="1"/>
        <v>Bad</v>
      </c>
    </row>
    <row r="3206" spans="2:34" x14ac:dyDescent="0.2">
      <c r="B3206" s="2">
        <f ca="1"/>
        <v>0.53037383020975293</v>
      </c>
      <c r="O3206" s="2">
        <f ca="1"/>
        <v>-2.2280984952906748</v>
      </c>
      <c r="X3206" s="2">
        <f ca="1"/>
        <v>59.066907223488634</v>
      </c>
      <c r="AG3206" s="2">
        <f ca="1"/>
        <v>0.41516012552856885</v>
      </c>
      <c r="AH3206" s="2" t="str">
        <f ca="1"/>
        <v>Bad</v>
      </c>
    </row>
    <row r="3207" spans="2:34" x14ac:dyDescent="0.2">
      <c r="B3207" s="2">
        <f ca="1"/>
        <v>0.26278226945069449</v>
      </c>
      <c r="O3207" s="2">
        <f ca="1"/>
        <v>0.68713219404313042</v>
      </c>
      <c r="X3207" s="2">
        <f ca="1"/>
        <v>73.317284851925123</v>
      </c>
      <c r="AG3207" s="2">
        <f ca="1"/>
        <v>0.52451140510509697</v>
      </c>
      <c r="AH3207" s="2" t="str">
        <f ca="1"/>
        <v>Bad</v>
      </c>
    </row>
    <row r="3208" spans="2:34" x14ac:dyDescent="0.2">
      <c r="B3208" s="2">
        <f ca="1"/>
        <v>0.61174004145060046</v>
      </c>
      <c r="O3208" s="2">
        <f ca="1"/>
        <v>0.91646442963155439</v>
      </c>
      <c r="X3208" s="2">
        <f ca="1"/>
        <v>32.617634532821754</v>
      </c>
      <c r="AG3208" s="2">
        <f ca="1"/>
        <v>0.406665581118272</v>
      </c>
      <c r="AH3208" s="2" t="str">
        <f ca="1"/>
        <v>Bad</v>
      </c>
    </row>
    <row r="3209" spans="2:34" x14ac:dyDescent="0.2">
      <c r="B3209" s="2">
        <f ca="1"/>
        <v>0.76829152091951713</v>
      </c>
      <c r="O3209" s="2">
        <f ca="1"/>
        <v>-0.96694174255439158</v>
      </c>
      <c r="X3209" s="2">
        <f ca="1"/>
        <v>34.130844364529523</v>
      </c>
      <c r="AG3209" s="2">
        <f ca="1"/>
        <v>0.40426046496501433</v>
      </c>
      <c r="AH3209" s="2" t="str">
        <f ca="1"/>
        <v>Bad</v>
      </c>
    </row>
    <row r="3210" spans="2:34" x14ac:dyDescent="0.2">
      <c r="B3210" s="2">
        <f ca="1"/>
        <v>0.37355712616216108</v>
      </c>
      <c r="O3210" s="2">
        <f ca="1"/>
        <v>-0.99132979759132978</v>
      </c>
      <c r="X3210" s="2">
        <f ca="1"/>
        <v>74.743653962163606</v>
      </c>
      <c r="AG3210" s="2">
        <f ca="1"/>
        <v>7.8529635937687026E-2</v>
      </c>
      <c r="AH3210" s="2" t="str">
        <f ca="1"/>
        <v>OK</v>
      </c>
    </row>
    <row r="3211" spans="2:34" x14ac:dyDescent="0.2">
      <c r="B3211" s="2">
        <f ca="1"/>
        <v>8.0583716479864176E-2</v>
      </c>
      <c r="O3211" s="2">
        <f ca="1"/>
        <v>-2.035084758816136</v>
      </c>
      <c r="X3211" s="2">
        <f ca="1"/>
        <v>84.12928530893393</v>
      </c>
      <c r="AG3211" s="2">
        <f ca="1"/>
        <v>0.79292776709109392</v>
      </c>
      <c r="AH3211" s="2" t="str">
        <f ca="1"/>
        <v>Bad</v>
      </c>
    </row>
    <row r="3212" spans="2:34" x14ac:dyDescent="0.2">
      <c r="B3212" s="2">
        <f ca="1"/>
        <v>2.985062190188148E-2</v>
      </c>
      <c r="O3212" s="2">
        <f ca="1"/>
        <v>1.1244060594505727</v>
      </c>
      <c r="X3212" s="2">
        <f ca="1"/>
        <v>30.307431566750406</v>
      </c>
      <c r="AG3212" s="2">
        <f ca="1"/>
        <v>0.54498688091574832</v>
      </c>
      <c r="AH3212" s="2" t="str">
        <f ca="1"/>
        <v>Bad</v>
      </c>
    </row>
    <row r="3213" spans="2:34" x14ac:dyDescent="0.2">
      <c r="B3213" s="2">
        <f ca="1"/>
        <v>0.72467592179459261</v>
      </c>
      <c r="O3213" s="2">
        <f ca="1"/>
        <v>0.64725821786354965</v>
      </c>
      <c r="X3213" s="2">
        <f ca="1"/>
        <v>51.234033022635252</v>
      </c>
      <c r="AG3213" s="2">
        <f ca="1"/>
        <v>1.6001507940390347E-2</v>
      </c>
      <c r="AH3213" s="2" t="str">
        <f ca="1"/>
        <v>Good</v>
      </c>
    </row>
    <row r="3214" spans="2:34" x14ac:dyDescent="0.2">
      <c r="B3214" s="2">
        <f ca="1"/>
        <v>0.55494269569012689</v>
      </c>
      <c r="O3214" s="2">
        <f ca="1"/>
        <v>-1.2058637069602318</v>
      </c>
      <c r="X3214" s="2">
        <f ca="1"/>
        <v>51.606960336538954</v>
      </c>
      <c r="AG3214" s="2">
        <f ca="1"/>
        <v>0.39589070942109261</v>
      </c>
      <c r="AH3214" s="2" t="str">
        <f ca="1"/>
        <v>OK</v>
      </c>
    </row>
    <row r="3215" spans="2:34" x14ac:dyDescent="0.2">
      <c r="B3215" s="2">
        <f ca="1"/>
        <v>0.52305232782966438</v>
      </c>
      <c r="O3215" s="2">
        <f ca="1"/>
        <v>1.4598953677235946</v>
      </c>
      <c r="X3215" s="2">
        <f ca="1"/>
        <v>62.787106463017928</v>
      </c>
      <c r="AG3215" s="2">
        <f ca="1"/>
        <v>0.70515107098508234</v>
      </c>
      <c r="AH3215" s="2" t="str">
        <f ca="1"/>
        <v>Bad</v>
      </c>
    </row>
    <row r="3216" spans="2:34" x14ac:dyDescent="0.2">
      <c r="B3216" s="2">
        <f ca="1"/>
        <v>0.59951911183130235</v>
      </c>
      <c r="O3216" s="2">
        <f ca="1"/>
        <v>0.62646404037145975</v>
      </c>
      <c r="X3216" s="2">
        <f ca="1"/>
        <v>36.474943120480418</v>
      </c>
      <c r="AG3216" s="2">
        <f ca="1"/>
        <v>0.34336236521586461</v>
      </c>
      <c r="AH3216" s="2" t="str">
        <f ca="1"/>
        <v>OK</v>
      </c>
    </row>
    <row r="3217" spans="2:34" x14ac:dyDescent="0.2">
      <c r="B3217" s="2">
        <f ca="1"/>
        <v>0.54456490171404259</v>
      </c>
      <c r="O3217" s="2">
        <f ca="1"/>
        <v>-0.39870298532509796</v>
      </c>
      <c r="X3217" s="2">
        <f ca="1"/>
        <v>71.747927263715468</v>
      </c>
      <c r="AG3217" s="2">
        <f ca="1"/>
        <v>0.22254669141435302</v>
      </c>
      <c r="AH3217" s="2" t="str">
        <f ca="1"/>
        <v>OK</v>
      </c>
    </row>
    <row r="3218" spans="2:34" x14ac:dyDescent="0.2">
      <c r="B3218" s="2">
        <f ca="1"/>
        <v>0.87050048758502108</v>
      </c>
      <c r="O3218" s="2">
        <f ca="1"/>
        <v>0.28085724448555077</v>
      </c>
      <c r="X3218" s="2">
        <f ca="1"/>
        <v>40.682117379223953</v>
      </c>
      <c r="AG3218" s="2">
        <f ca="1"/>
        <v>0.56202159431288168</v>
      </c>
      <c r="AH3218" s="2" t="str">
        <f ca="1"/>
        <v>Bad</v>
      </c>
    </row>
    <row r="3219" spans="2:34" x14ac:dyDescent="0.2">
      <c r="B3219" s="2">
        <f ca="1"/>
        <v>0.82884688222905401</v>
      </c>
      <c r="O3219" s="2">
        <f ca="1"/>
        <v>-0.56048245987500467</v>
      </c>
      <c r="X3219" s="2">
        <f ca="1"/>
        <v>68.538641792627175</v>
      </c>
      <c r="AG3219" s="2">
        <f ca="1"/>
        <v>0.91084600962402429</v>
      </c>
      <c r="AH3219" s="2" t="str">
        <f ca="1"/>
        <v>Bad</v>
      </c>
    </row>
    <row r="3220" spans="2:34" x14ac:dyDescent="0.2">
      <c r="B3220" s="2">
        <f ca="1"/>
        <v>0.33818334770213698</v>
      </c>
      <c r="O3220" s="2">
        <f ca="1"/>
        <v>-2.3860135982862003</v>
      </c>
      <c r="X3220" s="2">
        <f ca="1"/>
        <v>40.817642025625645</v>
      </c>
      <c r="AG3220" s="2">
        <f ca="1"/>
        <v>0.37226853144994276</v>
      </c>
      <c r="AH3220" s="2" t="str">
        <f ca="1"/>
        <v>OK</v>
      </c>
    </row>
    <row r="3221" spans="2:34" x14ac:dyDescent="0.2">
      <c r="B3221" s="2">
        <f ca="1"/>
        <v>0.65699667305714105</v>
      </c>
      <c r="O3221" s="2">
        <f ca="1"/>
        <v>-2.0794195658314942E-2</v>
      </c>
      <c r="X3221" s="2">
        <f ca="1"/>
        <v>53.684682161258415</v>
      </c>
      <c r="AG3221" s="2">
        <f ca="1"/>
        <v>0.3646319775377882</v>
      </c>
      <c r="AH3221" s="2" t="str">
        <f ca="1"/>
        <v>OK</v>
      </c>
    </row>
    <row r="3222" spans="2:34" x14ac:dyDescent="0.2">
      <c r="B3222" s="2">
        <f ca="1"/>
        <v>0.65293096124833605</v>
      </c>
      <c r="O3222" s="2">
        <f ca="1"/>
        <v>-1.1718588842474105</v>
      </c>
      <c r="X3222" s="2">
        <f ca="1"/>
        <v>22.997528729564483</v>
      </c>
      <c r="AG3222" s="2">
        <f ca="1"/>
        <v>0.86306689263784997</v>
      </c>
      <c r="AH3222" s="2" t="str">
        <f ca="1"/>
        <v>Bad</v>
      </c>
    </row>
    <row r="3223" spans="2:34" x14ac:dyDescent="0.2">
      <c r="B3223" s="2">
        <f ca="1"/>
        <v>2.0062857330601647E-2</v>
      </c>
      <c r="O3223" s="2">
        <f ca="1"/>
        <v>0.57687988571436899</v>
      </c>
      <c r="X3223" s="2">
        <f ca="1"/>
        <v>56.201927611470445</v>
      </c>
      <c r="AG3223" s="2">
        <f ca="1"/>
        <v>0.78380132836860272</v>
      </c>
      <c r="AH3223" s="2" t="str">
        <f ca="1"/>
        <v>Bad</v>
      </c>
    </row>
    <row r="3224" spans="2:34" x14ac:dyDescent="0.2">
      <c r="B3224" s="2">
        <f ca="1"/>
        <v>6.5651953538268248E-2</v>
      </c>
      <c r="O3224" s="2">
        <f ca="1"/>
        <v>-0.33893616796389703</v>
      </c>
      <c r="X3224" s="2">
        <f ca="1"/>
        <v>62.613151091616132</v>
      </c>
      <c r="AG3224" s="2">
        <f ca="1"/>
        <v>0.50750726554261982</v>
      </c>
      <c r="AH3224" s="2" t="str">
        <f ca="1"/>
        <v>Bad</v>
      </c>
    </row>
    <row r="3225" spans="2:34" x14ac:dyDescent="0.2">
      <c r="B3225" s="2">
        <f ca="1"/>
        <v>0.91056875503220303</v>
      </c>
      <c r="O3225" s="2">
        <f ca="1"/>
        <v>-1.3407369892611953</v>
      </c>
      <c r="X3225" s="2">
        <f ca="1"/>
        <v>38.63671331499161</v>
      </c>
      <c r="AG3225" s="2">
        <f ca="1"/>
        <v>0.81516235457736097</v>
      </c>
      <c r="AH3225" s="2" t="str">
        <f ca="1"/>
        <v>Bad</v>
      </c>
    </row>
    <row r="3226" spans="2:34" x14ac:dyDescent="0.2">
      <c r="B3226" s="2">
        <f ca="1"/>
        <v>0.9362215972943897</v>
      </c>
      <c r="O3226" s="2">
        <f ca="1"/>
        <v>-0.37091194969584818</v>
      </c>
      <c r="X3226" s="2">
        <f ca="1"/>
        <v>57.619565130282467</v>
      </c>
      <c r="AG3226" s="2">
        <f ca="1"/>
        <v>9.3599435843369605E-2</v>
      </c>
      <c r="AH3226" s="2" t="str">
        <f ca="1"/>
        <v>OK</v>
      </c>
    </row>
    <row r="3227" spans="2:34" x14ac:dyDescent="0.2">
      <c r="B3227" s="2">
        <f ca="1"/>
        <v>0.82687606927193569</v>
      </c>
      <c r="O3227" s="2">
        <f ca="1"/>
        <v>-0.5057122342511241</v>
      </c>
      <c r="X3227" s="2">
        <f ca="1"/>
        <v>94.863731763350671</v>
      </c>
      <c r="AG3227" s="2">
        <f ca="1"/>
        <v>0.73620295220535237</v>
      </c>
      <c r="AH3227" s="2" t="str">
        <f ca="1"/>
        <v>Bad</v>
      </c>
    </row>
    <row r="3228" spans="2:34" x14ac:dyDescent="0.2">
      <c r="B3228" s="2">
        <f ca="1"/>
        <v>0.86642408578983598</v>
      </c>
      <c r="O3228" s="2">
        <f ca="1"/>
        <v>-0.89108418587459182</v>
      </c>
      <c r="X3228" s="2">
        <f ca="1"/>
        <v>57.819586577772704</v>
      </c>
      <c r="AG3228" s="2">
        <f ca="1"/>
        <v>0.27523385826000801</v>
      </c>
      <c r="AH3228" s="2" t="str">
        <f ca="1"/>
        <v>OK</v>
      </c>
    </row>
    <row r="3229" spans="2:34" x14ac:dyDescent="0.2">
      <c r="B3229" s="2">
        <f ca="1"/>
        <v>0.19071193017397237</v>
      </c>
      <c r="O3229" s="2">
        <f ca="1"/>
        <v>-0.90401892678988305</v>
      </c>
      <c r="X3229" s="2">
        <f ca="1"/>
        <v>37.581030192986091</v>
      </c>
      <c r="AG3229" s="2">
        <f ca="1"/>
        <v>0.93193830421851964</v>
      </c>
      <c r="AH3229" s="2" t="str">
        <f ca="1"/>
        <v>Bad</v>
      </c>
    </row>
    <row r="3230" spans="2:34" x14ac:dyDescent="0.2">
      <c r="B3230" s="2">
        <f ca="1"/>
        <v>0.57484309937496048</v>
      </c>
      <c r="O3230" s="2">
        <f ca="1"/>
        <v>-1.1421282259622336</v>
      </c>
      <c r="X3230" s="2">
        <f ca="1"/>
        <v>45.319980727034775</v>
      </c>
      <c r="AG3230" s="2">
        <f ca="1"/>
        <v>0.85045538013356059</v>
      </c>
      <c r="AH3230" s="2" t="str">
        <f ca="1"/>
        <v>Bad</v>
      </c>
    </row>
    <row r="3231" spans="2:34" x14ac:dyDescent="0.2">
      <c r="B3231" s="2">
        <f ca="1"/>
        <v>0.52309438172404077</v>
      </c>
      <c r="O3231" s="2">
        <f ca="1"/>
        <v>0.82626062739704009</v>
      </c>
      <c r="X3231" s="2">
        <f ca="1"/>
        <v>50.538756977887275</v>
      </c>
      <c r="AG3231" s="2">
        <f ca="1"/>
        <v>0.84605166093191397</v>
      </c>
      <c r="AH3231" s="2" t="str">
        <f ca="1"/>
        <v>Bad</v>
      </c>
    </row>
    <row r="3232" spans="2:34" x14ac:dyDescent="0.2">
      <c r="B3232" s="2">
        <f ca="1"/>
        <v>0.39998873933021395</v>
      </c>
      <c r="O3232" s="2">
        <f ca="1"/>
        <v>1.27718222206164</v>
      </c>
      <c r="X3232" s="2">
        <f ca="1"/>
        <v>70.439162031668531</v>
      </c>
      <c r="AG3232" s="2">
        <f ca="1"/>
        <v>0.46897044862436355</v>
      </c>
      <c r="AH3232" s="2" t="str">
        <f ca="1"/>
        <v>Bad</v>
      </c>
    </row>
    <row r="3233" spans="2:34" x14ac:dyDescent="0.2">
      <c r="B3233" s="2">
        <f ca="1"/>
        <v>0.7114475700571814</v>
      </c>
      <c r="O3233" s="2">
        <f ca="1"/>
        <v>0.10128484125479673</v>
      </c>
      <c r="X3233" s="2">
        <f ca="1"/>
        <v>28.765865158183978</v>
      </c>
      <c r="AG3233" s="2">
        <f ca="1"/>
        <v>0.43465327343631621</v>
      </c>
      <c r="AH3233" s="2" t="str">
        <f ca="1"/>
        <v>Bad</v>
      </c>
    </row>
    <row r="3234" spans="2:34" x14ac:dyDescent="0.2">
      <c r="B3234" s="2">
        <f ca="1"/>
        <v>0.22498229582235174</v>
      </c>
      <c r="O3234" s="2">
        <f ca="1"/>
        <v>-0.49095743475902831</v>
      </c>
      <c r="X3234" s="2">
        <f ca="1"/>
        <v>37.584276126834951</v>
      </c>
      <c r="AG3234" s="2">
        <f ca="1"/>
        <v>8.0397621951897591E-3</v>
      </c>
      <c r="AH3234" s="2" t="str">
        <f ca="1"/>
        <v>Good</v>
      </c>
    </row>
    <row r="3235" spans="2:34" x14ac:dyDescent="0.2">
      <c r="B3235" s="2">
        <f ca="1"/>
        <v>0.21272212646286803</v>
      </c>
      <c r="O3235" s="2">
        <f ca="1"/>
        <v>-1.7294170798090693</v>
      </c>
      <c r="X3235" s="2">
        <f ca="1"/>
        <v>64.283549355860799</v>
      </c>
      <c r="AG3235" s="2">
        <f ca="1"/>
        <v>0.62591350844566329</v>
      </c>
      <c r="AH3235" s="2" t="str">
        <f ca="1"/>
        <v>Bad</v>
      </c>
    </row>
    <row r="3236" spans="2:34" x14ac:dyDescent="0.2">
      <c r="B3236" s="2">
        <f ca="1"/>
        <v>0.56095522695440514</v>
      </c>
      <c r="O3236" s="2">
        <f ca="1"/>
        <v>-0.40156782261301111</v>
      </c>
      <c r="X3236" s="2">
        <f ca="1"/>
        <v>30.868936760427967</v>
      </c>
      <c r="AG3236" s="2">
        <f ca="1"/>
        <v>0.65846929822184452</v>
      </c>
      <c r="AH3236" s="2" t="str">
        <f ca="1"/>
        <v>Bad</v>
      </c>
    </row>
    <row r="3237" spans="2:34" x14ac:dyDescent="0.2">
      <c r="B3237" s="2">
        <f ca="1"/>
        <v>0.25540756820436195</v>
      </c>
      <c r="O3237" s="2">
        <f ca="1"/>
        <v>0.68588225029907324</v>
      </c>
      <c r="X3237" s="2">
        <f ca="1"/>
        <v>63.626291452977839</v>
      </c>
      <c r="AG3237" s="2">
        <f ca="1"/>
        <v>0.68881043395581742</v>
      </c>
      <c r="AH3237" s="2" t="str">
        <f ca="1"/>
        <v>Bad</v>
      </c>
    </row>
    <row r="3238" spans="2:34" x14ac:dyDescent="0.2">
      <c r="B3238" s="2">
        <f ca="1"/>
        <v>0.13216089119502739</v>
      </c>
      <c r="O3238" s="2">
        <f ca="1"/>
        <v>1.1069893292119655</v>
      </c>
      <c r="X3238" s="2">
        <f ca="1"/>
        <v>40.483399856923505</v>
      </c>
      <c r="AG3238" s="2">
        <f ca="1"/>
        <v>0.21036923839015076</v>
      </c>
      <c r="AH3238" s="2" t="str">
        <f ca="1"/>
        <v>OK</v>
      </c>
    </row>
    <row r="3239" spans="2:34" x14ac:dyDescent="0.2">
      <c r="B3239" s="2">
        <f ca="1"/>
        <v>0.55120820052449226</v>
      </c>
      <c r="O3239" s="2">
        <f ca="1"/>
        <v>1.0734752443464777</v>
      </c>
      <c r="X3239" s="2">
        <f ca="1"/>
        <v>43.37780651218948</v>
      </c>
      <c r="AG3239" s="2">
        <f ca="1"/>
        <v>0.46845649739183837</v>
      </c>
      <c r="AH3239" s="2" t="str">
        <f ca="1"/>
        <v>Bad</v>
      </c>
    </row>
    <row r="3240" spans="2:34" x14ac:dyDescent="0.2">
      <c r="B3240" s="2">
        <f ca="1"/>
        <v>0.61503822793951834</v>
      </c>
      <c r="O3240" s="2">
        <f ca="1"/>
        <v>1.1704665132936283</v>
      </c>
      <c r="X3240" s="2">
        <f ca="1"/>
        <v>42.915919787176911</v>
      </c>
      <c r="AG3240" s="2">
        <f ca="1"/>
        <v>0.97484157737001254</v>
      </c>
      <c r="AH3240" s="2" t="str">
        <f ca="1"/>
        <v>Bad</v>
      </c>
    </row>
    <row r="3241" spans="2:34" x14ac:dyDescent="0.2">
      <c r="B3241" s="2">
        <f ca="1"/>
        <v>0.79127250012832007</v>
      </c>
      <c r="O3241" s="2">
        <f ca="1"/>
        <v>0.12148848574503306</v>
      </c>
      <c r="X3241" s="2">
        <f ca="1"/>
        <v>32.346727076565571</v>
      </c>
      <c r="AG3241" s="2">
        <f ca="1"/>
        <v>0.49871332314605299</v>
      </c>
      <c r="AH3241" s="2" t="str">
        <f ca="1"/>
        <v>Bad</v>
      </c>
    </row>
    <row r="3242" spans="2:34" x14ac:dyDescent="0.2">
      <c r="B3242" s="2">
        <f ca="1"/>
        <v>0.60499245356988118</v>
      </c>
      <c r="O3242" s="2">
        <f ca="1"/>
        <v>-0.66818909202068932</v>
      </c>
      <c r="X3242" s="2">
        <f ca="1"/>
        <v>70.850494154427679</v>
      </c>
      <c r="AG3242" s="2">
        <f ca="1"/>
        <v>0.14380526099460544</v>
      </c>
      <c r="AH3242" s="2" t="str">
        <f ca="1"/>
        <v>OK</v>
      </c>
    </row>
    <row r="3243" spans="2:34" x14ac:dyDescent="0.2">
      <c r="B3243" s="2">
        <f ca="1"/>
        <v>0.14160837046472596</v>
      </c>
      <c r="O3243" s="2">
        <f ca="1"/>
        <v>0.90403092009369002</v>
      </c>
      <c r="X3243" s="2">
        <f ca="1"/>
        <v>51.047318761123648</v>
      </c>
      <c r="AG3243" s="2">
        <f ca="1"/>
        <v>0.42890167899839238</v>
      </c>
      <c r="AH3243" s="2" t="str">
        <f ca="1"/>
        <v>Bad</v>
      </c>
    </row>
    <row r="3244" spans="2:34" x14ac:dyDescent="0.2">
      <c r="B3244" s="2">
        <f ca="1"/>
        <v>0.48981987628203139</v>
      </c>
      <c r="O3244" s="2">
        <f ca="1"/>
        <v>0.64599709801801541</v>
      </c>
      <c r="X3244" s="2">
        <f ca="1"/>
        <v>70.474052801045175</v>
      </c>
      <c r="AG3244" s="2">
        <f ca="1"/>
        <v>0.8110639109985831</v>
      </c>
      <c r="AH3244" s="2" t="str">
        <f ca="1"/>
        <v>Bad</v>
      </c>
    </row>
    <row r="3245" spans="2:34" x14ac:dyDescent="0.2">
      <c r="B3245" s="2">
        <f ca="1"/>
        <v>0.64879858626860099</v>
      </c>
      <c r="O3245" s="2">
        <f ca="1"/>
        <v>-1.483971347726466</v>
      </c>
      <c r="X3245" s="2">
        <f ca="1"/>
        <v>61.591795677699167</v>
      </c>
      <c r="AG3245" s="2">
        <f ca="1"/>
        <v>0.6129981009089791</v>
      </c>
      <c r="AH3245" s="2" t="str">
        <f ca="1"/>
        <v>Bad</v>
      </c>
    </row>
    <row r="3246" spans="2:34" x14ac:dyDescent="0.2">
      <c r="B3246" s="2">
        <f ca="1"/>
        <v>0.69669191889112336</v>
      </c>
      <c r="O3246" s="2">
        <f ca="1"/>
        <v>1.0843115610685476</v>
      </c>
      <c r="X3246" s="2">
        <f ca="1"/>
        <v>50.872984045620242</v>
      </c>
      <c r="AG3246" s="2">
        <f ca="1"/>
        <v>6.0763456792132686E-2</v>
      </c>
      <c r="AH3246" s="2" t="str">
        <f ca="1"/>
        <v>OK</v>
      </c>
    </row>
    <row r="3247" spans="2:34" x14ac:dyDescent="0.2">
      <c r="B3247" s="2">
        <f ca="1"/>
        <v>0.36789282321886851</v>
      </c>
      <c r="O3247" s="2">
        <f ca="1"/>
        <v>0.35738635508572136</v>
      </c>
      <c r="X3247" s="2">
        <f ca="1"/>
        <v>68.863497151887259</v>
      </c>
      <c r="AG3247" s="2">
        <f ca="1"/>
        <v>0.63180870434110026</v>
      </c>
      <c r="AH3247" s="2" t="str">
        <f ca="1"/>
        <v>Bad</v>
      </c>
    </row>
    <row r="3248" spans="2:34" x14ac:dyDescent="0.2">
      <c r="B3248" s="2">
        <f ca="1"/>
        <v>0.44636086023539678</v>
      </c>
      <c r="O3248" s="2">
        <f ca="1"/>
        <v>-0.81933962380113312</v>
      </c>
      <c r="X3248" s="2">
        <f ca="1"/>
        <v>46.325244948863364</v>
      </c>
      <c r="AG3248" s="2">
        <f ca="1"/>
        <v>0.51802525213279504</v>
      </c>
      <c r="AH3248" s="2" t="str">
        <f ca="1"/>
        <v>Bad</v>
      </c>
    </row>
    <row r="3249" spans="2:34" x14ac:dyDescent="0.2">
      <c r="B3249" s="2">
        <f ca="1"/>
        <v>0.92598485840931555</v>
      </c>
      <c r="O3249" s="2">
        <f ca="1"/>
        <v>-1.6673975735649931</v>
      </c>
      <c r="X3249" s="2">
        <f ca="1"/>
        <v>34.934001735420082</v>
      </c>
      <c r="AG3249" s="2">
        <f ca="1"/>
        <v>0.84408519166059981</v>
      </c>
      <c r="AH3249" s="2" t="str">
        <f ca="1"/>
        <v>Bad</v>
      </c>
    </row>
    <row r="3250" spans="2:34" x14ac:dyDescent="0.2">
      <c r="B3250" s="2">
        <f ca="1"/>
        <v>9.4931309986485246E-2</v>
      </c>
      <c r="O3250" s="2">
        <f ca="1"/>
        <v>0.57224528781910289</v>
      </c>
      <c r="X3250" s="2">
        <f ca="1"/>
        <v>26.070189099260752</v>
      </c>
      <c r="AG3250" s="2">
        <f ca="1"/>
        <v>9.5358092495991365E-2</v>
      </c>
      <c r="AH3250" s="2" t="str">
        <f ca="1"/>
        <v>OK</v>
      </c>
    </row>
    <row r="3251" spans="2:34" x14ac:dyDescent="0.2">
      <c r="B3251" s="2">
        <f ca="1"/>
        <v>3.6663048034576873E-2</v>
      </c>
      <c r="O3251" s="2">
        <f ca="1"/>
        <v>1.2945037318157404</v>
      </c>
      <c r="X3251" s="2">
        <f ca="1"/>
        <v>33.947275341540582</v>
      </c>
      <c r="AG3251" s="2">
        <f ca="1"/>
        <v>0.58111093528523283</v>
      </c>
      <c r="AH3251" s="2" t="str">
        <f ca="1"/>
        <v>Bad</v>
      </c>
    </row>
    <row r="3252" spans="2:34" x14ac:dyDescent="0.2">
      <c r="B3252" s="2">
        <f ca="1"/>
        <v>0.22014128001248046</v>
      </c>
      <c r="O3252" s="2">
        <f ca="1"/>
        <v>-2.3120592377207498</v>
      </c>
      <c r="X3252" s="2">
        <f ca="1"/>
        <v>47.367414979712905</v>
      </c>
      <c r="AG3252" s="2">
        <f ca="1"/>
        <v>0.17397327261227646</v>
      </c>
      <c r="AH3252" s="2" t="str">
        <f ca="1"/>
        <v>OK</v>
      </c>
    </row>
    <row r="3253" spans="2:34" x14ac:dyDescent="0.2">
      <c r="B3253" s="2">
        <f ca="1"/>
        <v>0.85125179776777338</v>
      </c>
      <c r="O3253" s="2">
        <f ca="1"/>
        <v>1.2496179381582893</v>
      </c>
      <c r="X3253" s="2">
        <f ca="1"/>
        <v>43.610763462392413</v>
      </c>
      <c r="AG3253" s="2">
        <f ca="1"/>
        <v>7.7540696916386764E-2</v>
      </c>
      <c r="AH3253" s="2" t="str">
        <f ca="1"/>
        <v>OK</v>
      </c>
    </row>
    <row r="3254" spans="2:34" x14ac:dyDescent="0.2">
      <c r="B3254" s="2">
        <f ca="1"/>
        <v>0.70971544056273617</v>
      </c>
      <c r="O3254" s="2">
        <f ca="1"/>
        <v>0.5151679158321244</v>
      </c>
      <c r="X3254" s="2">
        <f ca="1"/>
        <v>42.136108193783983</v>
      </c>
      <c r="AG3254" s="2">
        <f ca="1"/>
        <v>0.24560610586110143</v>
      </c>
      <c r="AH3254" s="2" t="str">
        <f ca="1"/>
        <v>OK</v>
      </c>
    </row>
    <row r="3255" spans="2:34" x14ac:dyDescent="0.2">
      <c r="B3255" s="2">
        <f ca="1"/>
        <v>6.1262813209945532E-2</v>
      </c>
      <c r="O3255" s="2">
        <f ca="1"/>
        <v>0.40098298013881511</v>
      </c>
      <c r="X3255" s="2">
        <f ca="1"/>
        <v>29.763855815739461</v>
      </c>
      <c r="AG3255" s="2">
        <f ca="1"/>
        <v>0.72056489216863073</v>
      </c>
      <c r="AH3255" s="2" t="str">
        <f ca="1"/>
        <v>Bad</v>
      </c>
    </row>
    <row r="3256" spans="2:34" x14ac:dyDescent="0.2">
      <c r="B3256" s="2">
        <f ca="1"/>
        <v>0.92785063413336077</v>
      </c>
      <c r="O3256" s="2">
        <f ca="1"/>
        <v>0.29727998943182737</v>
      </c>
      <c r="X3256" s="2">
        <f ca="1"/>
        <v>37.262025096991913</v>
      </c>
      <c r="AG3256" s="2">
        <f ca="1"/>
        <v>0.56516070522409856</v>
      </c>
      <c r="AH3256" s="2" t="str">
        <f ca="1"/>
        <v>Bad</v>
      </c>
    </row>
    <row r="3257" spans="2:34" x14ac:dyDescent="0.2">
      <c r="B3257" s="2">
        <f ca="1"/>
        <v>0.95532246849822999</v>
      </c>
      <c r="O3257" s="2">
        <f ca="1"/>
        <v>-6.00930530449066E-2</v>
      </c>
      <c r="X3257" s="2">
        <f ca="1"/>
        <v>44.344680687288225</v>
      </c>
      <c r="AG3257" s="2">
        <f ca="1"/>
        <v>0.19892573636807942</v>
      </c>
      <c r="AH3257" s="2" t="str">
        <f ca="1"/>
        <v>OK</v>
      </c>
    </row>
    <row r="3258" spans="2:34" x14ac:dyDescent="0.2">
      <c r="B3258" s="2">
        <f ca="1"/>
        <v>0.45609776452332507</v>
      </c>
      <c r="O3258" s="2">
        <f ca="1"/>
        <v>-1.0546197187854387</v>
      </c>
      <c r="X3258" s="2">
        <f ca="1"/>
        <v>47.209332464630819</v>
      </c>
      <c r="AG3258" s="2">
        <f ca="1"/>
        <v>0.35593705261358277</v>
      </c>
      <c r="AH3258" s="2" t="str">
        <f ca="1"/>
        <v>OK</v>
      </c>
    </row>
    <row r="3259" spans="2:34" x14ac:dyDescent="0.2">
      <c r="B3259" s="2">
        <f ca="1"/>
        <v>0.88456357306871158</v>
      </c>
      <c r="O3259" s="2">
        <f ca="1"/>
        <v>-0.24758480082309242</v>
      </c>
      <c r="X3259" s="2">
        <f ca="1"/>
        <v>44.760759108785095</v>
      </c>
      <c r="AG3259" s="2">
        <f ca="1"/>
        <v>0.92516297646030576</v>
      </c>
      <c r="AH3259" s="2" t="str">
        <f ca="1"/>
        <v>Bad</v>
      </c>
    </row>
    <row r="3260" spans="2:34" x14ac:dyDescent="0.2">
      <c r="B3260" s="2">
        <f ca="1"/>
        <v>1.816714187613E-2</v>
      </c>
      <c r="O3260" s="2">
        <f ca="1"/>
        <v>-2.0722962077034111</v>
      </c>
      <c r="X3260" s="2">
        <f ca="1"/>
        <v>46.214414387124179</v>
      </c>
      <c r="AG3260" s="2">
        <f ca="1"/>
        <v>0.90384110290290742</v>
      </c>
      <c r="AH3260" s="2" t="str">
        <f ca="1"/>
        <v>Bad</v>
      </c>
    </row>
    <row r="3261" spans="2:34" x14ac:dyDescent="0.2">
      <c r="B3261" s="2">
        <f ca="1"/>
        <v>0.4261169507347502</v>
      </c>
      <c r="O3261" s="2">
        <f ca="1"/>
        <v>-0.32312204299895769</v>
      </c>
      <c r="X3261" s="2">
        <f ca="1"/>
        <v>28.352157147962988</v>
      </c>
      <c r="AG3261" s="2">
        <f ca="1"/>
        <v>0.77618698417664711</v>
      </c>
      <c r="AH3261" s="2" t="str">
        <f ca="1"/>
        <v>Bad</v>
      </c>
    </row>
    <row r="3262" spans="2:34" x14ac:dyDescent="0.2">
      <c r="B3262" s="2">
        <f ca="1"/>
        <v>0.12663731975585679</v>
      </c>
      <c r="O3262" s="2">
        <f ca="1"/>
        <v>-1.5588431246900485</v>
      </c>
      <c r="X3262" s="2">
        <f ca="1"/>
        <v>62.052566388403989</v>
      </c>
      <c r="AG3262" s="2">
        <f ca="1"/>
        <v>0.82498762949835158</v>
      </c>
      <c r="AH3262" s="2" t="str">
        <f ca="1"/>
        <v>Bad</v>
      </c>
    </row>
    <row r="3263" spans="2:34" x14ac:dyDescent="0.2">
      <c r="B3263" s="2">
        <f ca="1"/>
        <v>0.40468796678152308</v>
      </c>
      <c r="O3263" s="2">
        <f ca="1"/>
        <v>8.0725155207170357E-2</v>
      </c>
      <c r="X3263" s="2">
        <f ca="1"/>
        <v>44.64871770485621</v>
      </c>
      <c r="AG3263" s="2">
        <f ca="1"/>
        <v>0.87283717053552889</v>
      </c>
      <c r="AH3263" s="2" t="str">
        <f ca="1"/>
        <v>Bad</v>
      </c>
    </row>
    <row r="3264" spans="2:34" x14ac:dyDescent="0.2">
      <c r="B3264" s="2">
        <f ca="1"/>
        <v>0.66041811516266624</v>
      </c>
      <c r="O3264" s="2">
        <f ca="1"/>
        <v>-1.0111669289148986</v>
      </c>
      <c r="X3264" s="2">
        <f ca="1"/>
        <v>50.694076526807095</v>
      </c>
      <c r="AG3264" s="2">
        <f ca="1"/>
        <v>0.57398690620030801</v>
      </c>
      <c r="AH3264" s="2" t="str">
        <f ca="1"/>
        <v>Bad</v>
      </c>
    </row>
    <row r="3265" spans="2:34" x14ac:dyDescent="0.2">
      <c r="B3265" s="2">
        <f ca="1"/>
        <v>0.8385288865975622</v>
      </c>
      <c r="O3265" s="2">
        <f ca="1"/>
        <v>0.79763279332943204</v>
      </c>
      <c r="X3265" s="2">
        <f ca="1"/>
        <v>57.904087870296834</v>
      </c>
      <c r="AG3265" s="2">
        <f ca="1"/>
        <v>0.5380300274016685</v>
      </c>
      <c r="AH3265" s="2" t="str">
        <f ca="1"/>
        <v>Bad</v>
      </c>
    </row>
    <row r="3266" spans="2:34" x14ac:dyDescent="0.2">
      <c r="B3266" s="2">
        <f ca="1"/>
        <v>0.29188231548769505</v>
      </c>
      <c r="O3266" s="2">
        <f ca="1"/>
        <v>0.84794583969729498</v>
      </c>
      <c r="X3266" s="2">
        <f ca="1"/>
        <v>105.29957733647747</v>
      </c>
      <c r="AG3266" s="2">
        <f ca="1"/>
        <v>0.73808098620425255</v>
      </c>
      <c r="AH3266" s="2" t="str">
        <f ca="1"/>
        <v>Bad</v>
      </c>
    </row>
    <row r="3267" spans="2:34" x14ac:dyDescent="0.2">
      <c r="B3267" s="2">
        <f ca="1"/>
        <v>0.4783652996446357</v>
      </c>
      <c r="O3267" s="2">
        <f ca="1"/>
        <v>-0.15993386214904537</v>
      </c>
      <c r="X3267" s="2">
        <f ca="1"/>
        <v>52.034390249240715</v>
      </c>
      <c r="AG3267" s="2">
        <f ca="1"/>
        <v>0.58710236116431713</v>
      </c>
      <c r="AH3267" s="2" t="str">
        <f ca="1"/>
        <v>Bad</v>
      </c>
    </row>
    <row r="3268" spans="2:34" x14ac:dyDescent="0.2">
      <c r="B3268" s="2">
        <f ca="1"/>
        <v>0.7196906763186155</v>
      </c>
      <c r="O3268" s="2">
        <f ca="1"/>
        <v>1.2910620060471196</v>
      </c>
      <c r="X3268" s="2">
        <f ca="1"/>
        <v>80.202468966013711</v>
      </c>
      <c r="AG3268" s="2">
        <f ca="1"/>
        <v>0.22366315960634542</v>
      </c>
      <c r="AH3268" s="2" t="str">
        <f ca="1"/>
        <v>OK</v>
      </c>
    </row>
    <row r="3269" spans="2:34" x14ac:dyDescent="0.2">
      <c r="B3269" s="2">
        <f ca="1"/>
        <v>0.45684817568362113</v>
      </c>
      <c r="O3269" s="2">
        <f ca="1"/>
        <v>0.15889974810388144</v>
      </c>
      <c r="X3269" s="2">
        <f ca="1"/>
        <v>82.713039239181896</v>
      </c>
      <c r="AG3269" s="2">
        <f ca="1"/>
        <v>0.24714924271357042</v>
      </c>
      <c r="AH3269" s="2" t="str">
        <f ca="1"/>
        <v>OK</v>
      </c>
    </row>
    <row r="3270" spans="2:34" x14ac:dyDescent="0.2">
      <c r="B3270" s="2">
        <f ca="1"/>
        <v>0.97436548736728756</v>
      </c>
      <c r="O3270" s="2">
        <f ca="1"/>
        <v>0.33934452461476422</v>
      </c>
      <c r="X3270" s="2">
        <f ca="1"/>
        <v>50.577239087365228</v>
      </c>
      <c r="AG3270" s="2">
        <f ca="1"/>
        <v>0.80148835931315499</v>
      </c>
      <c r="AH3270" s="2" t="str">
        <f ca="1"/>
        <v>Bad</v>
      </c>
    </row>
    <row r="3271" spans="2:34" x14ac:dyDescent="0.2">
      <c r="B3271" s="2">
        <f ca="1"/>
        <v>0.53894508275871056</v>
      </c>
      <c r="O3271" s="2">
        <f ca="1"/>
        <v>-0.34433591407348008</v>
      </c>
      <c r="X3271" s="2">
        <f ca="1"/>
        <v>51.227155078727179</v>
      </c>
      <c r="AG3271" s="2">
        <f ca="1"/>
        <v>0.98278557545207734</v>
      </c>
      <c r="AH3271" s="2" t="str">
        <f ca="1"/>
        <v>Bad</v>
      </c>
    </row>
    <row r="3272" spans="2:34" x14ac:dyDescent="0.2">
      <c r="B3272" s="2">
        <f ca="1"/>
        <v>0.30029180131131983</v>
      </c>
      <c r="O3272" s="2">
        <f ca="1"/>
        <v>1.2944379500316969</v>
      </c>
      <c r="X3272" s="2">
        <f ca="1"/>
        <v>41.172649342833417</v>
      </c>
      <c r="AG3272" s="2">
        <f ca="1"/>
        <v>0.46820502024927069</v>
      </c>
      <c r="AH3272" s="2" t="str">
        <f ca="1"/>
        <v>Bad</v>
      </c>
    </row>
    <row r="3273" spans="2:34" x14ac:dyDescent="0.2">
      <c r="B3273" s="2">
        <f ca="1"/>
        <v>0.87780159748028752</v>
      </c>
      <c r="O3273" s="2">
        <f ca="1"/>
        <v>2.8339745069136391E-2</v>
      </c>
      <c r="X3273" s="2">
        <f ca="1"/>
        <v>30.639034256310364</v>
      </c>
      <c r="AG3273" s="2">
        <f ca="1"/>
        <v>0.4702686096061115</v>
      </c>
      <c r="AH3273" s="2" t="str">
        <f ca="1"/>
        <v>Bad</v>
      </c>
    </row>
    <row r="3274" spans="2:34" x14ac:dyDescent="0.2">
      <c r="B3274" s="2">
        <f ca="1"/>
        <v>0.44618628376723479</v>
      </c>
      <c r="O3274" s="2">
        <f ca="1"/>
        <v>-3.8997881245441471E-2</v>
      </c>
      <c r="X3274" s="2">
        <f ca="1"/>
        <v>67.96973546735282</v>
      </c>
      <c r="AG3274" s="2">
        <f ca="1"/>
        <v>0.14521286535709943</v>
      </c>
      <c r="AH3274" s="2" t="str">
        <f ca="1"/>
        <v>OK</v>
      </c>
    </row>
    <row r="3275" spans="2:34" x14ac:dyDescent="0.2">
      <c r="B3275" s="2">
        <f ca="1"/>
        <v>0.13167954280368077</v>
      </c>
      <c r="O3275" s="2">
        <f ca="1"/>
        <v>0.39722693680988486</v>
      </c>
      <c r="X3275" s="2">
        <f ca="1"/>
        <v>50.736705088299757</v>
      </c>
      <c r="AG3275" s="2">
        <f ca="1"/>
        <v>0.75353094271324594</v>
      </c>
      <c r="AH3275" s="2" t="str">
        <f ca="1"/>
        <v>Bad</v>
      </c>
    </row>
    <row r="3276" spans="2:34" x14ac:dyDescent="0.2">
      <c r="B3276" s="2">
        <f ca="1"/>
        <v>0.74355318301360862</v>
      </c>
      <c r="O3276" s="2">
        <f ca="1"/>
        <v>0.3278440837664211</v>
      </c>
      <c r="X3276" s="2">
        <f ca="1"/>
        <v>47.986666294741923</v>
      </c>
      <c r="AG3276" s="2">
        <f ca="1"/>
        <v>0.75454043098092027</v>
      </c>
      <c r="AH3276" s="2" t="str">
        <f ca="1"/>
        <v>Bad</v>
      </c>
    </row>
    <row r="3277" spans="2:34" x14ac:dyDescent="0.2">
      <c r="B3277" s="2">
        <f ca="1"/>
        <v>0.8909668201053178</v>
      </c>
      <c r="O3277" s="2">
        <f ca="1"/>
        <v>0.89238303049688716</v>
      </c>
      <c r="X3277" s="2">
        <f ca="1"/>
        <v>23.242892311874378</v>
      </c>
      <c r="AG3277" s="2">
        <f ca="1"/>
        <v>0.7997940520731861</v>
      </c>
      <c r="AH3277" s="2" t="str">
        <f ca="1"/>
        <v>Bad</v>
      </c>
    </row>
    <row r="3278" spans="2:34" x14ac:dyDescent="0.2">
      <c r="B3278" s="2">
        <f ca="1"/>
        <v>0.47450580798805153</v>
      </c>
      <c r="O3278" s="2">
        <f ca="1"/>
        <v>-1.4912482953197257</v>
      </c>
      <c r="X3278" s="2">
        <f ca="1"/>
        <v>37.087781303843506</v>
      </c>
      <c r="AG3278" s="2">
        <f ca="1"/>
        <v>0.47857275400722266</v>
      </c>
      <c r="AH3278" s="2" t="str">
        <f ca="1"/>
        <v>Bad</v>
      </c>
    </row>
    <row r="3279" spans="2:34" x14ac:dyDescent="0.2">
      <c r="B3279" s="2">
        <f ca="1"/>
        <v>0.9339036927023967</v>
      </c>
      <c r="O3279" s="2">
        <f ca="1"/>
        <v>-0.96006072646779239</v>
      </c>
      <c r="X3279" s="2">
        <f ca="1"/>
        <v>81.177840833586231</v>
      </c>
      <c r="AG3279" s="2">
        <f ca="1"/>
        <v>0.90176666992708276</v>
      </c>
      <c r="AH3279" s="2" t="str">
        <f ca="1"/>
        <v>Bad</v>
      </c>
    </row>
    <row r="3280" spans="2:34" x14ac:dyDescent="0.2">
      <c r="B3280" s="2">
        <f ca="1"/>
        <v>0.73154805900692765</v>
      </c>
      <c r="O3280" s="2">
        <f ca="1"/>
        <v>-1.7534109479476585</v>
      </c>
      <c r="X3280" s="2">
        <f ca="1"/>
        <v>33.723012733875251</v>
      </c>
      <c r="AG3280" s="2">
        <f ca="1"/>
        <v>0.77974445745526255</v>
      </c>
      <c r="AH3280" s="2" t="str">
        <f ca="1"/>
        <v>Bad</v>
      </c>
    </row>
    <row r="3281" spans="2:34" x14ac:dyDescent="0.2">
      <c r="B3281" s="2">
        <f ca="1"/>
        <v>0.44188181210524169</v>
      </c>
      <c r="O3281" s="2">
        <f ca="1"/>
        <v>-0.78931723220176053</v>
      </c>
      <c r="X3281" s="2">
        <f ca="1"/>
        <v>32.466830450325219</v>
      </c>
      <c r="AG3281" s="2">
        <f ca="1"/>
        <v>0.94595225074344058</v>
      </c>
      <c r="AH3281" s="2" t="str">
        <f ca="1"/>
        <v>Bad</v>
      </c>
    </row>
    <row r="3282" spans="2:34" x14ac:dyDescent="0.2">
      <c r="B3282" s="2">
        <f ca="1"/>
        <v>0.64999108170516262</v>
      </c>
      <c r="O3282" s="2">
        <f ca="1"/>
        <v>0.79531868490209789</v>
      </c>
      <c r="X3282" s="2">
        <f ca="1"/>
        <v>49.751882414628042</v>
      </c>
      <c r="AG3282" s="2">
        <f ca="1"/>
        <v>1.1149200119156433E-2</v>
      </c>
      <c r="AH3282" s="2" t="str">
        <f ca="1"/>
        <v>Good</v>
      </c>
    </row>
    <row r="3283" spans="2:34" x14ac:dyDescent="0.2">
      <c r="B3283" s="2">
        <f ca="1"/>
        <v>0.38063212131833679</v>
      </c>
      <c r="O3283" s="2">
        <f ca="1"/>
        <v>-0.25520985105866423</v>
      </c>
      <c r="X3283" s="2">
        <f ca="1"/>
        <v>43.312013926614704</v>
      </c>
      <c r="AG3283" s="2">
        <f ca="1"/>
        <v>0.74659406210684454</v>
      </c>
      <c r="AH3283" s="2" t="str">
        <f ca="1"/>
        <v>Bad</v>
      </c>
    </row>
    <row r="3284" spans="2:34" x14ac:dyDescent="0.2">
      <c r="B3284" s="2">
        <f ca="1"/>
        <v>0.50606739607573403</v>
      </c>
      <c r="O3284" s="2">
        <f ca="1"/>
        <v>-0.77588864193603035</v>
      </c>
      <c r="X3284" s="2">
        <f ca="1"/>
        <v>40.290639925668302</v>
      </c>
      <c r="AG3284" s="2">
        <f ca="1"/>
        <v>0.40135108451887747</v>
      </c>
      <c r="AH3284" s="2" t="str">
        <f ca="1"/>
        <v>Bad</v>
      </c>
    </row>
    <row r="3285" spans="2:34" x14ac:dyDescent="0.2">
      <c r="B3285" s="2">
        <f ca="1"/>
        <v>0.91013179519481846</v>
      </c>
      <c r="O3285" s="2">
        <f ca="1"/>
        <v>0.19312548543176064</v>
      </c>
      <c r="X3285" s="2">
        <f ca="1"/>
        <v>34.385083671362196</v>
      </c>
      <c r="AG3285" s="2">
        <f ca="1"/>
        <v>0.30591824157506697</v>
      </c>
      <c r="AH3285" s="2" t="str">
        <f ca="1"/>
        <v>OK</v>
      </c>
    </row>
    <row r="3286" spans="2:34" x14ac:dyDescent="0.2">
      <c r="B3286" s="2">
        <f ca="1"/>
        <v>0.78362508041212564</v>
      </c>
      <c r="O3286" s="2">
        <f ca="1"/>
        <v>-0.78575977865340396</v>
      </c>
      <c r="X3286" s="2">
        <f ca="1"/>
        <v>67.053806840276835</v>
      </c>
      <c r="AG3286" s="2">
        <f ca="1"/>
        <v>8.9111057437119889E-2</v>
      </c>
      <c r="AH3286" s="2" t="str">
        <f ca="1"/>
        <v>OK</v>
      </c>
    </row>
    <row r="3287" spans="2:34" x14ac:dyDescent="0.2">
      <c r="B3287" s="2">
        <f ca="1"/>
        <v>0.94614324858883192</v>
      </c>
      <c r="O3287" s="2">
        <f ca="1"/>
        <v>0.21585966948907134</v>
      </c>
      <c r="X3287" s="2">
        <f ca="1"/>
        <v>40.706752833547881</v>
      </c>
      <c r="AG3287" s="2">
        <f ca="1"/>
        <v>8.6101070050143003E-2</v>
      </c>
      <c r="AH3287" s="2" t="str">
        <f ca="1"/>
        <v>OK</v>
      </c>
    </row>
    <row r="3288" spans="2:34" x14ac:dyDescent="0.2">
      <c r="B3288" s="2">
        <f ca="1"/>
        <v>1.7541193529465371E-2</v>
      </c>
      <c r="O3288" s="2">
        <f ca="1"/>
        <v>0.74574815498205937</v>
      </c>
      <c r="X3288" s="2">
        <f ca="1"/>
        <v>41.180057193005879</v>
      </c>
      <c r="AG3288" s="2">
        <f ca="1"/>
        <v>0.12811646477349781</v>
      </c>
      <c r="AH3288" s="2" t="str">
        <f ca="1"/>
        <v>OK</v>
      </c>
    </row>
    <row r="3289" spans="2:34" x14ac:dyDescent="0.2">
      <c r="B3289" s="2">
        <f ca="1"/>
        <v>0.98243874045507296</v>
      </c>
      <c r="O3289" s="2">
        <f ca="1"/>
        <v>-6.8422827184083934E-3</v>
      </c>
      <c r="X3289" s="2">
        <f ca="1"/>
        <v>42.809058971327538</v>
      </c>
      <c r="AG3289" s="2">
        <f ca="1"/>
        <v>0.75980540058886525</v>
      </c>
      <c r="AH3289" s="2" t="str">
        <f ca="1"/>
        <v>Bad</v>
      </c>
    </row>
    <row r="3290" spans="2:34" x14ac:dyDescent="0.2">
      <c r="B3290" s="2">
        <f ca="1"/>
        <v>0.34933155750327205</v>
      </c>
      <c r="O3290" s="2">
        <f ca="1"/>
        <v>-1.3034437117303168</v>
      </c>
      <c r="X3290" s="2">
        <f ca="1"/>
        <v>84.148949031464866</v>
      </c>
      <c r="AG3290" s="2">
        <f ca="1"/>
        <v>0.19613810647138719</v>
      </c>
      <c r="AH3290" s="2" t="str">
        <f ca="1"/>
        <v>OK</v>
      </c>
    </row>
    <row r="3291" spans="2:34" x14ac:dyDescent="0.2">
      <c r="B3291" s="2">
        <f ca="1"/>
        <v>0.38528939160406739</v>
      </c>
      <c r="O3291" s="2">
        <f ca="1"/>
        <v>0.162095763888643</v>
      </c>
      <c r="X3291" s="2">
        <f ca="1"/>
        <v>24.362688548491889</v>
      </c>
      <c r="AG3291" s="2">
        <f ca="1"/>
        <v>0.64105380829458514</v>
      </c>
      <c r="AH3291" s="2" t="str">
        <f ca="1"/>
        <v>Bad</v>
      </c>
    </row>
    <row r="3292" spans="2:34" x14ac:dyDescent="0.2">
      <c r="B3292" s="2">
        <f ca="1"/>
        <v>1.7335826476923E-2</v>
      </c>
      <c r="O3292" s="2">
        <f ca="1"/>
        <v>-2.4313583469468495E-2</v>
      </c>
      <c r="X3292" s="2">
        <f ca="1"/>
        <v>63.90499582070148</v>
      </c>
      <c r="AG3292" s="2">
        <f ca="1"/>
        <v>0.16404519003936491</v>
      </c>
      <c r="AH3292" s="2" t="str">
        <f ca="1"/>
        <v>OK</v>
      </c>
    </row>
    <row r="3293" spans="2:34" x14ac:dyDescent="0.2">
      <c r="B3293" s="2">
        <f ca="1"/>
        <v>3.2956458229391083E-2</v>
      </c>
      <c r="O3293" s="2">
        <f ca="1"/>
        <v>-1.3283741073010917</v>
      </c>
      <c r="X3293" s="2">
        <f ca="1"/>
        <v>71.921968612668877</v>
      </c>
      <c r="AG3293" s="2">
        <f ca="1"/>
        <v>5.2360779854844219E-2</v>
      </c>
      <c r="AH3293" s="2" t="str">
        <f ca="1"/>
        <v>OK</v>
      </c>
    </row>
    <row r="3294" spans="2:34" x14ac:dyDescent="0.2">
      <c r="B3294" s="2">
        <f ca="1"/>
        <v>0.79145647292454235</v>
      </c>
      <c r="O3294" s="2">
        <f ca="1"/>
        <v>0.57760160392290327</v>
      </c>
      <c r="X3294" s="2">
        <f ca="1"/>
        <v>42.19535411649494</v>
      </c>
      <c r="AG3294" s="2">
        <f ca="1"/>
        <v>0.75237581430723366</v>
      </c>
      <c r="AH3294" s="2" t="str">
        <f ca="1"/>
        <v>Bad</v>
      </c>
    </row>
    <row r="3295" spans="2:34" x14ac:dyDescent="0.2">
      <c r="B3295" s="2">
        <f ca="1"/>
        <v>0.41539853283629014</v>
      </c>
      <c r="O3295" s="2">
        <f ca="1"/>
        <v>-1.2153295968029099</v>
      </c>
      <c r="X3295" s="2">
        <f ca="1"/>
        <v>45.42225603343654</v>
      </c>
      <c r="AG3295" s="2">
        <f ca="1"/>
        <v>0.56381440999885757</v>
      </c>
      <c r="AH3295" s="2" t="str">
        <f ca="1"/>
        <v>Bad</v>
      </c>
    </row>
    <row r="3296" spans="2:34" x14ac:dyDescent="0.2">
      <c r="B3296" s="2">
        <f ca="1"/>
        <v>0.33321285188003347</v>
      </c>
      <c r="O3296" s="2">
        <f ca="1"/>
        <v>-1.2316150854319448E-2</v>
      </c>
      <c r="X3296" s="2">
        <f ca="1"/>
        <v>47.221463426362085</v>
      </c>
      <c r="AG3296" s="2">
        <f ca="1"/>
        <v>0.2258400219510095</v>
      </c>
      <c r="AH3296" s="2" t="str">
        <f ca="1"/>
        <v>OK</v>
      </c>
    </row>
    <row r="3297" spans="2:34" x14ac:dyDescent="0.2">
      <c r="B3297" s="2">
        <f ca="1"/>
        <v>0.80952068590238246</v>
      </c>
      <c r="O3297" s="2">
        <f ca="1"/>
        <v>0.39238332768664291</v>
      </c>
      <c r="X3297" s="2">
        <f ca="1"/>
        <v>49.52329571981808</v>
      </c>
      <c r="AG3297" s="2">
        <f ca="1"/>
        <v>0.44572294020312841</v>
      </c>
      <c r="AH3297" s="2" t="str">
        <f ca="1"/>
        <v>Bad</v>
      </c>
    </row>
    <row r="3298" spans="2:34" x14ac:dyDescent="0.2">
      <c r="B3298" s="2">
        <f ca="1"/>
        <v>0.57478360008502838</v>
      </c>
      <c r="O3298" s="2">
        <f ca="1"/>
        <v>1.3133649617270398</v>
      </c>
      <c r="X3298" s="2">
        <f ca="1"/>
        <v>42.992046047091733</v>
      </c>
      <c r="AG3298" s="2">
        <f ca="1"/>
        <v>5.7229439105302315E-2</v>
      </c>
      <c r="AH3298" s="2" t="str">
        <f ca="1"/>
        <v>OK</v>
      </c>
    </row>
    <row r="3299" spans="2:34" x14ac:dyDescent="0.2">
      <c r="B3299" s="2">
        <f ca="1"/>
        <v>0.87241146959764704</v>
      </c>
      <c r="O3299" s="2">
        <f ca="1"/>
        <v>-0.17357841248987935</v>
      </c>
      <c r="X3299" s="2">
        <f ca="1"/>
        <v>41.277279070953128</v>
      </c>
      <c r="AG3299" s="2">
        <f ca="1"/>
        <v>0.73477395074682317</v>
      </c>
      <c r="AH3299" s="2" t="str">
        <f ca="1"/>
        <v>Bad</v>
      </c>
    </row>
    <row r="3300" spans="2:34" x14ac:dyDescent="0.2">
      <c r="B3300" s="2">
        <f ca="1"/>
        <v>0.30204463957934391</v>
      </c>
      <c r="O3300" s="2">
        <f ca="1"/>
        <v>0.15438175638908239</v>
      </c>
      <c r="X3300" s="2">
        <f ca="1"/>
        <v>58.421122042268991</v>
      </c>
      <c r="AG3300" s="2">
        <f ca="1"/>
        <v>0.60665315824367383</v>
      </c>
      <c r="AH3300" s="2" t="str">
        <f ca="1"/>
        <v>Bad</v>
      </c>
    </row>
    <row r="3301" spans="2:34" x14ac:dyDescent="0.2">
      <c r="B3301" s="2">
        <f ca="1"/>
        <v>0.68828895775012233</v>
      </c>
      <c r="O3301" s="2">
        <f ca="1"/>
        <v>0.11457454211291211</v>
      </c>
      <c r="X3301" s="2">
        <f ca="1"/>
        <v>40.352748056500268</v>
      </c>
      <c r="AG3301" s="2">
        <f ca="1"/>
        <v>0.8407407096011672</v>
      </c>
      <c r="AH3301" s="2" t="str">
        <f ca="1"/>
        <v>Bad</v>
      </c>
    </row>
    <row r="3302" spans="2:34" x14ac:dyDescent="0.2">
      <c r="B3302" s="2">
        <f ca="1"/>
        <v>0.30781328402026387</v>
      </c>
      <c r="O3302" s="2">
        <f ca="1"/>
        <v>1.0177801379180227</v>
      </c>
      <c r="X3302" s="2">
        <f ca="1"/>
        <v>36.561876432104349</v>
      </c>
      <c r="AG3302" s="2">
        <f ca="1"/>
        <v>0.2637687002070066</v>
      </c>
      <c r="AH3302" s="2" t="str">
        <f ca="1"/>
        <v>OK</v>
      </c>
    </row>
    <row r="3303" spans="2:34" x14ac:dyDescent="0.2">
      <c r="B3303" s="2">
        <f ca="1"/>
        <v>0.91839751865264696</v>
      </c>
      <c r="O3303" s="2">
        <f ca="1"/>
        <v>0.56755271105935201</v>
      </c>
      <c r="X3303" s="2">
        <f ca="1"/>
        <v>26.875396702391534</v>
      </c>
      <c r="AG3303" s="2">
        <f ca="1"/>
        <v>4.9214218156539147E-3</v>
      </c>
      <c r="AH3303" s="2" t="str">
        <f ca="1"/>
        <v>Good</v>
      </c>
    </row>
    <row r="3304" spans="2:34" x14ac:dyDescent="0.2">
      <c r="B3304" s="2">
        <f ca="1"/>
        <v>0.42362210935422273</v>
      </c>
      <c r="O3304" s="2">
        <f ca="1"/>
        <v>-0.65199696522561945</v>
      </c>
      <c r="X3304" s="2">
        <f ca="1"/>
        <v>44.634023699594124</v>
      </c>
      <c r="AG3304" s="2">
        <f ca="1"/>
        <v>0.24031185390492138</v>
      </c>
      <c r="AH3304" s="2" t="str">
        <f ca="1"/>
        <v>OK</v>
      </c>
    </row>
    <row r="3305" spans="2:34" x14ac:dyDescent="0.2">
      <c r="B3305" s="2">
        <f ca="1"/>
        <v>0.1976892202625975</v>
      </c>
      <c r="O3305" s="2">
        <f ca="1"/>
        <v>-0.53436753216013955</v>
      </c>
      <c r="X3305" s="2">
        <f ca="1"/>
        <v>18.035614824116628</v>
      </c>
      <c r="AG3305" s="2">
        <f ca="1"/>
        <v>0.97394785571518883</v>
      </c>
      <c r="AH3305" s="2" t="str">
        <f ca="1"/>
        <v>Bad</v>
      </c>
    </row>
    <row r="3306" spans="2:34" x14ac:dyDescent="0.2">
      <c r="B3306" s="2">
        <f ca="1"/>
        <v>0.65797617919358253</v>
      </c>
      <c r="O3306" s="2">
        <f ca="1"/>
        <v>0.73025535564187494</v>
      </c>
      <c r="X3306" s="2">
        <f ca="1"/>
        <v>47.246880723139853</v>
      </c>
      <c r="AG3306" s="2">
        <f ca="1"/>
        <v>0.2502731935325857</v>
      </c>
      <c r="AH3306" s="2" t="str">
        <f ca="1"/>
        <v>OK</v>
      </c>
    </row>
    <row r="3307" spans="2:34" x14ac:dyDescent="0.2">
      <c r="B3307" s="2">
        <f ca="1"/>
        <v>0.39810176956358667</v>
      </c>
      <c r="O3307" s="2">
        <f ca="1"/>
        <v>0.19205605546671703</v>
      </c>
      <c r="X3307" s="2">
        <f ca="1"/>
        <v>59.628238134296041</v>
      </c>
      <c r="AG3307" s="2">
        <f ca="1"/>
        <v>0.24406701614379323</v>
      </c>
      <c r="AH3307" s="2" t="str">
        <f ca="1"/>
        <v>OK</v>
      </c>
    </row>
    <row r="3308" spans="2:34" x14ac:dyDescent="0.2">
      <c r="B3308" s="2">
        <f ca="1"/>
        <v>0.67271255086388648</v>
      </c>
      <c r="O3308" s="2">
        <f ca="1"/>
        <v>2.1866304267861807</v>
      </c>
      <c r="X3308" s="2">
        <f ca="1"/>
        <v>43.143442471709328</v>
      </c>
      <c r="AG3308" s="2">
        <f ca="1"/>
        <v>0.6009911314494365</v>
      </c>
      <c r="AH3308" s="2" t="str">
        <f ca="1"/>
        <v>Bad</v>
      </c>
    </row>
    <row r="3309" spans="2:34" x14ac:dyDescent="0.2">
      <c r="B3309" s="2">
        <f ca="1"/>
        <v>0.89807945932195432</v>
      </c>
      <c r="O3309" s="2">
        <f ca="1"/>
        <v>1.5032225993410488</v>
      </c>
      <c r="X3309" s="2">
        <f ca="1"/>
        <v>43.464219495892408</v>
      </c>
      <c r="AG3309" s="2">
        <f ca="1"/>
        <v>0.34583861679968209</v>
      </c>
      <c r="AH3309" s="2" t="str">
        <f ca="1"/>
        <v>OK</v>
      </c>
    </row>
    <row r="3310" spans="2:34" x14ac:dyDescent="0.2">
      <c r="B3310" s="2">
        <f ca="1"/>
        <v>0.18109448967533548</v>
      </c>
      <c r="O3310" s="2">
        <f ca="1"/>
        <v>-1.5429088806178055</v>
      </c>
      <c r="X3310" s="2">
        <f ca="1"/>
        <v>35.864315878886089</v>
      </c>
      <c r="AG3310" s="2">
        <f ca="1"/>
        <v>0.74485557196080143</v>
      </c>
      <c r="AH3310" s="2" t="str">
        <f ca="1"/>
        <v>Bad</v>
      </c>
    </row>
    <row r="3311" spans="2:34" x14ac:dyDescent="0.2">
      <c r="B3311" s="2">
        <f ca="1"/>
        <v>0.64883275228731052</v>
      </c>
      <c r="O3311" s="2">
        <f ca="1"/>
        <v>-0.67588969953842726</v>
      </c>
      <c r="X3311" s="2">
        <f ca="1"/>
        <v>20.764609205146357</v>
      </c>
      <c r="AG3311" s="2">
        <f ca="1"/>
        <v>0.23344830128747729</v>
      </c>
      <c r="AH3311" s="2" t="str">
        <f ca="1"/>
        <v>OK</v>
      </c>
    </row>
    <row r="3312" spans="2:34" x14ac:dyDescent="0.2">
      <c r="B3312" s="2">
        <f ca="1"/>
        <v>0.74211321178162515</v>
      </c>
      <c r="O3312" s="2">
        <f ca="1"/>
        <v>3.9232261348982257E-2</v>
      </c>
      <c r="X3312" s="2">
        <f ca="1"/>
        <v>28.103156256196236</v>
      </c>
      <c r="AG3312" s="2">
        <f ca="1"/>
        <v>3.6960615421125054E-2</v>
      </c>
      <c r="AH3312" s="2" t="str">
        <f ca="1"/>
        <v>Good</v>
      </c>
    </row>
    <row r="3313" spans="2:34" x14ac:dyDescent="0.2">
      <c r="B3313" s="2">
        <f ca="1"/>
        <v>0.5643922795373475</v>
      </c>
      <c r="O3313" s="2">
        <f ca="1"/>
        <v>-2.5221496289550286E-2</v>
      </c>
      <c r="X3313" s="2">
        <f ca="1"/>
        <v>41.280696073549549</v>
      </c>
      <c r="AG3313" s="2">
        <f ca="1"/>
        <v>0.17008923867281367</v>
      </c>
      <c r="AH3313" s="2" t="str">
        <f ca="1"/>
        <v>OK</v>
      </c>
    </row>
    <row r="3314" spans="2:34" x14ac:dyDescent="0.2">
      <c r="B3314" s="2">
        <f ca="1"/>
        <v>0.94742309986890261</v>
      </c>
      <c r="O3314" s="2">
        <f ca="1"/>
        <v>1.299554819572764</v>
      </c>
      <c r="X3314" s="2">
        <f ca="1"/>
        <v>38.050092423558944</v>
      </c>
      <c r="AG3314" s="2">
        <f ca="1"/>
        <v>0.14414669079091547</v>
      </c>
      <c r="AH3314" s="2" t="str">
        <f ca="1"/>
        <v>OK</v>
      </c>
    </row>
    <row r="3315" spans="2:34" x14ac:dyDescent="0.2">
      <c r="B3315" s="2">
        <f ca="1"/>
        <v>0.62842850417663643</v>
      </c>
      <c r="O3315" s="2">
        <f ca="1"/>
        <v>0.4709625989258705</v>
      </c>
      <c r="X3315" s="2">
        <f ca="1"/>
        <v>19.907200947350049</v>
      </c>
      <c r="AG3315" s="2">
        <f ca="1"/>
        <v>0.30481855179813344</v>
      </c>
      <c r="AH3315" s="2" t="str">
        <f ca="1"/>
        <v>OK</v>
      </c>
    </row>
    <row r="3316" spans="2:34" x14ac:dyDescent="0.2">
      <c r="B3316" s="2">
        <f ca="1"/>
        <v>0.96552353016530779</v>
      </c>
      <c r="O3316" s="2">
        <f ca="1"/>
        <v>0.28153533967644184</v>
      </c>
      <c r="X3316" s="2">
        <f ca="1"/>
        <v>61.02911322753144</v>
      </c>
      <c r="AG3316" s="2">
        <f ca="1"/>
        <v>0.33069879395491686</v>
      </c>
      <c r="AH3316" s="2" t="str">
        <f ca="1"/>
        <v>OK</v>
      </c>
    </row>
    <row r="3317" spans="2:34" x14ac:dyDescent="0.2">
      <c r="B3317" s="2">
        <f ca="1"/>
        <v>0.43562245175386916</v>
      </c>
      <c r="O3317" s="2">
        <f ca="1"/>
        <v>2.1055031033475906</v>
      </c>
      <c r="X3317" s="2">
        <f ca="1"/>
        <v>44.132196576934589</v>
      </c>
      <c r="AG3317" s="2">
        <f ca="1"/>
        <v>0.36190115552173974</v>
      </c>
      <c r="AH3317" s="2" t="str">
        <f ca="1"/>
        <v>OK</v>
      </c>
    </row>
    <row r="3318" spans="2:34" x14ac:dyDescent="0.2">
      <c r="B3318" s="2">
        <f ca="1"/>
        <v>0.3915473588382663</v>
      </c>
      <c r="O3318" s="2">
        <f ca="1"/>
        <v>-0.60726215016658802</v>
      </c>
      <c r="X3318" s="2">
        <f ca="1"/>
        <v>52.213887009067648</v>
      </c>
      <c r="AG3318" s="2">
        <f ca="1"/>
        <v>0.94625671610629736</v>
      </c>
      <c r="AH3318" s="2" t="str">
        <f ca="1"/>
        <v>Bad</v>
      </c>
    </row>
    <row r="3319" spans="2:34" x14ac:dyDescent="0.2">
      <c r="B3319" s="2">
        <f ca="1"/>
        <v>0.25185732628605484</v>
      </c>
      <c r="O3319" s="2">
        <f ca="1"/>
        <v>-1.7211931642253528</v>
      </c>
      <c r="X3319" s="2">
        <f ca="1"/>
        <v>28.462185279520781</v>
      </c>
      <c r="AG3319" s="2">
        <f ca="1"/>
        <v>0.57573680697655538</v>
      </c>
      <c r="AH3319" s="2" t="str">
        <f ca="1"/>
        <v>Bad</v>
      </c>
    </row>
    <row r="3320" spans="2:34" x14ac:dyDescent="0.2">
      <c r="B3320" s="2">
        <f ca="1"/>
        <v>5.7882598913830741E-2</v>
      </c>
      <c r="O3320" s="2">
        <f ca="1"/>
        <v>-0.96598140576781288</v>
      </c>
      <c r="X3320" s="2">
        <f ca="1"/>
        <v>35.098523155862431</v>
      </c>
      <c r="AG3320" s="2">
        <f ca="1"/>
        <v>0.2585823557717819</v>
      </c>
      <c r="AH3320" s="2" t="str">
        <f ca="1"/>
        <v>OK</v>
      </c>
    </row>
    <row r="3321" spans="2:34" x14ac:dyDescent="0.2">
      <c r="B3321" s="2">
        <f ca="1"/>
        <v>6.6397906837012188E-2</v>
      </c>
      <c r="O3321" s="2">
        <f ca="1"/>
        <v>-2.335089541987327</v>
      </c>
      <c r="X3321" s="2">
        <f ca="1"/>
        <v>42.584279848861328</v>
      </c>
      <c r="AG3321" s="2">
        <f ca="1"/>
        <v>0.31325514302513868</v>
      </c>
      <c r="AH3321" s="2" t="str">
        <f ca="1"/>
        <v>OK</v>
      </c>
    </row>
    <row r="3322" spans="2:34" x14ac:dyDescent="0.2">
      <c r="B3322" s="2">
        <f ca="1"/>
        <v>0.32118728752151204</v>
      </c>
      <c r="O3322" s="2">
        <f ca="1"/>
        <v>0.35110482381633151</v>
      </c>
      <c r="X3322" s="2">
        <f ca="1"/>
        <v>65.29533137610963</v>
      </c>
      <c r="AG3322" s="2">
        <f ca="1"/>
        <v>0.69037391505277745</v>
      </c>
      <c r="AH3322" s="2" t="str">
        <f ca="1"/>
        <v>Bad</v>
      </c>
    </row>
    <row r="3323" spans="2:34" x14ac:dyDescent="0.2">
      <c r="B3323" s="2">
        <f ca="1"/>
        <v>0.3728334600137555</v>
      </c>
      <c r="O3323" s="2">
        <f ca="1"/>
        <v>0.31115337086446854</v>
      </c>
      <c r="X3323" s="2">
        <f ca="1"/>
        <v>54.672066778211097</v>
      </c>
      <c r="AG3323" s="2">
        <f ca="1"/>
        <v>0.1812018996915552</v>
      </c>
      <c r="AH3323" s="2" t="str">
        <f ca="1"/>
        <v>OK</v>
      </c>
    </row>
    <row r="3324" spans="2:34" x14ac:dyDescent="0.2">
      <c r="B3324" s="2">
        <f ca="1"/>
        <v>0.53529352806600472</v>
      </c>
      <c r="O3324" s="2">
        <f ca="1"/>
        <v>-0.79921862116111264</v>
      </c>
      <c r="X3324" s="2">
        <f ca="1"/>
        <v>66.610346726477417</v>
      </c>
      <c r="AG3324" s="2">
        <f ca="1"/>
        <v>1.8717026451274599E-2</v>
      </c>
      <c r="AH3324" s="2" t="str">
        <f ca="1"/>
        <v>Good</v>
      </c>
    </row>
    <row r="3325" spans="2:34" x14ac:dyDescent="0.2">
      <c r="B3325" s="2">
        <f ca="1"/>
        <v>0.64997932860064367</v>
      </c>
      <c r="O3325" s="2">
        <f ca="1"/>
        <v>9.2058535504958031E-2</v>
      </c>
      <c r="X3325" s="2">
        <f ca="1"/>
        <v>49.470480805337445</v>
      </c>
      <c r="AG3325" s="2">
        <f ca="1"/>
        <v>0.11729290469374076</v>
      </c>
      <c r="AH3325" s="2" t="str">
        <f ca="1"/>
        <v>OK</v>
      </c>
    </row>
    <row r="3326" spans="2:34" x14ac:dyDescent="0.2">
      <c r="B3326" s="2">
        <f ca="1"/>
        <v>0.69978988214052507</v>
      </c>
      <c r="O3326" s="2">
        <f ca="1"/>
        <v>-1.2507837268847264</v>
      </c>
      <c r="X3326" s="2">
        <f ca="1"/>
        <v>43.437531484988654</v>
      </c>
      <c r="AG3326" s="2">
        <f ca="1"/>
        <v>0.72295965842895127</v>
      </c>
      <c r="AH3326" s="2" t="str">
        <f ca="1"/>
        <v>Bad</v>
      </c>
    </row>
    <row r="3327" spans="2:34" x14ac:dyDescent="0.2">
      <c r="B3327" s="2">
        <f ca="1"/>
        <v>0.45292488633574357</v>
      </c>
      <c r="O3327" s="2">
        <f ca="1"/>
        <v>0.21278574208802734</v>
      </c>
      <c r="X3327" s="2">
        <f ca="1"/>
        <v>64.638415108128839</v>
      </c>
      <c r="AG3327" s="2">
        <f ca="1"/>
        <v>0.7307428564394618</v>
      </c>
      <c r="AH3327" s="2" t="str">
        <f ca="1"/>
        <v>Bad</v>
      </c>
    </row>
    <row r="3328" spans="2:34" x14ac:dyDescent="0.2">
      <c r="B3328" s="2">
        <f ca="1"/>
        <v>0.85473569376143876</v>
      </c>
      <c r="O3328" s="2">
        <f ca="1"/>
        <v>1.3541718840613333</v>
      </c>
      <c r="X3328" s="2">
        <f ca="1"/>
        <v>50.648598001112994</v>
      </c>
      <c r="AG3328" s="2">
        <f ca="1"/>
        <v>9.168944918501043E-2</v>
      </c>
      <c r="AH3328" s="2" t="str">
        <f ca="1"/>
        <v>OK</v>
      </c>
    </row>
    <row r="3329" spans="2:34" x14ac:dyDescent="0.2">
      <c r="B3329" s="2">
        <f ca="1"/>
        <v>0.44937188178510401</v>
      </c>
      <c r="O3329" s="2">
        <f ca="1"/>
        <v>-0.50723782593790878</v>
      </c>
      <c r="X3329" s="2">
        <f ca="1"/>
        <v>72.641034735973903</v>
      </c>
      <c r="AG3329" s="2">
        <f ca="1"/>
        <v>6.8529417897189582E-4</v>
      </c>
      <c r="AH3329" s="2" t="str">
        <f ca="1"/>
        <v>Good</v>
      </c>
    </row>
    <row r="3330" spans="2:34" x14ac:dyDescent="0.2">
      <c r="B3330" s="2">
        <f ca="1"/>
        <v>1.5734952836200744E-2</v>
      </c>
      <c r="O3330" s="2">
        <f ca="1"/>
        <v>-0.16862124022085365</v>
      </c>
      <c r="X3330" s="2">
        <f ca="1"/>
        <v>46.681692348403594</v>
      </c>
      <c r="AG3330" s="2">
        <f ca="1"/>
        <v>0.68067450853342404</v>
      </c>
      <c r="AH3330" s="2" t="str">
        <f ca="1"/>
        <v>Bad</v>
      </c>
    </row>
    <row r="3331" spans="2:34" x14ac:dyDescent="0.2">
      <c r="B3331" s="2">
        <f ca="1"/>
        <v>0.13274328013442371</v>
      </c>
      <c r="O3331" s="2">
        <f ca="1"/>
        <v>1.2082418194700215</v>
      </c>
      <c r="X3331" s="2">
        <f ca="1"/>
        <v>44.264377156574206</v>
      </c>
      <c r="AG3331" s="2">
        <f ca="1"/>
        <v>0.71194695611985326</v>
      </c>
      <c r="AH3331" s="2" t="str">
        <f ca="1"/>
        <v>Bad</v>
      </c>
    </row>
    <row r="3332" spans="2:34" x14ac:dyDescent="0.2">
      <c r="B3332" s="2">
        <f ca="1"/>
        <v>4.3614653073308585E-2</v>
      </c>
      <c r="O3332" s="2">
        <f ca="1"/>
        <v>0.54710182920491124</v>
      </c>
      <c r="X3332" s="2">
        <f ca="1"/>
        <v>47.154088481455851</v>
      </c>
      <c r="AG3332" s="2">
        <f ca="1"/>
        <v>0.40767555224512297</v>
      </c>
      <c r="AH3332" s="2" t="str">
        <f ca="1"/>
        <v>Bad</v>
      </c>
    </row>
    <row r="3333" spans="2:34" x14ac:dyDescent="0.2">
      <c r="B3333" s="2">
        <f ca="1"/>
        <v>6.392115843610835E-2</v>
      </c>
      <c r="O3333" s="2">
        <f ca="1"/>
        <v>0.57358990877283678</v>
      </c>
      <c r="X3333" s="2">
        <f ca="1"/>
        <v>80.733342475539416</v>
      </c>
      <c r="AG3333" s="2">
        <f ca="1"/>
        <v>0.64672053313256983</v>
      </c>
      <c r="AH3333" s="2" t="str">
        <f ca="1"/>
        <v>Bad</v>
      </c>
    </row>
    <row r="3334" spans="2:34" x14ac:dyDescent="0.2">
      <c r="B3334" s="2">
        <f ca="1"/>
        <v>0.25931101456144834</v>
      </c>
      <c r="O3334" s="2">
        <f ca="1"/>
        <v>1.2797051442574119</v>
      </c>
      <c r="X3334" s="2">
        <f ca="1"/>
        <v>63.967111110484751</v>
      </c>
      <c r="AG3334" s="2">
        <f ca="1"/>
        <v>0.8172925421144297</v>
      </c>
      <c r="AH3334" s="2" t="str">
        <f ca="1"/>
        <v>Bad</v>
      </c>
    </row>
    <row r="3335" spans="2:34" x14ac:dyDescent="0.2">
      <c r="B3335" s="2">
        <f ca="1"/>
        <v>0.86794745519463379</v>
      </c>
      <c r="O3335" s="2">
        <f ca="1"/>
        <v>0.62198866980281209</v>
      </c>
      <c r="X3335" s="2">
        <f ca="1"/>
        <v>62.39999341838913</v>
      </c>
      <c r="AG3335" s="2">
        <f ca="1"/>
        <v>0.71263979921503129</v>
      </c>
      <c r="AH3335" s="2" t="str">
        <f ca="1"/>
        <v>Bad</v>
      </c>
    </row>
    <row r="3336" spans="2:34" x14ac:dyDescent="0.2">
      <c r="B3336" s="2">
        <f ca="1"/>
        <v>0.74674439297073358</v>
      </c>
      <c r="O3336" s="2">
        <f ca="1"/>
        <v>1.0472134064251275</v>
      </c>
      <c r="X3336" s="2">
        <f ca="1"/>
        <v>32.799545479001637</v>
      </c>
      <c r="AG3336" s="2">
        <f ca="1"/>
        <v>0.83174207926600019</v>
      </c>
      <c r="AH3336" s="2" t="str">
        <f ca="1"/>
        <v>Bad</v>
      </c>
    </row>
    <row r="3337" spans="2:34" x14ac:dyDescent="0.2">
      <c r="B3337" s="2">
        <f ca="1"/>
        <v>0.36475829452204223</v>
      </c>
      <c r="O3337" s="2">
        <f ca="1"/>
        <v>1.8556092490811422E-2</v>
      </c>
      <c r="X3337" s="2">
        <f ca="1"/>
        <v>15.488776966110933</v>
      </c>
      <c r="AG3337" s="2">
        <f ca="1"/>
        <v>0.72134087097829269</v>
      </c>
      <c r="AH3337" s="2" t="str">
        <f ca="1"/>
        <v>Bad</v>
      </c>
    </row>
    <row r="3338" spans="2:34" x14ac:dyDescent="0.2">
      <c r="B3338" s="2">
        <f ca="1"/>
        <v>0.28264315042184407</v>
      </c>
      <c r="O3338" s="2">
        <f ca="1"/>
        <v>0.39500657752203483</v>
      </c>
      <c r="X3338" s="2">
        <f ca="1"/>
        <v>45.556195462686617</v>
      </c>
      <c r="AG3338" s="2">
        <f ca="1"/>
        <v>0.56638852581071397</v>
      </c>
      <c r="AH3338" s="2" t="str">
        <f ca="1"/>
        <v>Bad</v>
      </c>
    </row>
    <row r="3339" spans="2:34" x14ac:dyDescent="0.2">
      <c r="B3339" s="2">
        <f ca="1"/>
        <v>0.69031153553162783</v>
      </c>
      <c r="O3339" s="2">
        <f ca="1"/>
        <v>0.72003258338231035</v>
      </c>
      <c r="X3339" s="2">
        <f ca="1"/>
        <v>36.493339586716893</v>
      </c>
      <c r="AG3339" s="2">
        <f ca="1"/>
        <v>0.71831106843430326</v>
      </c>
      <c r="AH3339" s="2" t="str">
        <f ca="1"/>
        <v>Bad</v>
      </c>
    </row>
    <row r="3340" spans="2:34" x14ac:dyDescent="0.2">
      <c r="B3340" s="2">
        <f ca="1"/>
        <v>9.3616436780902035E-2</v>
      </c>
      <c r="O3340" s="2">
        <f ca="1"/>
        <v>-1.9610246751484407E-2</v>
      </c>
      <c r="X3340" s="2">
        <f ca="1"/>
        <v>55.55524811913201</v>
      </c>
      <c r="AG3340" s="2">
        <f ca="1"/>
        <v>0.92341716911033456</v>
      </c>
      <c r="AH3340" s="2" t="str">
        <f ca="1"/>
        <v>Bad</v>
      </c>
    </row>
    <row r="3341" spans="2:34" x14ac:dyDescent="0.2">
      <c r="B3341" s="2">
        <f ca="1"/>
        <v>0.72534933256841327</v>
      </c>
      <c r="O3341" s="2">
        <f ca="1"/>
        <v>-0.99527509218752541</v>
      </c>
      <c r="X3341" s="2">
        <f ca="1"/>
        <v>35.765388991466232</v>
      </c>
      <c r="AG3341" s="2">
        <f ca="1"/>
        <v>0.95299969586514943</v>
      </c>
      <c r="AH3341" s="2" t="str">
        <f ca="1"/>
        <v>Bad</v>
      </c>
    </row>
    <row r="3342" spans="2:34" x14ac:dyDescent="0.2">
      <c r="B3342" s="2">
        <f ca="1"/>
        <v>0.56676551749363324</v>
      </c>
      <c r="O3342" s="2">
        <f ca="1"/>
        <v>-0.1848217134237943</v>
      </c>
      <c r="X3342" s="2">
        <f ca="1"/>
        <v>68.702048840345128</v>
      </c>
      <c r="AG3342" s="2">
        <f ca="1"/>
        <v>0.76912842704314577</v>
      </c>
      <c r="AH3342" s="2" t="str">
        <f ca="1"/>
        <v>Bad</v>
      </c>
    </row>
    <row r="3343" spans="2:34" x14ac:dyDescent="0.2">
      <c r="B3343" s="2">
        <f ca="1"/>
        <v>0.20523637947587114</v>
      </c>
      <c r="O3343" s="2">
        <f ca="1"/>
        <v>-0.30518604265315674</v>
      </c>
      <c r="X3343" s="2">
        <f ca="1"/>
        <v>32.846956853953785</v>
      </c>
      <c r="AG3343" s="2">
        <f ca="1"/>
        <v>0.19511522926668023</v>
      </c>
      <c r="AH3343" s="2" t="str">
        <f ca="1"/>
        <v>OK</v>
      </c>
    </row>
    <row r="3344" spans="2:34" x14ac:dyDescent="0.2">
      <c r="B3344" s="2">
        <f ca="1"/>
        <v>0.72823387197071399</v>
      </c>
      <c r="O3344" s="2">
        <f ca="1"/>
        <v>-0.15823075158247887</v>
      </c>
      <c r="X3344" s="2">
        <f ca="1"/>
        <v>27.956079979098838</v>
      </c>
      <c r="AG3344" s="2">
        <f ca="1"/>
        <v>0.4713222953822418</v>
      </c>
      <c r="AH3344" s="2" t="str">
        <f ca="1"/>
        <v>Bad</v>
      </c>
    </row>
    <row r="3345" spans="2:34" x14ac:dyDescent="0.2">
      <c r="B3345" s="2">
        <f ca="1"/>
        <v>0.58464566240337046</v>
      </c>
      <c r="O3345" s="2">
        <f ca="1"/>
        <v>0.24979458244013353</v>
      </c>
      <c r="X3345" s="2">
        <f ca="1"/>
        <v>45.044430993191384</v>
      </c>
      <c r="AG3345" s="2">
        <f ca="1"/>
        <v>0.81983520197620741</v>
      </c>
      <c r="AH3345" s="2" t="str">
        <f ca="1"/>
        <v>Bad</v>
      </c>
    </row>
    <row r="3346" spans="2:34" x14ac:dyDescent="0.2">
      <c r="B3346" s="2">
        <f ca="1"/>
        <v>0.38062999519764484</v>
      </c>
      <c r="O3346" s="2">
        <f ca="1"/>
        <v>0.77409780413155804</v>
      </c>
      <c r="X3346" s="2">
        <f ca="1"/>
        <v>47.458947137762237</v>
      </c>
      <c r="AG3346" s="2">
        <f ca="1"/>
        <v>0.68399654565614454</v>
      </c>
      <c r="AH3346" s="2" t="str">
        <f ca="1"/>
        <v>Bad</v>
      </c>
    </row>
    <row r="3347" spans="2:34" x14ac:dyDescent="0.2">
      <c r="B3347" s="2">
        <f ca="1"/>
        <v>0.24304359399832753</v>
      </c>
      <c r="O3347" s="2">
        <f ca="1"/>
        <v>0.96170313726763679</v>
      </c>
      <c r="X3347" s="2">
        <f ca="1"/>
        <v>43.917711345035471</v>
      </c>
      <c r="AG3347" s="2">
        <f ca="1"/>
        <v>0.58325031128448002</v>
      </c>
      <c r="AH3347" s="2" t="str">
        <f ca="1"/>
        <v>Bad</v>
      </c>
    </row>
    <row r="3348" spans="2:34" x14ac:dyDescent="0.2">
      <c r="B3348" s="2">
        <f ca="1"/>
        <v>0.62003531520294586</v>
      </c>
      <c r="O3348" s="2">
        <f ca="1"/>
        <v>-0.79803552892254648</v>
      </c>
      <c r="X3348" s="2">
        <f ca="1"/>
        <v>21.624454069477096</v>
      </c>
      <c r="AG3348" s="2">
        <f ca="1"/>
        <v>2.4263793302676806E-2</v>
      </c>
      <c r="AH3348" s="2" t="str">
        <f ca="1"/>
        <v>Good</v>
      </c>
    </row>
    <row r="3349" spans="2:34" x14ac:dyDescent="0.2">
      <c r="B3349" s="2">
        <f ca="1"/>
        <v>0.14515332763974476</v>
      </c>
      <c r="O3349" s="2">
        <f ca="1"/>
        <v>-0.29632680784099086</v>
      </c>
      <c r="X3349" s="2">
        <f ca="1"/>
        <v>50.598622453646257</v>
      </c>
      <c r="AG3349" s="2">
        <f ca="1"/>
        <v>5.0805469869617426E-2</v>
      </c>
      <c r="AH3349" s="2" t="str">
        <f ca="1"/>
        <v>OK</v>
      </c>
    </row>
    <row r="3350" spans="2:34" x14ac:dyDescent="0.2">
      <c r="B3350" s="2">
        <f ca="1"/>
        <v>0.89547119388946861</v>
      </c>
      <c r="O3350" s="2">
        <f ca="1"/>
        <v>0.11909537944049561</v>
      </c>
      <c r="X3350" s="2">
        <f ca="1"/>
        <v>72.463946731722515</v>
      </c>
      <c r="AG3350" s="2">
        <f ca="1"/>
        <v>0.67060661744360828</v>
      </c>
      <c r="AH3350" s="2" t="str">
        <f ca="1"/>
        <v>Bad</v>
      </c>
    </row>
    <row r="3351" spans="2:34" x14ac:dyDescent="0.2">
      <c r="B3351" s="2">
        <f ca="1"/>
        <v>0.31423386061059988</v>
      </c>
      <c r="O3351" s="2">
        <f ca="1"/>
        <v>-0.15453343699874791</v>
      </c>
      <c r="X3351" s="2">
        <f ca="1"/>
        <v>64.016837171532572</v>
      </c>
      <c r="AG3351" s="2">
        <f ca="1"/>
        <v>0.61768139106904019</v>
      </c>
      <c r="AH3351" s="2" t="str">
        <f ca="1"/>
        <v>Bad</v>
      </c>
    </row>
    <row r="3352" spans="2:34" x14ac:dyDescent="0.2">
      <c r="B3352" s="2">
        <f ca="1"/>
        <v>0.52151063829147759</v>
      </c>
      <c r="O3352" s="2">
        <f ca="1"/>
        <v>-3.2297363590328414E-2</v>
      </c>
      <c r="X3352" s="2">
        <f ca="1"/>
        <v>37.53400294300598</v>
      </c>
      <c r="AG3352" s="2">
        <f ca="1"/>
        <v>0.63312780510921818</v>
      </c>
      <c r="AH3352" s="2" t="str">
        <f ca="1"/>
        <v>Bad</v>
      </c>
    </row>
    <row r="3353" spans="2:34" x14ac:dyDescent="0.2">
      <c r="B3353" s="2">
        <f ca="1"/>
        <v>0.53493903910414042</v>
      </c>
      <c r="O3353" s="2">
        <f ca="1"/>
        <v>0.24262879656232036</v>
      </c>
      <c r="X3353" s="2">
        <f ca="1"/>
        <v>36.225121995401899</v>
      </c>
      <c r="AG3353" s="2">
        <f ca="1"/>
        <v>0.62461589783799121</v>
      </c>
      <c r="AH3353" s="2" t="str">
        <f ca="1"/>
        <v>Bad</v>
      </c>
    </row>
    <row r="3354" spans="2:34" x14ac:dyDescent="0.2">
      <c r="B3354" s="2">
        <f ca="1"/>
        <v>2.5707184502326452E-2</v>
      </c>
      <c r="O3354" s="2">
        <f ca="1"/>
        <v>0.73885855459875927</v>
      </c>
      <c r="X3354" s="2">
        <f ca="1"/>
        <v>61.946189352926233</v>
      </c>
      <c r="AG3354" s="2">
        <f ca="1"/>
        <v>0.42724078948653688</v>
      </c>
      <c r="AH3354" s="2" t="str">
        <f ca="1"/>
        <v>Bad</v>
      </c>
    </row>
    <row r="3355" spans="2:34" x14ac:dyDescent="0.2">
      <c r="B3355" s="2">
        <f ca="1"/>
        <v>0.98911175658064887</v>
      </c>
      <c r="O3355" s="2">
        <f ca="1"/>
        <v>1.4405200210575542</v>
      </c>
      <c r="X3355" s="2">
        <f ca="1"/>
        <v>50.011831677820176</v>
      </c>
      <c r="AG3355" s="2">
        <f ca="1"/>
        <v>0.67972877878157734</v>
      </c>
      <c r="AH3355" s="2" t="str">
        <f ca="1"/>
        <v>Bad</v>
      </c>
    </row>
    <row r="3356" spans="2:34" x14ac:dyDescent="0.2">
      <c r="B3356" s="2">
        <f ca="1"/>
        <v>0.61792654667246283</v>
      </c>
      <c r="O3356" s="2">
        <f ca="1"/>
        <v>-1.2394920896358126</v>
      </c>
      <c r="X3356" s="2">
        <f ca="1"/>
        <v>46.181229219664068</v>
      </c>
      <c r="AG3356" s="2">
        <f ca="1"/>
        <v>0.87179525008080394</v>
      </c>
      <c r="AH3356" s="2" t="str">
        <f ca="1"/>
        <v>Bad</v>
      </c>
    </row>
    <row r="3357" spans="2:34" x14ac:dyDescent="0.2">
      <c r="B3357" s="2">
        <f ca="1"/>
        <v>0.66437816700665375</v>
      </c>
      <c r="O3357" s="2">
        <f ca="1"/>
        <v>-0.37589457302997259</v>
      </c>
      <c r="X3357" s="2">
        <f ca="1"/>
        <v>60.680910229890458</v>
      </c>
      <c r="AG3357" s="2">
        <f ca="1"/>
        <v>0.41230187586336742</v>
      </c>
      <c r="AH3357" s="2" t="str">
        <f ca="1"/>
        <v>Bad</v>
      </c>
    </row>
    <row r="3358" spans="2:34" x14ac:dyDescent="0.2">
      <c r="B3358" s="2">
        <f ca="1"/>
        <v>0.33611034325716505</v>
      </c>
      <c r="O3358" s="2">
        <f ca="1"/>
        <v>0.26781293289460051</v>
      </c>
      <c r="X3358" s="2">
        <f ca="1"/>
        <v>40.587143012393021</v>
      </c>
      <c r="AG3358" s="2">
        <f ca="1"/>
        <v>0.30484757418869757</v>
      </c>
      <c r="AH3358" s="2" t="str">
        <f ca="1"/>
        <v>OK</v>
      </c>
    </row>
    <row r="3359" spans="2:34" x14ac:dyDescent="0.2">
      <c r="B3359" s="2">
        <f ca="1"/>
        <v>0.91998283138211656</v>
      </c>
      <c r="O3359" s="2">
        <f ca="1"/>
        <v>0.88514349502291667</v>
      </c>
      <c r="X3359" s="2">
        <f ca="1"/>
        <v>36.538112798226187</v>
      </c>
      <c r="AG3359" s="2">
        <f ca="1"/>
        <v>0.82451068914807735</v>
      </c>
      <c r="AH3359" s="2" t="str">
        <f ca="1"/>
        <v>Bad</v>
      </c>
    </row>
    <row r="3360" spans="2:34" x14ac:dyDescent="0.2">
      <c r="B3360" s="2">
        <f ca="1"/>
        <v>0.24811384696938843</v>
      </c>
      <c r="O3360" s="2">
        <f ca="1"/>
        <v>-1.0959524883063569</v>
      </c>
      <c r="X3360" s="2">
        <f ca="1"/>
        <v>30.185105600933827</v>
      </c>
      <c r="AG3360" s="2">
        <f ca="1"/>
        <v>0.26002699856268419</v>
      </c>
      <c r="AH3360" s="2" t="str">
        <f ca="1"/>
        <v>OK</v>
      </c>
    </row>
    <row r="3361" spans="2:34" x14ac:dyDescent="0.2">
      <c r="B3361" s="2">
        <f ca="1"/>
        <v>0.38860577723750134</v>
      </c>
      <c r="O3361" s="2">
        <f ca="1"/>
        <v>1.0726179423856532</v>
      </c>
      <c r="X3361" s="2">
        <f ca="1"/>
        <v>48.472623993774839</v>
      </c>
      <c r="AG3361" s="2">
        <f ca="1"/>
        <v>0.54982173361205455</v>
      </c>
      <c r="AH3361" s="2" t="str">
        <f ca="1"/>
        <v>Bad</v>
      </c>
    </row>
    <row r="3362" spans="2:34" x14ac:dyDescent="0.2">
      <c r="B3362" s="2">
        <f ca="1"/>
        <v>0.73531130195085659</v>
      </c>
      <c r="O3362" s="2">
        <f ca="1"/>
        <v>-1.8456558409789141</v>
      </c>
      <c r="X3362" s="2">
        <f ca="1"/>
        <v>53.246644715638823</v>
      </c>
      <c r="AG3362" s="2">
        <f ca="1"/>
        <v>0.89188184846165175</v>
      </c>
      <c r="AH3362" s="2" t="str">
        <f ca="1"/>
        <v>Bad</v>
      </c>
    </row>
    <row r="3363" spans="2:34" x14ac:dyDescent="0.2">
      <c r="B3363" s="2">
        <f ca="1"/>
        <v>0.76237719335521525</v>
      </c>
      <c r="O3363" s="2">
        <f ca="1"/>
        <v>1.9885412060145751</v>
      </c>
      <c r="X3363" s="2">
        <f ca="1"/>
        <v>33.580895857967604</v>
      </c>
      <c r="AG3363" s="2">
        <f ca="1"/>
        <v>0.71071666574478298</v>
      </c>
      <c r="AH3363" s="2" t="str">
        <f ca="1"/>
        <v>Bad</v>
      </c>
    </row>
    <row r="3364" spans="2:34" x14ac:dyDescent="0.2">
      <c r="B3364" s="2">
        <f ca="1"/>
        <v>0.52082716988451727</v>
      </c>
      <c r="O3364" s="2">
        <f ca="1"/>
        <v>-1.2853526587837696</v>
      </c>
      <c r="X3364" s="2">
        <f ca="1"/>
        <v>30.418295013372148</v>
      </c>
      <c r="AG3364" s="2">
        <f ca="1"/>
        <v>0.34770744258268982</v>
      </c>
      <c r="AH3364" s="2" t="str">
        <f ca="1"/>
        <v>OK</v>
      </c>
    </row>
    <row r="3365" spans="2:34" x14ac:dyDescent="0.2">
      <c r="B3365" s="2">
        <f ca="1"/>
        <v>0.71144731359179048</v>
      </c>
      <c r="O3365" s="2">
        <f ca="1"/>
        <v>0.71637618301087969</v>
      </c>
      <c r="X3365" s="2">
        <f ca="1"/>
        <v>105.74358938080955</v>
      </c>
      <c r="AG3365" s="2">
        <f ca="1"/>
        <v>0.168390534339661</v>
      </c>
      <c r="AH3365" s="2" t="str">
        <f ca="1"/>
        <v>OK</v>
      </c>
    </row>
    <row r="3366" spans="2:34" x14ac:dyDescent="0.2">
      <c r="B3366" s="2">
        <f ca="1"/>
        <v>0.63490316444515527</v>
      </c>
      <c r="O3366" s="2">
        <f ca="1"/>
        <v>0.4197889124622276</v>
      </c>
      <c r="X3366" s="2">
        <f ca="1"/>
        <v>71.132019888190555</v>
      </c>
      <c r="AG3366" s="2">
        <f ca="1"/>
        <v>0.1156059528212674</v>
      </c>
      <c r="AH3366" s="2" t="str">
        <f ca="1"/>
        <v>OK</v>
      </c>
    </row>
    <row r="3367" spans="2:34" x14ac:dyDescent="0.2">
      <c r="B3367" s="2">
        <f ca="1"/>
        <v>0.20678053977766941</v>
      </c>
      <c r="O3367" s="2">
        <f ca="1"/>
        <v>0.26372617496698186</v>
      </c>
      <c r="X3367" s="2">
        <f ca="1"/>
        <v>26.065903169596623</v>
      </c>
      <c r="AG3367" s="2">
        <f ca="1"/>
        <v>0.94504987659786477</v>
      </c>
      <c r="AH3367" s="2" t="str">
        <f ca="1"/>
        <v>Bad</v>
      </c>
    </row>
    <row r="3368" spans="2:34" x14ac:dyDescent="0.2">
      <c r="B3368" s="2">
        <f ca="1"/>
        <v>0.58023134269811383</v>
      </c>
      <c r="O3368" s="2">
        <f ca="1"/>
        <v>-0.45797299170357186</v>
      </c>
      <c r="X3368" s="2">
        <f ca="1"/>
        <v>46.205008234300003</v>
      </c>
      <c r="AG3368" s="2">
        <f ca="1"/>
        <v>0.31541689643141146</v>
      </c>
      <c r="AH3368" s="2" t="str">
        <f ca="1"/>
        <v>OK</v>
      </c>
    </row>
    <row r="3369" spans="2:34" x14ac:dyDescent="0.2">
      <c r="B3369" s="2">
        <f ca="1"/>
        <v>0.3299426548897253</v>
      </c>
      <c r="O3369" s="2">
        <f ca="1"/>
        <v>0.95327487186990778</v>
      </c>
      <c r="X3369" s="2">
        <f ca="1"/>
        <v>51.796148181309711</v>
      </c>
      <c r="AG3369" s="2">
        <f ca="1"/>
        <v>0.26721168381868821</v>
      </c>
      <c r="AH3369" s="2" t="str">
        <f ca="1"/>
        <v>OK</v>
      </c>
    </row>
    <row r="3370" spans="2:34" x14ac:dyDescent="0.2">
      <c r="B3370" s="2">
        <f ca="1"/>
        <v>0.49759970930923125</v>
      </c>
      <c r="O3370" s="2">
        <f ca="1"/>
        <v>0.45864886956418244</v>
      </c>
      <c r="X3370" s="2">
        <f ca="1"/>
        <v>75.228824163760237</v>
      </c>
      <c r="AG3370" s="2">
        <f ca="1"/>
        <v>0.6600538677365726</v>
      </c>
      <c r="AH3370" s="2" t="str">
        <f ca="1"/>
        <v>Bad</v>
      </c>
    </row>
    <row r="3371" spans="2:34" x14ac:dyDescent="0.2">
      <c r="B3371" s="2">
        <f ca="1"/>
        <v>0.11642122910932073</v>
      </c>
      <c r="O3371" s="2">
        <f ca="1"/>
        <v>0.42078006695536369</v>
      </c>
      <c r="X3371" s="2">
        <f ca="1"/>
        <v>34.17525245646808</v>
      </c>
      <c r="AG3371" s="2">
        <f ca="1"/>
        <v>0.37902844875409891</v>
      </c>
      <c r="AH3371" s="2" t="str">
        <f ca="1"/>
        <v>OK</v>
      </c>
    </row>
    <row r="3372" spans="2:34" x14ac:dyDescent="0.2">
      <c r="B3372" s="2">
        <f ca="1"/>
        <v>0.36590072801567075</v>
      </c>
      <c r="O3372" s="2">
        <f ca="1"/>
        <v>0.25276107944822612</v>
      </c>
      <c r="X3372" s="2">
        <f ca="1"/>
        <v>80.837938807518242</v>
      </c>
      <c r="AG3372" s="2">
        <f ca="1"/>
        <v>0.51007956859788339</v>
      </c>
      <c r="AH3372" s="2" t="str">
        <f ca="1"/>
        <v>Bad</v>
      </c>
    </row>
    <row r="3373" spans="2:34" x14ac:dyDescent="0.2">
      <c r="B3373" s="2">
        <f ca="1"/>
        <v>0.27929040477283396</v>
      </c>
      <c r="O3373" s="2">
        <f ca="1"/>
        <v>0.25556317200442963</v>
      </c>
      <c r="X3373" s="2">
        <f ca="1"/>
        <v>60.687025818671081</v>
      </c>
      <c r="AG3373" s="2">
        <f ca="1"/>
        <v>0.47473549162958872</v>
      </c>
      <c r="AH3373" s="2" t="str">
        <f ca="1"/>
        <v>Bad</v>
      </c>
    </row>
    <row r="3374" spans="2:34" x14ac:dyDescent="0.2">
      <c r="B3374" s="2">
        <f ca="1"/>
        <v>0.28080962687033861</v>
      </c>
      <c r="O3374" s="2">
        <f ca="1"/>
        <v>-0.84496896877012961</v>
      </c>
      <c r="X3374" s="2">
        <f ca="1"/>
        <v>33.712822099331603</v>
      </c>
      <c r="AG3374" s="2">
        <f ca="1"/>
        <v>0.75618055176500332</v>
      </c>
      <c r="AH3374" s="2" t="str">
        <f ca="1"/>
        <v>Bad</v>
      </c>
    </row>
    <row r="3375" spans="2:34" x14ac:dyDescent="0.2">
      <c r="B3375" s="2">
        <f ca="1"/>
        <v>0.74458895659347601</v>
      </c>
      <c r="O3375" s="2">
        <f ca="1"/>
        <v>-0.62543297068339876</v>
      </c>
      <c r="X3375" s="2">
        <f ca="1"/>
        <v>49.592894728124016</v>
      </c>
      <c r="AG3375" s="2">
        <f ca="1"/>
        <v>0.4882129326469351</v>
      </c>
      <c r="AH3375" s="2" t="str">
        <f ca="1"/>
        <v>Bad</v>
      </c>
    </row>
    <row r="3376" spans="2:34" x14ac:dyDescent="0.2">
      <c r="B3376" s="2">
        <f ca="1"/>
        <v>0.69214674744602944</v>
      </c>
      <c r="O3376" s="2">
        <f ca="1"/>
        <v>0.38821670534012154</v>
      </c>
      <c r="X3376" s="2">
        <f ca="1"/>
        <v>41.544607397894325</v>
      </c>
      <c r="AG3376" s="2">
        <f ca="1"/>
        <v>0.19174086386809885</v>
      </c>
      <c r="AH3376" s="2" t="str">
        <f ca="1"/>
        <v>OK</v>
      </c>
    </row>
    <row r="3377" spans="2:34" x14ac:dyDescent="0.2">
      <c r="B3377" s="2">
        <f ca="1"/>
        <v>0.90803855729954019</v>
      </c>
      <c r="O3377" s="2">
        <f ca="1"/>
        <v>-0.33677448971589757</v>
      </c>
      <c r="X3377" s="2">
        <f ca="1"/>
        <v>66.998326962959055</v>
      </c>
      <c r="AG3377" s="2">
        <f ca="1"/>
        <v>0.60085735442559174</v>
      </c>
      <c r="AH3377" s="2" t="str">
        <f ca="1"/>
        <v>Bad</v>
      </c>
    </row>
    <row r="3378" spans="2:34" x14ac:dyDescent="0.2">
      <c r="B3378" s="2">
        <f ca="1"/>
        <v>0.73541810974942989</v>
      </c>
      <c r="O3378" s="2">
        <f ca="1"/>
        <v>0.1511297935170805</v>
      </c>
      <c r="X3378" s="2">
        <f ca="1"/>
        <v>35.11205139339873</v>
      </c>
      <c r="AG3378" s="2">
        <f ca="1"/>
        <v>0.86321838726408817</v>
      </c>
      <c r="AH3378" s="2" t="str">
        <f ca="1"/>
        <v>Bad</v>
      </c>
    </row>
    <row r="3379" spans="2:34" x14ac:dyDescent="0.2">
      <c r="B3379" s="2">
        <f ca="1"/>
        <v>0.78941816381147545</v>
      </c>
      <c r="O3379" s="2">
        <f ca="1"/>
        <v>0.17333794549658935</v>
      </c>
      <c r="X3379" s="2">
        <f ca="1"/>
        <v>51.657023988462079</v>
      </c>
      <c r="AG3379" s="2">
        <f ca="1"/>
        <v>0.86470271203048887</v>
      </c>
      <c r="AH3379" s="2" t="str">
        <f ca="1"/>
        <v>Bad</v>
      </c>
    </row>
    <row r="3380" spans="2:34" x14ac:dyDescent="0.2">
      <c r="B3380" s="2">
        <f ca="1"/>
        <v>0.70637677712559399</v>
      </c>
      <c r="O3380" s="2">
        <f ca="1"/>
        <v>1.2716799748077789</v>
      </c>
      <c r="X3380" s="2">
        <f ca="1"/>
        <v>48.151508938773802</v>
      </c>
      <c r="AG3380" s="2">
        <f ca="1"/>
        <v>0.86104305509247947</v>
      </c>
      <c r="AH3380" s="2" t="str">
        <f ca="1"/>
        <v>Bad</v>
      </c>
    </row>
    <row r="3381" spans="2:34" x14ac:dyDescent="0.2">
      <c r="B3381" s="2">
        <f ca="1"/>
        <v>0.70450452067133051</v>
      </c>
      <c r="O3381" s="2">
        <f ca="1"/>
        <v>-0.14168667246105107</v>
      </c>
      <c r="X3381" s="2">
        <f ca="1"/>
        <v>53.510959446981573</v>
      </c>
      <c r="AG3381" s="2">
        <f ca="1"/>
        <v>0.19904103953150032</v>
      </c>
      <c r="AH3381" s="2" t="str">
        <f ca="1"/>
        <v>OK</v>
      </c>
    </row>
    <row r="3382" spans="2:34" x14ac:dyDescent="0.2">
      <c r="B3382" s="2">
        <f ca="1"/>
        <v>0.95784756497673529</v>
      </c>
      <c r="O3382" s="2">
        <f ca="1"/>
        <v>-0.37936829320339593</v>
      </c>
      <c r="X3382" s="2">
        <f ca="1"/>
        <v>54.467991870137197</v>
      </c>
      <c r="AG3382" s="2">
        <f ca="1"/>
        <v>0.56267578779679539</v>
      </c>
      <c r="AH3382" s="2" t="str">
        <f ca="1"/>
        <v>Bad</v>
      </c>
    </row>
    <row r="3383" spans="2:34" x14ac:dyDescent="0.2">
      <c r="B3383" s="2">
        <f ca="1"/>
        <v>0.16374730738868637</v>
      </c>
      <c r="O3383" s="2">
        <f ca="1"/>
        <v>0.6265659160436059</v>
      </c>
      <c r="X3383" s="2">
        <f ca="1"/>
        <v>64.105798377770753</v>
      </c>
      <c r="AG3383" s="2">
        <f ca="1"/>
        <v>0.10402194169020129</v>
      </c>
      <c r="AH3383" s="2" t="str">
        <f ca="1"/>
        <v>OK</v>
      </c>
    </row>
    <row r="3384" spans="2:34" x14ac:dyDescent="0.2">
      <c r="B3384" s="2">
        <f ca="1"/>
        <v>0.42910368521021236</v>
      </c>
      <c r="O3384" s="2">
        <f ca="1"/>
        <v>-2.4409840738996862</v>
      </c>
      <c r="X3384" s="2">
        <f ca="1"/>
        <v>42.059459844892316</v>
      </c>
      <c r="AG3384" s="2">
        <f ca="1"/>
        <v>0.33452218140417744</v>
      </c>
      <c r="AH3384" s="2" t="str">
        <f ca="1"/>
        <v>OK</v>
      </c>
    </row>
    <row r="3385" spans="2:34" x14ac:dyDescent="0.2">
      <c r="B3385" s="2">
        <f ca="1"/>
        <v>0.66686537130577128</v>
      </c>
      <c r="O3385" s="2">
        <f ca="1"/>
        <v>-1.7989191889511054</v>
      </c>
      <c r="X3385" s="2">
        <f ca="1"/>
        <v>75.432259245729995</v>
      </c>
      <c r="AG3385" s="2">
        <f ca="1"/>
        <v>2.2444416188673655E-2</v>
      </c>
      <c r="AH3385" s="2" t="str">
        <f ca="1"/>
        <v>Good</v>
      </c>
    </row>
    <row r="3386" spans="2:34" x14ac:dyDescent="0.2">
      <c r="B3386" s="2">
        <f ca="1"/>
        <v>0.81257747174865891</v>
      </c>
      <c r="O3386" s="2">
        <f ca="1"/>
        <v>1.1500596562355161</v>
      </c>
      <c r="X3386" s="2">
        <f ca="1"/>
        <v>35.091171827963088</v>
      </c>
      <c r="AG3386" s="2">
        <f ca="1"/>
        <v>0.558739708309828</v>
      </c>
      <c r="AH3386" s="2" t="str">
        <f ca="1"/>
        <v>Bad</v>
      </c>
    </row>
    <row r="3387" spans="2:34" x14ac:dyDescent="0.2">
      <c r="B3387" s="2">
        <f ca="1"/>
        <v>2.0275643969658086E-2</v>
      </c>
      <c r="O3387" s="2">
        <f ca="1"/>
        <v>9.4357386642880417E-2</v>
      </c>
      <c r="X3387" s="2">
        <f ca="1"/>
        <v>66.925039626482899</v>
      </c>
      <c r="AG3387" s="2">
        <f ca="1"/>
        <v>0.97578912390091488</v>
      </c>
      <c r="AH3387" s="2" t="str">
        <f ca="1"/>
        <v>Bad</v>
      </c>
    </row>
    <row r="3388" spans="2:34" x14ac:dyDescent="0.2">
      <c r="B3388" s="2">
        <f ca="1"/>
        <v>2.6364645963621536E-2</v>
      </c>
      <c r="O3388" s="2">
        <f ca="1"/>
        <v>-1.0204885674087447</v>
      </c>
      <c r="X3388" s="2">
        <f ca="1"/>
        <v>42.684856657466995</v>
      </c>
      <c r="AG3388" s="2">
        <f ca="1"/>
        <v>0.63174328331823237</v>
      </c>
      <c r="AH3388" s="2" t="str">
        <f ca="1"/>
        <v>Bad</v>
      </c>
    </row>
    <row r="3389" spans="2:34" x14ac:dyDescent="0.2">
      <c r="B3389" s="2">
        <f ca="1"/>
        <v>0.29849682749728612</v>
      </c>
      <c r="O3389" s="2">
        <f ca="1"/>
        <v>0.21045667801248555</v>
      </c>
      <c r="X3389" s="2">
        <f ca="1"/>
        <v>25.893562034761288</v>
      </c>
      <c r="AG3389" s="2">
        <f ca="1"/>
        <v>0.24422740938050946</v>
      </c>
      <c r="AH3389" s="2" t="str">
        <f ca="1"/>
        <v>OK</v>
      </c>
    </row>
    <row r="3390" spans="2:34" x14ac:dyDescent="0.2">
      <c r="B3390" s="2">
        <f ca="1"/>
        <v>0.65508363090510668</v>
      </c>
      <c r="O3390" s="2">
        <f ca="1"/>
        <v>1.0009355162757354</v>
      </c>
      <c r="X3390" s="2">
        <f ca="1"/>
        <v>40.75135466918438</v>
      </c>
      <c r="AG3390" s="2">
        <f ca="1"/>
        <v>0.29403041412452535</v>
      </c>
      <c r="AH3390" s="2" t="str">
        <f ca="1"/>
        <v>OK</v>
      </c>
    </row>
    <row r="3391" spans="2:34" x14ac:dyDescent="0.2">
      <c r="B3391" s="2">
        <f ca="1"/>
        <v>0.75970912241546462</v>
      </c>
      <c r="O3391" s="2">
        <f ca="1"/>
        <v>0.46459882096095734</v>
      </c>
      <c r="X3391" s="2">
        <f ca="1"/>
        <v>43.162168138747191</v>
      </c>
      <c r="AG3391" s="2">
        <f ca="1"/>
        <v>9.4951310193243099E-2</v>
      </c>
      <c r="AH3391" s="2" t="str">
        <f ca="1"/>
        <v>OK</v>
      </c>
    </row>
    <row r="3392" spans="2:34" x14ac:dyDescent="0.2">
      <c r="B3392" s="2">
        <f ca="1"/>
        <v>0.50182740932278835</v>
      </c>
      <c r="O3392" s="2">
        <f ca="1"/>
        <v>-0.66126756821170229</v>
      </c>
      <c r="X3392" s="2">
        <f ca="1"/>
        <v>28.773064556723355</v>
      </c>
      <c r="AG3392" s="2">
        <f ca="1"/>
        <v>0.33782405559927509</v>
      </c>
      <c r="AH3392" s="2" t="str">
        <f ca="1"/>
        <v>OK</v>
      </c>
    </row>
    <row r="3393" spans="2:34" x14ac:dyDescent="0.2">
      <c r="B3393" s="2">
        <f ca="1"/>
        <v>0.87555400439757713</v>
      </c>
      <c r="O3393" s="2">
        <f ca="1"/>
        <v>0.3126032347925512</v>
      </c>
      <c r="X3393" s="2">
        <f ca="1"/>
        <v>40.199680626057585</v>
      </c>
      <c r="AG3393" s="2">
        <f ca="1"/>
        <v>0.35441383324310349</v>
      </c>
      <c r="AH3393" s="2" t="str">
        <f ca="1"/>
        <v>OK</v>
      </c>
    </row>
    <row r="3394" spans="2:34" x14ac:dyDescent="0.2">
      <c r="B3394" s="2">
        <f ca="1"/>
        <v>0.24573724004273068</v>
      </c>
      <c r="O3394" s="2">
        <f ca="1"/>
        <v>1.5223693823743305</v>
      </c>
      <c r="X3394" s="2">
        <f ca="1"/>
        <v>31.789006127650797</v>
      </c>
      <c r="AG3394" s="2">
        <f ca="1"/>
        <v>0.76742418807077351</v>
      </c>
      <c r="AH3394" s="2" t="str">
        <f ca="1"/>
        <v>Bad</v>
      </c>
    </row>
    <row r="3395" spans="2:34" x14ac:dyDescent="0.2">
      <c r="B3395" s="2">
        <f ca="1"/>
        <v>0.99032917086406314</v>
      </c>
      <c r="O3395" s="2">
        <f ca="1"/>
        <v>-1.6876615308482201</v>
      </c>
      <c r="X3395" s="2">
        <f ca="1"/>
        <v>70.693204529546009</v>
      </c>
      <c r="AG3395" s="2">
        <f ca="1"/>
        <v>4.5363067722132611E-2</v>
      </c>
      <c r="AH3395" s="2" t="str">
        <f ca="1"/>
        <v>Good</v>
      </c>
    </row>
    <row r="3396" spans="2:34" x14ac:dyDescent="0.2">
      <c r="B3396" s="2">
        <f ca="1"/>
        <v>0.90450071532771292</v>
      </c>
      <c r="O3396" s="2">
        <f ca="1"/>
        <v>0.68868857233139524</v>
      </c>
      <c r="X3396" s="2">
        <f ca="1"/>
        <v>44.96184198658657</v>
      </c>
      <c r="AG3396" s="2">
        <f ca="1"/>
        <v>0.22042208621093362</v>
      </c>
      <c r="AH3396" s="2" t="str">
        <f ca="1"/>
        <v>OK</v>
      </c>
    </row>
    <row r="3397" spans="2:34" x14ac:dyDescent="0.2">
      <c r="B3397" s="2">
        <f ca="1"/>
        <v>0.33580366297089737</v>
      </c>
      <c r="O3397" s="2">
        <f ca="1"/>
        <v>2.5701082852417669</v>
      </c>
      <c r="X3397" s="2">
        <f ca="1"/>
        <v>43.348716863024144</v>
      </c>
      <c r="AG3397" s="2">
        <f ca="1"/>
        <v>0.78052111018082737</v>
      </c>
      <c r="AH3397" s="2" t="str">
        <f ca="1"/>
        <v>Bad</v>
      </c>
    </row>
    <row r="3398" spans="2:34" x14ac:dyDescent="0.2">
      <c r="B3398" s="2">
        <f ca="1"/>
        <v>0.73534679647611689</v>
      </c>
      <c r="O3398" s="2">
        <f ca="1"/>
        <v>-3.0479683715354118</v>
      </c>
      <c r="X3398" s="2">
        <f ca="1"/>
        <v>58.165345740172818</v>
      </c>
      <c r="AG3398" s="2">
        <f ca="1"/>
        <v>0.32584537275468684</v>
      </c>
      <c r="AH3398" s="2" t="str">
        <f ca="1"/>
        <v>OK</v>
      </c>
    </row>
    <row r="3399" spans="2:34" x14ac:dyDescent="0.2">
      <c r="B3399" s="2">
        <f ca="1"/>
        <v>0.18157495009550395</v>
      </c>
      <c r="O3399" s="2">
        <f ca="1"/>
        <v>-2.3268901755720917</v>
      </c>
      <c r="X3399" s="2">
        <f ca="1"/>
        <v>69.806522262036992</v>
      </c>
      <c r="AG3399" s="2">
        <f ca="1"/>
        <v>0.60720296588928768</v>
      </c>
      <c r="AH3399" s="2" t="str">
        <f ca="1"/>
        <v>Bad</v>
      </c>
    </row>
    <row r="3400" spans="2:34" x14ac:dyDescent="0.2">
      <c r="B3400" s="2">
        <f ca="1"/>
        <v>0.49890601669688461</v>
      </c>
      <c r="O3400" s="2">
        <f ca="1"/>
        <v>-0.12005721608607259</v>
      </c>
      <c r="X3400" s="2">
        <f ca="1"/>
        <v>63.473476492148357</v>
      </c>
      <c r="AG3400" s="2">
        <f ca="1"/>
        <v>0.90380290182834311</v>
      </c>
      <c r="AH3400" s="2" t="str">
        <f ca="1"/>
        <v>Bad</v>
      </c>
    </row>
    <row r="3401" spans="2:34" x14ac:dyDescent="0.2">
      <c r="B3401" s="2">
        <f ca="1"/>
        <v>0.62179132293357342</v>
      </c>
      <c r="O3401" s="2">
        <f ca="1"/>
        <v>1.2032864839493658</v>
      </c>
      <c r="X3401" s="2">
        <f ca="1"/>
        <v>57.918883421195098</v>
      </c>
      <c r="AG3401" s="2">
        <f ca="1"/>
        <v>1.4393197276467706E-3</v>
      </c>
      <c r="AH3401" s="2" t="str">
        <f ca="1"/>
        <v>Good</v>
      </c>
    </row>
    <row r="3402" spans="2:34" x14ac:dyDescent="0.2">
      <c r="B3402" s="2">
        <f ca="1"/>
        <v>0.85059574700295504</v>
      </c>
      <c r="O3402" s="2">
        <f ca="1"/>
        <v>-2.0785130656245148</v>
      </c>
      <c r="X3402" s="2">
        <f ca="1"/>
        <v>52.017147893879127</v>
      </c>
      <c r="AG3402" s="2">
        <f ca="1"/>
        <v>0.39783809976863904</v>
      </c>
      <c r="AH3402" s="2" t="str">
        <f ca="1"/>
        <v>OK</v>
      </c>
    </row>
    <row r="3403" spans="2:34" x14ac:dyDescent="0.2">
      <c r="B3403" s="2">
        <f ca="1"/>
        <v>0.96263723264413859</v>
      </c>
      <c r="O3403" s="2">
        <f ca="1"/>
        <v>-1.1714481936294581</v>
      </c>
      <c r="X3403" s="2">
        <f ca="1"/>
        <v>42.238371335953204</v>
      </c>
      <c r="AG3403" s="2">
        <f ca="1"/>
        <v>0.32760269194653358</v>
      </c>
      <c r="AH3403" s="2" t="str">
        <f ca="1"/>
        <v>OK</v>
      </c>
    </row>
    <row r="3404" spans="2:34" x14ac:dyDescent="0.2">
      <c r="B3404" s="2">
        <f ca="1"/>
        <v>0.92162756255583322</v>
      </c>
      <c r="O3404" s="2">
        <f ca="1"/>
        <v>0.84579693497401487</v>
      </c>
      <c r="X3404" s="2">
        <f ca="1"/>
        <v>33.166782221583702</v>
      </c>
      <c r="AG3404" s="2">
        <f ca="1"/>
        <v>0.54545165560159514</v>
      </c>
      <c r="AH3404" s="2" t="str">
        <f ca="1"/>
        <v>Bad</v>
      </c>
    </row>
    <row r="3405" spans="2:34" x14ac:dyDescent="0.2">
      <c r="B3405" s="2">
        <f ca="1"/>
        <v>8.0678799895874453E-2</v>
      </c>
      <c r="O3405" s="2">
        <f ca="1"/>
        <v>-0.12913582078390964</v>
      </c>
      <c r="X3405" s="2">
        <f ca="1"/>
        <v>40.642837897229754</v>
      </c>
      <c r="AG3405" s="2">
        <f ca="1"/>
        <v>0.37544593547988181</v>
      </c>
      <c r="AH3405" s="2" t="str">
        <f ca="1"/>
        <v>OK</v>
      </c>
    </row>
    <row r="3406" spans="2:34" x14ac:dyDescent="0.2">
      <c r="B3406" s="2">
        <f ca="1"/>
        <v>0.76606002662080064</v>
      </c>
      <c r="O3406" s="2">
        <f ca="1"/>
        <v>0.39002819634608177</v>
      </c>
      <c r="X3406" s="2">
        <f ca="1"/>
        <v>53.663798855986869</v>
      </c>
      <c r="AG3406" s="2">
        <f ca="1"/>
        <v>0.96687939262862832</v>
      </c>
      <c r="AH3406" s="2" t="str">
        <f ca="1"/>
        <v>Bad</v>
      </c>
    </row>
    <row r="3407" spans="2:34" x14ac:dyDescent="0.2">
      <c r="B3407" s="2">
        <f ca="1"/>
        <v>0.29813920045367492</v>
      </c>
      <c r="O3407" s="2">
        <f ca="1"/>
        <v>-0.97342802886038471</v>
      </c>
      <c r="X3407" s="2">
        <f ca="1"/>
        <v>83.0351597645097</v>
      </c>
      <c r="AG3407" s="2">
        <f ca="1"/>
        <v>0.22068093441709835</v>
      </c>
      <c r="AH3407" s="2" t="str">
        <f ca="1"/>
        <v>OK</v>
      </c>
    </row>
    <row r="3408" spans="2:34" x14ac:dyDescent="0.2">
      <c r="B3408" s="2">
        <f ca="1"/>
        <v>0.55173867190895143</v>
      </c>
      <c r="O3408" s="2">
        <f ca="1"/>
        <v>0.89551906669613623</v>
      </c>
      <c r="X3408" s="2">
        <f ca="1"/>
        <v>71.62805512385998</v>
      </c>
      <c r="AG3408" s="2">
        <f ca="1"/>
        <v>0.53632535016959504</v>
      </c>
      <c r="AH3408" s="2" t="str">
        <f ca="1"/>
        <v>Bad</v>
      </c>
    </row>
    <row r="3409" spans="2:34" x14ac:dyDescent="0.2">
      <c r="B3409" s="2">
        <f ca="1"/>
        <v>0.24246954846731694</v>
      </c>
      <c r="O3409" s="2">
        <f ca="1"/>
        <v>0.76586651522865157</v>
      </c>
      <c r="X3409" s="2">
        <f ca="1"/>
        <v>32.057137827992591</v>
      </c>
      <c r="AG3409" s="2">
        <f ca="1"/>
        <v>0.78465165501281664</v>
      </c>
      <c r="AH3409" s="2" t="str">
        <f ca="1"/>
        <v>Bad</v>
      </c>
    </row>
    <row r="3410" spans="2:34" x14ac:dyDescent="0.2">
      <c r="B3410" s="2">
        <f ca="1"/>
        <v>0.5288952099929416</v>
      </c>
      <c r="O3410" s="2">
        <f ca="1"/>
        <v>-1.3447530398349337</v>
      </c>
      <c r="X3410" s="2">
        <f ca="1"/>
        <v>62.450247123632806</v>
      </c>
      <c r="AG3410" s="2">
        <f ca="1"/>
        <v>0.63609996569958804</v>
      </c>
      <c r="AH3410" s="2" t="str">
        <f ca="1"/>
        <v>Bad</v>
      </c>
    </row>
    <row r="3411" spans="2:34" x14ac:dyDescent="0.2">
      <c r="B3411" s="2">
        <f ca="1"/>
        <v>0.51196613462066676</v>
      </c>
      <c r="O3411" s="2">
        <f ca="1"/>
        <v>-1.6352820636982477</v>
      </c>
      <c r="X3411" s="2">
        <f ca="1"/>
        <v>49.121326261686065</v>
      </c>
      <c r="AG3411" s="2">
        <f ca="1"/>
        <v>0.49798333220678437</v>
      </c>
      <c r="AH3411" s="2" t="str">
        <f ca="1"/>
        <v>Bad</v>
      </c>
    </row>
    <row r="3412" spans="2:34" x14ac:dyDescent="0.2">
      <c r="B3412" s="2">
        <f ca="1"/>
        <v>7.7732419943272513E-2</v>
      </c>
      <c r="O3412" s="2">
        <f ca="1"/>
        <v>-1.2869910183275814</v>
      </c>
      <c r="X3412" s="2">
        <f ca="1"/>
        <v>60.164902321954983</v>
      </c>
      <c r="AG3412" s="2">
        <f ca="1"/>
        <v>0.70442375309333238</v>
      </c>
      <c r="AH3412" s="2" t="str">
        <f ca="1"/>
        <v>Bad</v>
      </c>
    </row>
    <row r="3413" spans="2:34" x14ac:dyDescent="0.2">
      <c r="B3413" s="2">
        <f ca="1"/>
        <v>0.46078320983506615</v>
      </c>
      <c r="O3413" s="2">
        <f ca="1"/>
        <v>-0.62029614256984456</v>
      </c>
      <c r="X3413" s="2">
        <f ca="1"/>
        <v>37.531097235230966</v>
      </c>
      <c r="AG3413" s="2">
        <f ca="1"/>
        <v>0.94534510010106843</v>
      </c>
      <c r="AH3413" s="2" t="str">
        <f ca="1"/>
        <v>Bad</v>
      </c>
    </row>
    <row r="3414" spans="2:34" x14ac:dyDescent="0.2">
      <c r="B3414" s="2">
        <f ca="1"/>
        <v>0.96408027909403837</v>
      </c>
      <c r="O3414" s="2">
        <f ca="1"/>
        <v>-0.59887083015559694</v>
      </c>
      <c r="X3414" s="2">
        <f ca="1"/>
        <v>36.833381417884461</v>
      </c>
      <c r="AG3414" s="2">
        <f ca="1"/>
        <v>0.5424579090166155</v>
      </c>
      <c r="AH3414" s="2" t="str">
        <f ca="1"/>
        <v>Bad</v>
      </c>
    </row>
    <row r="3415" spans="2:34" x14ac:dyDescent="0.2">
      <c r="B3415" s="2">
        <f ca="1"/>
        <v>0.59698928688248754</v>
      </c>
      <c r="O3415" s="2">
        <f ca="1"/>
        <v>1.637297974579254</v>
      </c>
      <c r="X3415" s="2">
        <f ca="1"/>
        <v>31.387136850859033</v>
      </c>
      <c r="AG3415" s="2">
        <f ca="1"/>
        <v>0.71778963291279929</v>
      </c>
      <c r="AH3415" s="2" t="str">
        <f ca="1"/>
        <v>Bad</v>
      </c>
    </row>
    <row r="3416" spans="2:34" x14ac:dyDescent="0.2">
      <c r="B3416" s="2">
        <f ca="1"/>
        <v>0.75583589063146728</v>
      </c>
      <c r="O3416" s="2">
        <f ca="1"/>
        <v>-1.1979842658065969</v>
      </c>
      <c r="X3416" s="2">
        <f ca="1"/>
        <v>46.570742293005843</v>
      </c>
      <c r="AG3416" s="2">
        <f ca="1"/>
        <v>6.1262269555224735E-2</v>
      </c>
      <c r="AH3416" s="2" t="str">
        <f ca="1"/>
        <v>OK</v>
      </c>
    </row>
    <row r="3417" spans="2:34" x14ac:dyDescent="0.2">
      <c r="B3417" s="2">
        <f ca="1"/>
        <v>0.54756612633837021</v>
      </c>
      <c r="O3417" s="2">
        <f ca="1"/>
        <v>-0.86850890851831231</v>
      </c>
      <c r="X3417" s="2">
        <f ca="1"/>
        <v>69.354299484039984</v>
      </c>
      <c r="AG3417" s="2">
        <f ca="1"/>
        <v>0.490816900795781</v>
      </c>
      <c r="AH3417" s="2" t="str">
        <f ca="1"/>
        <v>Bad</v>
      </c>
    </row>
    <row r="3418" spans="2:34" x14ac:dyDescent="0.2">
      <c r="B3418" s="2">
        <f ca="1"/>
        <v>0.98469436685307343</v>
      </c>
      <c r="O3418" s="2">
        <f ca="1"/>
        <v>-0.37160376515116372</v>
      </c>
      <c r="X3418" s="2">
        <f ca="1"/>
        <v>47.952108295594641</v>
      </c>
      <c r="AG3418" s="2">
        <f ca="1"/>
        <v>0.18895518329531824</v>
      </c>
      <c r="AH3418" s="2" t="str">
        <f ca="1"/>
        <v>OK</v>
      </c>
    </row>
    <row r="3419" spans="2:34" x14ac:dyDescent="0.2">
      <c r="B3419" s="2">
        <f ca="1"/>
        <v>0.43914158863547237</v>
      </c>
      <c r="O3419" s="2">
        <f ca="1"/>
        <v>-0.68629334570234057</v>
      </c>
      <c r="X3419" s="2">
        <f ca="1"/>
        <v>44.083225136321047</v>
      </c>
      <c r="AG3419" s="2">
        <f ca="1"/>
        <v>0.5339039654556692</v>
      </c>
      <c r="AH3419" s="2" t="str">
        <f ca="1"/>
        <v>Bad</v>
      </c>
    </row>
    <row r="3420" spans="2:34" x14ac:dyDescent="0.2">
      <c r="B3420" s="2">
        <f ca="1"/>
        <v>0.5134516992090703</v>
      </c>
      <c r="O3420" s="2">
        <f ca="1"/>
        <v>-1.129996238261628</v>
      </c>
      <c r="X3420" s="2">
        <f ca="1"/>
        <v>60.496965665490109</v>
      </c>
      <c r="AG3420" s="2">
        <f ca="1"/>
        <v>0.76122541376619934</v>
      </c>
      <c r="AH3420" s="2" t="str">
        <f ca="1"/>
        <v>Bad</v>
      </c>
    </row>
    <row r="3421" spans="2:34" x14ac:dyDescent="0.2">
      <c r="B3421" s="2">
        <f ca="1"/>
        <v>0.11147298551542706</v>
      </c>
      <c r="O3421" s="2">
        <f ca="1"/>
        <v>1.178731574284597</v>
      </c>
      <c r="X3421" s="2">
        <f ca="1"/>
        <v>39.924620778275134</v>
      </c>
      <c r="AG3421" s="2">
        <f ca="1"/>
        <v>0.75489448025635597</v>
      </c>
      <c r="AH3421" s="2" t="str">
        <f ca="1"/>
        <v>Bad</v>
      </c>
    </row>
    <row r="3422" spans="2:34" x14ac:dyDescent="0.2">
      <c r="B3422" s="2">
        <f ca="1"/>
        <v>0.58584357389711572</v>
      </c>
      <c r="O3422" s="2">
        <f ca="1"/>
        <v>0.93579634087351793</v>
      </c>
      <c r="X3422" s="2">
        <f ca="1"/>
        <v>49.936257113900496</v>
      </c>
      <c r="AG3422" s="2">
        <f ca="1"/>
        <v>0.87559526347760608</v>
      </c>
      <c r="AH3422" s="2" t="str">
        <f ca="1"/>
        <v>Bad</v>
      </c>
    </row>
    <row r="3423" spans="2:34" x14ac:dyDescent="0.2">
      <c r="B3423" s="2">
        <f ca="1"/>
        <v>0.28625971665368932</v>
      </c>
      <c r="O3423" s="2">
        <f ca="1"/>
        <v>0.29779081409714431</v>
      </c>
      <c r="X3423" s="2">
        <f ca="1"/>
        <v>51.840408734102546</v>
      </c>
      <c r="AG3423" s="2">
        <f ca="1"/>
        <v>0.83485795862109358</v>
      </c>
      <c r="AH3423" s="2" t="str">
        <f ca="1"/>
        <v>Bad</v>
      </c>
    </row>
    <row r="3424" spans="2:34" x14ac:dyDescent="0.2">
      <c r="B3424" s="2">
        <f ca="1"/>
        <v>5.2150903553298988E-2</v>
      </c>
      <c r="O3424" s="2">
        <f ca="1"/>
        <v>3.2837952277687536E-2</v>
      </c>
      <c r="X3424" s="2">
        <f ca="1"/>
        <v>32.765228056381027</v>
      </c>
      <c r="AG3424" s="2">
        <f ca="1"/>
        <v>0.32299719011521844</v>
      </c>
      <c r="AH3424" s="2" t="str">
        <f ca="1"/>
        <v>OK</v>
      </c>
    </row>
    <row r="3425" spans="2:34" x14ac:dyDescent="0.2">
      <c r="B3425" s="2">
        <f ca="1"/>
        <v>0.6654312104030462</v>
      </c>
      <c r="O3425" s="2">
        <f ca="1"/>
        <v>0.23986829853112568</v>
      </c>
      <c r="X3425" s="2">
        <f ca="1"/>
        <v>38.680912485573273</v>
      </c>
      <c r="AG3425" s="2">
        <f ca="1"/>
        <v>0.28773137013927452</v>
      </c>
      <c r="AH3425" s="2" t="str">
        <f ca="1"/>
        <v>OK</v>
      </c>
    </row>
    <row r="3426" spans="2:34" x14ac:dyDescent="0.2">
      <c r="B3426" s="2">
        <f ca="1"/>
        <v>0.84227132933533411</v>
      </c>
      <c r="O3426" s="2">
        <f ca="1"/>
        <v>9.5957354992584079E-2</v>
      </c>
      <c r="X3426" s="2">
        <f ca="1"/>
        <v>51.289183421713119</v>
      </c>
      <c r="AG3426" s="2">
        <f ca="1"/>
        <v>0.11828081755284026</v>
      </c>
      <c r="AH3426" s="2" t="str">
        <f ca="1"/>
        <v>OK</v>
      </c>
    </row>
    <row r="3427" spans="2:34" x14ac:dyDescent="0.2">
      <c r="B3427" s="2">
        <f ca="1"/>
        <v>0.35109311613760652</v>
      </c>
      <c r="O3427" s="2">
        <f ca="1"/>
        <v>-1.5542063285285486</v>
      </c>
      <c r="X3427" s="2">
        <f ca="1"/>
        <v>60.232364771054286</v>
      </c>
      <c r="AG3427" s="2">
        <f ca="1"/>
        <v>0.5191405026993765</v>
      </c>
      <c r="AH3427" s="2" t="str">
        <f ca="1"/>
        <v>Bad</v>
      </c>
    </row>
    <row r="3428" spans="2:34" x14ac:dyDescent="0.2">
      <c r="B3428" s="2">
        <f ca="1"/>
        <v>0.29294046615997771</v>
      </c>
      <c r="O3428" s="2">
        <f ca="1"/>
        <v>0.52473512946087675</v>
      </c>
      <c r="X3428" s="2">
        <f ca="1"/>
        <v>50.046304974098049</v>
      </c>
      <c r="AG3428" s="2">
        <f ca="1"/>
        <v>0.59099262786436269</v>
      </c>
      <c r="AH3428" s="2" t="str">
        <f ca="1"/>
        <v>Bad</v>
      </c>
    </row>
    <row r="3429" spans="2:34" x14ac:dyDescent="0.2">
      <c r="B3429" s="2">
        <f ca="1"/>
        <v>0.12509568349180111</v>
      </c>
      <c r="O3429" s="2">
        <f ca="1"/>
        <v>-0.35255075436421718</v>
      </c>
      <c r="X3429" s="2">
        <f ca="1"/>
        <v>37.200886732714352</v>
      </c>
      <c r="AG3429" s="2">
        <f ca="1"/>
        <v>0.30639544283151632</v>
      </c>
      <c r="AH3429" s="2" t="str">
        <f ca="1"/>
        <v>OK</v>
      </c>
    </row>
    <row r="3430" spans="2:34" x14ac:dyDescent="0.2">
      <c r="B3430" s="2">
        <f ca="1"/>
        <v>0.61422157882906059</v>
      </c>
      <c r="O3430" s="2">
        <f ca="1"/>
        <v>0.85669911601705595</v>
      </c>
      <c r="X3430" s="2">
        <f ca="1"/>
        <v>28.200039483619079</v>
      </c>
      <c r="AG3430" s="2">
        <f ca="1"/>
        <v>0.6940232318866959</v>
      </c>
      <c r="AH3430" s="2" t="str">
        <f ca="1"/>
        <v>Bad</v>
      </c>
    </row>
    <row r="3431" spans="2:34" x14ac:dyDescent="0.2">
      <c r="B3431" s="2">
        <f ca="1"/>
        <v>0.79626536149467819</v>
      </c>
      <c r="O3431" s="2">
        <f ca="1"/>
        <v>0.66873765801270613</v>
      </c>
      <c r="X3431" s="2">
        <f ca="1"/>
        <v>45.141936690044453</v>
      </c>
      <c r="AG3431" s="2">
        <f ca="1"/>
        <v>0.86807341058283161</v>
      </c>
      <c r="AH3431" s="2" t="str">
        <f ca="1"/>
        <v>Bad</v>
      </c>
    </row>
    <row r="3432" spans="2:34" x14ac:dyDescent="0.2">
      <c r="B3432" s="2">
        <f ca="1"/>
        <v>0.17857509808124306</v>
      </c>
      <c r="O3432" s="2">
        <f ca="1"/>
        <v>-0.18504525976456077</v>
      </c>
      <c r="X3432" s="2">
        <f ca="1"/>
        <v>59.121549283387502</v>
      </c>
      <c r="AG3432" s="2">
        <f ca="1"/>
        <v>0.64858329120476643</v>
      </c>
      <c r="AH3432" s="2" t="str">
        <f ca="1"/>
        <v>Bad</v>
      </c>
    </row>
    <row r="3433" spans="2:34" x14ac:dyDescent="0.2">
      <c r="B3433" s="2">
        <f ca="1"/>
        <v>0.54262380707295677</v>
      </c>
      <c r="O3433" s="2">
        <f ca="1"/>
        <v>6.0625514704177527E-2</v>
      </c>
      <c r="X3433" s="2">
        <f ca="1"/>
        <v>44.849206006437818</v>
      </c>
      <c r="AG3433" s="2">
        <f ca="1"/>
        <v>0.22025291394976443</v>
      </c>
      <c r="AH3433" s="2" t="str">
        <f ca="1"/>
        <v>OK</v>
      </c>
    </row>
    <row r="3434" spans="2:34" x14ac:dyDescent="0.2">
      <c r="B3434" s="2">
        <f ca="1"/>
        <v>0.89139107100044579</v>
      </c>
      <c r="O3434" s="2">
        <f ca="1"/>
        <v>2.3030259023871134</v>
      </c>
      <c r="X3434" s="2">
        <f ca="1"/>
        <v>48.27951979633157</v>
      </c>
      <c r="AG3434" s="2">
        <f ca="1"/>
        <v>0.43139127484579198</v>
      </c>
      <c r="AH3434" s="2" t="str">
        <f ca="1"/>
        <v>Bad</v>
      </c>
    </row>
    <row r="3435" spans="2:34" x14ac:dyDescent="0.2">
      <c r="B3435" s="2">
        <f ca="1"/>
        <v>0.68670673265179727</v>
      </c>
      <c r="O3435" s="2">
        <f ca="1"/>
        <v>0.78036255464491133</v>
      </c>
      <c r="X3435" s="2">
        <f ca="1"/>
        <v>30.042759190557987</v>
      </c>
      <c r="AG3435" s="2">
        <f ca="1"/>
        <v>0.40353357689861613</v>
      </c>
      <c r="AH3435" s="2" t="str">
        <f ca="1"/>
        <v>Bad</v>
      </c>
    </row>
    <row r="3436" spans="2:34" x14ac:dyDescent="0.2">
      <c r="B3436" s="2">
        <f ca="1"/>
        <v>0.11598709889965098</v>
      </c>
      <c r="O3436" s="2">
        <f ca="1"/>
        <v>-0.82725122182876465</v>
      </c>
      <c r="X3436" s="2">
        <f ca="1"/>
        <v>55.385816420590558</v>
      </c>
      <c r="AG3436" s="2">
        <f ca="1"/>
        <v>0.90155511388582998</v>
      </c>
      <c r="AH3436" s="2" t="str">
        <f ca="1"/>
        <v>Bad</v>
      </c>
    </row>
    <row r="3437" spans="2:34" x14ac:dyDescent="0.2">
      <c r="B3437" s="2">
        <f ca="1"/>
        <v>0.2903830162649268</v>
      </c>
      <c r="O3437" s="2">
        <f ca="1"/>
        <v>-1.3828800718743812</v>
      </c>
      <c r="X3437" s="2">
        <f ca="1"/>
        <v>44.145800684503243</v>
      </c>
      <c r="AG3437" s="2">
        <f ca="1"/>
        <v>0.20458219128701916</v>
      </c>
      <c r="AH3437" s="2" t="str">
        <f ca="1"/>
        <v>OK</v>
      </c>
    </row>
    <row r="3438" spans="2:34" x14ac:dyDescent="0.2">
      <c r="B3438" s="2">
        <f ca="1"/>
        <v>0.55425374493154611</v>
      </c>
      <c r="O3438" s="2">
        <f ca="1"/>
        <v>-1.3399538736096617</v>
      </c>
      <c r="X3438" s="2">
        <f ca="1"/>
        <v>45.594773962758744</v>
      </c>
      <c r="AG3438" s="2">
        <f ca="1"/>
        <v>0.37514440196065379</v>
      </c>
      <c r="AH3438" s="2" t="str">
        <f ca="1"/>
        <v>OK</v>
      </c>
    </row>
    <row r="3439" spans="2:34" x14ac:dyDescent="0.2">
      <c r="B3439" s="2">
        <f ca="1"/>
        <v>0.19134148799727679</v>
      </c>
      <c r="O3439" s="2">
        <f ca="1"/>
        <v>-0.36032490334045775</v>
      </c>
      <c r="X3439" s="2">
        <f ca="1"/>
        <v>69.213281515002677</v>
      </c>
      <c r="AG3439" s="2">
        <f ca="1"/>
        <v>0.74914451577670582</v>
      </c>
      <c r="AH3439" s="2" t="str">
        <f ca="1"/>
        <v>Bad</v>
      </c>
    </row>
    <row r="3440" spans="2:34" x14ac:dyDescent="0.2">
      <c r="B3440" s="2">
        <f ca="1"/>
        <v>4.4918005720690823E-2</v>
      </c>
      <c r="O3440" s="2">
        <f ca="1"/>
        <v>1.4840227442773406</v>
      </c>
      <c r="X3440" s="2">
        <f ca="1"/>
        <v>29.135876284753248</v>
      </c>
      <c r="AG3440" s="2">
        <f ca="1"/>
        <v>0.66929130366206313</v>
      </c>
      <c r="AH3440" s="2" t="str">
        <f ca="1"/>
        <v>Bad</v>
      </c>
    </row>
    <row r="3441" spans="2:34" x14ac:dyDescent="0.2">
      <c r="B3441" s="2">
        <f ca="1"/>
        <v>0.76506599676149145</v>
      </c>
      <c r="O3441" s="2">
        <f ca="1"/>
        <v>-0.49933061747091628</v>
      </c>
      <c r="X3441" s="2">
        <f ca="1"/>
        <v>30.269535657860935</v>
      </c>
      <c r="AG3441" s="2">
        <f ca="1"/>
        <v>0.92366338757544142</v>
      </c>
      <c r="AH3441" s="2" t="str">
        <f ca="1"/>
        <v>Bad</v>
      </c>
    </row>
    <row r="3442" spans="2:34" x14ac:dyDescent="0.2">
      <c r="B3442" s="2">
        <f ca="1"/>
        <v>0.55491929957075503</v>
      </c>
      <c r="O3442" s="2">
        <f ca="1"/>
        <v>-0.27106167308955559</v>
      </c>
      <c r="X3442" s="2">
        <f ca="1"/>
        <v>28.399499007854363</v>
      </c>
      <c r="AG3442" s="2">
        <f ca="1"/>
        <v>0.53748519100892933</v>
      </c>
      <c r="AH3442" s="2" t="str">
        <f ca="1"/>
        <v>Bad</v>
      </c>
    </row>
    <row r="3443" spans="2:34" x14ac:dyDescent="0.2">
      <c r="B3443" s="2">
        <f ca="1"/>
        <v>3.4487292774186606E-2</v>
      </c>
      <c r="O3443" s="2">
        <f ca="1"/>
        <v>-1.1509948609119161</v>
      </c>
      <c r="X3443" s="2">
        <f ca="1"/>
        <v>49.082426009315611</v>
      </c>
      <c r="AG3443" s="2">
        <f ca="1"/>
        <v>0.28305905610642501</v>
      </c>
      <c r="AH3443" s="2" t="str">
        <f ca="1"/>
        <v>OK</v>
      </c>
    </row>
    <row r="3444" spans="2:34" x14ac:dyDescent="0.2">
      <c r="B3444" s="2">
        <f ca="1"/>
        <v>0.45260852274285446</v>
      </c>
      <c r="O3444" s="2">
        <f ca="1"/>
        <v>1.0930298361720361</v>
      </c>
      <c r="X3444" s="2">
        <f ca="1"/>
        <v>53.687165164159047</v>
      </c>
      <c r="AG3444" s="2">
        <f ca="1"/>
        <v>0.29975478122081922</v>
      </c>
      <c r="AH3444" s="2" t="str">
        <f ca="1"/>
        <v>OK</v>
      </c>
    </row>
    <row r="3445" spans="2:34" x14ac:dyDescent="0.2">
      <c r="B3445" s="2">
        <f ca="1"/>
        <v>0.5594316070554024</v>
      </c>
      <c r="O3445" s="2">
        <f ca="1"/>
        <v>-0.72636525173968092</v>
      </c>
      <c r="X3445" s="2">
        <f ca="1"/>
        <v>22.742917318990465</v>
      </c>
      <c r="AG3445" s="2">
        <f ca="1"/>
        <v>0.5013718240621019</v>
      </c>
      <c r="AH3445" s="2" t="str">
        <f ca="1"/>
        <v>Bad</v>
      </c>
    </row>
    <row r="3446" spans="2:34" x14ac:dyDescent="0.2">
      <c r="B3446" s="2">
        <f ca="1"/>
        <v>0.5472788871593266</v>
      </c>
      <c r="O3446" s="2">
        <f ca="1"/>
        <v>-1.0625847402276127</v>
      </c>
      <c r="X3446" s="2">
        <f ca="1"/>
        <v>43.273843142461942</v>
      </c>
      <c r="AG3446" s="2">
        <f ca="1"/>
        <v>0.69040018046665197</v>
      </c>
      <c r="AH3446" s="2" t="str">
        <f ca="1"/>
        <v>Bad</v>
      </c>
    </row>
    <row r="3447" spans="2:34" x14ac:dyDescent="0.2">
      <c r="B3447" s="2">
        <f ca="1"/>
        <v>0.12356891962108429</v>
      </c>
      <c r="O3447" s="2">
        <f ca="1"/>
        <v>0.6198027086832737</v>
      </c>
      <c r="X3447" s="2">
        <f ca="1"/>
        <v>71.258963146015304</v>
      </c>
      <c r="AG3447" s="2">
        <f ca="1"/>
        <v>0.86719009599113983</v>
      </c>
      <c r="AH3447" s="2" t="str">
        <f ca="1"/>
        <v>Bad</v>
      </c>
    </row>
    <row r="3448" spans="2:34" x14ac:dyDescent="0.2">
      <c r="B3448" s="2">
        <f ca="1"/>
        <v>0.65855174016026252</v>
      </c>
      <c r="O3448" s="2">
        <f ca="1"/>
        <v>0.43796786083570477</v>
      </c>
      <c r="X3448" s="2">
        <f ca="1"/>
        <v>51.508143639050161</v>
      </c>
      <c r="AG3448" s="2">
        <f ca="1"/>
        <v>9.4284020957704939E-2</v>
      </c>
      <c r="AH3448" s="2" t="str">
        <f ca="1"/>
        <v>OK</v>
      </c>
    </row>
    <row r="3449" spans="2:34" x14ac:dyDescent="0.2">
      <c r="B3449" s="2">
        <f ca="1"/>
        <v>0.61980145607430215</v>
      </c>
      <c r="O3449" s="2">
        <f ca="1"/>
        <v>-0.41162240425810531</v>
      </c>
      <c r="X3449" s="2">
        <f ca="1"/>
        <v>29.647182556465982</v>
      </c>
      <c r="AG3449" s="2">
        <f ca="1"/>
        <v>0.50814258841196769</v>
      </c>
      <c r="AH3449" s="2" t="str">
        <f ca="1"/>
        <v>Bad</v>
      </c>
    </row>
    <row r="3450" spans="2:34" x14ac:dyDescent="0.2">
      <c r="B3450" s="2">
        <f ca="1"/>
        <v>7.4411460307133526E-2</v>
      </c>
      <c r="O3450" s="2">
        <f ca="1"/>
        <v>0.85980783178138454</v>
      </c>
      <c r="X3450" s="2">
        <f ca="1"/>
        <v>65.136477659890659</v>
      </c>
      <c r="AG3450" s="2">
        <f ca="1"/>
        <v>0.45711872481674654</v>
      </c>
      <c r="AH3450" s="2" t="str">
        <f ca="1"/>
        <v>Bad</v>
      </c>
    </row>
    <row r="3451" spans="2:34" x14ac:dyDescent="0.2">
      <c r="B3451" s="2">
        <f ca="1"/>
        <v>0.34946080376732169</v>
      </c>
      <c r="O3451" s="2">
        <f ca="1"/>
        <v>7.8019393456483482E-2</v>
      </c>
      <c r="X3451" s="2">
        <f ca="1"/>
        <v>70.42246261197559</v>
      </c>
      <c r="AG3451" s="2">
        <f ca="1"/>
        <v>0.17270014826030455</v>
      </c>
      <c r="AH3451" s="2" t="str">
        <f ca="1"/>
        <v>OK</v>
      </c>
    </row>
    <row r="3452" spans="2:34" x14ac:dyDescent="0.2">
      <c r="B3452" s="2">
        <f ca="1"/>
        <v>0.55736925333596377</v>
      </c>
      <c r="O3452" s="2">
        <f ca="1"/>
        <v>0.46114065687269556</v>
      </c>
      <c r="X3452" s="2">
        <f ca="1"/>
        <v>86.215864921610859</v>
      </c>
      <c r="AG3452" s="2">
        <f ca="1"/>
        <v>0.87387990899905743</v>
      </c>
      <c r="AH3452" s="2" t="str">
        <f ca="1"/>
        <v>Bad</v>
      </c>
    </row>
    <row r="3453" spans="2:34" x14ac:dyDescent="0.2">
      <c r="B3453" s="2">
        <f ca="1"/>
        <v>0.25584552337926247</v>
      </c>
      <c r="O3453" s="2">
        <f ca="1"/>
        <v>-0.29667533481553693</v>
      </c>
      <c r="X3453" s="2">
        <f ca="1"/>
        <v>64.294797929038424</v>
      </c>
      <c r="AG3453" s="2">
        <f ca="1"/>
        <v>0.43001270678504944</v>
      </c>
      <c r="AH3453" s="2" t="str">
        <f ca="1"/>
        <v>Bad</v>
      </c>
    </row>
    <row r="3454" spans="2:34" x14ac:dyDescent="0.2">
      <c r="B3454" s="2">
        <f ca="1"/>
        <v>0.81419605184913424</v>
      </c>
      <c r="O3454" s="2">
        <f ca="1"/>
        <v>0.87207004485672712</v>
      </c>
      <c r="X3454" s="2">
        <f ca="1"/>
        <v>63.636222070762578</v>
      </c>
      <c r="AG3454" s="2">
        <f ca="1"/>
        <v>0.15456192170506422</v>
      </c>
      <c r="AH3454" s="2" t="str">
        <f ca="1"/>
        <v>OK</v>
      </c>
    </row>
    <row r="3455" spans="2:34" x14ac:dyDescent="0.2">
      <c r="B3455" s="2">
        <f ca="1"/>
        <v>0.12379125672686975</v>
      </c>
      <c r="O3455" s="2">
        <f ca="1"/>
        <v>-0.95615336657717043</v>
      </c>
      <c r="X3455" s="2">
        <f ca="1"/>
        <v>57.838273087041131</v>
      </c>
      <c r="AG3455" s="2">
        <f ca="1"/>
        <v>0.10748848050190585</v>
      </c>
      <c r="AH3455" s="2" t="str">
        <f ca="1"/>
        <v>OK</v>
      </c>
    </row>
    <row r="3456" spans="2:34" x14ac:dyDescent="0.2">
      <c r="B3456" s="2">
        <f ca="1"/>
        <v>0.92249011526435765</v>
      </c>
      <c r="O3456" s="2">
        <f ca="1"/>
        <v>1.3823679230821395</v>
      </c>
      <c r="X3456" s="2">
        <f ca="1"/>
        <v>71.1068286436699</v>
      </c>
      <c r="AG3456" s="2">
        <f ca="1"/>
        <v>0.22950020376173108</v>
      </c>
      <c r="AH3456" s="2" t="str">
        <f ca="1"/>
        <v>OK</v>
      </c>
    </row>
    <row r="3457" spans="2:34" x14ac:dyDescent="0.2">
      <c r="B3457" s="2">
        <f ca="1"/>
        <v>0.90102132644531374</v>
      </c>
      <c r="O3457" s="2">
        <f ca="1"/>
        <v>0.65610216081466965</v>
      </c>
      <c r="X3457" s="2">
        <f ca="1"/>
        <v>60.202267579257793</v>
      </c>
      <c r="AG3457" s="2">
        <f ca="1"/>
        <v>0.38248649766078047</v>
      </c>
      <c r="AH3457" s="2" t="str">
        <f ca="1"/>
        <v>OK</v>
      </c>
    </row>
    <row r="3458" spans="2:34" x14ac:dyDescent="0.2">
      <c r="B3458" s="2">
        <f ca="1"/>
        <v>0.28038016503094787</v>
      </c>
      <c r="O3458" s="2">
        <f ca="1"/>
        <v>0.36126623880755349</v>
      </c>
      <c r="X3458" s="2">
        <f ca="1"/>
        <v>34.399467380394825</v>
      </c>
      <c r="AG3458" s="2">
        <f ca="1"/>
        <v>0.74637399789089987</v>
      </c>
      <c r="AH3458" s="2" t="str">
        <f ca="1"/>
        <v>Bad</v>
      </c>
    </row>
    <row r="3459" spans="2:34" x14ac:dyDescent="0.2">
      <c r="B3459" s="2">
        <f ca="1"/>
        <v>0.53799304716633878</v>
      </c>
      <c r="O3459" s="2">
        <f ca="1"/>
        <v>-1.5079870098241155</v>
      </c>
      <c r="X3459" s="2">
        <f ca="1"/>
        <v>71.918384072419443</v>
      </c>
      <c r="AG3459" s="2">
        <f ca="1"/>
        <v>3.7843786044531091E-2</v>
      </c>
      <c r="AH3459" s="2" t="str">
        <f ca="1"/>
        <v>Good</v>
      </c>
    </row>
    <row r="3460" spans="2:34" x14ac:dyDescent="0.2">
      <c r="B3460" s="2">
        <f ca="1"/>
        <v>0.66239207540326328</v>
      </c>
      <c r="O3460" s="2">
        <f ca="1"/>
        <v>1.2554882416713791</v>
      </c>
      <c r="X3460" s="2">
        <f ca="1"/>
        <v>60.468804945909341</v>
      </c>
      <c r="AG3460" s="2">
        <f ca="1"/>
        <v>0.41790940974807711</v>
      </c>
      <c r="AH3460" s="2" t="str">
        <f ca="1"/>
        <v>Bad</v>
      </c>
    </row>
    <row r="3461" spans="2:34" x14ac:dyDescent="0.2">
      <c r="B3461" s="2">
        <f ca="1"/>
        <v>0.73430948563034981</v>
      </c>
      <c r="O3461" s="2">
        <f ca="1"/>
        <v>-0.97798410665670588</v>
      </c>
      <c r="X3461" s="2">
        <f ca="1"/>
        <v>60.346703146252594</v>
      </c>
      <c r="AG3461" s="2">
        <f ca="1"/>
        <v>0.94121034751008059</v>
      </c>
      <c r="AH3461" s="2" t="str">
        <f ca="1"/>
        <v>Bad</v>
      </c>
    </row>
    <row r="3462" spans="2:34" x14ac:dyDescent="0.2">
      <c r="B3462" s="2">
        <f ca="1"/>
        <v>0.42220601370660482</v>
      </c>
      <c r="O3462" s="2">
        <f ca="1"/>
        <v>0.10330599362805599</v>
      </c>
      <c r="X3462" s="2">
        <f ca="1"/>
        <v>67.272986580227595</v>
      </c>
      <c r="AG3462" s="2">
        <f ca="1"/>
        <v>0.82338160840429819</v>
      </c>
      <c r="AH3462" s="2" t="str">
        <f ca="1"/>
        <v>Bad</v>
      </c>
    </row>
    <row r="3463" spans="2:34" x14ac:dyDescent="0.2">
      <c r="B3463" s="2">
        <f ca="1"/>
        <v>0.23070235876752365</v>
      </c>
      <c r="O3463" s="2">
        <f ca="1"/>
        <v>-8.8280166992744769E-2</v>
      </c>
      <c r="X3463" s="2">
        <f ca="1"/>
        <v>47.333171359369494</v>
      </c>
      <c r="AG3463" s="2">
        <f ca="1"/>
        <v>5.869911013782092E-2</v>
      </c>
      <c r="AH3463" s="2" t="str">
        <f ca="1"/>
        <v>OK</v>
      </c>
    </row>
    <row r="3464" spans="2:34" x14ac:dyDescent="0.2">
      <c r="B3464" s="2">
        <f ca="1"/>
        <v>0.76538939669744477</v>
      </c>
      <c r="O3464" s="2">
        <f ca="1"/>
        <v>0.22846860784063025</v>
      </c>
      <c r="X3464" s="2">
        <f ca="1"/>
        <v>59.524255373874489</v>
      </c>
      <c r="AG3464" s="2">
        <f ca="1"/>
        <v>0.16896712854816176</v>
      </c>
      <c r="AH3464" s="2" t="str">
        <f ca="1"/>
        <v>OK</v>
      </c>
    </row>
    <row r="3465" spans="2:34" x14ac:dyDescent="0.2">
      <c r="B3465" s="2">
        <f ca="1"/>
        <v>0.11033850439788973</v>
      </c>
      <c r="O3465" s="2">
        <f ca="1"/>
        <v>-0.91499760798076879</v>
      </c>
      <c r="X3465" s="2">
        <f ca="1"/>
        <v>29.707824881201063</v>
      </c>
      <c r="AG3465" s="2">
        <f ca="1"/>
        <v>0.74234445110583658</v>
      </c>
      <c r="AH3465" s="2" t="str">
        <f ca="1"/>
        <v>Bad</v>
      </c>
    </row>
    <row r="3466" spans="2:34" x14ac:dyDescent="0.2">
      <c r="B3466" s="2">
        <f ca="1"/>
        <v>0.84139086432467436</v>
      </c>
      <c r="O3466" s="2">
        <f ca="1"/>
        <v>0.75481407385938681</v>
      </c>
      <c r="X3466" s="2">
        <f ca="1"/>
        <v>35.560231932433396</v>
      </c>
      <c r="AG3466" s="2">
        <f ca="1"/>
        <v>0.91161353886556573</v>
      </c>
      <c r="AH3466" s="2" t="str">
        <f ca="1"/>
        <v>Bad</v>
      </c>
    </row>
    <row r="3467" spans="2:34" x14ac:dyDescent="0.2">
      <c r="B3467" s="2">
        <f ca="1"/>
        <v>0.26574482774928709</v>
      </c>
      <c r="O3467" s="2">
        <f ca="1"/>
        <v>-0.83370788521057826</v>
      </c>
      <c r="X3467" s="2">
        <f ca="1"/>
        <v>49.918065327477272</v>
      </c>
      <c r="AG3467" s="2">
        <f ca="1"/>
        <v>0.13656687245820942</v>
      </c>
      <c r="AH3467" s="2" t="str">
        <f ca="1"/>
        <v>OK</v>
      </c>
    </row>
    <row r="3468" spans="2:34" x14ac:dyDescent="0.2">
      <c r="B3468" s="2">
        <f ca="1"/>
        <v>0.44560714854481143</v>
      </c>
      <c r="O3468" s="2">
        <f ca="1"/>
        <v>1.4604183949733776</v>
      </c>
      <c r="X3468" s="2">
        <f ca="1"/>
        <v>70.90248748443662</v>
      </c>
      <c r="AG3468" s="2">
        <f ca="1"/>
        <v>0.78297470573596395</v>
      </c>
      <c r="AH3468" s="2" t="str">
        <f ca="1"/>
        <v>Bad</v>
      </c>
    </row>
    <row r="3469" spans="2:34" x14ac:dyDescent="0.2">
      <c r="B3469" s="2">
        <f ca="1"/>
        <v>0.34039231743992993</v>
      </c>
      <c r="O3469" s="2">
        <f ca="1"/>
        <v>1.1914231345774193</v>
      </c>
      <c r="X3469" s="2">
        <f ca="1"/>
        <v>46.6780465549515</v>
      </c>
      <c r="AG3469" s="2">
        <f ca="1"/>
        <v>0.68484397462089386</v>
      </c>
      <c r="AH3469" s="2" t="str">
        <f ca="1"/>
        <v>Bad</v>
      </c>
    </row>
    <row r="3470" spans="2:34" x14ac:dyDescent="0.2">
      <c r="B3470" s="2">
        <f ca="1"/>
        <v>0.52503021252004745</v>
      </c>
      <c r="O3470" s="2">
        <f ca="1"/>
        <v>-5.9001103637211449E-2</v>
      </c>
      <c r="X3470" s="2">
        <f ca="1"/>
        <v>59.986334283073916</v>
      </c>
      <c r="AG3470" s="2">
        <f ca="1"/>
        <v>0.75197018171546937</v>
      </c>
      <c r="AH3470" s="2" t="str">
        <f ca="1"/>
        <v>Bad</v>
      </c>
    </row>
    <row r="3471" spans="2:34" x14ac:dyDescent="0.2">
      <c r="B3471" s="2">
        <f ca="1"/>
        <v>0.20243717403283168</v>
      </c>
      <c r="O3471" s="2">
        <f ca="1"/>
        <v>-0.77259735501992544</v>
      </c>
      <c r="X3471" s="2">
        <f ca="1"/>
        <v>28.562236575074277</v>
      </c>
      <c r="AG3471" s="2">
        <f ca="1"/>
        <v>0.87590396142279436</v>
      </c>
      <c r="AH3471" s="2" t="str">
        <f ca="1"/>
        <v>Bad</v>
      </c>
    </row>
    <row r="3472" spans="2:34" x14ac:dyDescent="0.2">
      <c r="B3472" s="2">
        <f ca="1"/>
        <v>0.70292811336229044</v>
      </c>
      <c r="O3472" s="2">
        <f ca="1"/>
        <v>-0.33917805069426959</v>
      </c>
      <c r="X3472" s="2">
        <f ca="1"/>
        <v>33.796125181843777</v>
      </c>
      <c r="AG3472" s="2">
        <f ca="1"/>
        <v>0.31494176813431807</v>
      </c>
      <c r="AH3472" s="2" t="str">
        <f ca="1"/>
        <v>OK</v>
      </c>
    </row>
    <row r="3473" spans="2:34" x14ac:dyDescent="0.2">
      <c r="B3473" s="2">
        <f ca="1"/>
        <v>0.15411263816841014</v>
      </c>
      <c r="O3473" s="2">
        <f ca="1"/>
        <v>0.16508409920071784</v>
      </c>
      <c r="X3473" s="2">
        <f ca="1"/>
        <v>41.596387735285425</v>
      </c>
      <c r="AG3473" s="2">
        <f ca="1"/>
        <v>0.22990670377263811</v>
      </c>
      <c r="AH3473" s="2" t="str">
        <f ca="1"/>
        <v>OK</v>
      </c>
    </row>
    <row r="3474" spans="2:34" x14ac:dyDescent="0.2">
      <c r="B3474" s="2">
        <f ca="1"/>
        <v>0.97265395385884323</v>
      </c>
      <c r="O3474" s="2">
        <f ca="1"/>
        <v>0.85828863070531936</v>
      </c>
      <c r="X3474" s="2">
        <f ca="1"/>
        <v>48.878990567566476</v>
      </c>
      <c r="AG3474" s="2">
        <f ca="1"/>
        <v>0.89999375175740259</v>
      </c>
      <c r="AH3474" s="2" t="str">
        <f ca="1"/>
        <v>Bad</v>
      </c>
    </row>
    <row r="3475" spans="2:34" x14ac:dyDescent="0.2">
      <c r="B3475" s="2">
        <f ca="1"/>
        <v>0.78390880929054862</v>
      </c>
      <c r="O3475" s="2">
        <f ca="1"/>
        <v>-1.65582784585103</v>
      </c>
      <c r="X3475" s="2">
        <f ca="1"/>
        <v>36.876122196716217</v>
      </c>
      <c r="AG3475" s="2">
        <f ca="1"/>
        <v>0.58538058259747672</v>
      </c>
      <c r="AH3475" s="2" t="str">
        <f ca="1"/>
        <v>Bad</v>
      </c>
    </row>
    <row r="3476" spans="2:34" x14ac:dyDescent="0.2">
      <c r="B3476" s="2">
        <f ca="1"/>
        <v>0.35558999439971606</v>
      </c>
      <c r="O3476" s="2">
        <f ca="1"/>
        <v>-6.0949569807823345E-2</v>
      </c>
      <c r="X3476" s="2">
        <f ca="1"/>
        <v>43.52130609291418</v>
      </c>
      <c r="AG3476" s="2">
        <f ca="1"/>
        <v>0.8312368930079348</v>
      </c>
      <c r="AH3476" s="2" t="str">
        <f ca="1"/>
        <v>Bad</v>
      </c>
    </row>
    <row r="3477" spans="2:34" x14ac:dyDescent="0.2">
      <c r="B3477" s="2">
        <f ca="1"/>
        <v>0.62357355142111759</v>
      </c>
      <c r="O3477" s="2">
        <f ca="1"/>
        <v>-0.10690676998015551</v>
      </c>
      <c r="X3477" s="2">
        <f ca="1"/>
        <v>31.497085296353969</v>
      </c>
      <c r="AG3477" s="2">
        <f ca="1"/>
        <v>4.0336364410014092E-2</v>
      </c>
      <c r="AH3477" s="2" t="str">
        <f ca="1"/>
        <v>Good</v>
      </c>
    </row>
    <row r="3478" spans="2:34" x14ac:dyDescent="0.2">
      <c r="B3478" s="2">
        <f ca="1"/>
        <v>0.45429746290640383</v>
      </c>
      <c r="O3478" s="2">
        <f ca="1"/>
        <v>0.62636189168920642</v>
      </c>
      <c r="X3478" s="2">
        <f ca="1"/>
        <v>20.453710212702436</v>
      </c>
      <c r="AG3478" s="2">
        <f ca="1"/>
        <v>0.8797914710330319</v>
      </c>
      <c r="AH3478" s="2" t="str">
        <f ca="1"/>
        <v>Bad</v>
      </c>
    </row>
    <row r="3479" spans="2:34" x14ac:dyDescent="0.2">
      <c r="B3479" s="2">
        <f ca="1"/>
        <v>6.983367760380399E-2</v>
      </c>
      <c r="O3479" s="2">
        <f ca="1"/>
        <v>-0.98036759210401736</v>
      </c>
      <c r="X3479" s="2">
        <f ca="1"/>
        <v>30.580458983646615</v>
      </c>
      <c r="AG3479" s="2">
        <f ca="1"/>
        <v>0.57794283063362495</v>
      </c>
      <c r="AH3479" s="2" t="str">
        <f ca="1"/>
        <v>Bad</v>
      </c>
    </row>
    <row r="3480" spans="2:34" x14ac:dyDescent="0.2">
      <c r="B3480" s="2">
        <f ca="1"/>
        <v>0.58641946262205691</v>
      </c>
      <c r="O3480" s="2">
        <f ca="1"/>
        <v>0.83676110269691395</v>
      </c>
      <c r="X3480" s="2">
        <f ca="1"/>
        <v>46.894637415261002</v>
      </c>
      <c r="AG3480" s="2">
        <f ca="1"/>
        <v>0.45580922072762031</v>
      </c>
      <c r="AH3480" s="2" t="str">
        <f ca="1"/>
        <v>Bad</v>
      </c>
    </row>
    <row r="3481" spans="2:34" x14ac:dyDescent="0.2">
      <c r="B3481" s="2">
        <f ca="1"/>
        <v>0.58119659736593809</v>
      </c>
      <c r="O3481" s="2">
        <f ca="1"/>
        <v>-0.79417614808639636</v>
      </c>
      <c r="X3481" s="2">
        <f ca="1"/>
        <v>74.563412440524743</v>
      </c>
      <c r="AG3481" s="2">
        <f ca="1"/>
        <v>0.62767535648915707</v>
      </c>
      <c r="AH3481" s="2" t="str">
        <f ca="1"/>
        <v>Bad</v>
      </c>
    </row>
    <row r="3482" spans="2:34" x14ac:dyDescent="0.2">
      <c r="B3482" s="2">
        <f ca="1"/>
        <v>0.73203010172446059</v>
      </c>
      <c r="O3482" s="2">
        <f ca="1"/>
        <v>-0.49143615666531371</v>
      </c>
      <c r="X3482" s="2">
        <f ca="1"/>
        <v>34.043947555237651</v>
      </c>
      <c r="AG3482" s="2">
        <f ca="1"/>
        <v>0.47556125736111832</v>
      </c>
      <c r="AH3482" s="2" t="str">
        <f ca="1"/>
        <v>Bad</v>
      </c>
    </row>
    <row r="3483" spans="2:34" x14ac:dyDescent="0.2">
      <c r="B3483" s="2">
        <f ca="1"/>
        <v>0.85652976479126064</v>
      </c>
      <c r="O3483" s="2">
        <f ca="1"/>
        <v>-1.5093817585939209</v>
      </c>
      <c r="X3483" s="2">
        <f ca="1"/>
        <v>73.933759401626347</v>
      </c>
      <c r="AG3483" s="2">
        <f ca="1"/>
        <v>0.76368597216816592</v>
      </c>
      <c r="AH3483" s="2" t="str">
        <f ca="1"/>
        <v>Bad</v>
      </c>
    </row>
    <row r="3484" spans="2:34" x14ac:dyDescent="0.2">
      <c r="B3484" s="2">
        <f ca="1"/>
        <v>0.73150269831020842</v>
      </c>
      <c r="O3484" s="2">
        <f ca="1"/>
        <v>0.23578134369543297</v>
      </c>
      <c r="X3484" s="2">
        <f ca="1"/>
        <v>48.931336092692007</v>
      </c>
      <c r="AG3484" s="2">
        <f ca="1"/>
        <v>0.74365508340716291</v>
      </c>
      <c r="AH3484" s="2" t="str">
        <f ca="1"/>
        <v>Bad</v>
      </c>
    </row>
    <row r="3485" spans="2:34" x14ac:dyDescent="0.2">
      <c r="B3485" s="2">
        <f ca="1"/>
        <v>0.56376879730314067</v>
      </c>
      <c r="O3485" s="2">
        <f ca="1"/>
        <v>-0.46824969647598697</v>
      </c>
      <c r="X3485" s="2">
        <f ca="1"/>
        <v>54.389107796759944</v>
      </c>
      <c r="AG3485" s="2">
        <f ca="1"/>
        <v>0.54268649312603268</v>
      </c>
      <c r="AH3485" s="2" t="str">
        <f ca="1"/>
        <v>Bad</v>
      </c>
    </row>
    <row r="3486" spans="2:34" x14ac:dyDescent="0.2">
      <c r="B3486" s="2">
        <f ca="1"/>
        <v>8.9773776682638529E-2</v>
      </c>
      <c r="O3486" s="2">
        <f ca="1"/>
        <v>-0.12077203843790367</v>
      </c>
      <c r="X3486" s="2">
        <f ca="1"/>
        <v>43.326843433596906</v>
      </c>
      <c r="AG3486" s="2">
        <f ca="1"/>
        <v>0.18209279263194711</v>
      </c>
      <c r="AH3486" s="2" t="str">
        <f ca="1"/>
        <v>OK</v>
      </c>
    </row>
    <row r="3487" spans="2:34" x14ac:dyDescent="0.2">
      <c r="B3487" s="2">
        <f ca="1"/>
        <v>1.4424456774664085E-2</v>
      </c>
      <c r="O3487" s="2">
        <f ca="1"/>
        <v>-0.38494729522900317</v>
      </c>
      <c r="X3487" s="2">
        <f ca="1"/>
        <v>52.519402978376483</v>
      </c>
      <c r="AG3487" s="2">
        <f ca="1"/>
        <v>0.44554918022326517</v>
      </c>
      <c r="AH3487" s="2" t="str">
        <f ca="1"/>
        <v>Bad</v>
      </c>
    </row>
    <row r="3488" spans="2:34" x14ac:dyDescent="0.2">
      <c r="B3488" s="2">
        <f ca="1"/>
        <v>0.19900407129136388</v>
      </c>
      <c r="O3488" s="2">
        <f ca="1"/>
        <v>1.4535962651015841</v>
      </c>
      <c r="X3488" s="2">
        <f ca="1"/>
        <v>40.84802438177509</v>
      </c>
      <c r="AG3488" s="2">
        <f ca="1"/>
        <v>0.13693542791887148</v>
      </c>
      <c r="AH3488" s="2" t="str">
        <f ca="1"/>
        <v>OK</v>
      </c>
    </row>
    <row r="3489" spans="2:34" x14ac:dyDescent="0.2">
      <c r="B3489" s="2">
        <f ca="1"/>
        <v>0.67863253785486544</v>
      </c>
      <c r="O3489" s="2">
        <f ca="1"/>
        <v>-7.9553034849436571E-2</v>
      </c>
      <c r="X3489" s="2">
        <f ca="1"/>
        <v>48.329145409570728</v>
      </c>
      <c r="AG3489" s="2">
        <f ca="1"/>
        <v>0.30285754528126541</v>
      </c>
      <c r="AH3489" s="2" t="str">
        <f ca="1"/>
        <v>OK</v>
      </c>
    </row>
    <row r="3490" spans="2:34" x14ac:dyDescent="0.2">
      <c r="B3490" s="2">
        <f ca="1"/>
        <v>0.43342220442228085</v>
      </c>
      <c r="O3490" s="2">
        <f ca="1"/>
        <v>1.76890259575106</v>
      </c>
      <c r="X3490" s="2">
        <f ca="1"/>
        <v>60.082762503526951</v>
      </c>
      <c r="AG3490" s="2">
        <f ca="1"/>
        <v>0.72397242907203907</v>
      </c>
      <c r="AH3490" s="2" t="str">
        <f ca="1"/>
        <v>Bad</v>
      </c>
    </row>
    <row r="3491" spans="2:34" x14ac:dyDescent="0.2">
      <c r="B3491" s="2">
        <f ca="1"/>
        <v>0.91205583957599123</v>
      </c>
      <c r="O3491" s="2">
        <f ca="1"/>
        <v>0.95043465004970284</v>
      </c>
      <c r="X3491" s="2">
        <f ca="1"/>
        <v>45.566336922996847</v>
      </c>
      <c r="AG3491" s="2">
        <f ca="1"/>
        <v>0.635616201329811</v>
      </c>
      <c r="AH3491" s="2" t="str">
        <f ca="1"/>
        <v>Bad</v>
      </c>
    </row>
    <row r="3492" spans="2:34" x14ac:dyDescent="0.2">
      <c r="B3492" s="2">
        <f ca="1"/>
        <v>0.86090063097453839</v>
      </c>
      <c r="O3492" s="2">
        <f ca="1"/>
        <v>-1.707066146226498</v>
      </c>
      <c r="X3492" s="2">
        <f ca="1"/>
        <v>52.26391742220094</v>
      </c>
      <c r="AG3492" s="2">
        <f ca="1"/>
        <v>0.77197258077715025</v>
      </c>
      <c r="AH3492" s="2" t="str">
        <f ca="1"/>
        <v>Bad</v>
      </c>
    </row>
    <row r="3493" spans="2:34" x14ac:dyDescent="0.2">
      <c r="B3493" s="2">
        <f ca="1"/>
        <v>0.61518965126962288</v>
      </c>
      <c r="O3493" s="2">
        <f ca="1"/>
        <v>-0.58066893933591834</v>
      </c>
      <c r="X3493" s="2">
        <f ca="1"/>
        <v>59.776524292543307</v>
      </c>
      <c r="AG3493" s="2">
        <f ca="1"/>
        <v>0.99286623670348573</v>
      </c>
      <c r="AH3493" s="2" t="str">
        <f ca="1"/>
        <v>Bad</v>
      </c>
    </row>
    <row r="3494" spans="2:34" x14ac:dyDescent="0.2">
      <c r="B3494" s="2">
        <f ca="1"/>
        <v>0.52349216791173281</v>
      </c>
      <c r="O3494" s="2">
        <f ca="1"/>
        <v>-0.96048164642123046</v>
      </c>
      <c r="X3494" s="2">
        <f ca="1"/>
        <v>43.193478483476369</v>
      </c>
      <c r="AG3494" s="2">
        <f ca="1"/>
        <v>0.68016228771221443</v>
      </c>
      <c r="AH3494" s="2" t="str">
        <f ca="1"/>
        <v>Bad</v>
      </c>
    </row>
    <row r="3495" spans="2:34" x14ac:dyDescent="0.2">
      <c r="B3495" s="2">
        <f ca="1"/>
        <v>0.85392329790844435</v>
      </c>
      <c r="O3495" s="2">
        <f ca="1"/>
        <v>-0.56830095806023462</v>
      </c>
      <c r="X3495" s="2">
        <f ca="1"/>
        <v>58.543622385883339</v>
      </c>
      <c r="AG3495" s="2">
        <f ca="1"/>
        <v>0.26524431737245657</v>
      </c>
      <c r="AH3495" s="2" t="str">
        <f ca="1"/>
        <v>OK</v>
      </c>
    </row>
    <row r="3496" spans="2:34" x14ac:dyDescent="0.2">
      <c r="B3496" s="2">
        <f ca="1"/>
        <v>0.87993418959119896</v>
      </c>
      <c r="O3496" s="2">
        <f ca="1"/>
        <v>-2.9875781082374476E-2</v>
      </c>
      <c r="X3496" s="2">
        <f ca="1"/>
        <v>71.664295322532823</v>
      </c>
      <c r="AG3496" s="2">
        <f ca="1"/>
        <v>0.2386168254159875</v>
      </c>
      <c r="AH3496" s="2" t="str">
        <f ca="1"/>
        <v>OK</v>
      </c>
    </row>
    <row r="3497" spans="2:34" x14ac:dyDescent="0.2">
      <c r="B3497" s="2">
        <f ca="1"/>
        <v>0.26170383795716368</v>
      </c>
      <c r="O3497" s="2">
        <f ca="1"/>
        <v>0.91010894728359659</v>
      </c>
      <c r="X3497" s="2">
        <f ca="1"/>
        <v>76.042201652922557</v>
      </c>
      <c r="AG3497" s="2">
        <f ca="1"/>
        <v>0.34000364648816106</v>
      </c>
      <c r="AH3497" s="2" t="str">
        <f ca="1"/>
        <v>OK</v>
      </c>
    </row>
    <row r="3498" spans="2:34" x14ac:dyDescent="0.2">
      <c r="B3498" s="2">
        <f ca="1"/>
        <v>0.43228530100403217</v>
      </c>
      <c r="O3498" s="2">
        <f ca="1"/>
        <v>-0.43794675483552903</v>
      </c>
      <c r="X3498" s="2">
        <f ca="1"/>
        <v>51.337128263143292</v>
      </c>
      <c r="AG3498" s="2">
        <f ca="1"/>
        <v>0.83266181080011648</v>
      </c>
      <c r="AH3498" s="2" t="str">
        <f ca="1"/>
        <v>Bad</v>
      </c>
    </row>
    <row r="3499" spans="2:34" x14ac:dyDescent="0.2">
      <c r="B3499" s="2">
        <f ca="1"/>
        <v>0.59876446488369739</v>
      </c>
      <c r="O3499" s="2">
        <f ca="1"/>
        <v>0.42666464549016603</v>
      </c>
      <c r="X3499" s="2">
        <f ca="1"/>
        <v>37.993704080091398</v>
      </c>
      <c r="AG3499" s="2">
        <f ca="1"/>
        <v>0.19621213695051254</v>
      </c>
      <c r="AH3499" s="2" t="str">
        <f ca="1"/>
        <v>OK</v>
      </c>
    </row>
    <row r="3500" spans="2:34" x14ac:dyDescent="0.2">
      <c r="B3500" s="2">
        <f ca="1"/>
        <v>7.3239391555032229E-2</v>
      </c>
      <c r="O3500" s="2">
        <f ca="1"/>
        <v>-1.1761185015316087</v>
      </c>
      <c r="X3500" s="2">
        <f ca="1"/>
        <v>68.223266822931066</v>
      </c>
      <c r="AG3500" s="2">
        <f ca="1"/>
        <v>0.42753877147480557</v>
      </c>
      <c r="AH3500" s="2" t="str">
        <f ca="1"/>
        <v>Bad</v>
      </c>
    </row>
    <row r="3501" spans="2:34" x14ac:dyDescent="0.2">
      <c r="B3501" s="2">
        <f ca="1"/>
        <v>0.32177588532618073</v>
      </c>
      <c r="O3501" s="2">
        <f ca="1"/>
        <v>0.46805773689875779</v>
      </c>
      <c r="X3501" s="2">
        <f ca="1"/>
        <v>33.930162835826216</v>
      </c>
      <c r="AG3501" s="2">
        <f ca="1"/>
        <v>0.67379032383872173</v>
      </c>
      <c r="AH3501" s="2" t="str">
        <f ca="1"/>
        <v>Bad</v>
      </c>
    </row>
    <row r="3502" spans="2:34" x14ac:dyDescent="0.2">
      <c r="B3502" s="2">
        <f ca="1"/>
        <v>8.1272274729802252E-3</v>
      </c>
      <c r="O3502" s="2">
        <f ca="1"/>
        <v>0.2552166348287212</v>
      </c>
      <c r="X3502" s="2">
        <f ca="1"/>
        <v>47.85056533118361</v>
      </c>
      <c r="AG3502" s="2">
        <f ca="1"/>
        <v>0.46359213175848168</v>
      </c>
      <c r="AH3502" s="2" t="str">
        <f ca="1"/>
        <v>Bad</v>
      </c>
    </row>
    <row r="3503" spans="2:34" x14ac:dyDescent="0.2">
      <c r="B3503" s="2">
        <f ca="1"/>
        <v>0.21388896108860833</v>
      </c>
      <c r="O3503" s="2">
        <f ca="1"/>
        <v>2.0593070317480624</v>
      </c>
      <c r="X3503" s="2">
        <f ca="1"/>
        <v>43.678098732295034</v>
      </c>
      <c r="AG3503" s="2">
        <f ca="1"/>
        <v>0.53563194853080187</v>
      </c>
      <c r="AH3503" s="2" t="str">
        <f ca="1"/>
        <v>Bad</v>
      </c>
    </row>
    <row r="3504" spans="2:34" x14ac:dyDescent="0.2">
      <c r="B3504" s="2">
        <f ca="1"/>
        <v>0.71056917501043837</v>
      </c>
      <c r="O3504" s="2">
        <f ca="1"/>
        <v>0.38985790491683375</v>
      </c>
      <c r="X3504" s="2">
        <f ca="1"/>
        <v>32.055746809409207</v>
      </c>
      <c r="AG3504" s="2">
        <f ca="1"/>
        <v>0.43278291852374684</v>
      </c>
      <c r="AH3504" s="2" t="str">
        <f ca="1"/>
        <v>Bad</v>
      </c>
    </row>
    <row r="3505" spans="2:34" x14ac:dyDescent="0.2">
      <c r="B3505" s="2">
        <f ca="1"/>
        <v>0.89638119986527531</v>
      </c>
      <c r="O3505" s="2">
        <f ca="1"/>
        <v>-0.26133631437708943</v>
      </c>
      <c r="X3505" s="2">
        <f ca="1"/>
        <v>49.559654665963805</v>
      </c>
      <c r="AG3505" s="2">
        <f ca="1"/>
        <v>0.2961728795270071</v>
      </c>
      <c r="AH3505" s="2" t="str">
        <f ca="1"/>
        <v>OK</v>
      </c>
    </row>
    <row r="3506" spans="2:34" x14ac:dyDescent="0.2">
      <c r="B3506" s="2">
        <f ca="1"/>
        <v>0.3753107936079787</v>
      </c>
      <c r="O3506" s="2">
        <f ca="1"/>
        <v>0.17180297813062198</v>
      </c>
      <c r="X3506" s="2">
        <f ca="1"/>
        <v>33.970072847863136</v>
      </c>
      <c r="AG3506" s="2">
        <f ca="1"/>
        <v>0.53266195201727706</v>
      </c>
      <c r="AH3506" s="2" t="str">
        <f ca="1"/>
        <v>Bad</v>
      </c>
    </row>
    <row r="3507" spans="2:34" x14ac:dyDescent="0.2">
      <c r="B3507" s="2">
        <f ca="1"/>
        <v>0.67163832913221522</v>
      </c>
      <c r="O3507" s="2">
        <f ca="1"/>
        <v>-1.7388216008703203</v>
      </c>
      <c r="X3507" s="2">
        <f ca="1"/>
        <v>28.42585055537791</v>
      </c>
      <c r="AG3507" s="2">
        <f ca="1"/>
        <v>0.91539976192096617</v>
      </c>
      <c r="AH3507" s="2" t="str">
        <f ca="1"/>
        <v>Bad</v>
      </c>
    </row>
    <row r="3508" spans="2:34" x14ac:dyDescent="0.2">
      <c r="B3508" s="2">
        <f ca="1"/>
        <v>0.30403579856031593</v>
      </c>
      <c r="O3508" s="2">
        <f ca="1"/>
        <v>0.11346306743214232</v>
      </c>
      <c r="X3508" s="2">
        <f ca="1"/>
        <v>51.973159291685917</v>
      </c>
      <c r="AG3508" s="2">
        <f ca="1"/>
        <v>0.82939487162419678</v>
      </c>
      <c r="AH3508" s="2" t="str">
        <f ca="1"/>
        <v>Bad</v>
      </c>
    </row>
    <row r="3509" spans="2:34" x14ac:dyDescent="0.2">
      <c r="B3509" s="2">
        <f ca="1"/>
        <v>3.5514504942546488E-4</v>
      </c>
      <c r="O3509" s="2">
        <f ca="1"/>
        <v>1.9815568906819261E-2</v>
      </c>
      <c r="X3509" s="2">
        <f ca="1"/>
        <v>55.130018343566036</v>
      </c>
      <c r="AG3509" s="2">
        <f ca="1"/>
        <v>0.18343694801080934</v>
      </c>
      <c r="AH3509" s="2" t="str">
        <f ca="1"/>
        <v>OK</v>
      </c>
    </row>
    <row r="3510" spans="2:34" x14ac:dyDescent="0.2">
      <c r="B3510" s="2">
        <f ca="1"/>
        <v>0.99825199757942906</v>
      </c>
      <c r="O3510" s="2">
        <f ca="1"/>
        <v>-0.58656378439154144</v>
      </c>
      <c r="X3510" s="2">
        <f ca="1"/>
        <v>61.382835724795399</v>
      </c>
      <c r="AG3510" s="2">
        <f ca="1"/>
        <v>0.72385266921304869</v>
      </c>
      <c r="AH3510" s="2" t="str">
        <f ca="1"/>
        <v>Bad</v>
      </c>
    </row>
    <row r="3511" spans="2:34" x14ac:dyDescent="0.2">
      <c r="B3511" s="2">
        <f ca="1"/>
        <v>2.1856705910094698E-2</v>
      </c>
      <c r="O3511" s="2">
        <f ca="1"/>
        <v>-1.3974228914650906</v>
      </c>
      <c r="X3511" s="2">
        <f ca="1"/>
        <v>99.057513604429332</v>
      </c>
      <c r="AG3511" s="2">
        <f ca="1"/>
        <v>0.49688529328502384</v>
      </c>
      <c r="AH3511" s="2" t="str">
        <f ca="1"/>
        <v>Bad</v>
      </c>
    </row>
    <row r="3512" spans="2:34" x14ac:dyDescent="0.2">
      <c r="B3512" s="2">
        <f ca="1"/>
        <v>0.89850161991507616</v>
      </c>
      <c r="O3512" s="2">
        <f ca="1"/>
        <v>0.84507683947841949</v>
      </c>
      <c r="X3512" s="2">
        <f ca="1"/>
        <v>46.951243875517214</v>
      </c>
      <c r="AG3512" s="2">
        <f ca="1"/>
        <v>0.76365165216318864</v>
      </c>
      <c r="AH3512" s="2" t="str">
        <f ca="1"/>
        <v>Bad</v>
      </c>
    </row>
    <row r="3513" spans="2:34" x14ac:dyDescent="0.2">
      <c r="B3513" s="2">
        <f ca="1"/>
        <v>0.79741137585940125</v>
      </c>
      <c r="O3513" s="2">
        <f ca="1"/>
        <v>-0.64760313528985913</v>
      </c>
      <c r="X3513" s="2">
        <f ca="1"/>
        <v>49.740205305260297</v>
      </c>
      <c r="AG3513" s="2">
        <f ca="1"/>
        <v>0.58405437384863523</v>
      </c>
      <c r="AH3513" s="2" t="str">
        <f ca="1"/>
        <v>Bad</v>
      </c>
    </row>
    <row r="3514" spans="2:34" x14ac:dyDescent="0.2">
      <c r="B3514" s="2">
        <f ca="1"/>
        <v>0.1310529166471357</v>
      </c>
      <c r="O3514" s="2">
        <f ca="1"/>
        <v>7.2777350962866597E-2</v>
      </c>
      <c r="X3514" s="2">
        <f ca="1"/>
        <v>57.589676930635505</v>
      </c>
      <c r="AG3514" s="2">
        <f ca="1"/>
        <v>0.92263858180548741</v>
      </c>
      <c r="AH3514" s="2" t="str">
        <f ca="1"/>
        <v>Bad</v>
      </c>
    </row>
    <row r="3515" spans="2:34" x14ac:dyDescent="0.2">
      <c r="B3515" s="2">
        <f ca="1"/>
        <v>0.56782082045233251</v>
      </c>
      <c r="O3515" s="2">
        <f ca="1"/>
        <v>0.54629080649153317</v>
      </c>
      <c r="X3515" s="2">
        <f ca="1"/>
        <v>43.763547455048872</v>
      </c>
      <c r="AG3515" s="2">
        <f ca="1"/>
        <v>0.99155842201915867</v>
      </c>
      <c r="AH3515" s="2" t="str">
        <f ca="1"/>
        <v>Bad</v>
      </c>
    </row>
    <row r="3516" spans="2:34" x14ac:dyDescent="0.2">
      <c r="B3516" s="2">
        <f ca="1"/>
        <v>0.3330058095441264</v>
      </c>
      <c r="O3516" s="2">
        <f ca="1"/>
        <v>1.0621008770525231</v>
      </c>
      <c r="X3516" s="2">
        <f ca="1"/>
        <v>23.89297048945123</v>
      </c>
      <c r="AG3516" s="2">
        <f ca="1"/>
        <v>0.82775407856286587</v>
      </c>
      <c r="AH3516" s="2" t="str">
        <f ca="1"/>
        <v>Bad</v>
      </c>
    </row>
    <row r="3517" spans="2:34" x14ac:dyDescent="0.2">
      <c r="B3517" s="2">
        <f ca="1"/>
        <v>0.23278634192645531</v>
      </c>
      <c r="O3517" s="2">
        <f ca="1"/>
        <v>-1.3991142492346764</v>
      </c>
      <c r="X3517" s="2">
        <f ca="1"/>
        <v>42.696416554020892</v>
      </c>
      <c r="AG3517" s="2">
        <f ca="1"/>
        <v>3.5530103801197921E-3</v>
      </c>
      <c r="AH3517" s="2" t="str">
        <f ca="1"/>
        <v>Good</v>
      </c>
    </row>
    <row r="3518" spans="2:34" x14ac:dyDescent="0.2">
      <c r="B3518" s="2">
        <f ca="1"/>
        <v>0.38707135139539028</v>
      </c>
      <c r="O3518" s="2">
        <f ca="1"/>
        <v>-0.97241126672017075</v>
      </c>
      <c r="X3518" s="2">
        <f ca="1"/>
        <v>57.719466072962398</v>
      </c>
      <c r="AG3518" s="2">
        <f ca="1"/>
        <v>0.51645136251598855</v>
      </c>
      <c r="AH3518" s="2" t="str">
        <f ca="1"/>
        <v>Bad</v>
      </c>
    </row>
    <row r="3519" spans="2:34" x14ac:dyDescent="0.2">
      <c r="B3519" s="2">
        <f ca="1"/>
        <v>2.2320215756879147E-3</v>
      </c>
      <c r="O3519" s="2">
        <f ca="1"/>
        <v>-0.70298144762109094</v>
      </c>
      <c r="X3519" s="2">
        <f ca="1"/>
        <v>59.505452963456989</v>
      </c>
      <c r="AG3519" s="2">
        <f ca="1"/>
        <v>0.31587950183869484</v>
      </c>
      <c r="AH3519" s="2" t="str">
        <f ca="1"/>
        <v>OK</v>
      </c>
    </row>
    <row r="3520" spans="2:34" x14ac:dyDescent="0.2">
      <c r="B3520" s="2">
        <f ca="1"/>
        <v>0.83771905168824401</v>
      </c>
      <c r="O3520" s="2">
        <f ca="1"/>
        <v>-0.73510410275171523</v>
      </c>
      <c r="X3520" s="2">
        <f ca="1"/>
        <v>68.366631029333348</v>
      </c>
      <c r="AG3520" s="2">
        <f ca="1"/>
        <v>0.54272591804570247</v>
      </c>
      <c r="AH3520" s="2" t="str">
        <f ca="1"/>
        <v>Bad</v>
      </c>
    </row>
    <row r="3521" spans="2:34" x14ac:dyDescent="0.2">
      <c r="B3521" s="2">
        <f ca="1"/>
        <v>0.75164070101372094</v>
      </c>
      <c r="O3521" s="2">
        <f ca="1"/>
        <v>1.0657211962452753</v>
      </c>
      <c r="X3521" s="2">
        <f ca="1"/>
        <v>74.917392614441525</v>
      </c>
      <c r="AG3521" s="2">
        <f ca="1"/>
        <v>0.75960291351116971</v>
      </c>
      <c r="AH3521" s="2" t="str">
        <f ca="1"/>
        <v>Bad</v>
      </c>
    </row>
    <row r="3522" spans="2:34" x14ac:dyDescent="0.2">
      <c r="B3522" s="2">
        <f ca="1"/>
        <v>8.4870697450625032E-2</v>
      </c>
      <c r="O3522" s="2">
        <f ca="1"/>
        <v>-1.3167069982864794</v>
      </c>
      <c r="X3522" s="2">
        <f ca="1"/>
        <v>46.149267762343563</v>
      </c>
      <c r="AG3522" s="2">
        <f ca="1"/>
        <v>0.7717219897973544</v>
      </c>
      <c r="AH3522" s="2" t="str">
        <f ca="1"/>
        <v>Bad</v>
      </c>
    </row>
    <row r="3523" spans="2:34" x14ac:dyDescent="0.2">
      <c r="B3523" s="2">
        <f ca="1"/>
        <v>0.3986188531786099</v>
      </c>
      <c r="O3523" s="2">
        <f ca="1"/>
        <v>-0.54826734768801944</v>
      </c>
      <c r="X3523" s="2">
        <f ca="1"/>
        <v>53.732578933061241</v>
      </c>
      <c r="AG3523" s="2">
        <f ca="1"/>
        <v>0.27027391743800844</v>
      </c>
      <c r="AH3523" s="2" t="str">
        <f ca="1"/>
        <v>OK</v>
      </c>
    </row>
    <row r="3524" spans="2:34" x14ac:dyDescent="0.2">
      <c r="B3524" s="2">
        <f ca="1"/>
        <v>0.98798550690291576</v>
      </c>
      <c r="O3524" s="2">
        <f ca="1"/>
        <v>-3.0728386252259559</v>
      </c>
      <c r="X3524" s="2">
        <f ca="1"/>
        <v>60.790410826220423</v>
      </c>
      <c r="AG3524" s="2">
        <f ca="1"/>
        <v>0.39074564077678575</v>
      </c>
      <c r="AH3524" s="2" t="str">
        <f ca="1"/>
        <v>OK</v>
      </c>
    </row>
    <row r="3525" spans="2:34" x14ac:dyDescent="0.2">
      <c r="B3525" s="2">
        <f ca="1"/>
        <v>0.10326676222182107</v>
      </c>
      <c r="O3525" s="2">
        <f ca="1"/>
        <v>0.34070567087618314</v>
      </c>
      <c r="X3525" s="2">
        <f ca="1"/>
        <v>31.552276819000529</v>
      </c>
      <c r="AG3525" s="2">
        <f ca="1"/>
        <v>0.75991292779080077</v>
      </c>
      <c r="AH3525" s="2" t="str">
        <f ca="1"/>
        <v>Bad</v>
      </c>
    </row>
    <row r="3526" spans="2:34" x14ac:dyDescent="0.2">
      <c r="B3526" s="2">
        <f ca="1"/>
        <v>0.61809686553324794</v>
      </c>
      <c r="O3526" s="2">
        <f ca="1"/>
        <v>1.0918442837327642</v>
      </c>
      <c r="X3526" s="2">
        <f ca="1"/>
        <v>33.383667005691876</v>
      </c>
      <c r="AG3526" s="2">
        <f ca="1"/>
        <v>0.6692761481558156</v>
      </c>
      <c r="AH3526" s="2" t="str">
        <f ca="1"/>
        <v>Bad</v>
      </c>
    </row>
    <row r="3527" spans="2:34" x14ac:dyDescent="0.2">
      <c r="B3527" s="2">
        <f ca="1"/>
        <v>0.52366274952005631</v>
      </c>
      <c r="O3527" s="2">
        <f ca="1"/>
        <v>-0.47628448638563869</v>
      </c>
      <c r="X3527" s="2">
        <f ca="1"/>
        <v>34.405672197163156</v>
      </c>
      <c r="AG3527" s="2">
        <f ca="1"/>
        <v>0.43235345843649164</v>
      </c>
      <c r="AH3527" s="2" t="str">
        <f ca="1"/>
        <v>Bad</v>
      </c>
    </row>
    <row r="3528" spans="2:34" x14ac:dyDescent="0.2">
      <c r="B3528" s="2">
        <f ca="1"/>
        <v>0.33165508328011772</v>
      </c>
      <c r="O3528" s="2">
        <f ca="1"/>
        <v>0.42327596104885934</v>
      </c>
      <c r="X3528" s="2">
        <f ca="1"/>
        <v>70.352532463211588</v>
      </c>
      <c r="AG3528" s="2">
        <f ca="1"/>
        <v>0.91977916276828431</v>
      </c>
      <c r="AH3528" s="2" t="str">
        <f ca="1"/>
        <v>Bad</v>
      </c>
    </row>
    <row r="3529" spans="2:34" x14ac:dyDescent="0.2">
      <c r="B3529" s="2">
        <f ca="1"/>
        <v>0.76319361250301299</v>
      </c>
      <c r="O3529" s="2">
        <f ca="1"/>
        <v>0.84104064336837492</v>
      </c>
      <c r="X3529" s="2">
        <f ca="1"/>
        <v>35.9842458293421</v>
      </c>
      <c r="AG3529" s="2">
        <f ca="1"/>
        <v>1.2167350201064409E-3</v>
      </c>
      <c r="AH3529" s="2" t="str">
        <f ca="1"/>
        <v>Good</v>
      </c>
    </row>
    <row r="3530" spans="2:34" x14ac:dyDescent="0.2">
      <c r="B3530" s="2">
        <f ca="1"/>
        <v>9.6448655229100622E-2</v>
      </c>
      <c r="O3530" s="2">
        <f ca="1"/>
        <v>-0.10683649020779945</v>
      </c>
      <c r="X3530" s="2">
        <f ca="1"/>
        <v>37.937910375676545</v>
      </c>
      <c r="AG3530" s="2">
        <f ca="1"/>
        <v>0.20808771844418561</v>
      </c>
      <c r="AH3530" s="2" t="str">
        <f ca="1"/>
        <v>OK</v>
      </c>
    </row>
    <row r="3531" spans="2:34" x14ac:dyDescent="0.2">
      <c r="B3531" s="2">
        <f ca="1"/>
        <v>0.51342332311744054</v>
      </c>
      <c r="O3531" s="2">
        <f ca="1"/>
        <v>1.1343238764982106</v>
      </c>
      <c r="X3531" s="2">
        <f ca="1"/>
        <v>39.472166754176961</v>
      </c>
      <c r="AG3531" s="2">
        <f ca="1"/>
        <v>0.38045909025657498</v>
      </c>
      <c r="AH3531" s="2" t="str">
        <f ca="1"/>
        <v>OK</v>
      </c>
    </row>
    <row r="3532" spans="2:34" x14ac:dyDescent="0.2">
      <c r="B3532" s="2">
        <f ca="1"/>
        <v>0.65411639156210799</v>
      </c>
      <c r="O3532" s="2">
        <f ca="1"/>
        <v>0.81798707769047851</v>
      </c>
      <c r="X3532" s="2">
        <f ca="1"/>
        <v>40.375946391715601</v>
      </c>
      <c r="AG3532" s="2">
        <f ca="1"/>
        <v>0.42373168827981145</v>
      </c>
      <c r="AH3532" s="2" t="str">
        <f ca="1"/>
        <v>Bad</v>
      </c>
    </row>
    <row r="3533" spans="2:34" x14ac:dyDescent="0.2">
      <c r="B3533" s="2">
        <f ca="1"/>
        <v>0.78924944615108816</v>
      </c>
      <c r="O3533" s="2">
        <f ca="1"/>
        <v>-1.3241873619027404</v>
      </c>
      <c r="X3533" s="2">
        <f ca="1"/>
        <v>32.677735898792818</v>
      </c>
      <c r="AG3533" s="2">
        <f ca="1"/>
        <v>0.40986192414441236</v>
      </c>
      <c r="AH3533" s="2" t="str">
        <f ca="1"/>
        <v>Bad</v>
      </c>
    </row>
    <row r="3534" spans="2:34" x14ac:dyDescent="0.2">
      <c r="B3534" s="2">
        <f ca="1"/>
        <v>0.16644461198410698</v>
      </c>
      <c r="O3534" s="2">
        <f ca="1"/>
        <v>-1.7112581671807126</v>
      </c>
      <c r="X3534" s="2">
        <f ca="1"/>
        <v>51.233875699159029</v>
      </c>
      <c r="AG3534" s="2">
        <f ca="1"/>
        <v>0.88104504604028322</v>
      </c>
      <c r="AH3534" s="2" t="str">
        <f ca="1"/>
        <v>Bad</v>
      </c>
    </row>
    <row r="3535" spans="2:34" x14ac:dyDescent="0.2">
      <c r="B3535" s="2">
        <f ca="1"/>
        <v>0.83027852690707249</v>
      </c>
      <c r="O3535" s="2">
        <f ca="1"/>
        <v>0.48036521913190749</v>
      </c>
      <c r="X3535" s="2">
        <f ca="1"/>
        <v>60.12082823533882</v>
      </c>
      <c r="AG3535" s="2">
        <f ca="1"/>
        <v>1.6499135651591779E-2</v>
      </c>
      <c r="AH3535" s="2" t="str">
        <f ca="1"/>
        <v>Good</v>
      </c>
    </row>
    <row r="3536" spans="2:34" x14ac:dyDescent="0.2">
      <c r="B3536" s="2">
        <f ca="1"/>
        <v>0.75177163343880316</v>
      </c>
      <c r="O3536" s="2">
        <f ca="1"/>
        <v>-0.45156026633371998</v>
      </c>
      <c r="X3536" s="2">
        <f ca="1"/>
        <v>43.619840469484259</v>
      </c>
      <c r="AG3536" s="2">
        <f ca="1"/>
        <v>0.45137417598810248</v>
      </c>
      <c r="AH3536" s="2" t="str">
        <f ca="1"/>
        <v>Bad</v>
      </c>
    </row>
    <row r="3537" spans="2:34" x14ac:dyDescent="0.2">
      <c r="B3537" s="2">
        <f ca="1"/>
        <v>0.4409377749289296</v>
      </c>
      <c r="O3537" s="2">
        <f ca="1"/>
        <v>-0.33390574939259898</v>
      </c>
      <c r="X3537" s="2">
        <f ca="1"/>
        <v>63.560851936062512</v>
      </c>
      <c r="AG3537" s="2">
        <f ca="1"/>
        <v>0.98334721945971726</v>
      </c>
      <c r="AH3537" s="2" t="str">
        <f ca="1"/>
        <v>Bad</v>
      </c>
    </row>
    <row r="3538" spans="2:34" x14ac:dyDescent="0.2">
      <c r="B3538" s="2">
        <f ca="1"/>
        <v>0.59785343172647454</v>
      </c>
      <c r="O3538" s="2">
        <f ca="1"/>
        <v>0.12316065018937936</v>
      </c>
      <c r="X3538" s="2">
        <f ca="1"/>
        <v>71.228424812523642</v>
      </c>
      <c r="AG3538" s="2">
        <f ca="1"/>
        <v>0.10251118105011603</v>
      </c>
      <c r="AH3538" s="2" t="str">
        <f ca="1"/>
        <v>OK</v>
      </c>
    </row>
    <row r="3539" spans="2:34" x14ac:dyDescent="0.2">
      <c r="B3539" s="2">
        <f ca="1"/>
        <v>0.41573761492629302</v>
      </c>
      <c r="O3539" s="2">
        <f ca="1"/>
        <v>0.36015701413080609</v>
      </c>
      <c r="X3539" s="2">
        <f ca="1"/>
        <v>50.222174274597073</v>
      </c>
      <c r="AG3539" s="2">
        <f ca="1"/>
        <v>0.28114323182242207</v>
      </c>
      <c r="AH3539" s="2" t="str">
        <f ca="1"/>
        <v>OK</v>
      </c>
    </row>
    <row r="3540" spans="2:34" x14ac:dyDescent="0.2">
      <c r="B3540" s="2">
        <f ca="1"/>
        <v>0.74128370871521931</v>
      </c>
      <c r="O3540" s="2">
        <f ca="1"/>
        <v>0.17993621883703498</v>
      </c>
      <c r="X3540" s="2">
        <f ca="1"/>
        <v>72.342304743934719</v>
      </c>
      <c r="AG3540" s="2">
        <f ca="1"/>
        <v>0.47781383827832258</v>
      </c>
      <c r="AH3540" s="2" t="str">
        <f ca="1"/>
        <v>Bad</v>
      </c>
    </row>
    <row r="3541" spans="2:34" x14ac:dyDescent="0.2">
      <c r="B3541" s="2">
        <f ca="1"/>
        <v>0.67072408922664395</v>
      </c>
      <c r="O3541" s="2">
        <f ca="1"/>
        <v>1.5285200966977475</v>
      </c>
      <c r="X3541" s="2">
        <f ca="1"/>
        <v>30.57115414857039</v>
      </c>
      <c r="AG3541" s="2">
        <f ca="1"/>
        <v>0.53958106492874713</v>
      </c>
      <c r="AH3541" s="2" t="str">
        <f ca="1"/>
        <v>Bad</v>
      </c>
    </row>
    <row r="3542" spans="2:34" x14ac:dyDescent="0.2">
      <c r="B3542" s="2">
        <f ca="1"/>
        <v>0.49288457445921963</v>
      </c>
      <c r="O3542" s="2">
        <f ca="1"/>
        <v>0.38709591771337754</v>
      </c>
      <c r="X3542" s="2">
        <f ca="1"/>
        <v>56.578838184493414</v>
      </c>
      <c r="AG3542" s="2">
        <f ca="1"/>
        <v>0.99116588896638791</v>
      </c>
      <c r="AH3542" s="2" t="str">
        <f ca="1"/>
        <v>Bad</v>
      </c>
    </row>
    <row r="3543" spans="2:34" x14ac:dyDescent="0.2">
      <c r="B3543" s="2">
        <f ca="1"/>
        <v>0.56230762376620835</v>
      </c>
      <c r="O3543" s="2">
        <f ca="1"/>
        <v>-0.21067310422321722</v>
      </c>
      <c r="X3543" s="2">
        <f ca="1"/>
        <v>81.81568483503257</v>
      </c>
      <c r="AG3543" s="2">
        <f ca="1"/>
        <v>0.8455128625407935</v>
      </c>
      <c r="AH3543" s="2" t="str">
        <f ca="1"/>
        <v>Bad</v>
      </c>
    </row>
    <row r="3544" spans="2:34" x14ac:dyDescent="0.2">
      <c r="B3544" s="2">
        <f ca="1"/>
        <v>0.13134364509174024</v>
      </c>
      <c r="O3544" s="2">
        <f ca="1"/>
        <v>1.7041804222265051</v>
      </c>
      <c r="X3544" s="2">
        <f ca="1"/>
        <v>54.239448625648372</v>
      </c>
      <c r="AG3544" s="2">
        <f ca="1"/>
        <v>0.13350604622689755</v>
      </c>
      <c r="AH3544" s="2" t="str">
        <f ca="1"/>
        <v>OK</v>
      </c>
    </row>
    <row r="3545" spans="2:34" x14ac:dyDescent="0.2">
      <c r="B3545" s="2">
        <f ca="1"/>
        <v>0.57319372352005193</v>
      </c>
      <c r="O3545" s="2">
        <f ca="1"/>
        <v>-1.7618223005946312</v>
      </c>
      <c r="X3545" s="2">
        <f ca="1"/>
        <v>36.978272663091914</v>
      </c>
      <c r="AG3545" s="2">
        <f ca="1"/>
        <v>0.33670427464685959</v>
      </c>
      <c r="AH3545" s="2" t="str">
        <f ca="1"/>
        <v>OK</v>
      </c>
    </row>
    <row r="3546" spans="2:34" x14ac:dyDescent="0.2">
      <c r="B3546" s="2">
        <f ca="1"/>
        <v>0.55591962435098496</v>
      </c>
      <c r="O3546" s="2">
        <f ca="1"/>
        <v>2.1805435167400224</v>
      </c>
      <c r="X3546" s="2">
        <f ca="1"/>
        <v>42.700077340958117</v>
      </c>
      <c r="AG3546" s="2">
        <f ca="1"/>
        <v>0.59328766195086691</v>
      </c>
      <c r="AH3546" s="2" t="str">
        <f ca="1"/>
        <v>Bad</v>
      </c>
    </row>
    <row r="3547" spans="2:34" x14ac:dyDescent="0.2">
      <c r="B3547" s="2">
        <f ca="1"/>
        <v>0.29439898414539112</v>
      </c>
      <c r="O3547" s="2">
        <f ca="1"/>
        <v>-0.68047422542538172</v>
      </c>
      <c r="X3547" s="2">
        <f ca="1"/>
        <v>46.881035347369995</v>
      </c>
      <c r="AG3547" s="2">
        <f ca="1"/>
        <v>0.9583295484488259</v>
      </c>
      <c r="AH3547" s="2" t="str">
        <f ca="1"/>
        <v>Bad</v>
      </c>
    </row>
    <row r="3548" spans="2:34" x14ac:dyDescent="0.2">
      <c r="B3548" s="2">
        <f ca="1"/>
        <v>0.89444901072496319</v>
      </c>
      <c r="O3548" s="2">
        <f ca="1"/>
        <v>-6.4835776758889838E-2</v>
      </c>
      <c r="X3548" s="2">
        <f ca="1"/>
        <v>52.232498752360037</v>
      </c>
      <c r="AG3548" s="2">
        <f ca="1"/>
        <v>1.1219268496190926E-2</v>
      </c>
      <c r="AH3548" s="2" t="str">
        <f ca="1"/>
        <v>Good</v>
      </c>
    </row>
    <row r="3549" spans="2:34" x14ac:dyDescent="0.2">
      <c r="B3549" s="2">
        <f ca="1"/>
        <v>0.17547187456433977</v>
      </c>
      <c r="O3549" s="2">
        <f ca="1"/>
        <v>1.0760423451624652</v>
      </c>
      <c r="X3549" s="2">
        <f ca="1"/>
        <v>45.069074933229828</v>
      </c>
      <c r="AG3549" s="2">
        <f ca="1"/>
        <v>0.28485066492192979</v>
      </c>
      <c r="AH3549" s="2" t="str">
        <f ca="1"/>
        <v>OK</v>
      </c>
    </row>
    <row r="3550" spans="2:34" x14ac:dyDescent="0.2">
      <c r="B3550" s="2">
        <f ca="1"/>
        <v>0.69571991839175218</v>
      </c>
      <c r="O3550" s="2">
        <f ca="1"/>
        <v>0.26921630124616236</v>
      </c>
      <c r="X3550" s="2">
        <f ca="1"/>
        <v>32.896166189386477</v>
      </c>
      <c r="AG3550" s="2">
        <f ca="1"/>
        <v>0.55187274784786444</v>
      </c>
      <c r="AH3550" s="2" t="str">
        <f ca="1"/>
        <v>Bad</v>
      </c>
    </row>
    <row r="3551" spans="2:34" x14ac:dyDescent="0.2">
      <c r="B3551" s="2">
        <f ca="1"/>
        <v>0.54600359874785886</v>
      </c>
      <c r="O3551" s="2">
        <f ca="1"/>
        <v>-1.0683156035380028</v>
      </c>
      <c r="X3551" s="2">
        <f ca="1"/>
        <v>50.878160334949129</v>
      </c>
      <c r="AG3551" s="2">
        <f ca="1"/>
        <v>0.50371667217233052</v>
      </c>
      <c r="AH3551" s="2" t="str">
        <f ca="1"/>
        <v>Bad</v>
      </c>
    </row>
    <row r="3552" spans="2:34" x14ac:dyDescent="0.2">
      <c r="B3552" s="2">
        <f ca="1"/>
        <v>0.59699743814655215</v>
      </c>
      <c r="O3552" s="2">
        <f ca="1"/>
        <v>1.1841899177463209</v>
      </c>
      <c r="X3552" s="2">
        <f ca="1"/>
        <v>47.701778350290091</v>
      </c>
      <c r="AG3552" s="2">
        <f ca="1"/>
        <v>0.88536087275175501</v>
      </c>
      <c r="AH3552" s="2" t="str">
        <f ca="1"/>
        <v>Bad</v>
      </c>
    </row>
    <row r="3553" spans="2:34" x14ac:dyDescent="0.2">
      <c r="B3553" s="2">
        <f ca="1"/>
        <v>0.42269214830961532</v>
      </c>
      <c r="O3553" s="2">
        <f ca="1"/>
        <v>-1.343778876364758</v>
      </c>
      <c r="X3553" s="2">
        <f ca="1"/>
        <v>54.268469844956797</v>
      </c>
      <c r="AG3553" s="2">
        <f ca="1"/>
        <v>0.59104841314856049</v>
      </c>
      <c r="AH3553" s="2" t="str">
        <f ca="1"/>
        <v>Bad</v>
      </c>
    </row>
    <row r="3554" spans="2:34" x14ac:dyDescent="0.2">
      <c r="B3554" s="2">
        <f ca="1"/>
        <v>0.67540174125982011</v>
      </c>
      <c r="O3554" s="2">
        <f ca="1"/>
        <v>0.39069535126187971</v>
      </c>
      <c r="X3554" s="2">
        <f ca="1"/>
        <v>30.1342717064861</v>
      </c>
      <c r="AG3554" s="2">
        <f ca="1"/>
        <v>3.5360699953691732E-2</v>
      </c>
      <c r="AH3554" s="2" t="str">
        <f ca="1"/>
        <v>Good</v>
      </c>
    </row>
    <row r="3555" spans="2:34" x14ac:dyDescent="0.2">
      <c r="B3555" s="2">
        <f ca="1"/>
        <v>0.617784966927027</v>
      </c>
      <c r="O3555" s="2">
        <f ca="1"/>
        <v>-0.59966324049894781</v>
      </c>
      <c r="X3555" s="2">
        <f ca="1"/>
        <v>61.543085083802453</v>
      </c>
      <c r="AG3555" s="2">
        <f ca="1"/>
        <v>9.4211833669461731E-2</v>
      </c>
      <c r="AH3555" s="2" t="str">
        <f ca="1"/>
        <v>OK</v>
      </c>
    </row>
    <row r="3556" spans="2:34" x14ac:dyDescent="0.2">
      <c r="B3556" s="2">
        <f ca="1"/>
        <v>0.64765815095798618</v>
      </c>
      <c r="O3556" s="2">
        <f ca="1"/>
        <v>-0.25066937262087119</v>
      </c>
      <c r="X3556" s="2">
        <f ca="1"/>
        <v>71.929062080185503</v>
      </c>
      <c r="AG3556" s="2">
        <f ca="1"/>
        <v>0.59647878069279914</v>
      </c>
      <c r="AH3556" s="2" t="str">
        <f ca="1"/>
        <v>Bad</v>
      </c>
    </row>
    <row r="3557" spans="2:34" x14ac:dyDescent="0.2">
      <c r="B3557" s="2">
        <f ca="1"/>
        <v>0.63174748775559442</v>
      </c>
      <c r="O3557" s="2">
        <f ca="1"/>
        <v>1.722599037951754</v>
      </c>
      <c r="X3557" s="2">
        <f ca="1"/>
        <v>28.961016489237686</v>
      </c>
      <c r="AG3557" s="2">
        <f ca="1"/>
        <v>0.2788400598870473</v>
      </c>
      <c r="AH3557" s="2" t="str">
        <f ca="1"/>
        <v>OK</v>
      </c>
    </row>
    <row r="3558" spans="2:34" x14ac:dyDescent="0.2">
      <c r="B3558" s="2">
        <f ca="1"/>
        <v>0.94550121543537791</v>
      </c>
      <c r="O3558" s="2">
        <f ca="1"/>
        <v>-1.0859625426392048</v>
      </c>
      <c r="X3558" s="2">
        <f ca="1"/>
        <v>79.707555566720941</v>
      </c>
      <c r="AG3558" s="2">
        <f ca="1"/>
        <v>0.54306563973458855</v>
      </c>
      <c r="AH3558" s="2" t="str">
        <f ca="1"/>
        <v>Bad</v>
      </c>
    </row>
    <row r="3559" spans="2:34" x14ac:dyDescent="0.2">
      <c r="B3559" s="2">
        <f ca="1"/>
        <v>0.46176788787424572</v>
      </c>
      <c r="O3559" s="2">
        <f ca="1"/>
        <v>-0.54743647975400778</v>
      </c>
      <c r="X3559" s="2">
        <f ca="1"/>
        <v>49.312338595928473</v>
      </c>
      <c r="AG3559" s="2">
        <f ca="1"/>
        <v>0.42253244764183751</v>
      </c>
      <c r="AH3559" s="2" t="str">
        <f ca="1"/>
        <v>Bad</v>
      </c>
    </row>
    <row r="3560" spans="2:34" x14ac:dyDescent="0.2">
      <c r="B3560" s="2">
        <f ca="1"/>
        <v>0.73470851465814468</v>
      </c>
      <c r="O3560" s="2">
        <f ca="1"/>
        <v>0.49860676331056752</v>
      </c>
      <c r="X3560" s="2">
        <f ca="1"/>
        <v>35.616183841779431</v>
      </c>
      <c r="AG3560" s="2">
        <f ca="1"/>
        <v>0.28736563331267861</v>
      </c>
      <c r="AH3560" s="2" t="str">
        <f ca="1"/>
        <v>OK</v>
      </c>
    </row>
    <row r="3561" spans="2:34" x14ac:dyDescent="0.2">
      <c r="B3561" s="2">
        <f ca="1"/>
        <v>0.85741226862135833</v>
      </c>
      <c r="O3561" s="2">
        <f ca="1"/>
        <v>-3.2732974376317434E-2</v>
      </c>
      <c r="X3561" s="2">
        <f ca="1"/>
        <v>57.112222412120452</v>
      </c>
      <c r="AG3561" s="2">
        <f ca="1"/>
        <v>0.55954283139695482</v>
      </c>
      <c r="AH3561" s="2" t="str">
        <f ca="1"/>
        <v>Bad</v>
      </c>
    </row>
    <row r="3562" spans="2:34" x14ac:dyDescent="0.2">
      <c r="B3562" s="2">
        <f ca="1"/>
        <v>0.97352157900570924</v>
      </c>
      <c r="O3562" s="2">
        <f ca="1"/>
        <v>0.10682692989530471</v>
      </c>
      <c r="X3562" s="2">
        <f ca="1"/>
        <v>59.740243867338513</v>
      </c>
      <c r="AG3562" s="2">
        <f ca="1"/>
        <v>0.55407318810130235</v>
      </c>
      <c r="AH3562" s="2" t="str">
        <f ca="1"/>
        <v>Bad</v>
      </c>
    </row>
    <row r="3563" spans="2:34" x14ac:dyDescent="0.2">
      <c r="B3563" s="2">
        <f ca="1"/>
        <v>0.20923170525224988</v>
      </c>
      <c r="O3563" s="2">
        <f ca="1"/>
        <v>-0.31739855068821959</v>
      </c>
      <c r="X3563" s="2">
        <f ca="1"/>
        <v>45.013734830723962</v>
      </c>
      <c r="AG3563" s="2">
        <f ca="1"/>
        <v>0.73950119382417823</v>
      </c>
      <c r="AH3563" s="2" t="str">
        <f ca="1"/>
        <v>Bad</v>
      </c>
    </row>
    <row r="3564" spans="2:34" x14ac:dyDescent="0.2">
      <c r="B3564" s="2">
        <f ca="1"/>
        <v>0.60886587036103856</v>
      </c>
      <c r="O3564" s="2">
        <f ca="1"/>
        <v>3.2619888400276888E-2</v>
      </c>
      <c r="X3564" s="2">
        <f ca="1"/>
        <v>71.249946404453198</v>
      </c>
      <c r="AG3564" s="2">
        <f ca="1"/>
        <v>0.78480044403478422</v>
      </c>
      <c r="AH3564" s="2" t="str">
        <f ca="1"/>
        <v>Bad</v>
      </c>
    </row>
    <row r="3565" spans="2:34" x14ac:dyDescent="0.2">
      <c r="B3565" s="2">
        <f ca="1"/>
        <v>0.33066298927923166</v>
      </c>
      <c r="O3565" s="2">
        <f ca="1"/>
        <v>0.74961547426795139</v>
      </c>
      <c r="X3565" s="2">
        <f ca="1"/>
        <v>51.020185371948692</v>
      </c>
      <c r="AG3565" s="2">
        <f ca="1"/>
        <v>0.31401006856389313</v>
      </c>
      <c r="AH3565" s="2" t="str">
        <f ca="1"/>
        <v>OK</v>
      </c>
    </row>
    <row r="3566" spans="2:34" x14ac:dyDescent="0.2">
      <c r="B3566" s="2">
        <f ca="1"/>
        <v>0.78801692486467934</v>
      </c>
      <c r="O3566" s="2">
        <f ca="1"/>
        <v>-1.4604583750140365</v>
      </c>
      <c r="X3566" s="2">
        <f ca="1"/>
        <v>36.264427461424013</v>
      </c>
      <c r="AG3566" s="2">
        <f ca="1"/>
        <v>0.6100108350392488</v>
      </c>
      <c r="AH3566" s="2" t="str">
        <f ca="1"/>
        <v>Bad</v>
      </c>
    </row>
    <row r="3567" spans="2:34" x14ac:dyDescent="0.2">
      <c r="B3567" s="2">
        <f ca="1"/>
        <v>0.46910515714487255</v>
      </c>
      <c r="O3567" s="2">
        <f ca="1"/>
        <v>-1.0879410849750308</v>
      </c>
      <c r="X3567" s="2">
        <f ca="1"/>
        <v>35.443352900025772</v>
      </c>
      <c r="AG3567" s="2">
        <f ca="1"/>
        <v>0.29732022357478671</v>
      </c>
      <c r="AH3567" s="2" t="str">
        <f ca="1"/>
        <v>OK</v>
      </c>
    </row>
    <row r="3568" spans="2:34" x14ac:dyDescent="0.2">
      <c r="B3568" s="2">
        <f ca="1"/>
        <v>0.21702890999576052</v>
      </c>
      <c r="O3568" s="2">
        <f ca="1"/>
        <v>0.82905652530070884</v>
      </c>
      <c r="X3568" s="2">
        <f ca="1"/>
        <v>51.183550344759169</v>
      </c>
      <c r="AG3568" s="2">
        <f ca="1"/>
        <v>0.73655337672211729</v>
      </c>
      <c r="AH3568" s="2" t="str">
        <f ca="1"/>
        <v>Bad</v>
      </c>
    </row>
    <row r="3569" spans="2:34" x14ac:dyDescent="0.2">
      <c r="B3569" s="2">
        <f ca="1"/>
        <v>0.89841306346710015</v>
      </c>
      <c r="O3569" s="2">
        <f ca="1"/>
        <v>0.59687890966280766</v>
      </c>
      <c r="X3569" s="2">
        <f ca="1"/>
        <v>96.661632087502653</v>
      </c>
      <c r="AG3569" s="2">
        <f ca="1"/>
        <v>0.31822213029818891</v>
      </c>
      <c r="AH3569" s="2" t="str">
        <f ca="1"/>
        <v>OK</v>
      </c>
    </row>
    <row r="3570" spans="2:34" x14ac:dyDescent="0.2">
      <c r="B3570" s="2">
        <f ca="1"/>
        <v>0.48480029270983227</v>
      </c>
      <c r="O3570" s="2">
        <f ca="1"/>
        <v>0.43726772815233717</v>
      </c>
      <c r="X3570" s="2">
        <f ca="1"/>
        <v>72.413336249820844</v>
      </c>
      <c r="AG3570" s="2">
        <f ca="1"/>
        <v>0.70719670526905642</v>
      </c>
      <c r="AH3570" s="2" t="str">
        <f ca="1"/>
        <v>Bad</v>
      </c>
    </row>
    <row r="3571" spans="2:34" x14ac:dyDescent="0.2">
      <c r="B3571" s="2">
        <f ca="1"/>
        <v>6.3900466168304249E-2</v>
      </c>
      <c r="O3571" s="2">
        <f ca="1"/>
        <v>-0.62190221750717145</v>
      </c>
      <c r="X3571" s="2">
        <f ca="1"/>
        <v>38.88691754114064</v>
      </c>
      <c r="AG3571" s="2">
        <f ca="1"/>
        <v>0.50257641541246745</v>
      </c>
      <c r="AH3571" s="2" t="str">
        <f ca="1"/>
        <v>Bad</v>
      </c>
    </row>
    <row r="3572" spans="2:34" x14ac:dyDescent="0.2">
      <c r="B3572" s="2">
        <f ca="1"/>
        <v>0.20432225962964057</v>
      </c>
      <c r="O3572" s="2">
        <f ca="1"/>
        <v>1.9763137233167607</v>
      </c>
      <c r="X3572" s="2">
        <f ca="1"/>
        <v>59.337111158045353</v>
      </c>
      <c r="AG3572" s="2">
        <f ca="1"/>
        <v>0.97450577512997061</v>
      </c>
      <c r="AH3572" s="2" t="str">
        <f ca="1"/>
        <v>Bad</v>
      </c>
    </row>
    <row r="3573" spans="2:34" x14ac:dyDescent="0.2">
      <c r="B3573" s="2">
        <f ca="1"/>
        <v>0.99843427907114268</v>
      </c>
      <c r="O3573" s="2">
        <f ca="1"/>
        <v>-1.3277896187931837</v>
      </c>
      <c r="X3573" s="2">
        <f ca="1"/>
        <v>33.687820689013208</v>
      </c>
      <c r="AG3573" s="2">
        <f ca="1"/>
        <v>0.82542293685786006</v>
      </c>
      <c r="AH3573" s="2" t="str">
        <f ca="1"/>
        <v>Bad</v>
      </c>
    </row>
    <row r="3574" spans="2:34" x14ac:dyDescent="0.2">
      <c r="B3574" s="2">
        <f ca="1"/>
        <v>0.69223320584926196</v>
      </c>
      <c r="O3574" s="2">
        <f ca="1"/>
        <v>0.94858769598427761</v>
      </c>
      <c r="X3574" s="2">
        <f ca="1"/>
        <v>59.063508846107325</v>
      </c>
      <c r="AG3574" s="2">
        <f ca="1"/>
        <v>0.85833230860222631</v>
      </c>
      <c r="AH3574" s="2" t="str">
        <f ca="1"/>
        <v>Bad</v>
      </c>
    </row>
    <row r="3575" spans="2:34" x14ac:dyDescent="0.2">
      <c r="B3575" s="2">
        <f ca="1"/>
        <v>2.2079019155194723E-2</v>
      </c>
      <c r="O3575" s="2">
        <f ca="1"/>
        <v>0.96471846389252436</v>
      </c>
      <c r="X3575" s="2">
        <f ca="1"/>
        <v>39.412875848899887</v>
      </c>
      <c r="AG3575" s="2">
        <f ca="1"/>
        <v>0.97615512079140521</v>
      </c>
      <c r="AH3575" s="2" t="str">
        <f ca="1"/>
        <v>Bad</v>
      </c>
    </row>
    <row r="3576" spans="2:34" x14ac:dyDescent="0.2">
      <c r="B3576" s="2">
        <f ca="1"/>
        <v>0.62229160445656873</v>
      </c>
      <c r="O3576" s="2">
        <f ca="1"/>
        <v>0.83359469856309432</v>
      </c>
      <c r="X3576" s="2">
        <f ca="1"/>
        <v>48.23492982999543</v>
      </c>
      <c r="AG3576" s="2">
        <f ca="1"/>
        <v>0.27549988018047999</v>
      </c>
      <c r="AH3576" s="2" t="str">
        <f ca="1"/>
        <v>OK</v>
      </c>
    </row>
    <row r="3577" spans="2:34" x14ac:dyDescent="0.2">
      <c r="B3577" s="2">
        <f ca="1"/>
        <v>0.99324150724407212</v>
      </c>
      <c r="O3577" s="2">
        <f ca="1"/>
        <v>0.12670669014536745</v>
      </c>
      <c r="X3577" s="2">
        <f ca="1"/>
        <v>68.433518455192527</v>
      </c>
      <c r="AG3577" s="2">
        <f ca="1"/>
        <v>0.2361377161850271</v>
      </c>
      <c r="AH3577" s="2" t="str">
        <f ca="1"/>
        <v>OK</v>
      </c>
    </row>
    <row r="3578" spans="2:34" x14ac:dyDescent="0.2">
      <c r="B3578" s="2">
        <f ca="1"/>
        <v>0.51002388370723462</v>
      </c>
      <c r="O3578" s="2">
        <f ca="1"/>
        <v>-1.3817193955682112</v>
      </c>
      <c r="X3578" s="2">
        <f ca="1"/>
        <v>41.363267905578084</v>
      </c>
      <c r="AG3578" s="2">
        <f ca="1"/>
        <v>0.1725963772912118</v>
      </c>
      <c r="AH3578" s="2" t="str">
        <f ca="1"/>
        <v>OK</v>
      </c>
    </row>
    <row r="3579" spans="2:34" x14ac:dyDescent="0.2">
      <c r="B3579" s="2">
        <f ca="1"/>
        <v>0.6708223027977307</v>
      </c>
      <c r="O3579" s="2">
        <f ca="1"/>
        <v>0.12623880540524979</v>
      </c>
      <c r="X3579" s="2">
        <f ca="1"/>
        <v>28.701896516040563</v>
      </c>
      <c r="AG3579" s="2">
        <f ca="1"/>
        <v>0.38027603148698663</v>
      </c>
      <c r="AH3579" s="2" t="str">
        <f ca="1"/>
        <v>OK</v>
      </c>
    </row>
    <row r="3580" spans="2:34" x14ac:dyDescent="0.2">
      <c r="B3580" s="2">
        <f ca="1"/>
        <v>0.59508535943628948</v>
      </c>
      <c r="O3580" s="2">
        <f ca="1"/>
        <v>-0.5116031183960108</v>
      </c>
      <c r="X3580" s="2">
        <f ca="1"/>
        <v>43.791108871168909</v>
      </c>
      <c r="AG3580" s="2">
        <f ca="1"/>
        <v>0.49558891086122747</v>
      </c>
      <c r="AH3580" s="2" t="str">
        <f ca="1"/>
        <v>Bad</v>
      </c>
    </row>
    <row r="3581" spans="2:34" x14ac:dyDescent="0.2">
      <c r="B3581" s="2">
        <f ca="1"/>
        <v>0.61274499175548058</v>
      </c>
      <c r="O3581" s="2">
        <f ca="1"/>
        <v>0.30070699945833695</v>
      </c>
      <c r="X3581" s="2">
        <f ca="1"/>
        <v>42.499810932167932</v>
      </c>
      <c r="AG3581" s="2">
        <f ca="1"/>
        <v>0.95356407732310755</v>
      </c>
      <c r="AH3581" s="2" t="str">
        <f ca="1"/>
        <v>Bad</v>
      </c>
    </row>
    <row r="3582" spans="2:34" x14ac:dyDescent="0.2">
      <c r="B3582" s="2">
        <f ca="1"/>
        <v>0.67278982674126708</v>
      </c>
      <c r="O3582" s="2">
        <f ca="1"/>
        <v>-0.10092258056383703</v>
      </c>
      <c r="X3582" s="2">
        <f ca="1"/>
        <v>43.702703873975672</v>
      </c>
      <c r="AG3582" s="2">
        <f ca="1"/>
        <v>0.28062256334919633</v>
      </c>
      <c r="AH3582" s="2" t="str">
        <f ca="1"/>
        <v>OK</v>
      </c>
    </row>
    <row r="3583" spans="2:34" x14ac:dyDescent="0.2">
      <c r="B3583" s="2">
        <f ca="1"/>
        <v>7.6349239292307303E-2</v>
      </c>
      <c r="O3583" s="2">
        <f ca="1"/>
        <v>-0.49199238584121402</v>
      </c>
      <c r="X3583" s="2">
        <f ca="1"/>
        <v>51.374286232892899</v>
      </c>
      <c r="AG3583" s="2">
        <f ca="1"/>
        <v>0.8815583471527968</v>
      </c>
      <c r="AH3583" s="2" t="str">
        <f ca="1"/>
        <v>Bad</v>
      </c>
    </row>
    <row r="3584" spans="2:34" x14ac:dyDescent="0.2">
      <c r="B3584" s="2">
        <f ca="1"/>
        <v>0.13979105085586974</v>
      </c>
      <c r="O3584" s="2">
        <f ca="1"/>
        <v>0.71503280294921367</v>
      </c>
      <c r="X3584" s="2">
        <f ca="1"/>
        <v>32.973411242024568</v>
      </c>
      <c r="AG3584" s="2">
        <f ca="1"/>
        <v>0.30066895005239314</v>
      </c>
      <c r="AH3584" s="2" t="str">
        <f ca="1"/>
        <v>OK</v>
      </c>
    </row>
    <row r="3585" spans="2:34" x14ac:dyDescent="0.2">
      <c r="B3585" s="2">
        <f ca="1"/>
        <v>0.16451044999254161</v>
      </c>
      <c r="O3585" s="2">
        <f ca="1"/>
        <v>-0.94983658916663027</v>
      </c>
      <c r="X3585" s="2">
        <f ca="1"/>
        <v>40.951769486044867</v>
      </c>
      <c r="AG3585" s="2">
        <f ca="1"/>
        <v>0.9039877042940665</v>
      </c>
      <c r="AH3585" s="2" t="str">
        <f ca="1"/>
        <v>Bad</v>
      </c>
    </row>
    <row r="3586" spans="2:34" x14ac:dyDescent="0.2">
      <c r="B3586" s="2">
        <f ca="1"/>
        <v>0.26249599053936024</v>
      </c>
      <c r="O3586" s="2">
        <f ca="1"/>
        <v>0.78613681922121548</v>
      </c>
      <c r="X3586" s="2">
        <f ca="1"/>
        <v>70.121380566172519</v>
      </c>
      <c r="AG3586" s="2">
        <f ca="1"/>
        <v>0.72979001118833575</v>
      </c>
      <c r="AH3586" s="2" t="str">
        <f ca="1"/>
        <v>Bad</v>
      </c>
    </row>
    <row r="3587" spans="2:34" x14ac:dyDescent="0.2">
      <c r="B3587" s="2">
        <f ca="1"/>
        <v>0.47627332635202846</v>
      </c>
      <c r="O3587" s="2">
        <f ca="1"/>
        <v>3.3692668455793413E-4</v>
      </c>
      <c r="X3587" s="2">
        <f ca="1"/>
        <v>35.179787185404074</v>
      </c>
      <c r="AG3587" s="2">
        <f ca="1"/>
        <v>8.9027447709806307E-3</v>
      </c>
      <c r="AH3587" s="2" t="str">
        <f ca="1"/>
        <v>Good</v>
      </c>
    </row>
    <row r="3588" spans="2:34" x14ac:dyDescent="0.2">
      <c r="B3588" s="2">
        <f ca="1"/>
        <v>1.3644410716005195E-2</v>
      </c>
      <c r="O3588" s="2">
        <f ca="1"/>
        <v>0.4825008046133869</v>
      </c>
      <c r="X3588" s="2">
        <f ca="1"/>
        <v>55.052569409546763</v>
      </c>
      <c r="AG3588" s="2">
        <f ca="1"/>
        <v>0.77268797699036673</v>
      </c>
      <c r="AH3588" s="2" t="str">
        <f ca="1"/>
        <v>Bad</v>
      </c>
    </row>
    <row r="3589" spans="2:34" x14ac:dyDescent="0.2">
      <c r="B3589" s="2">
        <f ca="1"/>
        <v>0.42799380950032817</v>
      </c>
      <c r="O3589" s="2">
        <f ca="1"/>
        <v>8.7787501842889082E-2</v>
      </c>
      <c r="X3589" s="2">
        <f ca="1"/>
        <v>58.385124347915642</v>
      </c>
      <c r="AG3589" s="2">
        <f ca="1"/>
        <v>0.75504325137486306</v>
      </c>
      <c r="AH3589" s="2" t="str">
        <f ca="1"/>
        <v>Bad</v>
      </c>
    </row>
    <row r="3590" spans="2:34" x14ac:dyDescent="0.2">
      <c r="B3590" s="2">
        <f ca="1"/>
        <v>0.25690294533497138</v>
      </c>
      <c r="O3590" s="2">
        <f ca="1"/>
        <v>-0.30833631098703174</v>
      </c>
      <c r="X3590" s="2">
        <f ca="1"/>
        <v>68.440067481470891</v>
      </c>
      <c r="AG3590" s="2">
        <f ca="1"/>
        <v>0.52411031099684791</v>
      </c>
      <c r="AH3590" s="2" t="str">
        <f ca="1"/>
        <v>Bad</v>
      </c>
    </row>
    <row r="3591" spans="2:34" x14ac:dyDescent="0.2">
      <c r="B3591" s="2">
        <f ca="1"/>
        <v>0.27977484652335227</v>
      </c>
      <c r="O3591" s="2">
        <f ca="1"/>
        <v>-0.50422920149433537</v>
      </c>
      <c r="X3591" s="2">
        <f ca="1"/>
        <v>56.484862273442602</v>
      </c>
      <c r="AG3591" s="2">
        <f ca="1"/>
        <v>2.1946845362581513E-2</v>
      </c>
      <c r="AH3591" s="2" t="str">
        <f ca="1"/>
        <v>Good</v>
      </c>
    </row>
    <row r="3592" spans="2:34" x14ac:dyDescent="0.2">
      <c r="B3592" s="2">
        <f ca="1"/>
        <v>0.70853165958191977</v>
      </c>
      <c r="O3592" s="2">
        <f ca="1"/>
        <v>0.84123391791294777</v>
      </c>
      <c r="X3592" s="2">
        <f ca="1"/>
        <v>44.958490494865444</v>
      </c>
      <c r="AG3592" s="2">
        <f ca="1"/>
        <v>0.37304026271226798</v>
      </c>
      <c r="AH3592" s="2" t="str">
        <f ca="1"/>
        <v>OK</v>
      </c>
    </row>
    <row r="3593" spans="2:34" x14ac:dyDescent="0.2">
      <c r="B3593" s="2">
        <f ca="1"/>
        <v>0.54181444747205854</v>
      </c>
      <c r="O3593" s="2">
        <f ca="1"/>
        <v>0.36927984267808855</v>
      </c>
      <c r="X3593" s="2">
        <f ca="1"/>
        <v>39.176796395776606</v>
      </c>
      <c r="AG3593" s="2">
        <f ca="1"/>
        <v>0.56822093595061052</v>
      </c>
      <c r="AH3593" s="2" t="str">
        <f ca="1"/>
        <v>Bad</v>
      </c>
    </row>
    <row r="3594" spans="2:34" x14ac:dyDescent="0.2">
      <c r="B3594" s="2">
        <f ca="1"/>
        <v>0.73944370408544002</v>
      </c>
      <c r="O3594" s="2">
        <f ca="1"/>
        <v>-0.77921044090098246</v>
      </c>
      <c r="X3594" s="2">
        <f ca="1"/>
        <v>38.960480521394686</v>
      </c>
      <c r="AG3594" s="2">
        <f ca="1"/>
        <v>0.52594130495451052</v>
      </c>
      <c r="AH3594" s="2" t="str">
        <f ca="1"/>
        <v>Bad</v>
      </c>
    </row>
    <row r="3595" spans="2:34" x14ac:dyDescent="0.2">
      <c r="B3595" s="2">
        <f ca="1"/>
        <v>0.41964215365572155</v>
      </c>
      <c r="O3595" s="2">
        <f ca="1"/>
        <v>-0.67588372384164874</v>
      </c>
      <c r="X3595" s="2">
        <f ca="1"/>
        <v>36.932951700522466</v>
      </c>
      <c r="AG3595" s="2">
        <f ca="1"/>
        <v>0.23208192772750835</v>
      </c>
      <c r="AH3595" s="2" t="str">
        <f ca="1"/>
        <v>OK</v>
      </c>
    </row>
    <row r="3596" spans="2:34" x14ac:dyDescent="0.2">
      <c r="B3596" s="2">
        <f ca="1"/>
        <v>0.53459358698070703</v>
      </c>
      <c r="O3596" s="2">
        <f ca="1"/>
        <v>-0.55420005739469247</v>
      </c>
      <c r="X3596" s="2">
        <f ca="1"/>
        <v>56.079791388906948</v>
      </c>
      <c r="AG3596" s="2">
        <f ca="1"/>
        <v>0.96398361764951468</v>
      </c>
      <c r="AH3596" s="2" t="str">
        <f ca="1"/>
        <v>Bad</v>
      </c>
    </row>
    <row r="3597" spans="2:34" x14ac:dyDescent="0.2">
      <c r="B3597" s="2">
        <f ca="1"/>
        <v>0.84088681495928497</v>
      </c>
      <c r="O3597" s="2">
        <f ca="1"/>
        <v>1.3567150516023729</v>
      </c>
      <c r="X3597" s="2">
        <f ca="1"/>
        <v>25.616309461834533</v>
      </c>
      <c r="AG3597" s="2">
        <f ca="1"/>
        <v>0.54443569627082011</v>
      </c>
      <c r="AH3597" s="2" t="str">
        <f ca="1"/>
        <v>Bad</v>
      </c>
    </row>
    <row r="3598" spans="2:34" x14ac:dyDescent="0.2">
      <c r="B3598" s="2">
        <f ca="1"/>
        <v>0.50807787934876814</v>
      </c>
      <c r="O3598" s="2">
        <f ca="1"/>
        <v>0.77267992022902443</v>
      </c>
      <c r="X3598" s="2">
        <f ca="1"/>
        <v>34.399159780836996</v>
      </c>
      <c r="AG3598" s="2">
        <f ca="1"/>
        <v>0.72634024737270364</v>
      </c>
      <c r="AH3598" s="2" t="str">
        <f ca="1"/>
        <v>Bad</v>
      </c>
    </row>
    <row r="3599" spans="2:34" x14ac:dyDescent="0.2">
      <c r="B3599" s="2">
        <f ca="1"/>
        <v>0.91608309454993297</v>
      </c>
      <c r="O3599" s="2">
        <f ca="1"/>
        <v>1.1595349860061583</v>
      </c>
      <c r="X3599" s="2">
        <f ca="1"/>
        <v>39.6107190995031</v>
      </c>
      <c r="AG3599" s="2">
        <f ca="1"/>
        <v>0.3746992580827424</v>
      </c>
      <c r="AH3599" s="2" t="str">
        <f ca="1"/>
        <v>OK</v>
      </c>
    </row>
    <row r="3600" spans="2:34" x14ac:dyDescent="0.2">
      <c r="B3600" s="2">
        <f ca="1"/>
        <v>0.27328929281443815</v>
      </c>
      <c r="O3600" s="2">
        <f ca="1"/>
        <v>-0.62760235972313316</v>
      </c>
      <c r="X3600" s="2">
        <f ca="1"/>
        <v>43.643390378471103</v>
      </c>
      <c r="AG3600" s="2">
        <f ca="1"/>
        <v>0.48752006414471438</v>
      </c>
      <c r="AH3600" s="2" t="str">
        <f ca="1"/>
        <v>Bad</v>
      </c>
    </row>
    <row r="3601" spans="2:34" x14ac:dyDescent="0.2">
      <c r="B3601" s="2">
        <f ca="1"/>
        <v>0.2513585819981623</v>
      </c>
      <c r="O3601" s="2">
        <f ca="1"/>
        <v>-0.18139081752526065</v>
      </c>
      <c r="X3601" s="2">
        <f ca="1"/>
        <v>21.15440733823727</v>
      </c>
      <c r="AG3601" s="2">
        <f ca="1"/>
        <v>0.55407266812490796</v>
      </c>
      <c r="AH3601" s="2" t="str">
        <f ca="1"/>
        <v>Bad</v>
      </c>
    </row>
    <row r="3602" spans="2:34" x14ac:dyDescent="0.2">
      <c r="B3602" s="2">
        <f ca="1"/>
        <v>0.26752316603282988</v>
      </c>
      <c r="O3602" s="2">
        <f ca="1"/>
        <v>-0.14907828200985723</v>
      </c>
      <c r="X3602" s="2">
        <f ca="1"/>
        <v>81.774637504039092</v>
      </c>
      <c r="AG3602" s="2">
        <f ca="1"/>
        <v>0.65301678869594726</v>
      </c>
      <c r="AH3602" s="2" t="str">
        <f ca="1"/>
        <v>Bad</v>
      </c>
    </row>
    <row r="3603" spans="2:34" x14ac:dyDescent="0.2">
      <c r="B3603" s="2">
        <f ca="1"/>
        <v>0.89705667683803791</v>
      </c>
      <c r="O3603" s="2">
        <f ca="1"/>
        <v>0.74620058621082386</v>
      </c>
      <c r="X3603" s="2">
        <f ca="1"/>
        <v>31.039674412658623</v>
      </c>
      <c r="AG3603" s="2">
        <f ca="1"/>
        <v>1.9769866374595102E-2</v>
      </c>
      <c r="AH3603" s="2" t="str">
        <f ca="1"/>
        <v>Good</v>
      </c>
    </row>
    <row r="3604" spans="2:34" x14ac:dyDescent="0.2">
      <c r="B3604" s="2">
        <f ca="1"/>
        <v>0.61472441051479176</v>
      </c>
      <c r="O3604" s="2">
        <f ca="1"/>
        <v>1.58421533749296</v>
      </c>
      <c r="X3604" s="2">
        <f ca="1"/>
        <v>54.312474269869881</v>
      </c>
      <c r="AG3604" s="2">
        <f ca="1"/>
        <v>0.4422910738272936</v>
      </c>
      <c r="AH3604" s="2" t="str">
        <f ca="1"/>
        <v>Bad</v>
      </c>
    </row>
    <row r="3605" spans="2:34" x14ac:dyDescent="0.2">
      <c r="B3605" s="2">
        <f ca="1"/>
        <v>0.23012907142365879</v>
      </c>
      <c r="O3605" s="2">
        <f ca="1"/>
        <v>-0.1373199304982137</v>
      </c>
      <c r="X3605" s="2">
        <f ca="1"/>
        <v>37.76322841985192</v>
      </c>
      <c r="AG3605" s="2">
        <f ca="1"/>
        <v>0.10260421874394865</v>
      </c>
      <c r="AH3605" s="2" t="str">
        <f ca="1"/>
        <v>OK</v>
      </c>
    </row>
    <row r="3606" spans="2:34" x14ac:dyDescent="0.2">
      <c r="B3606" s="2">
        <f ca="1"/>
        <v>0.12087189071204341</v>
      </c>
      <c r="O3606" s="2">
        <f ca="1"/>
        <v>0.31138242239174135</v>
      </c>
      <c r="X3606" s="2">
        <f ca="1"/>
        <v>84.514265815976515</v>
      </c>
      <c r="AG3606" s="2">
        <f ca="1"/>
        <v>0.96003333157768811</v>
      </c>
      <c r="AH3606" s="2" t="str">
        <f ca="1"/>
        <v>Bad</v>
      </c>
    </row>
    <row r="3607" spans="2:34" x14ac:dyDescent="0.2">
      <c r="B3607" s="2">
        <f ca="1"/>
        <v>0.37777349208891331</v>
      </c>
      <c r="O3607" s="2">
        <f ca="1"/>
        <v>-0.32198578660417215</v>
      </c>
      <c r="X3607" s="2">
        <f ca="1"/>
        <v>53.862201469899048</v>
      </c>
      <c r="AG3607" s="2">
        <f ca="1"/>
        <v>9.5169652558563467E-2</v>
      </c>
      <c r="AH3607" s="2" t="str">
        <f ca="1"/>
        <v>OK</v>
      </c>
    </row>
    <row r="3608" spans="2:34" x14ac:dyDescent="0.2">
      <c r="B3608" s="2">
        <f ca="1"/>
        <v>0.99086266360671549</v>
      </c>
      <c r="O3608" s="2">
        <f ca="1"/>
        <v>-0.91982890275884566</v>
      </c>
      <c r="X3608" s="2">
        <f ca="1"/>
        <v>35.464999644043402</v>
      </c>
      <c r="AG3608" s="2">
        <f ca="1"/>
        <v>0.59815977978479307</v>
      </c>
      <c r="AH3608" s="2" t="str">
        <f ca="1"/>
        <v>Bad</v>
      </c>
    </row>
    <row r="3609" spans="2:34" x14ac:dyDescent="0.2">
      <c r="B3609" s="2">
        <f ca="1"/>
        <v>0.59314091349896625</v>
      </c>
      <c r="O3609" s="2">
        <f ca="1"/>
        <v>-0.53950544053242355</v>
      </c>
      <c r="X3609" s="2">
        <f ca="1"/>
        <v>33.27519460382404</v>
      </c>
      <c r="AG3609" s="2">
        <f ca="1"/>
        <v>5.3377294812236631E-2</v>
      </c>
      <c r="AH3609" s="2" t="str">
        <f ca="1"/>
        <v>OK</v>
      </c>
    </row>
    <row r="3610" spans="2:34" x14ac:dyDescent="0.2">
      <c r="B3610" s="2">
        <f ca="1"/>
        <v>0.40085673438619107</v>
      </c>
      <c r="O3610" s="2">
        <f ca="1"/>
        <v>0.26420452702314667</v>
      </c>
      <c r="X3610" s="2">
        <f ca="1"/>
        <v>47.048920452216841</v>
      </c>
      <c r="AG3610" s="2">
        <f ca="1"/>
        <v>0.81571736708683917</v>
      </c>
      <c r="AH3610" s="2" t="str">
        <f ca="1"/>
        <v>Bad</v>
      </c>
    </row>
    <row r="3611" spans="2:34" x14ac:dyDescent="0.2">
      <c r="B3611" s="2">
        <f ca="1"/>
        <v>0.12470696464168096</v>
      </c>
      <c r="O3611" s="2">
        <f ca="1"/>
        <v>-0.18557199051475437</v>
      </c>
      <c r="X3611" s="2">
        <f ca="1"/>
        <v>57.958563882577707</v>
      </c>
      <c r="AG3611" s="2">
        <f ca="1"/>
        <v>0.49122547956760565</v>
      </c>
      <c r="AH3611" s="2" t="str">
        <f ca="1"/>
        <v>Bad</v>
      </c>
    </row>
    <row r="3612" spans="2:34" x14ac:dyDescent="0.2">
      <c r="B3612" s="2">
        <f ca="1"/>
        <v>0.71105045417135604</v>
      </c>
      <c r="O3612" s="2">
        <f ca="1"/>
        <v>1.0428183460365081</v>
      </c>
      <c r="X3612" s="2">
        <f ca="1"/>
        <v>71.595653137129474</v>
      </c>
      <c r="AG3612" s="2">
        <f ca="1"/>
        <v>0.99743614734396302</v>
      </c>
      <c r="AH3612" s="2" t="str">
        <f ca="1"/>
        <v>Bad</v>
      </c>
    </row>
    <row r="3613" spans="2:34" x14ac:dyDescent="0.2">
      <c r="B3613" s="2">
        <f ca="1"/>
        <v>0.73776851745210248</v>
      </c>
      <c r="O3613" s="2">
        <f ca="1"/>
        <v>-1.5682866008279275</v>
      </c>
      <c r="X3613" s="2">
        <f ca="1"/>
        <v>71.316257328655482</v>
      </c>
      <c r="AG3613" s="2">
        <f ca="1"/>
        <v>0.46713551403893283</v>
      </c>
      <c r="AH3613" s="2" t="str">
        <f ca="1"/>
        <v>Bad</v>
      </c>
    </row>
    <row r="3614" spans="2:34" x14ac:dyDescent="0.2">
      <c r="B3614" s="2">
        <f ca="1"/>
        <v>0.63058806536049716</v>
      </c>
      <c r="O3614" s="2">
        <f ca="1"/>
        <v>1.4610382980592349</v>
      </c>
      <c r="X3614" s="2">
        <f ca="1"/>
        <v>44.226758740895946</v>
      </c>
      <c r="AG3614" s="2">
        <f ca="1"/>
        <v>0.7203637325363208</v>
      </c>
      <c r="AH3614" s="2" t="str">
        <f ca="1"/>
        <v>Bad</v>
      </c>
    </row>
    <row r="3615" spans="2:34" x14ac:dyDescent="0.2">
      <c r="B3615" s="2">
        <f ca="1"/>
        <v>0.96358066709982793</v>
      </c>
      <c r="O3615" s="2">
        <f ca="1"/>
        <v>0.29177124709901237</v>
      </c>
      <c r="X3615" s="2">
        <f ca="1"/>
        <v>43.675959243202257</v>
      </c>
      <c r="AG3615" s="2">
        <f ca="1"/>
        <v>0.7376140063253338</v>
      </c>
      <c r="AH3615" s="2" t="str">
        <f ca="1"/>
        <v>Bad</v>
      </c>
    </row>
    <row r="3616" spans="2:34" x14ac:dyDescent="0.2">
      <c r="B3616" s="2">
        <f ca="1"/>
        <v>0.52578668046538102</v>
      </c>
      <c r="O3616" s="2">
        <f ca="1"/>
        <v>-0.67463911641036745</v>
      </c>
      <c r="X3616" s="2">
        <f ca="1"/>
        <v>66.158766612320377</v>
      </c>
      <c r="AG3616" s="2">
        <f ca="1"/>
        <v>0.64877660367684875</v>
      </c>
      <c r="AH3616" s="2" t="str">
        <f ca="1"/>
        <v>Bad</v>
      </c>
    </row>
    <row r="3617" spans="2:34" x14ac:dyDescent="0.2">
      <c r="B3617" s="2">
        <f ca="1"/>
        <v>7.665357001404649E-2</v>
      </c>
      <c r="O3617" s="2">
        <f ca="1"/>
        <v>-1.7172336150955043</v>
      </c>
      <c r="X3617" s="2">
        <f ca="1"/>
        <v>78.629924371087029</v>
      </c>
      <c r="AG3617" s="2">
        <f ca="1"/>
        <v>0.95017635039868398</v>
      </c>
      <c r="AH3617" s="2" t="str">
        <f ca="1"/>
        <v>Bad</v>
      </c>
    </row>
    <row r="3618" spans="2:34" x14ac:dyDescent="0.2">
      <c r="B3618" s="2">
        <f ca="1"/>
        <v>0.16937034837096032</v>
      </c>
      <c r="O3618" s="2">
        <f ca="1"/>
        <v>-0.55149256352198484</v>
      </c>
      <c r="X3618" s="2">
        <f ca="1"/>
        <v>60.628653753984636</v>
      </c>
      <c r="AG3618" s="2">
        <f ca="1"/>
        <v>0.56230215166300979</v>
      </c>
      <c r="AH3618" s="2" t="str">
        <f ca="1"/>
        <v>Bad</v>
      </c>
    </row>
    <row r="3619" spans="2:34" x14ac:dyDescent="0.2">
      <c r="B3619" s="2">
        <f ca="1"/>
        <v>0.40849149411528418</v>
      </c>
      <c r="O3619" s="2">
        <f ca="1"/>
        <v>0.29740056701573059</v>
      </c>
      <c r="X3619" s="2">
        <f ca="1"/>
        <v>50.682384665851359</v>
      </c>
      <c r="AG3619" s="2">
        <f ca="1"/>
        <v>0.6168517816574608</v>
      </c>
      <c r="AH3619" s="2" t="str">
        <f ca="1"/>
        <v>Bad</v>
      </c>
    </row>
    <row r="3620" spans="2:34" x14ac:dyDescent="0.2">
      <c r="B3620" s="2">
        <f ca="1"/>
        <v>0.61322906498670093</v>
      </c>
      <c r="O3620" s="2">
        <f ca="1"/>
        <v>-0.96823754364155634</v>
      </c>
      <c r="X3620" s="2">
        <f ca="1"/>
        <v>50.369573768486191</v>
      </c>
      <c r="AG3620" s="2">
        <f ca="1"/>
        <v>0.45867973805008977</v>
      </c>
      <c r="AH3620" s="2" t="str">
        <f ca="1"/>
        <v>Bad</v>
      </c>
    </row>
    <row r="3621" spans="2:34" x14ac:dyDescent="0.2">
      <c r="B3621" s="2">
        <f ca="1"/>
        <v>0.43957649594723547</v>
      </c>
      <c r="O3621" s="2">
        <f ca="1"/>
        <v>0.35516786927741867</v>
      </c>
      <c r="X3621" s="2">
        <f ca="1"/>
        <v>45.434914353287475</v>
      </c>
      <c r="AG3621" s="2">
        <f ca="1"/>
        <v>0.26499675044281146</v>
      </c>
      <c r="AH3621" s="2" t="str">
        <f ca="1"/>
        <v>OK</v>
      </c>
    </row>
    <row r="3622" spans="2:34" x14ac:dyDescent="0.2">
      <c r="B3622" s="2">
        <f ca="1"/>
        <v>0.1395994944770611</v>
      </c>
      <c r="O3622" s="2">
        <f ca="1"/>
        <v>1.5300579511103352</v>
      </c>
      <c r="X3622" s="2">
        <f ca="1"/>
        <v>60.469094034557557</v>
      </c>
      <c r="AG3622" s="2">
        <f ca="1"/>
        <v>0.85343775574426206</v>
      </c>
      <c r="AH3622" s="2" t="str">
        <f ca="1"/>
        <v>Bad</v>
      </c>
    </row>
    <row r="3623" spans="2:34" x14ac:dyDescent="0.2">
      <c r="B3623" s="2">
        <f ca="1"/>
        <v>0.47948875613207753</v>
      </c>
      <c r="O3623" s="2">
        <f ca="1"/>
        <v>-2.6369271122661364</v>
      </c>
      <c r="X3623" s="2">
        <f ca="1"/>
        <v>44.56000800387099</v>
      </c>
      <c r="AG3623" s="2">
        <f ca="1"/>
        <v>0.40021776952003241</v>
      </c>
      <c r="AH3623" s="2" t="str">
        <f ca="1"/>
        <v>Bad</v>
      </c>
    </row>
    <row r="3624" spans="2:34" x14ac:dyDescent="0.2">
      <c r="B3624" s="2">
        <f ca="1"/>
        <v>0.24740551768739372</v>
      </c>
      <c r="O3624" s="2">
        <f ca="1"/>
        <v>0.51573754435965435</v>
      </c>
      <c r="X3624" s="2">
        <f ca="1"/>
        <v>40.095990273423354</v>
      </c>
      <c r="AG3624" s="2">
        <f ca="1"/>
        <v>0.20244576057102837</v>
      </c>
      <c r="AH3624" s="2" t="str">
        <f ca="1"/>
        <v>OK</v>
      </c>
    </row>
    <row r="3625" spans="2:34" x14ac:dyDescent="0.2">
      <c r="B3625" s="2">
        <f ca="1"/>
        <v>0.97954202866791973</v>
      </c>
      <c r="O3625" s="2">
        <f ca="1"/>
        <v>-0.80607965333495391</v>
      </c>
      <c r="X3625" s="2">
        <f ca="1"/>
        <v>29.674204525847514</v>
      </c>
      <c r="AG3625" s="2">
        <f ca="1"/>
        <v>0.75589795177740382</v>
      </c>
      <c r="AH3625" s="2" t="str">
        <f ca="1"/>
        <v>Bad</v>
      </c>
    </row>
    <row r="3626" spans="2:34" x14ac:dyDescent="0.2">
      <c r="B3626" s="2">
        <f ca="1"/>
        <v>0.25404566961906294</v>
      </c>
      <c r="O3626" s="2">
        <f ca="1"/>
        <v>0.39893818313285456</v>
      </c>
      <c r="X3626" s="2">
        <f ca="1"/>
        <v>16.576856210435501</v>
      </c>
      <c r="AG3626" s="2">
        <f ca="1"/>
        <v>0.25782415334436637</v>
      </c>
      <c r="AH3626" s="2" t="str">
        <f ca="1"/>
        <v>OK</v>
      </c>
    </row>
    <row r="3627" spans="2:34" x14ac:dyDescent="0.2">
      <c r="B3627" s="2">
        <f ca="1"/>
        <v>0.75243266157067956</v>
      </c>
      <c r="O3627" s="2">
        <f ca="1"/>
        <v>0.14064714485778698</v>
      </c>
      <c r="X3627" s="2">
        <f ca="1"/>
        <v>33.661387796990297</v>
      </c>
      <c r="AG3627" s="2">
        <f ca="1"/>
        <v>0.48059468550058249</v>
      </c>
      <c r="AH3627" s="2" t="str">
        <f ca="1"/>
        <v>Bad</v>
      </c>
    </row>
    <row r="3628" spans="2:34" x14ac:dyDescent="0.2">
      <c r="B3628" s="2">
        <f ca="1"/>
        <v>7.9757578063563761E-2</v>
      </c>
      <c r="O3628" s="2">
        <f ca="1"/>
        <v>-1.2181878296024597</v>
      </c>
      <c r="X3628" s="2">
        <f ca="1"/>
        <v>64.850472517812662</v>
      </c>
      <c r="AG3628" s="2">
        <f ca="1"/>
        <v>0.5780448321789482</v>
      </c>
      <c r="AH3628" s="2" t="str">
        <f ca="1"/>
        <v>Bad</v>
      </c>
    </row>
    <row r="3629" spans="2:34" x14ac:dyDescent="0.2">
      <c r="B3629" s="2">
        <f ca="1"/>
        <v>0.64725628348074005</v>
      </c>
      <c r="O3629" s="2">
        <f ca="1"/>
        <v>1.5058906372176406</v>
      </c>
      <c r="X3629" s="2">
        <f ca="1"/>
        <v>29.871662442715206</v>
      </c>
      <c r="AG3629" s="2">
        <f ca="1"/>
        <v>0.41811633676782733</v>
      </c>
      <c r="AH3629" s="2" t="str">
        <f ca="1"/>
        <v>Bad</v>
      </c>
    </row>
    <row r="3630" spans="2:34" x14ac:dyDescent="0.2">
      <c r="B3630" s="2">
        <f ca="1"/>
        <v>0.56358061503745294</v>
      </c>
      <c r="O3630" s="2">
        <f ca="1"/>
        <v>6.3963192921594039E-2</v>
      </c>
      <c r="X3630" s="2">
        <f ca="1"/>
        <v>65.30943284182932</v>
      </c>
      <c r="AG3630" s="2">
        <f ca="1"/>
        <v>3.6216978295936508E-2</v>
      </c>
      <c r="AH3630" s="2" t="str">
        <f ca="1"/>
        <v>Good</v>
      </c>
    </row>
    <row r="3631" spans="2:34" x14ac:dyDescent="0.2">
      <c r="B3631" s="2">
        <f ca="1"/>
        <v>0.7723095409949996</v>
      </c>
      <c r="O3631" s="2">
        <f ca="1"/>
        <v>-1.3318976933426416</v>
      </c>
      <c r="X3631" s="2">
        <f ca="1"/>
        <v>54.801776615992139</v>
      </c>
      <c r="AG3631" s="2">
        <f ca="1"/>
        <v>0.70005972995148635</v>
      </c>
      <c r="AH3631" s="2" t="str">
        <f ca="1"/>
        <v>Bad</v>
      </c>
    </row>
    <row r="3632" spans="2:34" x14ac:dyDescent="0.2">
      <c r="B3632" s="2">
        <f ca="1"/>
        <v>0.79352614874840732</v>
      </c>
      <c r="O3632" s="2">
        <f ca="1"/>
        <v>0.54903433084687225</v>
      </c>
      <c r="X3632" s="2">
        <f ca="1"/>
        <v>42.301804980142379</v>
      </c>
      <c r="AG3632" s="2">
        <f ca="1"/>
        <v>0.50143585673606883</v>
      </c>
      <c r="AH3632" s="2" t="str">
        <f ca="1"/>
        <v>Bad</v>
      </c>
    </row>
    <row r="3633" spans="2:34" x14ac:dyDescent="0.2">
      <c r="B3633" s="2">
        <f ca="1"/>
        <v>0.27925633645900039</v>
      </c>
      <c r="O3633" s="2">
        <f ca="1"/>
        <v>-1.4327397628508811</v>
      </c>
      <c r="X3633" s="2">
        <f ca="1"/>
        <v>29.7485743244833</v>
      </c>
      <c r="AG3633" s="2">
        <f ca="1"/>
        <v>0.27356141770662834</v>
      </c>
      <c r="AH3633" s="2" t="str">
        <f ca="1"/>
        <v>OK</v>
      </c>
    </row>
    <row r="3634" spans="2:34" x14ac:dyDescent="0.2">
      <c r="B3634" s="2">
        <f ca="1"/>
        <v>0.69778614687388263</v>
      </c>
      <c r="O3634" s="2">
        <f ca="1"/>
        <v>1.4061912207830167</v>
      </c>
      <c r="X3634" s="2">
        <f ca="1"/>
        <v>47.238709637789327</v>
      </c>
      <c r="AG3634" s="2">
        <f ca="1"/>
        <v>0.36052983834669861</v>
      </c>
      <c r="AH3634" s="2" t="str">
        <f ca="1"/>
        <v>OK</v>
      </c>
    </row>
    <row r="3635" spans="2:34" x14ac:dyDescent="0.2">
      <c r="B3635" s="2">
        <f ca="1"/>
        <v>0.91667308220698418</v>
      </c>
      <c r="O3635" s="2">
        <f ca="1"/>
        <v>1.0047544941758985E-2</v>
      </c>
      <c r="X3635" s="2">
        <f ca="1"/>
        <v>47.083515675327291</v>
      </c>
      <c r="AG3635" s="2">
        <f ca="1"/>
        <v>2.2924661590343787E-2</v>
      </c>
      <c r="AH3635" s="2" t="str">
        <f ca="1"/>
        <v>Good</v>
      </c>
    </row>
    <row r="3636" spans="2:34" x14ac:dyDescent="0.2">
      <c r="B3636" s="2">
        <f ca="1"/>
        <v>0.76648891828458776</v>
      </c>
      <c r="O3636" s="2">
        <f ca="1"/>
        <v>7.8973896170966784E-2</v>
      </c>
      <c r="X3636" s="2">
        <f ca="1"/>
        <v>49.768496943224093</v>
      </c>
      <c r="AG3636" s="2">
        <f ca="1"/>
        <v>7.638092575199118E-2</v>
      </c>
      <c r="AH3636" s="2" t="str">
        <f ca="1"/>
        <v>OK</v>
      </c>
    </row>
    <row r="3637" spans="2:34" x14ac:dyDescent="0.2">
      <c r="B3637" s="2">
        <f ca="1"/>
        <v>0.81903455531443381</v>
      </c>
      <c r="O3637" s="2">
        <f ca="1"/>
        <v>-0.70023321670245242</v>
      </c>
      <c r="X3637" s="2">
        <f ca="1"/>
        <v>48.581020147456201</v>
      </c>
      <c r="AG3637" s="2">
        <f ca="1"/>
        <v>0.51043607286665504</v>
      </c>
      <c r="AH3637" s="2" t="str">
        <f ca="1"/>
        <v>Bad</v>
      </c>
    </row>
    <row r="3638" spans="2:34" x14ac:dyDescent="0.2">
      <c r="B3638" s="2">
        <f ca="1"/>
        <v>0.88535385482290518</v>
      </c>
      <c r="O3638" s="2">
        <f ca="1"/>
        <v>0.81169425744704005</v>
      </c>
      <c r="X3638" s="2">
        <f ca="1"/>
        <v>54.897603614417932</v>
      </c>
      <c r="AG3638" s="2">
        <f ca="1"/>
        <v>0.67826167998741238</v>
      </c>
      <c r="AH3638" s="2" t="str">
        <f ca="1"/>
        <v>Bad</v>
      </c>
    </row>
    <row r="3639" spans="2:34" x14ac:dyDescent="0.2">
      <c r="B3639" s="2">
        <f ca="1"/>
        <v>0.921483838271411</v>
      </c>
      <c r="O3639" s="2">
        <f ca="1"/>
        <v>0.5916619237799049</v>
      </c>
      <c r="X3639" s="2">
        <f ca="1"/>
        <v>44.341256368117271</v>
      </c>
      <c r="AG3639" s="2">
        <f ca="1"/>
        <v>0.98047145850143669</v>
      </c>
      <c r="AH3639" s="2" t="str">
        <f ca="1"/>
        <v>Bad</v>
      </c>
    </row>
    <row r="3640" spans="2:34" x14ac:dyDescent="0.2">
      <c r="B3640" s="2">
        <f ca="1"/>
        <v>0.49810074403503846</v>
      </c>
      <c r="O3640" s="2">
        <f ca="1"/>
        <v>-0.7618267872774297</v>
      </c>
      <c r="X3640" s="2">
        <f ca="1"/>
        <v>47.85234486093308</v>
      </c>
      <c r="AG3640" s="2">
        <f ca="1"/>
        <v>0.18234898068688166</v>
      </c>
      <c r="AH3640" s="2" t="str">
        <f ca="1"/>
        <v>OK</v>
      </c>
    </row>
    <row r="3641" spans="2:34" x14ac:dyDescent="0.2">
      <c r="B3641" s="2">
        <f ca="1"/>
        <v>0.45327090120938496</v>
      </c>
      <c r="O3641" s="2">
        <f ca="1"/>
        <v>-1.8726720528407244</v>
      </c>
      <c r="X3641" s="2">
        <f ca="1"/>
        <v>36.446741705251249</v>
      </c>
      <c r="AG3641" s="2">
        <f ca="1"/>
        <v>0.21498357646181487</v>
      </c>
      <c r="AH3641" s="2" t="str">
        <f ca="1"/>
        <v>OK</v>
      </c>
    </row>
    <row r="3642" spans="2:34" x14ac:dyDescent="0.2">
      <c r="B3642" s="2">
        <f ca="1"/>
        <v>0.80857687646480492</v>
      </c>
      <c r="O3642" s="2">
        <f ca="1"/>
        <v>-2.7956244869378142</v>
      </c>
      <c r="X3642" s="2">
        <f ca="1"/>
        <v>41.546641210749073</v>
      </c>
      <c r="AG3642" s="2">
        <f ca="1"/>
        <v>0.49864322238286007</v>
      </c>
      <c r="AH3642" s="2" t="str">
        <f ca="1"/>
        <v>Bad</v>
      </c>
    </row>
    <row r="3643" spans="2:34" x14ac:dyDescent="0.2">
      <c r="B3643" s="2">
        <f ca="1"/>
        <v>0.19673858944760769</v>
      </c>
      <c r="O3643" s="2">
        <f ca="1"/>
        <v>0.1815743151634375</v>
      </c>
      <c r="X3643" s="2">
        <f ca="1"/>
        <v>50.759334528026194</v>
      </c>
      <c r="AG3643" s="2">
        <f ca="1"/>
        <v>4.2842139758180853E-2</v>
      </c>
      <c r="AH3643" s="2" t="str">
        <f ca="1"/>
        <v>Good</v>
      </c>
    </row>
    <row r="3644" spans="2:34" x14ac:dyDescent="0.2">
      <c r="B3644" s="2">
        <f ca="1"/>
        <v>8.6789612602797162E-2</v>
      </c>
      <c r="O3644" s="2">
        <f ca="1"/>
        <v>0.74837014713551764</v>
      </c>
      <c r="X3644" s="2">
        <f ca="1"/>
        <v>52.785416870758873</v>
      </c>
      <c r="AG3644" s="2">
        <f ca="1"/>
        <v>0.88143573058713054</v>
      </c>
      <c r="AH3644" s="2" t="str">
        <f ca="1"/>
        <v>Bad</v>
      </c>
    </row>
    <row r="3645" spans="2:34" x14ac:dyDescent="0.2">
      <c r="B3645" s="2">
        <f ca="1"/>
        <v>7.418847724175115E-2</v>
      </c>
      <c r="O3645" s="2">
        <f ca="1"/>
        <v>0.49221141890198594</v>
      </c>
      <c r="X3645" s="2">
        <f ca="1"/>
        <v>49.792524890891833</v>
      </c>
      <c r="AG3645" s="2">
        <f ca="1"/>
        <v>0.24816544135468477</v>
      </c>
      <c r="AH3645" s="2" t="str">
        <f ca="1"/>
        <v>OK</v>
      </c>
    </row>
    <row r="3646" spans="2:34" x14ac:dyDescent="0.2">
      <c r="B3646" s="2">
        <f ca="1"/>
        <v>0.49122366241121607</v>
      </c>
      <c r="O3646" s="2">
        <f ca="1"/>
        <v>-1.0106737056556667</v>
      </c>
      <c r="X3646" s="2">
        <f ca="1"/>
        <v>66.191052359691355</v>
      </c>
      <c r="AG3646" s="2">
        <f ca="1"/>
        <v>0.5799064894127528</v>
      </c>
      <c r="AH3646" s="2" t="str">
        <f ca="1"/>
        <v>Bad</v>
      </c>
    </row>
    <row r="3647" spans="2:34" x14ac:dyDescent="0.2">
      <c r="B3647" s="2">
        <f ca="1"/>
        <v>0.69379873899711608</v>
      </c>
      <c r="O3647" s="2">
        <f ca="1"/>
        <v>-0.18046288140461811</v>
      </c>
      <c r="X3647" s="2">
        <f ca="1"/>
        <v>25.828972975368867</v>
      </c>
      <c r="AG3647" s="2">
        <f ca="1"/>
        <v>0.32728113574873885</v>
      </c>
      <c r="AH3647" s="2" t="str">
        <f ca="1"/>
        <v>OK</v>
      </c>
    </row>
    <row r="3648" spans="2:34" x14ac:dyDescent="0.2">
      <c r="B3648" s="2">
        <f ca="1"/>
        <v>0.55016078208581654</v>
      </c>
      <c r="O3648" s="2">
        <f ca="1"/>
        <v>-0.56851296098729798</v>
      </c>
      <c r="X3648" s="2">
        <f ca="1"/>
        <v>47.97851666143535</v>
      </c>
      <c r="AG3648" s="2">
        <f ca="1"/>
        <v>0.90412343073957402</v>
      </c>
      <c r="AH3648" s="2" t="str">
        <f ca="1"/>
        <v>Bad</v>
      </c>
    </row>
    <row r="3649" spans="2:34" x14ac:dyDescent="0.2">
      <c r="B3649" s="2">
        <f ca="1"/>
        <v>0.51139218510941831</v>
      </c>
      <c r="O3649" s="2">
        <f ca="1"/>
        <v>-0.74218137860378119</v>
      </c>
      <c r="X3649" s="2">
        <f ca="1"/>
        <v>63.527898273063606</v>
      </c>
      <c r="AG3649" s="2">
        <f ca="1"/>
        <v>0.18201894967038412</v>
      </c>
      <c r="AH3649" s="2" t="str">
        <f ca="1"/>
        <v>OK</v>
      </c>
    </row>
    <row r="3650" spans="2:34" x14ac:dyDescent="0.2">
      <c r="B3650" s="2">
        <f ca="1"/>
        <v>0.5096491551888791</v>
      </c>
      <c r="O3650" s="2">
        <f ca="1"/>
        <v>2.8783130647502355E-3</v>
      </c>
      <c r="X3650" s="2">
        <f ca="1"/>
        <v>74.032254802255423</v>
      </c>
      <c r="AG3650" s="2">
        <f ca="1"/>
        <v>0.23677831032854257</v>
      </c>
      <c r="AH3650" s="2" t="str">
        <f ca="1"/>
        <v>OK</v>
      </c>
    </row>
    <row r="3651" spans="2:34" x14ac:dyDescent="0.2">
      <c r="B3651" s="2">
        <f ca="1"/>
        <v>0.72254319888464469</v>
      </c>
      <c r="O3651" s="2">
        <f ca="1"/>
        <v>1.8303695278082328</v>
      </c>
      <c r="X3651" s="2">
        <f ca="1"/>
        <v>55.361946188288222</v>
      </c>
      <c r="AG3651" s="2">
        <f ca="1"/>
        <v>0.89547996366912996</v>
      </c>
      <c r="AH3651" s="2" t="str">
        <f ca="1"/>
        <v>Bad</v>
      </c>
    </row>
    <row r="3652" spans="2:34" x14ac:dyDescent="0.2">
      <c r="B3652" s="2">
        <f ca="1"/>
        <v>0.24977244445287528</v>
      </c>
      <c r="O3652" s="2">
        <f ca="1"/>
        <v>-0.57354783498303219</v>
      </c>
      <c r="X3652" s="2">
        <f ca="1"/>
        <v>33.459737065728923</v>
      </c>
      <c r="AG3652" s="2">
        <f ca="1"/>
        <v>0.8552698213090637</v>
      </c>
      <c r="AH3652" s="2" t="str">
        <f ca="1"/>
        <v>Bad</v>
      </c>
    </row>
    <row r="3653" spans="2:34" x14ac:dyDescent="0.2">
      <c r="B3653" s="2">
        <f ca="1"/>
        <v>0.23049939743108872</v>
      </c>
      <c r="O3653" s="2">
        <f ca="1"/>
        <v>-0.66529479004433945</v>
      </c>
      <c r="X3653" s="2">
        <f ca="1"/>
        <v>23.05687417809618</v>
      </c>
      <c r="AG3653" s="2">
        <f ca="1"/>
        <v>0.49882263046993658</v>
      </c>
      <c r="AH3653" s="2" t="str">
        <f ca="1"/>
        <v>Bad</v>
      </c>
    </row>
    <row r="3654" spans="2:34" x14ac:dyDescent="0.2">
      <c r="B3654" s="2">
        <f ca="1"/>
        <v>0.54758724467617559</v>
      </c>
      <c r="O3654" s="2">
        <f ca="1"/>
        <v>4.0751605561840931E-2</v>
      </c>
      <c r="X3654" s="2">
        <f ca="1"/>
        <v>40.020564987947779</v>
      </c>
      <c r="AG3654" s="2">
        <f ca="1"/>
        <v>0.32560427896273647</v>
      </c>
      <c r="AH3654" s="2" t="str">
        <f ca="1"/>
        <v>OK</v>
      </c>
    </row>
    <row r="3655" spans="2:34" x14ac:dyDescent="0.2">
      <c r="B3655" s="2">
        <f ca="1"/>
        <v>0.93005716622093138</v>
      </c>
      <c r="O3655" s="2">
        <f ca="1"/>
        <v>-1.1764616382341324</v>
      </c>
      <c r="X3655" s="2">
        <f ca="1"/>
        <v>76.916756555370782</v>
      </c>
      <c r="AG3655" s="2">
        <f ca="1"/>
        <v>0.29845794231639355</v>
      </c>
      <c r="AH3655" s="2" t="str">
        <f ca="1"/>
        <v>OK</v>
      </c>
    </row>
    <row r="3656" spans="2:34" x14ac:dyDescent="0.2">
      <c r="B3656" s="2">
        <f ca="1"/>
        <v>0.86919284843011324</v>
      </c>
      <c r="O3656" s="2">
        <f ca="1"/>
        <v>1.0972709169411192</v>
      </c>
      <c r="X3656" s="2">
        <f ca="1"/>
        <v>67.523859956692377</v>
      </c>
      <c r="AG3656" s="2">
        <f ca="1"/>
        <v>3.4214081929275775E-3</v>
      </c>
      <c r="AH3656" s="2" t="str">
        <f ca="1"/>
        <v>Good</v>
      </c>
    </row>
    <row r="3657" spans="2:34" x14ac:dyDescent="0.2">
      <c r="B3657" s="2">
        <f ca="1"/>
        <v>0.10431534741944382</v>
      </c>
      <c r="O3657" s="2">
        <f ca="1"/>
        <v>1.5817785257541195</v>
      </c>
      <c r="X3657" s="2">
        <f ca="1"/>
        <v>34.20890000318122</v>
      </c>
      <c r="AG3657" s="2">
        <f ca="1"/>
        <v>0.30334641257451378</v>
      </c>
      <c r="AH3657" s="2" t="str">
        <f ca="1"/>
        <v>OK</v>
      </c>
    </row>
    <row r="3658" spans="2:34" x14ac:dyDescent="0.2">
      <c r="B3658" s="2">
        <f ca="1"/>
        <v>0.43243627820343544</v>
      </c>
      <c r="O3658" s="2">
        <f ca="1"/>
        <v>0.65558017328339813</v>
      </c>
      <c r="X3658" s="2">
        <f ca="1"/>
        <v>45.665263836313812</v>
      </c>
      <c r="AG3658" s="2">
        <f ca="1"/>
        <v>0.2874454614821047</v>
      </c>
      <c r="AH3658" s="2" t="str">
        <f ca="1"/>
        <v>OK</v>
      </c>
    </row>
    <row r="3659" spans="2:34" x14ac:dyDescent="0.2">
      <c r="B3659" s="2">
        <f ca="1"/>
        <v>0.28090332887139025</v>
      </c>
      <c r="O3659" s="2">
        <f ca="1"/>
        <v>1.5523531089909921</v>
      </c>
      <c r="X3659" s="2">
        <f ca="1"/>
        <v>57.027989323696609</v>
      </c>
      <c r="AG3659" s="2">
        <f ca="1"/>
        <v>0.32485154651648096</v>
      </c>
      <c r="AH3659" s="2" t="str">
        <f ca="1"/>
        <v>OK</v>
      </c>
    </row>
    <row r="3660" spans="2:34" x14ac:dyDescent="0.2">
      <c r="B3660" s="2">
        <f ca="1"/>
        <v>0.82294533313406215</v>
      </c>
      <c r="O3660" s="2">
        <f ca="1"/>
        <v>-1.4286024863764102</v>
      </c>
      <c r="X3660" s="2">
        <f ca="1"/>
        <v>76.194015974411826</v>
      </c>
      <c r="AG3660" s="2">
        <f ca="1"/>
        <v>0.47561395206895285</v>
      </c>
      <c r="AH3660" s="2" t="str">
        <f ca="1"/>
        <v>Bad</v>
      </c>
    </row>
    <row r="3661" spans="2:34" x14ac:dyDescent="0.2">
      <c r="B3661" s="2">
        <f ca="1"/>
        <v>0.49569887973748084</v>
      </c>
      <c r="O3661" s="2">
        <f ca="1"/>
        <v>-0.66795663546442274</v>
      </c>
      <c r="X3661" s="2">
        <f ca="1"/>
        <v>49.446315578809532</v>
      </c>
      <c r="AG3661" s="2">
        <f ca="1"/>
        <v>0.84686290666672748</v>
      </c>
      <c r="AH3661" s="2" t="str">
        <f ca="1"/>
        <v>Bad</v>
      </c>
    </row>
    <row r="3662" spans="2:34" x14ac:dyDescent="0.2">
      <c r="B3662" s="2">
        <f ca="1"/>
        <v>0.65833169730232655</v>
      </c>
      <c r="O3662" s="2">
        <f ca="1"/>
        <v>-0.73926559521246116</v>
      </c>
      <c r="X3662" s="2">
        <f ca="1"/>
        <v>65.83969240378525</v>
      </c>
      <c r="AG3662" s="2">
        <f ca="1"/>
        <v>2.2137623199023126E-2</v>
      </c>
      <c r="AH3662" s="2" t="str">
        <f ca="1"/>
        <v>Good</v>
      </c>
    </row>
    <row r="3663" spans="2:34" x14ac:dyDescent="0.2">
      <c r="B3663" s="2">
        <f ca="1"/>
        <v>0.74814745214821765</v>
      </c>
      <c r="O3663" s="2">
        <f ca="1"/>
        <v>1.0223717613036611</v>
      </c>
      <c r="X3663" s="2">
        <f ca="1"/>
        <v>35.268788334691116</v>
      </c>
      <c r="AG3663" s="2">
        <f ca="1"/>
        <v>0.37087033421531523</v>
      </c>
      <c r="AH3663" s="2" t="str">
        <f ca="1"/>
        <v>OK</v>
      </c>
    </row>
    <row r="3664" spans="2:34" x14ac:dyDescent="0.2">
      <c r="B3664" s="2">
        <f ca="1"/>
        <v>0.64132452280635177</v>
      </c>
      <c r="O3664" s="2">
        <f ca="1"/>
        <v>-0.94962584680680717</v>
      </c>
      <c r="X3664" s="2">
        <f ca="1"/>
        <v>68.789658964342138</v>
      </c>
      <c r="AG3664" s="2">
        <f ca="1"/>
        <v>0.63962820085837424</v>
      </c>
      <c r="AH3664" s="2" t="str">
        <f ca="1"/>
        <v>Bad</v>
      </c>
    </row>
    <row r="3665" spans="2:34" x14ac:dyDescent="0.2">
      <c r="B3665" s="2">
        <f ca="1"/>
        <v>0.66346716030166974</v>
      </c>
      <c r="O3665" s="2">
        <f ca="1"/>
        <v>-0.32594906260749912</v>
      </c>
      <c r="X3665" s="2">
        <f ca="1"/>
        <v>61.945430676075446</v>
      </c>
      <c r="AG3665" s="2">
        <f ca="1"/>
        <v>2.272858397323807E-2</v>
      </c>
      <c r="AH3665" s="2" t="str">
        <f ca="1"/>
        <v>Good</v>
      </c>
    </row>
    <row r="3666" spans="2:34" x14ac:dyDescent="0.2">
      <c r="B3666" s="2">
        <f ca="1"/>
        <v>0.20257422538656744</v>
      </c>
      <c r="O3666" s="2">
        <f ca="1"/>
        <v>-1.0467195215536247</v>
      </c>
      <c r="X3666" s="2">
        <f ca="1"/>
        <v>50.062046683220146</v>
      </c>
      <c r="AG3666" s="2">
        <f ca="1"/>
        <v>0.28429944138108376</v>
      </c>
      <c r="AH3666" s="2" t="str">
        <f ca="1"/>
        <v>OK</v>
      </c>
    </row>
    <row r="3667" spans="2:34" x14ac:dyDescent="0.2">
      <c r="B3667" s="2">
        <f ca="1"/>
        <v>0.42858529272852808</v>
      </c>
      <c r="O3667" s="2">
        <f ca="1"/>
        <v>-0.70994626233725489</v>
      </c>
      <c r="X3667" s="2">
        <f ca="1"/>
        <v>43.33344845592147</v>
      </c>
      <c r="AG3667" s="2">
        <f ca="1"/>
        <v>0.4099668134933967</v>
      </c>
      <c r="AH3667" s="2" t="str">
        <f ca="1"/>
        <v>Bad</v>
      </c>
    </row>
    <row r="3668" spans="2:34" x14ac:dyDescent="0.2">
      <c r="B3668" s="2">
        <f ca="1"/>
        <v>0.26295147649438588</v>
      </c>
      <c r="O3668" s="2">
        <f ca="1"/>
        <v>0.24233100841273322</v>
      </c>
      <c r="X3668" s="2">
        <f ca="1"/>
        <v>50.821112906315335</v>
      </c>
      <c r="AG3668" s="2">
        <f ca="1"/>
        <v>8.03664835499176E-2</v>
      </c>
      <c r="AH3668" s="2" t="str">
        <f ca="1"/>
        <v>OK</v>
      </c>
    </row>
    <row r="3669" spans="2:34" x14ac:dyDescent="0.2">
      <c r="B3669" s="2">
        <f ca="1"/>
        <v>0.57653833623626016</v>
      </c>
      <c r="O3669" s="2">
        <f ca="1"/>
        <v>-1.2697221522017197</v>
      </c>
      <c r="X3669" s="2">
        <f ca="1"/>
        <v>66.292206280726418</v>
      </c>
      <c r="AG3669" s="2">
        <f ca="1"/>
        <v>0.97073044916486451</v>
      </c>
      <c r="AH3669" s="2" t="str">
        <f ca="1"/>
        <v>Bad</v>
      </c>
    </row>
    <row r="3670" spans="2:34" x14ac:dyDescent="0.2">
      <c r="B3670" s="2">
        <f ca="1"/>
        <v>0.78105770294625554</v>
      </c>
      <c r="O3670" s="2">
        <f ca="1"/>
        <v>-1.9754469339914271</v>
      </c>
      <c r="X3670" s="2">
        <f ca="1"/>
        <v>24.407712060789116</v>
      </c>
      <c r="AG3670" s="2">
        <f ca="1"/>
        <v>0.84777601450009521</v>
      </c>
      <c r="AH3670" s="2" t="str">
        <f ca="1"/>
        <v>Bad</v>
      </c>
    </row>
    <row r="3671" spans="2:34" x14ac:dyDescent="0.2">
      <c r="B3671" s="2">
        <f ca="1"/>
        <v>0.3745115979889615</v>
      </c>
      <c r="O3671" s="2">
        <f ca="1"/>
        <v>0.1424868455786375</v>
      </c>
      <c r="X3671" s="2">
        <f ca="1"/>
        <v>45.037100563663522</v>
      </c>
      <c r="AG3671" s="2">
        <f ca="1"/>
        <v>0.85696909765672746</v>
      </c>
      <c r="AH3671" s="2" t="str">
        <f ca="1"/>
        <v>Bad</v>
      </c>
    </row>
    <row r="3672" spans="2:34" x14ac:dyDescent="0.2">
      <c r="B3672" s="2">
        <f ca="1"/>
        <v>0.40344635034548171</v>
      </c>
      <c r="O3672" s="2">
        <f ca="1"/>
        <v>-0.8707594369040953</v>
      </c>
      <c r="X3672" s="2">
        <f ca="1"/>
        <v>42.103957412531507</v>
      </c>
      <c r="AG3672" s="2">
        <f ca="1"/>
        <v>0.41863468237973978</v>
      </c>
      <c r="AH3672" s="2" t="str">
        <f ca="1"/>
        <v>Bad</v>
      </c>
    </row>
    <row r="3673" spans="2:34" x14ac:dyDescent="0.2">
      <c r="B3673" s="2">
        <f ca="1"/>
        <v>0.5812787630388605</v>
      </c>
      <c r="O3673" s="2">
        <f ca="1"/>
        <v>-2.0087127508964104</v>
      </c>
      <c r="X3673" s="2">
        <f ca="1"/>
        <v>71.969628028303873</v>
      </c>
      <c r="AG3673" s="2">
        <f ca="1"/>
        <v>0.90629370791301644</v>
      </c>
      <c r="AH3673" s="2" t="str">
        <f ca="1"/>
        <v>Bad</v>
      </c>
    </row>
    <row r="3674" spans="2:34" x14ac:dyDescent="0.2">
      <c r="B3674" s="2">
        <f ca="1"/>
        <v>0.60543550288324632</v>
      </c>
      <c r="O3674" s="2">
        <f ca="1"/>
        <v>0.34462038124427841</v>
      </c>
      <c r="X3674" s="2">
        <f ca="1"/>
        <v>73.625758995141354</v>
      </c>
      <c r="AG3674" s="2">
        <f ca="1"/>
        <v>0.42996465525697158</v>
      </c>
      <c r="AH3674" s="2" t="str">
        <f ca="1"/>
        <v>Bad</v>
      </c>
    </row>
    <row r="3675" spans="2:34" x14ac:dyDescent="0.2">
      <c r="B3675" s="2">
        <f ca="1"/>
        <v>0.34454179556488729</v>
      </c>
      <c r="O3675" s="2">
        <f ca="1"/>
        <v>0.50687523663994294</v>
      </c>
      <c r="X3675" s="2">
        <f ca="1"/>
        <v>43.516649796449258</v>
      </c>
      <c r="AG3675" s="2">
        <f ca="1"/>
        <v>9.4038814519409764E-2</v>
      </c>
      <c r="AH3675" s="2" t="str">
        <f ca="1"/>
        <v>OK</v>
      </c>
    </row>
    <row r="3676" spans="2:34" x14ac:dyDescent="0.2">
      <c r="B3676" s="2">
        <f ca="1"/>
        <v>0.98053799699825217</v>
      </c>
      <c r="O3676" s="2">
        <f ca="1"/>
        <v>2.0747045809330098</v>
      </c>
      <c r="X3676" s="2">
        <f ca="1"/>
        <v>59.682227204110696</v>
      </c>
      <c r="AG3676" s="2">
        <f ca="1"/>
        <v>0.27729502896346947</v>
      </c>
      <c r="AH3676" s="2" t="str">
        <f ca="1"/>
        <v>OK</v>
      </c>
    </row>
    <row r="3677" spans="2:34" x14ac:dyDescent="0.2">
      <c r="B3677" s="2">
        <f ca="1"/>
        <v>0.78835276325392623</v>
      </c>
      <c r="O3677" s="2">
        <f ca="1"/>
        <v>-0.61782780040214025</v>
      </c>
      <c r="X3677" s="2">
        <f ca="1"/>
        <v>79.889032956245217</v>
      </c>
      <c r="AG3677" s="2">
        <f ca="1"/>
        <v>0.29106262846502351</v>
      </c>
      <c r="AH3677" s="2" t="str">
        <f ca="1"/>
        <v>OK</v>
      </c>
    </row>
    <row r="3678" spans="2:34" x14ac:dyDescent="0.2">
      <c r="B3678" s="2">
        <f ca="1"/>
        <v>0.66310719943398677</v>
      </c>
      <c r="O3678" s="2">
        <f ca="1"/>
        <v>-0.2804626126127292</v>
      </c>
      <c r="X3678" s="2">
        <f ca="1"/>
        <v>51.432706305230781</v>
      </c>
      <c r="AG3678" s="2">
        <f ca="1"/>
        <v>0.99913812608469565</v>
      </c>
      <c r="AH3678" s="2" t="str">
        <f ca="1"/>
        <v>Bad</v>
      </c>
    </row>
    <row r="3679" spans="2:34" x14ac:dyDescent="0.2">
      <c r="B3679" s="2">
        <f ca="1"/>
        <v>2.5982380779561165E-3</v>
      </c>
      <c r="O3679" s="2">
        <f ca="1"/>
        <v>-0.10200641749589269</v>
      </c>
      <c r="X3679" s="2">
        <f ca="1"/>
        <v>44.160413647699727</v>
      </c>
      <c r="AG3679" s="2">
        <f ca="1"/>
        <v>0.7478254221077647</v>
      </c>
      <c r="AH3679" s="2" t="str">
        <f ca="1"/>
        <v>Bad</v>
      </c>
    </row>
    <row r="3680" spans="2:34" x14ac:dyDescent="0.2">
      <c r="B3680" s="2">
        <f ca="1"/>
        <v>0.65260217564328737</v>
      </c>
      <c r="O3680" s="2">
        <f ca="1"/>
        <v>1.0240042993887297</v>
      </c>
      <c r="X3680" s="2">
        <f ca="1"/>
        <v>57.444263022434384</v>
      </c>
      <c r="AG3680" s="2">
        <f ca="1"/>
        <v>0.32037380950784788</v>
      </c>
      <c r="AH3680" s="2" t="str">
        <f ca="1"/>
        <v>OK</v>
      </c>
    </row>
    <row r="3681" spans="2:34" x14ac:dyDescent="0.2">
      <c r="B3681" s="2">
        <f ca="1"/>
        <v>0.64526574182730423</v>
      </c>
      <c r="O3681" s="2">
        <f ca="1"/>
        <v>0.20322699113639572</v>
      </c>
      <c r="X3681" s="2">
        <f ca="1"/>
        <v>56.196563965556848</v>
      </c>
      <c r="AG3681" s="2">
        <f ca="1"/>
        <v>0.63598330445478668</v>
      </c>
      <c r="AH3681" s="2" t="str">
        <f ca="1"/>
        <v>Bad</v>
      </c>
    </row>
    <row r="3682" spans="2:34" x14ac:dyDescent="0.2">
      <c r="B3682" s="2">
        <f ca="1"/>
        <v>0.59607709286802679</v>
      </c>
      <c r="O3682" s="2">
        <f ca="1"/>
        <v>0.91538861062021926</v>
      </c>
      <c r="X3682" s="2">
        <f ca="1"/>
        <v>43.040286638224401</v>
      </c>
      <c r="AG3682" s="2">
        <f ca="1"/>
        <v>0.54879982088593726</v>
      </c>
      <c r="AH3682" s="2" t="str">
        <f ca="1"/>
        <v>Bad</v>
      </c>
    </row>
    <row r="3683" spans="2:34" x14ac:dyDescent="0.2">
      <c r="B3683" s="2">
        <f ca="1"/>
        <v>0.56030531276496975</v>
      </c>
      <c r="O3683" s="2">
        <f ca="1"/>
        <v>-1.8060804264659129</v>
      </c>
      <c r="X3683" s="2">
        <f ca="1"/>
        <v>52.623030885159565</v>
      </c>
      <c r="AG3683" s="2">
        <f ca="1"/>
        <v>0.3083523510783448</v>
      </c>
      <c r="AH3683" s="2" t="str">
        <f ca="1"/>
        <v>OK</v>
      </c>
    </row>
    <row r="3684" spans="2:34" x14ac:dyDescent="0.2">
      <c r="B3684" s="2">
        <f ca="1"/>
        <v>0.9262759845084978</v>
      </c>
      <c r="O3684" s="2">
        <f ca="1"/>
        <v>-0.48364135633711575</v>
      </c>
      <c r="X3684" s="2">
        <f ca="1"/>
        <v>39.279010812149728</v>
      </c>
      <c r="AG3684" s="2">
        <f ca="1"/>
        <v>0.15876384018581868</v>
      </c>
      <c r="AH3684" s="2" t="str">
        <f ca="1"/>
        <v>OK</v>
      </c>
    </row>
    <row r="3685" spans="2:34" x14ac:dyDescent="0.2">
      <c r="B3685" s="2">
        <f ca="1"/>
        <v>0.8541082828119726</v>
      </c>
      <c r="O3685" s="2">
        <f ca="1"/>
        <v>1.8122648792828731</v>
      </c>
      <c r="X3685" s="2">
        <f ca="1"/>
        <v>69.789358338562295</v>
      </c>
      <c r="AG3685" s="2">
        <f ca="1"/>
        <v>0.60939243689427891</v>
      </c>
      <c r="AH3685" s="2" t="str">
        <f ca="1"/>
        <v>Bad</v>
      </c>
    </row>
    <row r="3686" spans="2:34" x14ac:dyDescent="0.2">
      <c r="B3686" s="2">
        <f ca="1"/>
        <v>0.93733983261879739</v>
      </c>
      <c r="O3686" s="2">
        <f ca="1"/>
        <v>0.34537605411276451</v>
      </c>
      <c r="X3686" s="2">
        <f ca="1"/>
        <v>33.729454782837678</v>
      </c>
      <c r="AG3686" s="2">
        <f ca="1"/>
        <v>0.32816750412276829</v>
      </c>
      <c r="AH3686" s="2" t="str">
        <f ca="1"/>
        <v>OK</v>
      </c>
    </row>
    <row r="3687" spans="2:34" x14ac:dyDescent="0.2">
      <c r="B3687" s="2">
        <f ca="1"/>
        <v>0.28377452306708428</v>
      </c>
      <c r="O3687" s="2">
        <f ca="1"/>
        <v>-0.27006299007101148</v>
      </c>
      <c r="X3687" s="2">
        <f ca="1"/>
        <v>32.367559489961685</v>
      </c>
      <c r="AG3687" s="2">
        <f ca="1"/>
        <v>0.68403060008928596</v>
      </c>
      <c r="AH3687" s="2" t="str">
        <f ca="1"/>
        <v>Bad</v>
      </c>
    </row>
    <row r="3688" spans="2:34" x14ac:dyDescent="0.2">
      <c r="B3688" s="2">
        <f ca="1"/>
        <v>9.3498383524042161E-3</v>
      </c>
      <c r="O3688" s="2">
        <f ca="1"/>
        <v>-0.59393688108563825</v>
      </c>
      <c r="X3688" s="2">
        <f ca="1"/>
        <v>27.858866141973735</v>
      </c>
      <c r="AG3688" s="2">
        <f ca="1"/>
        <v>0.59923228500892001</v>
      </c>
      <c r="AH3688" s="2" t="str">
        <f ca="1"/>
        <v>Bad</v>
      </c>
    </row>
    <row r="3689" spans="2:34" x14ac:dyDescent="0.2">
      <c r="B3689" s="2">
        <f ca="1"/>
        <v>0.11095037006096975</v>
      </c>
      <c r="O3689" s="2">
        <f ca="1"/>
        <v>1.479637862079594</v>
      </c>
      <c r="X3689" s="2">
        <f ca="1"/>
        <v>37.554510695462753</v>
      </c>
      <c r="AG3689" s="2">
        <f ca="1"/>
        <v>7.1145038318345177E-2</v>
      </c>
      <c r="AH3689" s="2" t="str">
        <f ca="1"/>
        <v>OK</v>
      </c>
    </row>
    <row r="3690" spans="2:34" x14ac:dyDescent="0.2">
      <c r="B3690" s="2">
        <f ca="1"/>
        <v>0.1739546863183028</v>
      </c>
      <c r="O3690" s="2">
        <f ca="1"/>
        <v>-1.1061868140376978</v>
      </c>
      <c r="X3690" s="2">
        <f ca="1"/>
        <v>41.590487903487656</v>
      </c>
      <c r="AG3690" s="2">
        <f ca="1"/>
        <v>0.34892653791851513</v>
      </c>
      <c r="AH3690" s="2" t="str">
        <f ca="1"/>
        <v>OK</v>
      </c>
    </row>
    <row r="3691" spans="2:34" x14ac:dyDescent="0.2">
      <c r="B3691" s="2">
        <f ca="1"/>
        <v>0.68132032461301706</v>
      </c>
      <c r="O3691" s="2">
        <f ca="1"/>
        <v>0.83728476410975361</v>
      </c>
      <c r="X3691" s="2">
        <f ca="1"/>
        <v>35.498536775007949</v>
      </c>
      <c r="AG3691" s="2">
        <f ca="1"/>
        <v>0.19932597032622179</v>
      </c>
      <c r="AH3691" s="2" t="str">
        <f ca="1"/>
        <v>OK</v>
      </c>
    </row>
    <row r="3692" spans="2:34" x14ac:dyDescent="0.2">
      <c r="B3692" s="2">
        <f ca="1"/>
        <v>1.7228069647086564E-2</v>
      </c>
      <c r="O3692" s="2">
        <f ca="1"/>
        <v>-0.22461118452043977</v>
      </c>
      <c r="X3692" s="2">
        <f ca="1"/>
        <v>57.125246229477902</v>
      </c>
      <c r="AG3692" s="2">
        <f ca="1"/>
        <v>0.73513579650021299</v>
      </c>
      <c r="AH3692" s="2" t="str">
        <f ca="1"/>
        <v>Bad</v>
      </c>
    </row>
    <row r="3693" spans="2:34" x14ac:dyDescent="0.2">
      <c r="B3693" s="2">
        <f ca="1"/>
        <v>0.95472035642024133</v>
      </c>
      <c r="O3693" s="2">
        <f ca="1"/>
        <v>2.7742846636878498</v>
      </c>
      <c r="X3693" s="2">
        <f ca="1"/>
        <v>35.26154838742017</v>
      </c>
      <c r="AG3693" s="2">
        <f ca="1"/>
        <v>0.30459664064855829</v>
      </c>
      <c r="AH3693" s="2" t="str">
        <f ca="1"/>
        <v>OK</v>
      </c>
    </row>
    <row r="3694" spans="2:34" x14ac:dyDescent="0.2">
      <c r="B3694" s="2">
        <f ca="1"/>
        <v>0.65312448742915774</v>
      </c>
      <c r="O3694" s="2">
        <f ca="1"/>
        <v>-0.12134842293830073</v>
      </c>
      <c r="X3694" s="2">
        <f ca="1"/>
        <v>65.946020157361943</v>
      </c>
      <c r="AG3694" s="2">
        <f ca="1"/>
        <v>0.55512871287471155</v>
      </c>
      <c r="AH3694" s="2" t="str">
        <f ca="1"/>
        <v>Bad</v>
      </c>
    </row>
    <row r="3695" spans="2:34" x14ac:dyDescent="0.2">
      <c r="B3695" s="2">
        <f ca="1"/>
        <v>0.14075477943013803</v>
      </c>
      <c r="O3695" s="2">
        <f ca="1"/>
        <v>-0.37107657094620261</v>
      </c>
      <c r="X3695" s="2">
        <f ca="1"/>
        <v>38.349306805672889</v>
      </c>
      <c r="AG3695" s="2">
        <f ca="1"/>
        <v>0.16962137551052359</v>
      </c>
      <c r="AH3695" s="2" t="str">
        <f ca="1"/>
        <v>OK</v>
      </c>
    </row>
    <row r="3696" spans="2:34" x14ac:dyDescent="0.2">
      <c r="B3696" s="2">
        <f ca="1"/>
        <v>0.18652079517406484</v>
      </c>
      <c r="O3696" s="2">
        <f ca="1"/>
        <v>-0.79345437416013087</v>
      </c>
      <c r="X3696" s="2">
        <f ca="1"/>
        <v>62.172682509034786</v>
      </c>
      <c r="AG3696" s="2">
        <f ca="1"/>
        <v>0.25097658922514254</v>
      </c>
      <c r="AH3696" s="2" t="str">
        <f ca="1"/>
        <v>OK</v>
      </c>
    </row>
    <row r="3697" spans="2:34" x14ac:dyDescent="0.2">
      <c r="B3697" s="2">
        <f ca="1"/>
        <v>1.2408187733848441E-2</v>
      </c>
      <c r="O3697" s="2">
        <f ca="1"/>
        <v>7.9449285534141406E-2</v>
      </c>
      <c r="X3697" s="2">
        <f ca="1"/>
        <v>36.834740805750037</v>
      </c>
      <c r="AG3697" s="2">
        <f ca="1"/>
        <v>0.96360112252635766</v>
      </c>
      <c r="AH3697" s="2" t="str">
        <f ca="1"/>
        <v>Bad</v>
      </c>
    </row>
    <row r="3698" spans="2:34" x14ac:dyDescent="0.2">
      <c r="B3698" s="2">
        <f ca="1"/>
        <v>0.34530159215283218</v>
      </c>
      <c r="O3698" s="2">
        <f ca="1"/>
        <v>-0.66669962504979707</v>
      </c>
      <c r="X3698" s="2">
        <f ca="1"/>
        <v>29.686836259567716</v>
      </c>
      <c r="AG3698" s="2">
        <f ca="1"/>
        <v>0.84761998829030905</v>
      </c>
      <c r="AH3698" s="2" t="str">
        <f ca="1"/>
        <v>Bad</v>
      </c>
    </row>
    <row r="3699" spans="2:34" x14ac:dyDescent="0.2">
      <c r="B3699" s="2">
        <f ca="1"/>
        <v>0.64874299150880277</v>
      </c>
      <c r="O3699" s="2">
        <f ca="1"/>
        <v>-0.26039023720704235</v>
      </c>
      <c r="X3699" s="2">
        <f ca="1"/>
        <v>29.427001043366321</v>
      </c>
      <c r="AG3699" s="2">
        <f ca="1"/>
        <v>0.37593565172320864</v>
      </c>
      <c r="AH3699" s="2" t="str">
        <f ca="1"/>
        <v>OK</v>
      </c>
    </row>
    <row r="3700" spans="2:34" x14ac:dyDescent="0.2">
      <c r="B3700" s="2">
        <f ca="1"/>
        <v>0.32524046203110757</v>
      </c>
      <c r="O3700" s="2">
        <f ca="1"/>
        <v>0.34298621920229855</v>
      </c>
      <c r="X3700" s="2">
        <f ca="1"/>
        <v>24.805315028952197</v>
      </c>
      <c r="AG3700" s="2">
        <f ca="1"/>
        <v>0.91975913955782573</v>
      </c>
      <c r="AH3700" s="2" t="str">
        <f ca="1"/>
        <v>Bad</v>
      </c>
    </row>
    <row r="3701" spans="2:34" x14ac:dyDescent="0.2">
      <c r="B3701" s="2">
        <f ca="1"/>
        <v>0.81902707630924132</v>
      </c>
      <c r="O3701" s="2">
        <f ca="1"/>
        <v>-0.63846125289912337</v>
      </c>
      <c r="X3701" s="2">
        <f ca="1"/>
        <v>45.883027799174457</v>
      </c>
      <c r="AG3701" s="2">
        <f ca="1"/>
        <v>0.69765102714915561</v>
      </c>
      <c r="AH3701" s="2" t="str">
        <f ca="1"/>
        <v>Bad</v>
      </c>
    </row>
    <row r="3702" spans="2:34" x14ac:dyDescent="0.2">
      <c r="B3702" s="2">
        <f ca="1"/>
        <v>0.93556638081050036</v>
      </c>
      <c r="O3702" s="2">
        <f ca="1"/>
        <v>-0.813238444619239</v>
      </c>
      <c r="X3702" s="2">
        <f ca="1"/>
        <v>70.76856813273136</v>
      </c>
      <c r="AG3702" s="2">
        <f ca="1"/>
        <v>0.38404566430615961</v>
      </c>
      <c r="AH3702" s="2" t="str">
        <f ca="1"/>
        <v>OK</v>
      </c>
    </row>
    <row r="3703" spans="2:34" x14ac:dyDescent="0.2">
      <c r="B3703" s="2">
        <f ca="1"/>
        <v>0.8466345470821488</v>
      </c>
      <c r="O3703" s="2">
        <f ca="1"/>
        <v>-0.95057675673614483</v>
      </c>
      <c r="X3703" s="2">
        <f ca="1"/>
        <v>54.826792718164022</v>
      </c>
      <c r="AG3703" s="2">
        <f ca="1"/>
        <v>0.46984418228373048</v>
      </c>
      <c r="AH3703" s="2" t="str">
        <f ca="1"/>
        <v>Bad</v>
      </c>
    </row>
    <row r="3704" spans="2:34" x14ac:dyDescent="0.2">
      <c r="B3704" s="2">
        <f ca="1"/>
        <v>0.91978470171009441</v>
      </c>
      <c r="O3704" s="2">
        <f ca="1"/>
        <v>0.72642429094615957</v>
      </c>
      <c r="X3704" s="2">
        <f ca="1"/>
        <v>26.078728812824753</v>
      </c>
      <c r="AG3704" s="2">
        <f ca="1"/>
        <v>0.43923387120560542</v>
      </c>
      <c r="AH3704" s="2" t="str">
        <f ca="1"/>
        <v>Bad</v>
      </c>
    </row>
    <row r="3705" spans="2:34" x14ac:dyDescent="0.2">
      <c r="B3705" s="2">
        <f ca="1"/>
        <v>0.29345640831142883</v>
      </c>
      <c r="O3705" s="2">
        <f ca="1"/>
        <v>0.54833706424208706</v>
      </c>
      <c r="X3705" s="2">
        <f ca="1"/>
        <v>37.941030795736701</v>
      </c>
      <c r="AG3705" s="2">
        <f ca="1"/>
        <v>0.85847276586280219</v>
      </c>
      <c r="AH3705" s="2" t="str">
        <f ca="1"/>
        <v>Bad</v>
      </c>
    </row>
    <row r="3706" spans="2:34" x14ac:dyDescent="0.2">
      <c r="B3706" s="2">
        <f ca="1"/>
        <v>0.30886320625038555</v>
      </c>
      <c r="O3706" s="2">
        <f ca="1"/>
        <v>-0.75777141554722793</v>
      </c>
      <c r="X3706" s="2">
        <f ca="1"/>
        <v>70.976732713203873</v>
      </c>
      <c r="AG3706" s="2">
        <f ca="1"/>
        <v>0.64734728373084649</v>
      </c>
      <c r="AH3706" s="2" t="str">
        <f ca="1"/>
        <v>Bad</v>
      </c>
    </row>
    <row r="3707" spans="2:34" x14ac:dyDescent="0.2">
      <c r="B3707" s="2">
        <f ca="1"/>
        <v>0.58272455707612436</v>
      </c>
      <c r="O3707" s="2">
        <f ca="1"/>
        <v>-0.6017269979549672</v>
      </c>
      <c r="X3707" s="2">
        <f ca="1"/>
        <v>27.550076456756088</v>
      </c>
      <c r="AG3707" s="2">
        <f ca="1"/>
        <v>0.88027951969833662</v>
      </c>
      <c r="AH3707" s="2" t="str">
        <f ca="1"/>
        <v>Bad</v>
      </c>
    </row>
    <row r="3708" spans="2:34" x14ac:dyDescent="0.2">
      <c r="B3708" s="2">
        <f ca="1"/>
        <v>0.13517179987843231</v>
      </c>
      <c r="O3708" s="2">
        <f ca="1"/>
        <v>-0.69516703406587299</v>
      </c>
      <c r="X3708" s="2">
        <f ca="1"/>
        <v>40.126694067208042</v>
      </c>
      <c r="AG3708" s="2">
        <f ca="1"/>
        <v>0.26350893763506167</v>
      </c>
      <c r="AH3708" s="2" t="str">
        <f ca="1"/>
        <v>OK</v>
      </c>
    </row>
    <row r="3709" spans="2:34" x14ac:dyDescent="0.2">
      <c r="B3709" s="2">
        <f ca="1"/>
        <v>0.7173701613419583</v>
      </c>
      <c r="O3709" s="2">
        <f ca="1"/>
        <v>1.5524001943804395</v>
      </c>
      <c r="X3709" s="2">
        <f ca="1"/>
        <v>30.084245438019302</v>
      </c>
      <c r="AG3709" s="2">
        <f ca="1"/>
        <v>0.3070518861306466</v>
      </c>
      <c r="AH3709" s="2" t="str">
        <f ca="1"/>
        <v>OK</v>
      </c>
    </row>
    <row r="3710" spans="2:34" x14ac:dyDescent="0.2">
      <c r="B3710" s="2">
        <f ca="1"/>
        <v>0.18517045867115312</v>
      </c>
      <c r="O3710" s="2">
        <f ca="1"/>
        <v>-0.12574915327045924</v>
      </c>
      <c r="X3710" s="2">
        <f ca="1"/>
        <v>65.724183264114401</v>
      </c>
      <c r="AG3710" s="2">
        <f ca="1"/>
        <v>0.22999743964646036</v>
      </c>
      <c r="AH3710" s="2" t="str">
        <f ca="1"/>
        <v>OK</v>
      </c>
    </row>
    <row r="3711" spans="2:34" x14ac:dyDescent="0.2">
      <c r="B3711" s="2">
        <f ca="1"/>
        <v>0.12107434554437524</v>
      </c>
      <c r="O3711" s="2">
        <f ca="1"/>
        <v>2.667905242979181</v>
      </c>
      <c r="X3711" s="2">
        <f ca="1"/>
        <v>59.200548603194925</v>
      </c>
      <c r="AG3711" s="2">
        <f ca="1"/>
        <v>0.98309997765087709</v>
      </c>
      <c r="AH3711" s="2" t="str">
        <f ca="1"/>
        <v>Bad</v>
      </c>
    </row>
    <row r="3712" spans="2:34" x14ac:dyDescent="0.2">
      <c r="B3712" s="2">
        <f ca="1"/>
        <v>0.94947600889272343</v>
      </c>
      <c r="O3712" s="2">
        <f ca="1"/>
        <v>-7.6813759222121483E-2</v>
      </c>
      <c r="X3712" s="2">
        <f ca="1"/>
        <v>27.247691478202391</v>
      </c>
      <c r="AG3712" s="2">
        <f ca="1"/>
        <v>0.7450819275313878</v>
      </c>
      <c r="AH3712" s="2" t="str">
        <f ca="1"/>
        <v>Bad</v>
      </c>
    </row>
    <row r="3713" spans="2:34" x14ac:dyDescent="0.2">
      <c r="B3713" s="2">
        <f ca="1"/>
        <v>0.13882968098430393</v>
      </c>
      <c r="O3713" s="2">
        <f ca="1"/>
        <v>-1.7199016409122431E-2</v>
      </c>
      <c r="X3713" s="2">
        <f ca="1"/>
        <v>18.851909437416449</v>
      </c>
      <c r="AG3713" s="2">
        <f ca="1"/>
        <v>0.22191174139708369</v>
      </c>
      <c r="AH3713" s="2" t="str">
        <f ca="1"/>
        <v>OK</v>
      </c>
    </row>
    <row r="3714" spans="2:34" x14ac:dyDescent="0.2">
      <c r="B3714" s="2">
        <f ca="1"/>
        <v>0.61912723239862544</v>
      </c>
      <c r="O3714" s="2">
        <f ca="1"/>
        <v>-0.8838972569864102</v>
      </c>
      <c r="X3714" s="2">
        <f ca="1"/>
        <v>37.423870907776269</v>
      </c>
      <c r="AG3714" s="2">
        <f ca="1"/>
        <v>0.81482401237220126</v>
      </c>
      <c r="AH3714" s="2" t="str">
        <f ca="1"/>
        <v>Bad</v>
      </c>
    </row>
    <row r="3715" spans="2:34" x14ac:dyDescent="0.2">
      <c r="B3715" s="2">
        <f ca="1"/>
        <v>0.14049856217471501</v>
      </c>
      <c r="O3715" s="2">
        <f ca="1"/>
        <v>2.7955374975372125E-2</v>
      </c>
      <c r="X3715" s="2">
        <f ca="1"/>
        <v>36.335211704984005</v>
      </c>
      <c r="AG3715" s="2">
        <f ca="1"/>
        <v>0.31672944538755865</v>
      </c>
      <c r="AH3715" s="2" t="str">
        <f ca="1"/>
        <v>OK</v>
      </c>
    </row>
    <row r="3716" spans="2:34" x14ac:dyDescent="0.2">
      <c r="B3716" s="2">
        <f ca="1"/>
        <v>0.28136250958177778</v>
      </c>
      <c r="O3716" s="2">
        <f ca="1"/>
        <v>0.80941341628716634</v>
      </c>
      <c r="X3716" s="2">
        <f ca="1"/>
        <v>47.596029950042919</v>
      </c>
      <c r="AG3716" s="2">
        <f ca="1"/>
        <v>0.31695059989303109</v>
      </c>
      <c r="AH3716" s="2" t="str">
        <f ca="1"/>
        <v>OK</v>
      </c>
    </row>
    <row r="3717" spans="2:34" x14ac:dyDescent="0.2">
      <c r="B3717" s="2">
        <f ca="1"/>
        <v>0.740851555237235</v>
      </c>
      <c r="O3717" s="2">
        <f ca="1"/>
        <v>-0.48766780614236882</v>
      </c>
      <c r="X3717" s="2">
        <f ca="1"/>
        <v>58.848578321795841</v>
      </c>
      <c r="AG3717" s="2">
        <f ca="1"/>
        <v>9.2462264335122279E-2</v>
      </c>
      <c r="AH3717" s="2" t="str">
        <f ca="1"/>
        <v>OK</v>
      </c>
    </row>
    <row r="3718" spans="2:34" x14ac:dyDescent="0.2">
      <c r="B3718" s="2">
        <f ca="1"/>
        <v>0.78912154788459699</v>
      </c>
      <c r="O3718" s="2">
        <f ca="1"/>
        <v>0.99305862078783924</v>
      </c>
      <c r="X3718" s="2">
        <f ca="1"/>
        <v>32.886060192333339</v>
      </c>
      <c r="AG3718" s="2">
        <f ca="1"/>
        <v>0.57572274099681953</v>
      </c>
      <c r="AH3718" s="2" t="str">
        <f ca="1"/>
        <v>Bad</v>
      </c>
    </row>
    <row r="3719" spans="2:34" x14ac:dyDescent="0.2">
      <c r="B3719" s="2">
        <f ca="1"/>
        <v>0.73192819590736513</v>
      </c>
      <c r="O3719" s="2">
        <f ca="1"/>
        <v>-0.40426501617520039</v>
      </c>
      <c r="X3719" s="2">
        <f ca="1"/>
        <v>61.281758181593517</v>
      </c>
      <c r="AG3719" s="2">
        <f ca="1"/>
        <v>0.8145285808018099</v>
      </c>
      <c r="AH3719" s="2" t="str">
        <f ca="1"/>
        <v>Bad</v>
      </c>
    </row>
    <row r="3720" spans="2:34" x14ac:dyDescent="0.2">
      <c r="B3720" s="2">
        <f ca="1"/>
        <v>0.12392544065932154</v>
      </c>
      <c r="O3720" s="2">
        <f ca="1"/>
        <v>-1.7529592662321727</v>
      </c>
      <c r="X3720" s="2">
        <f ca="1"/>
        <v>60.592932007343904</v>
      </c>
      <c r="AG3720" s="2">
        <f ca="1"/>
        <v>0.80082520291233217</v>
      </c>
      <c r="AH3720" s="2" t="str">
        <f ca="1"/>
        <v>Bad</v>
      </c>
    </row>
    <row r="3721" spans="2:34" x14ac:dyDescent="0.2">
      <c r="B3721" s="2">
        <f ca="1"/>
        <v>0.80317927067540573</v>
      </c>
      <c r="O3721" s="2">
        <f ca="1"/>
        <v>0.20996507481814641</v>
      </c>
      <c r="X3721" s="2">
        <f ca="1"/>
        <v>51.756496890852745</v>
      </c>
      <c r="AG3721" s="2">
        <f ca="1"/>
        <v>0.85180537468806561</v>
      </c>
      <c r="AH3721" s="2" t="str">
        <f ca="1"/>
        <v>Bad</v>
      </c>
    </row>
    <row r="3722" spans="2:34" x14ac:dyDescent="0.2">
      <c r="B3722" s="2">
        <f ca="1"/>
        <v>0.64775579715164455</v>
      </c>
      <c r="O3722" s="2">
        <f ca="1"/>
        <v>2.4747683375374301</v>
      </c>
      <c r="X3722" s="2">
        <f ca="1"/>
        <v>60.213468752916086</v>
      </c>
      <c r="AG3722" s="2">
        <f ca="1"/>
        <v>0.46277705689720627</v>
      </c>
      <c r="AH3722" s="2" t="str">
        <f ca="1"/>
        <v>Bad</v>
      </c>
    </row>
    <row r="3723" spans="2:34" x14ac:dyDescent="0.2">
      <c r="B3723" s="2">
        <f ca="1"/>
        <v>0.36250445882232429</v>
      </c>
      <c r="O3723" s="2">
        <f ca="1"/>
        <v>-2.2667027804319257</v>
      </c>
      <c r="X3723" s="2">
        <f ca="1"/>
        <v>42.789911379257987</v>
      </c>
      <c r="AG3723" s="2">
        <f ca="1"/>
        <v>0.34435544833541187</v>
      </c>
      <c r="AH3723" s="2" t="str">
        <f ca="1"/>
        <v>OK</v>
      </c>
    </row>
    <row r="3724" spans="2:34" x14ac:dyDescent="0.2">
      <c r="B3724" s="2">
        <f ca="1"/>
        <v>0.86061139461278024</v>
      </c>
      <c r="O3724" s="2">
        <f ca="1"/>
        <v>-0.82031441673885896</v>
      </c>
      <c r="X3724" s="2">
        <f ca="1"/>
        <v>55.176990644021721</v>
      </c>
      <c r="AG3724" s="2">
        <f ca="1"/>
        <v>0.97851907273700633</v>
      </c>
      <c r="AH3724" s="2" t="str">
        <f ca="1"/>
        <v>Bad</v>
      </c>
    </row>
    <row r="3725" spans="2:34" x14ac:dyDescent="0.2">
      <c r="B3725" s="2">
        <f ca="1"/>
        <v>0.50995711496139418</v>
      </c>
      <c r="O3725" s="2">
        <f ca="1"/>
        <v>1.3347380286001107</v>
      </c>
      <c r="X3725" s="2">
        <f ca="1"/>
        <v>23.354008057112953</v>
      </c>
      <c r="AG3725" s="2">
        <f ca="1"/>
        <v>0.91282931956369184</v>
      </c>
      <c r="AH3725" s="2" t="str">
        <f ca="1"/>
        <v>Bad</v>
      </c>
    </row>
    <row r="3726" spans="2:34" x14ac:dyDescent="0.2">
      <c r="B3726" s="2">
        <f ca="1"/>
        <v>0.88160155775554161</v>
      </c>
      <c r="O3726" s="2">
        <f ca="1"/>
        <v>1.5750759182342693</v>
      </c>
      <c r="X3726" s="2">
        <f ca="1"/>
        <v>32.452605944489164</v>
      </c>
      <c r="AG3726" s="2">
        <f ca="1"/>
        <v>0.16695624018484567</v>
      </c>
      <c r="AH3726" s="2" t="str">
        <f ca="1"/>
        <v>OK</v>
      </c>
    </row>
    <row r="3727" spans="2:34" x14ac:dyDescent="0.2">
      <c r="B3727" s="2">
        <f ca="1"/>
        <v>0.22744506588598679</v>
      </c>
      <c r="O3727" s="2">
        <f ca="1"/>
        <v>0.84856761834429628</v>
      </c>
      <c r="X3727" s="2">
        <f ca="1"/>
        <v>63.76130966806889</v>
      </c>
      <c r="AG3727" s="2">
        <f ca="1"/>
        <v>0.69810186582626188</v>
      </c>
      <c r="AH3727" s="2" t="str">
        <f ca="1"/>
        <v>Bad</v>
      </c>
    </row>
    <row r="3728" spans="2:34" x14ac:dyDescent="0.2">
      <c r="B3728" s="2">
        <f ca="1"/>
        <v>0.62520362963761467</v>
      </c>
      <c r="O3728" s="2">
        <f ca="1"/>
        <v>-0.77679756487384977</v>
      </c>
      <c r="X3728" s="2">
        <f ca="1"/>
        <v>46.020783256346569</v>
      </c>
      <c r="AG3728" s="2">
        <f ca="1"/>
        <v>0.14499998102701128</v>
      </c>
      <c r="AH3728" s="2" t="str">
        <f ca="1"/>
        <v>OK</v>
      </c>
    </row>
    <row r="3729" spans="2:34" x14ac:dyDescent="0.2">
      <c r="B3729" s="2">
        <f ca="1"/>
        <v>1.9528099038042868E-2</v>
      </c>
      <c r="O3729" s="2">
        <f ca="1"/>
        <v>-0.65829185426000902</v>
      </c>
      <c r="X3729" s="2">
        <f ca="1"/>
        <v>73.486284060744907</v>
      </c>
      <c r="AG3729" s="2">
        <f ca="1"/>
        <v>6.4788555191745534E-2</v>
      </c>
      <c r="AH3729" s="2" t="str">
        <f ca="1"/>
        <v>OK</v>
      </c>
    </row>
    <row r="3730" spans="2:34" x14ac:dyDescent="0.2">
      <c r="B3730" s="2">
        <f ca="1"/>
        <v>0.85287706790235163</v>
      </c>
      <c r="O3730" s="2">
        <f ca="1"/>
        <v>-0.29189395715428312</v>
      </c>
      <c r="X3730" s="2">
        <f ca="1"/>
        <v>60.195424560022971</v>
      </c>
      <c r="AG3730" s="2">
        <f ca="1"/>
        <v>0.59707645108124519</v>
      </c>
      <c r="AH3730" s="2" t="str">
        <f ca="1"/>
        <v>Bad</v>
      </c>
    </row>
    <row r="3731" spans="2:34" x14ac:dyDescent="0.2">
      <c r="B3731" s="2">
        <f ca="1"/>
        <v>7.8742596241385909E-2</v>
      </c>
      <c r="O3731" s="2">
        <f ca="1"/>
        <v>-0.65881235680604855</v>
      </c>
      <c r="X3731" s="2">
        <f ca="1"/>
        <v>32.749010270995768</v>
      </c>
      <c r="AG3731" s="2">
        <f ca="1"/>
        <v>4.6120706147239732E-2</v>
      </c>
      <c r="AH3731" s="2" t="str">
        <f ca="1"/>
        <v>Good</v>
      </c>
    </row>
    <row r="3732" spans="2:34" x14ac:dyDescent="0.2">
      <c r="B3732" s="2">
        <f ca="1"/>
        <v>0.31244870160887328</v>
      </c>
      <c r="O3732" s="2">
        <f ca="1"/>
        <v>0.15132703651745591</v>
      </c>
      <c r="X3732" s="2">
        <f ca="1"/>
        <v>60.810037536001886</v>
      </c>
      <c r="AG3732" s="2">
        <f ca="1"/>
        <v>0.5205106058666007</v>
      </c>
      <c r="AH3732" s="2" t="str">
        <f ca="1"/>
        <v>Bad</v>
      </c>
    </row>
    <row r="3733" spans="2:34" x14ac:dyDescent="0.2">
      <c r="B3733" s="2">
        <f ca="1"/>
        <v>0.18990727402884455</v>
      </c>
      <c r="O3733" s="2">
        <f ca="1"/>
        <v>0.44413136160243444</v>
      </c>
      <c r="X3733" s="2">
        <f ca="1"/>
        <v>29.371748731377515</v>
      </c>
      <c r="AG3733" s="2">
        <f ca="1"/>
        <v>9.6778480041357362E-2</v>
      </c>
      <c r="AH3733" s="2" t="str">
        <f ca="1"/>
        <v>OK</v>
      </c>
    </row>
    <row r="3734" spans="2:34" x14ac:dyDescent="0.2">
      <c r="B3734" s="2">
        <f ca="1"/>
        <v>0.4944238810107584</v>
      </c>
      <c r="O3734" s="2">
        <f ca="1"/>
        <v>0.54680143453912244</v>
      </c>
      <c r="X3734" s="2">
        <f ca="1"/>
        <v>42.41130414602754</v>
      </c>
      <c r="AG3734" s="2">
        <f ca="1"/>
        <v>0.12338941402750536</v>
      </c>
      <c r="AH3734" s="2" t="str">
        <f ca="1"/>
        <v>OK</v>
      </c>
    </row>
    <row r="3735" spans="2:34" x14ac:dyDescent="0.2">
      <c r="B3735" s="2">
        <f ca="1"/>
        <v>0.13461369056578709</v>
      </c>
      <c r="O3735" s="2">
        <f ca="1"/>
        <v>-0.66093872319270164</v>
      </c>
      <c r="X3735" s="2">
        <f ca="1"/>
        <v>62.893509234527258</v>
      </c>
      <c r="AG3735" s="2">
        <f ca="1"/>
        <v>2.2710361726122175E-2</v>
      </c>
      <c r="AH3735" s="2" t="str">
        <f ca="1"/>
        <v>Good</v>
      </c>
    </row>
    <row r="3736" spans="2:34" x14ac:dyDescent="0.2">
      <c r="B3736" s="2">
        <f ca="1"/>
        <v>0.55340343391112867</v>
      </c>
      <c r="O3736" s="2">
        <f ca="1"/>
        <v>0.18712060118816606</v>
      </c>
      <c r="X3736" s="2">
        <f ca="1"/>
        <v>53.603875789021473</v>
      </c>
      <c r="AG3736" s="2">
        <f ca="1"/>
        <v>0.24240320771213142</v>
      </c>
      <c r="AH3736" s="2" t="str">
        <f ca="1"/>
        <v>OK</v>
      </c>
    </row>
    <row r="3737" spans="2:34" x14ac:dyDescent="0.2">
      <c r="B3737" s="2">
        <f ca="1"/>
        <v>0.12747942360646558</v>
      </c>
      <c r="O3737" s="2">
        <f ca="1"/>
        <v>0.74197466485411134</v>
      </c>
      <c r="X3737" s="2">
        <f ca="1"/>
        <v>51.49421593185351</v>
      </c>
      <c r="AG3737" s="2">
        <f ca="1"/>
        <v>6.6241352637726791E-2</v>
      </c>
      <c r="AH3737" s="2" t="str">
        <f ca="1"/>
        <v>OK</v>
      </c>
    </row>
    <row r="3738" spans="2:34" x14ac:dyDescent="0.2">
      <c r="B3738" s="2">
        <f ca="1"/>
        <v>0.97261496830687477</v>
      </c>
      <c r="O3738" s="2">
        <f ca="1"/>
        <v>0.17555058050795841</v>
      </c>
      <c r="X3738" s="2">
        <f ca="1"/>
        <v>42.024807657948941</v>
      </c>
      <c r="AG3738" s="2">
        <f ca="1"/>
        <v>2.2888860742259265E-2</v>
      </c>
      <c r="AH3738" s="2" t="str">
        <f ca="1"/>
        <v>Good</v>
      </c>
    </row>
    <row r="3739" spans="2:34" x14ac:dyDescent="0.2">
      <c r="B3739" s="2">
        <f ca="1"/>
        <v>0.64997242109714737</v>
      </c>
      <c r="O3739" s="2">
        <f ca="1"/>
        <v>-1.1158721169955883</v>
      </c>
      <c r="X3739" s="2">
        <f ca="1"/>
        <v>45.455153358132293</v>
      </c>
      <c r="AG3739" s="2">
        <f ca="1"/>
        <v>0.20093924553896403</v>
      </c>
      <c r="AH3739" s="2" t="str">
        <f ca="1"/>
        <v>OK</v>
      </c>
    </row>
    <row r="3740" spans="2:34" x14ac:dyDescent="0.2">
      <c r="B3740" s="2">
        <f ca="1"/>
        <v>0.73395774460791263</v>
      </c>
      <c r="O3740" s="2">
        <f ca="1"/>
        <v>0.41100666594822749</v>
      </c>
      <c r="X3740" s="2">
        <f ca="1"/>
        <v>31.598677185904407</v>
      </c>
      <c r="AG3740" s="2">
        <f ca="1"/>
        <v>0.67826853989959957</v>
      </c>
      <c r="AH3740" s="2" t="str">
        <f ca="1"/>
        <v>Bad</v>
      </c>
    </row>
    <row r="3741" spans="2:34" x14ac:dyDescent="0.2">
      <c r="B3741" s="2">
        <f ca="1"/>
        <v>0.72585192834118084</v>
      </c>
      <c r="O3741" s="2">
        <f ca="1"/>
        <v>-1.0575119060256899</v>
      </c>
      <c r="X3741" s="2">
        <f ca="1"/>
        <v>33.113637192598006</v>
      </c>
      <c r="AG3741" s="2">
        <f ca="1"/>
        <v>9.8623962504271745E-3</v>
      </c>
      <c r="AH3741" s="2" t="str">
        <f ca="1"/>
        <v>Good</v>
      </c>
    </row>
    <row r="3742" spans="2:34" x14ac:dyDescent="0.2">
      <c r="B3742" s="2">
        <f ca="1"/>
        <v>0.32100610287290721</v>
      </c>
      <c r="O3742" s="2">
        <f ca="1"/>
        <v>0.60792394494354107</v>
      </c>
      <c r="X3742" s="2">
        <f ca="1"/>
        <v>41.540334741395036</v>
      </c>
      <c r="AG3742" s="2">
        <f ca="1"/>
        <v>0.36065952516271982</v>
      </c>
      <c r="AH3742" s="2" t="str">
        <f ca="1"/>
        <v>OK</v>
      </c>
    </row>
    <row r="3743" spans="2:34" x14ac:dyDescent="0.2">
      <c r="B3743" s="2">
        <f ca="1"/>
        <v>0.94557056946116558</v>
      </c>
      <c r="O3743" s="2">
        <f ca="1"/>
        <v>-0.63390986777108105</v>
      </c>
      <c r="X3743" s="2">
        <f ca="1"/>
        <v>78.873247405181203</v>
      </c>
      <c r="AG3743" s="2">
        <f ca="1"/>
        <v>0.93239023653605813</v>
      </c>
      <c r="AH3743" s="2" t="str">
        <f ca="1"/>
        <v>Bad</v>
      </c>
    </row>
    <row r="3744" spans="2:34" x14ac:dyDescent="0.2">
      <c r="B3744" s="2">
        <f ca="1"/>
        <v>0.54440410688359386</v>
      </c>
      <c r="O3744" s="2">
        <f ca="1"/>
        <v>0.26416861206153575</v>
      </c>
      <c r="X3744" s="2">
        <f ca="1"/>
        <v>65.173017701537361</v>
      </c>
      <c r="AG3744" s="2">
        <f ca="1"/>
        <v>0.81478612494057256</v>
      </c>
      <c r="AH3744" s="2" t="str">
        <f ca="1"/>
        <v>Bad</v>
      </c>
    </row>
    <row r="3745" spans="2:34" x14ac:dyDescent="0.2">
      <c r="B3745" s="2">
        <f ca="1"/>
        <v>0.61661621515262577</v>
      </c>
      <c r="O3745" s="2">
        <f ca="1"/>
        <v>0.20592797965786755</v>
      </c>
      <c r="X3745" s="2">
        <f ca="1"/>
        <v>53.435807704797583</v>
      </c>
      <c r="AG3745" s="2">
        <f ca="1"/>
        <v>0.14362107596439522</v>
      </c>
      <c r="AH3745" s="2" t="str">
        <f ca="1"/>
        <v>OK</v>
      </c>
    </row>
    <row r="3746" spans="2:34" x14ac:dyDescent="0.2">
      <c r="B3746" s="2">
        <f ca="1"/>
        <v>0.96841887857794196</v>
      </c>
      <c r="O3746" s="2">
        <f ca="1"/>
        <v>1.2498380724997908</v>
      </c>
      <c r="X3746" s="2">
        <f ca="1"/>
        <v>47.184242629363851</v>
      </c>
      <c r="AG3746" s="2">
        <f ca="1"/>
        <v>0.6808078602605907</v>
      </c>
      <c r="AH3746" s="2" t="str">
        <f ca="1"/>
        <v>Bad</v>
      </c>
    </row>
    <row r="3747" spans="2:34" x14ac:dyDescent="0.2">
      <c r="B3747" s="2">
        <f ca="1"/>
        <v>0.2709149790294656</v>
      </c>
      <c r="O3747" s="2">
        <f ca="1"/>
        <v>0.15594027018364803</v>
      </c>
      <c r="X3747" s="2">
        <f ca="1"/>
        <v>59.355504134727674</v>
      </c>
      <c r="AG3747" s="2">
        <f ca="1"/>
        <v>0.37481287224074444</v>
      </c>
      <c r="AH3747" s="2" t="str">
        <f ca="1"/>
        <v>OK</v>
      </c>
    </row>
    <row r="3748" spans="2:34" x14ac:dyDescent="0.2">
      <c r="B3748" s="2">
        <f ca="1"/>
        <v>0.94776871856200606</v>
      </c>
      <c r="O3748" s="2">
        <f ca="1"/>
        <v>0.75212278900556906</v>
      </c>
      <c r="X3748" s="2">
        <f ca="1"/>
        <v>40.894179645491057</v>
      </c>
      <c r="AG3748" s="2">
        <f ca="1"/>
        <v>0.48774262105957811</v>
      </c>
      <c r="AH3748" s="2" t="str">
        <f ca="1"/>
        <v>Bad</v>
      </c>
    </row>
    <row r="3749" spans="2:34" x14ac:dyDescent="0.2">
      <c r="B3749" s="2">
        <f ca="1"/>
        <v>0.52040038313720949</v>
      </c>
      <c r="O3749" s="2">
        <f ca="1"/>
        <v>1.1804722003275696</v>
      </c>
      <c r="X3749" s="2">
        <f ca="1"/>
        <v>66.514475423324228</v>
      </c>
      <c r="AG3749" s="2">
        <f ca="1"/>
        <v>0.64423327580349299</v>
      </c>
      <c r="AH3749" s="2" t="str">
        <f ca="1"/>
        <v>Bad</v>
      </c>
    </row>
    <row r="3750" spans="2:34" x14ac:dyDescent="0.2">
      <c r="B3750" s="2">
        <f ca="1"/>
        <v>0.91524448798636371</v>
      </c>
      <c r="O3750" s="2">
        <f ca="1"/>
        <v>-0.9674201082498064</v>
      </c>
      <c r="X3750" s="2">
        <f ca="1"/>
        <v>54.558055261010914</v>
      </c>
      <c r="AG3750" s="2">
        <f ca="1"/>
        <v>0.76535899260103868</v>
      </c>
      <c r="AH3750" s="2" t="str">
        <f ca="1"/>
        <v>Bad</v>
      </c>
    </row>
    <row r="3751" spans="2:34" x14ac:dyDescent="0.2">
      <c r="B3751" s="2">
        <f ca="1"/>
        <v>0.38023545050179708</v>
      </c>
      <c r="O3751" s="2">
        <f ca="1"/>
        <v>0.39908644590938697</v>
      </c>
      <c r="X3751" s="2">
        <f ca="1"/>
        <v>64.670578811759626</v>
      </c>
      <c r="AG3751" s="2">
        <f ca="1"/>
        <v>0.99671204302607208</v>
      </c>
      <c r="AH3751" s="2" t="str">
        <f ca="1"/>
        <v>Bad</v>
      </c>
    </row>
    <row r="3752" spans="2:34" x14ac:dyDescent="0.2">
      <c r="B3752" s="2">
        <f ca="1"/>
        <v>0.67837259660746918</v>
      </c>
      <c r="O3752" s="2">
        <f ca="1"/>
        <v>1.9250415903248241</v>
      </c>
      <c r="X3752" s="2">
        <f ca="1"/>
        <v>56.992711166150372</v>
      </c>
      <c r="AG3752" s="2">
        <f ca="1"/>
        <v>0.80193057990040018</v>
      </c>
      <c r="AH3752" s="2" t="str">
        <f ca="1"/>
        <v>Bad</v>
      </c>
    </row>
    <row r="3753" spans="2:34" x14ac:dyDescent="0.2">
      <c r="B3753" s="2">
        <f ca="1"/>
        <v>0.29554158382119788</v>
      </c>
      <c r="O3753" s="2">
        <f ca="1"/>
        <v>0.41526003080727297</v>
      </c>
      <c r="X3753" s="2">
        <f ca="1"/>
        <v>47.731784852254783</v>
      </c>
      <c r="AG3753" s="2">
        <f ca="1"/>
        <v>0.5997060630407991</v>
      </c>
      <c r="AH3753" s="2" t="str">
        <f ca="1"/>
        <v>Bad</v>
      </c>
    </row>
    <row r="3754" spans="2:34" x14ac:dyDescent="0.2">
      <c r="B3754" s="2">
        <f ca="1"/>
        <v>0.8365746949935462</v>
      </c>
      <c r="O3754" s="2">
        <f ca="1"/>
        <v>0.40058832076958401</v>
      </c>
      <c r="X3754" s="2">
        <f ca="1"/>
        <v>35.264106024708688</v>
      </c>
      <c r="AG3754" s="2">
        <f ca="1"/>
        <v>0.91066684829448685</v>
      </c>
      <c r="AH3754" s="2" t="str">
        <f ca="1"/>
        <v>Bad</v>
      </c>
    </row>
    <row r="3755" spans="2:34" x14ac:dyDescent="0.2">
      <c r="B3755" s="2">
        <f ca="1"/>
        <v>0.1427397115658029</v>
      </c>
      <c r="O3755" s="2">
        <f ca="1"/>
        <v>0.63123709640213388</v>
      </c>
      <c r="X3755" s="2">
        <f ca="1"/>
        <v>68.12994544841321</v>
      </c>
      <c r="AG3755" s="2">
        <f ca="1"/>
        <v>2.6057828950663664E-2</v>
      </c>
      <c r="AH3755" s="2" t="str">
        <f ca="1"/>
        <v>Good</v>
      </c>
    </row>
    <row r="3756" spans="2:34" x14ac:dyDescent="0.2">
      <c r="B3756" s="2">
        <f ca="1"/>
        <v>0.90675499655814429</v>
      </c>
      <c r="O3756" s="2">
        <f ca="1"/>
        <v>-0.78928491348326091</v>
      </c>
      <c r="X3756" s="2">
        <f ca="1"/>
        <v>54.509733844763332</v>
      </c>
      <c r="AG3756" s="2">
        <f ca="1"/>
        <v>0.64778544034547192</v>
      </c>
      <c r="AH3756" s="2" t="str">
        <f ca="1"/>
        <v>Bad</v>
      </c>
    </row>
    <row r="3757" spans="2:34" x14ac:dyDescent="0.2">
      <c r="B3757" s="2">
        <f ca="1"/>
        <v>0.28767200661938386</v>
      </c>
      <c r="O3757" s="2">
        <f ca="1"/>
        <v>-0.53341275861938486</v>
      </c>
      <c r="X3757" s="2">
        <f ca="1"/>
        <v>30.123408483195359</v>
      </c>
      <c r="AG3757" s="2">
        <f ca="1"/>
        <v>3.7633723587937373E-2</v>
      </c>
      <c r="AH3757" s="2" t="str">
        <f ca="1"/>
        <v>Good</v>
      </c>
    </row>
    <row r="3758" spans="2:34" x14ac:dyDescent="0.2">
      <c r="B3758" s="2">
        <f ca="1"/>
        <v>8.044633255239253E-2</v>
      </c>
      <c r="O3758" s="2">
        <f ca="1"/>
        <v>0.30855651356084457</v>
      </c>
      <c r="X3758" s="2">
        <f ca="1"/>
        <v>62.330729776106239</v>
      </c>
      <c r="AG3758" s="2">
        <f ca="1"/>
        <v>0.27368379656156105</v>
      </c>
      <c r="AH3758" s="2" t="str">
        <f ca="1"/>
        <v>OK</v>
      </c>
    </row>
    <row r="3759" spans="2:34" x14ac:dyDescent="0.2">
      <c r="B3759" s="2">
        <f ca="1"/>
        <v>0.10894200450981506</v>
      </c>
      <c r="O3759" s="2">
        <f ca="1"/>
        <v>1.3477904047268965</v>
      </c>
      <c r="X3759" s="2">
        <f ca="1"/>
        <v>44.765536602152935</v>
      </c>
      <c r="AG3759" s="2">
        <f ca="1"/>
        <v>0.71442247635773071</v>
      </c>
      <c r="AH3759" s="2" t="str">
        <f ca="1"/>
        <v>Bad</v>
      </c>
    </row>
    <row r="3760" spans="2:34" x14ac:dyDescent="0.2">
      <c r="B3760" s="2">
        <f ca="1"/>
        <v>0.94487780308360825</v>
      </c>
      <c r="O3760" s="2">
        <f ca="1"/>
        <v>-1.1521011570910371</v>
      </c>
      <c r="X3760" s="2">
        <f ca="1"/>
        <v>52.322927108681014</v>
      </c>
      <c r="AG3760" s="2">
        <f ca="1"/>
        <v>0.56381506369833545</v>
      </c>
      <c r="AH3760" s="2" t="str">
        <f ca="1"/>
        <v>Bad</v>
      </c>
    </row>
    <row r="3761" spans="2:34" x14ac:dyDescent="0.2">
      <c r="B3761" s="2">
        <f ca="1"/>
        <v>0.54454393201187901</v>
      </c>
      <c r="O3761" s="2">
        <f ca="1"/>
        <v>0.87997814240585781</v>
      </c>
      <c r="X3761" s="2">
        <f ca="1"/>
        <v>35.442221358457282</v>
      </c>
      <c r="AG3761" s="2">
        <f ca="1"/>
        <v>0.94185665121469864</v>
      </c>
      <c r="AH3761" s="2" t="str">
        <f ca="1"/>
        <v>Bad</v>
      </c>
    </row>
    <row r="3762" spans="2:34" x14ac:dyDescent="0.2">
      <c r="B3762" s="2">
        <f ca="1"/>
        <v>0.99219984476105649</v>
      </c>
      <c r="O3762" s="2">
        <f ca="1"/>
        <v>0.67592101018124595</v>
      </c>
      <c r="X3762" s="2">
        <f ca="1"/>
        <v>34.918071376445965</v>
      </c>
      <c r="AG3762" s="2">
        <f ca="1"/>
        <v>0.1575112566372423</v>
      </c>
      <c r="AH3762" s="2" t="str">
        <f ca="1"/>
        <v>OK</v>
      </c>
    </row>
    <row r="3763" spans="2:34" x14ac:dyDescent="0.2">
      <c r="B3763" s="2">
        <f ca="1"/>
        <v>0.28335551696704675</v>
      </c>
      <c r="O3763" s="2">
        <f ca="1"/>
        <v>-1.9957210726755281</v>
      </c>
      <c r="X3763" s="2">
        <f ca="1"/>
        <v>50.03143419328768</v>
      </c>
      <c r="AG3763" s="2">
        <f ca="1"/>
        <v>0.96479060592403898</v>
      </c>
      <c r="AH3763" s="2" t="str">
        <f ca="1"/>
        <v>Bad</v>
      </c>
    </row>
    <row r="3764" spans="2:34" x14ac:dyDescent="0.2">
      <c r="B3764" s="2">
        <f ca="1"/>
        <v>0.35230215799544706</v>
      </c>
      <c r="O3764" s="2">
        <f ca="1"/>
        <v>0.79815919914898914</v>
      </c>
      <c r="X3764" s="2">
        <f ca="1"/>
        <v>50.222688884185509</v>
      </c>
      <c r="AG3764" s="2">
        <f ca="1"/>
        <v>0.48501800752646962</v>
      </c>
      <c r="AH3764" s="2" t="str">
        <f ca="1"/>
        <v>Bad</v>
      </c>
    </row>
    <row r="3765" spans="2:34" x14ac:dyDescent="0.2">
      <c r="B3765" s="2">
        <f ca="1"/>
        <v>4.8134272474982032E-2</v>
      </c>
      <c r="O3765" s="2">
        <f ca="1"/>
        <v>2.2377471142887502</v>
      </c>
      <c r="X3765" s="2">
        <f ca="1"/>
        <v>85.613067616950502</v>
      </c>
      <c r="AG3765" s="2">
        <f ca="1"/>
        <v>0.80050336413784717</v>
      </c>
      <c r="AH3765" s="2" t="str">
        <f ca="1"/>
        <v>Bad</v>
      </c>
    </row>
    <row r="3766" spans="2:34" x14ac:dyDescent="0.2">
      <c r="B3766" s="2">
        <f ca="1"/>
        <v>0.95673407445664349</v>
      </c>
      <c r="O3766" s="2">
        <f ca="1"/>
        <v>-1.1275144751552959</v>
      </c>
      <c r="X3766" s="2">
        <f ca="1"/>
        <v>53.951016642438987</v>
      </c>
      <c r="AG3766" s="2">
        <f ca="1"/>
        <v>0.27005995623068912</v>
      </c>
      <c r="AH3766" s="2" t="str">
        <f ca="1"/>
        <v>OK</v>
      </c>
    </row>
    <row r="3767" spans="2:34" x14ac:dyDescent="0.2">
      <c r="B3767" s="2">
        <f ca="1"/>
        <v>0.31897725303356039</v>
      </c>
      <c r="O3767" s="2">
        <f ca="1"/>
        <v>0.24354070146614187</v>
      </c>
      <c r="X3767" s="2">
        <f ca="1"/>
        <v>29.849040717096436</v>
      </c>
      <c r="AG3767" s="2">
        <f ca="1"/>
        <v>0.23918185646196433</v>
      </c>
      <c r="AH3767" s="2" t="str">
        <f ca="1"/>
        <v>OK</v>
      </c>
    </row>
    <row r="3768" spans="2:34" x14ac:dyDescent="0.2">
      <c r="B3768" s="2">
        <f ca="1"/>
        <v>0.77525114955356811</v>
      </c>
      <c r="O3768" s="2">
        <f ca="1"/>
        <v>2.0039150042364313</v>
      </c>
      <c r="X3768" s="2">
        <f ca="1"/>
        <v>52.659638990400779</v>
      </c>
      <c r="AG3768" s="2">
        <f ca="1"/>
        <v>0.35867929496469086</v>
      </c>
      <c r="AH3768" s="2" t="str">
        <f ca="1"/>
        <v>OK</v>
      </c>
    </row>
    <row r="3769" spans="2:34" x14ac:dyDescent="0.2">
      <c r="B3769" s="2">
        <f ca="1"/>
        <v>0.43707416007199784</v>
      </c>
      <c r="O3769" s="2">
        <f ca="1"/>
        <v>-0.52763044312564245</v>
      </c>
      <c r="X3769" s="2">
        <f ca="1"/>
        <v>51.469954338436722</v>
      </c>
      <c r="AG3769" s="2">
        <f ca="1"/>
        <v>1.8358824877629853E-2</v>
      </c>
      <c r="AH3769" s="2" t="str">
        <f ca="1"/>
        <v>Good</v>
      </c>
    </row>
    <row r="3770" spans="2:34" x14ac:dyDescent="0.2">
      <c r="B3770" s="2">
        <f ca="1"/>
        <v>3.9083610976800465E-2</v>
      </c>
      <c r="O3770" s="2">
        <f ca="1"/>
        <v>-0.56346392224816189</v>
      </c>
      <c r="X3770" s="2">
        <f ca="1"/>
        <v>39.406548678266404</v>
      </c>
      <c r="AG3770" s="2">
        <f ca="1"/>
        <v>0.79869465616556323</v>
      </c>
      <c r="AH3770" s="2" t="str">
        <f ca="1"/>
        <v>Bad</v>
      </c>
    </row>
    <row r="3771" spans="2:34" x14ac:dyDescent="0.2">
      <c r="B3771" s="2">
        <f ca="1"/>
        <v>0.74112149163821828</v>
      </c>
      <c r="O3771" s="2">
        <f ca="1"/>
        <v>0.55532550007902803</v>
      </c>
      <c r="X3771" s="2">
        <f ca="1"/>
        <v>59.419567248519094</v>
      </c>
      <c r="AG3771" s="2">
        <f ca="1"/>
        <v>0.17234353770419553</v>
      </c>
      <c r="AH3771" s="2" t="str">
        <f ca="1"/>
        <v>OK</v>
      </c>
    </row>
    <row r="3772" spans="2:34" x14ac:dyDescent="0.2">
      <c r="B3772" s="2">
        <f ca="1"/>
        <v>0.41011906221680361</v>
      </c>
      <c r="O3772" s="2">
        <f ca="1"/>
        <v>-6.5876498594575186E-2</v>
      </c>
      <c r="X3772" s="2">
        <f ca="1"/>
        <v>72.779315068479747</v>
      </c>
      <c r="AG3772" s="2">
        <f ca="1"/>
        <v>0.51832331247597763</v>
      </c>
      <c r="AH3772" s="2" t="str">
        <f ca="1"/>
        <v>Bad</v>
      </c>
    </row>
    <row r="3773" spans="2:34" x14ac:dyDescent="0.2">
      <c r="B3773" s="2">
        <f ca="1"/>
        <v>0.37111795373184919</v>
      </c>
      <c r="O3773" s="2">
        <f ca="1"/>
        <v>-1.20981074571808</v>
      </c>
      <c r="X3773" s="2">
        <f ca="1"/>
        <v>67.569842545061377</v>
      </c>
      <c r="AG3773" s="2">
        <f ca="1"/>
        <v>0.40694896776842771</v>
      </c>
      <c r="AH3773" s="2" t="str">
        <f ca="1"/>
        <v>Bad</v>
      </c>
    </row>
    <row r="3774" spans="2:34" x14ac:dyDescent="0.2">
      <c r="B3774" s="2">
        <f ca="1"/>
        <v>0.2472831961480022</v>
      </c>
      <c r="O3774" s="2">
        <f ca="1"/>
        <v>0.53741045190117431</v>
      </c>
      <c r="X3774" s="2">
        <f ca="1"/>
        <v>84.677720650343161</v>
      </c>
      <c r="AG3774" s="2">
        <f ca="1"/>
        <v>0.29763565826119809</v>
      </c>
      <c r="AH3774" s="2" t="str">
        <f ca="1"/>
        <v>OK</v>
      </c>
    </row>
    <row r="3775" spans="2:34" x14ac:dyDescent="0.2">
      <c r="B3775" s="2">
        <f ca="1"/>
        <v>0.21533406493102714</v>
      </c>
      <c r="O3775" s="2">
        <f ca="1"/>
        <v>1.2396843496835037</v>
      </c>
      <c r="X3775" s="2">
        <f ca="1"/>
        <v>52.688247481851619</v>
      </c>
      <c r="AG3775" s="2">
        <f ca="1"/>
        <v>0.50823133610848359</v>
      </c>
      <c r="AH3775" s="2" t="str">
        <f ca="1"/>
        <v>Bad</v>
      </c>
    </row>
    <row r="3776" spans="2:34" x14ac:dyDescent="0.2">
      <c r="B3776" s="2">
        <f ca="1"/>
        <v>0.70834416094851127</v>
      </c>
      <c r="O3776" s="2">
        <f ca="1"/>
        <v>-0.74772156028246328</v>
      </c>
      <c r="X3776" s="2">
        <f ca="1"/>
        <v>38.166231381362628</v>
      </c>
      <c r="AG3776" s="2">
        <f ca="1"/>
        <v>0.44541557736393411</v>
      </c>
      <c r="AH3776" s="2" t="str">
        <f ca="1"/>
        <v>Bad</v>
      </c>
    </row>
    <row r="3777" spans="2:34" x14ac:dyDescent="0.2">
      <c r="B3777" s="2">
        <f ca="1"/>
        <v>0.89954328522131988</v>
      </c>
      <c r="O3777" s="2">
        <f ca="1"/>
        <v>0.17869846474691445</v>
      </c>
      <c r="X3777" s="2">
        <f ca="1"/>
        <v>53.281616113454469</v>
      </c>
      <c r="AG3777" s="2">
        <f ca="1"/>
        <v>0.52702500107856087</v>
      </c>
      <c r="AH3777" s="2" t="str">
        <f ca="1"/>
        <v>Bad</v>
      </c>
    </row>
    <row r="3778" spans="2:34" x14ac:dyDescent="0.2">
      <c r="B3778" s="2">
        <f ca="1"/>
        <v>0.99651885090862047</v>
      </c>
      <c r="O3778" s="2">
        <f ca="1"/>
        <v>-0.34358945840368421</v>
      </c>
      <c r="X3778" s="2">
        <f ca="1"/>
        <v>46.769958703411433</v>
      </c>
      <c r="AG3778" s="2">
        <f ca="1"/>
        <v>0.11843911285870057</v>
      </c>
      <c r="AH3778" s="2" t="str">
        <f ca="1"/>
        <v>OK</v>
      </c>
    </row>
    <row r="3779" spans="2:34" x14ac:dyDescent="0.2">
      <c r="B3779" s="2">
        <f ca="1"/>
        <v>0.67055666285938176</v>
      </c>
      <c r="O3779" s="2">
        <f ca="1"/>
        <v>-2.0619661658240238</v>
      </c>
      <c r="X3779" s="2">
        <f ca="1"/>
        <v>50.806548553391117</v>
      </c>
      <c r="AG3779" s="2">
        <f ca="1"/>
        <v>0.39538145545827841</v>
      </c>
      <c r="AH3779" s="2" t="str">
        <f ca="1"/>
        <v>OK</v>
      </c>
    </row>
    <row r="3780" spans="2:34" x14ac:dyDescent="0.2">
      <c r="B3780" s="2">
        <f ca="1"/>
        <v>0.10375888360430308</v>
      </c>
      <c r="O3780" s="2">
        <f ca="1"/>
        <v>-0.79801376024482795</v>
      </c>
      <c r="X3780" s="2">
        <f ca="1"/>
        <v>70.64657002520471</v>
      </c>
      <c r="AG3780" s="2">
        <f ca="1"/>
        <v>0.64999015352735867</v>
      </c>
      <c r="AH3780" s="2" t="str">
        <f ca="1"/>
        <v>Bad</v>
      </c>
    </row>
    <row r="3781" spans="2:34" x14ac:dyDescent="0.2">
      <c r="B3781" s="2">
        <f ca="1"/>
        <v>0.82512905994846419</v>
      </c>
      <c r="O3781" s="2">
        <f ca="1"/>
        <v>0.98756505212170542</v>
      </c>
      <c r="X3781" s="2">
        <f ca="1"/>
        <v>36.953923237642059</v>
      </c>
      <c r="AG3781" s="2">
        <f ca="1"/>
        <v>0.48926364654748089</v>
      </c>
      <c r="AH3781" s="2" t="str">
        <f ca="1"/>
        <v>Bad</v>
      </c>
    </row>
    <row r="3782" spans="2:34" x14ac:dyDescent="0.2">
      <c r="B3782" s="2">
        <f ca="1"/>
        <v>0.5168431053952256</v>
      </c>
      <c r="O3782" s="2">
        <f ca="1"/>
        <v>1.248058545293572</v>
      </c>
      <c r="X3782" s="2">
        <f ca="1"/>
        <v>34.931198399345369</v>
      </c>
      <c r="AG3782" s="2">
        <f ca="1"/>
        <v>0.39047434131427128</v>
      </c>
      <c r="AH3782" s="2" t="str">
        <f ca="1"/>
        <v>OK</v>
      </c>
    </row>
    <row r="3783" spans="2:34" x14ac:dyDescent="0.2">
      <c r="B3783" s="2">
        <f ca="1"/>
        <v>0.64214536828527136</v>
      </c>
      <c r="O3783" s="2">
        <f ca="1"/>
        <v>3.1094857337904704</v>
      </c>
      <c r="X3783" s="2">
        <f ca="1"/>
        <v>55.556351834508121</v>
      </c>
      <c r="AG3783" s="2">
        <f ca="1"/>
        <v>0.37914450669317046</v>
      </c>
      <c r="AH3783" s="2" t="str">
        <f ca="1"/>
        <v>OK</v>
      </c>
    </row>
    <row r="3784" spans="2:34" x14ac:dyDescent="0.2">
      <c r="B3784" s="2">
        <f ca="1"/>
        <v>0.74217506751946738</v>
      </c>
      <c r="O3784" s="2">
        <f ca="1"/>
        <v>-0.14807749493675987</v>
      </c>
      <c r="X3784" s="2">
        <f ca="1"/>
        <v>67.793920459065347</v>
      </c>
      <c r="AG3784" s="2">
        <f ca="1"/>
        <v>0.24280364073797855</v>
      </c>
      <c r="AH3784" s="2" t="str">
        <f ca="1"/>
        <v>OK</v>
      </c>
    </row>
    <row r="3785" spans="2:34" x14ac:dyDescent="0.2">
      <c r="B3785" s="2">
        <f ca="1"/>
        <v>0.1836893803044406</v>
      </c>
      <c r="O3785" s="2">
        <f ca="1"/>
        <v>0.19569750876271147</v>
      </c>
      <c r="X3785" s="2">
        <f ca="1"/>
        <v>32.542019666695545</v>
      </c>
      <c r="AG3785" s="2">
        <f ca="1"/>
        <v>0.89756124893328648</v>
      </c>
      <c r="AH3785" s="2" t="str">
        <f ca="1"/>
        <v>Bad</v>
      </c>
    </row>
    <row r="3786" spans="2:34" x14ac:dyDescent="0.2">
      <c r="B3786" s="2">
        <f ca="1"/>
        <v>0.79217723051673539</v>
      </c>
      <c r="O3786" s="2">
        <f ca="1"/>
        <v>0.25551354639051882</v>
      </c>
      <c r="X3786" s="2">
        <f ca="1"/>
        <v>54.31369388108314</v>
      </c>
      <c r="AG3786" s="2">
        <f ca="1"/>
        <v>0.71212925988475395</v>
      </c>
      <c r="AH3786" s="2" t="str">
        <f ca="1"/>
        <v>Bad</v>
      </c>
    </row>
    <row r="3787" spans="2:34" x14ac:dyDescent="0.2">
      <c r="B3787" s="2">
        <f ca="1"/>
        <v>0.58047091007058449</v>
      </c>
      <c r="O3787" s="2">
        <f ca="1"/>
        <v>-2.185712576306539</v>
      </c>
      <c r="X3787" s="2">
        <f ca="1"/>
        <v>49.702667995387998</v>
      </c>
      <c r="AG3787" s="2">
        <f ca="1"/>
        <v>9.9868051082890874E-2</v>
      </c>
      <c r="AH3787" s="2" t="str">
        <f ca="1"/>
        <v>OK</v>
      </c>
    </row>
    <row r="3788" spans="2:34" x14ac:dyDescent="0.2">
      <c r="B3788" s="2">
        <f ca="1"/>
        <v>3.496301131599977E-2</v>
      </c>
      <c r="O3788" s="2">
        <f ca="1"/>
        <v>0.19824091486577358</v>
      </c>
      <c r="X3788" s="2">
        <f ca="1"/>
        <v>35.21948632059599</v>
      </c>
      <c r="AG3788" s="2">
        <f ca="1"/>
        <v>0.62886866989317447</v>
      </c>
      <c r="AH3788" s="2" t="str">
        <f ca="1"/>
        <v>Bad</v>
      </c>
    </row>
    <row r="3789" spans="2:34" x14ac:dyDescent="0.2">
      <c r="B3789" s="2">
        <f ca="1"/>
        <v>0.58507736959999135</v>
      </c>
      <c r="O3789" s="2">
        <f ca="1"/>
        <v>2.0634048116021726E-2</v>
      </c>
      <c r="X3789" s="2">
        <f ca="1"/>
        <v>55.79467339467481</v>
      </c>
      <c r="AG3789" s="2">
        <f ca="1"/>
        <v>0.59497917990858573</v>
      </c>
      <c r="AH3789" s="2" t="str">
        <f ca="1"/>
        <v>Bad</v>
      </c>
    </row>
    <row r="3790" spans="2:34" x14ac:dyDescent="0.2">
      <c r="B3790" s="2">
        <f ca="1"/>
        <v>0.80664454349909187</v>
      </c>
      <c r="O3790" s="2">
        <f ca="1"/>
        <v>-7.5279176425022257E-2</v>
      </c>
      <c r="X3790" s="2">
        <f ca="1"/>
        <v>67.035986006898796</v>
      </c>
      <c r="AG3790" s="2">
        <f ca="1"/>
        <v>0.86267004009632497</v>
      </c>
      <c r="AH3790" s="2" t="str">
        <f ca="1"/>
        <v>Bad</v>
      </c>
    </row>
    <row r="3791" spans="2:34" x14ac:dyDescent="0.2">
      <c r="B3791" s="2">
        <f ca="1"/>
        <v>0.67017216084615461</v>
      </c>
      <c r="O3791" s="2">
        <f ca="1"/>
        <v>0.45827727669469392</v>
      </c>
      <c r="X3791" s="2">
        <f ca="1"/>
        <v>51.482998209683345</v>
      </c>
      <c r="AG3791" s="2">
        <f ca="1"/>
        <v>9.2919324588006891E-2</v>
      </c>
      <c r="AH3791" s="2" t="str">
        <f ca="1"/>
        <v>OK</v>
      </c>
    </row>
    <row r="3792" spans="2:34" x14ac:dyDescent="0.2">
      <c r="B3792" s="2">
        <f ca="1"/>
        <v>0.98929352258973768</v>
      </c>
      <c r="O3792" s="2">
        <f ca="1"/>
        <v>0.86909664676615961</v>
      </c>
      <c r="X3792" s="2">
        <f ca="1"/>
        <v>70.212395908713049</v>
      </c>
      <c r="AG3792" s="2">
        <f ca="1"/>
        <v>0.69210188054501609</v>
      </c>
      <c r="AH3792" s="2" t="str">
        <f ca="1"/>
        <v>Bad</v>
      </c>
    </row>
    <row r="3793" spans="2:34" x14ac:dyDescent="0.2">
      <c r="B3793" s="2">
        <f ca="1"/>
        <v>0.96937188987537382</v>
      </c>
      <c r="O3793" s="2">
        <f ca="1"/>
        <v>1.2358417870691587</v>
      </c>
      <c r="X3793" s="2">
        <f ca="1"/>
        <v>32.920637920519226</v>
      </c>
      <c r="AG3793" s="2">
        <f ca="1"/>
        <v>0.87510723585610339</v>
      </c>
      <c r="AH3793" s="2" t="str">
        <f ca="1"/>
        <v>Bad</v>
      </c>
    </row>
    <row r="3794" spans="2:34" x14ac:dyDescent="0.2">
      <c r="B3794" s="2">
        <f ca="1"/>
        <v>0.45438215123629866</v>
      </c>
      <c r="O3794" s="2">
        <f ca="1"/>
        <v>1.4942094240681885</v>
      </c>
      <c r="X3794" s="2">
        <f ca="1"/>
        <v>51.839573888332126</v>
      </c>
      <c r="AG3794" s="2">
        <f ca="1"/>
        <v>0.33544760398978779</v>
      </c>
      <c r="AH3794" s="2" t="str">
        <f ca="1"/>
        <v>OK</v>
      </c>
    </row>
    <row r="3795" spans="2:34" x14ac:dyDescent="0.2">
      <c r="B3795" s="2">
        <f ca="1"/>
        <v>0.77800091717929809</v>
      </c>
      <c r="O3795" s="2">
        <f ca="1"/>
        <v>0.99614558401767939</v>
      </c>
      <c r="X3795" s="2">
        <f ca="1"/>
        <v>23.132426793975913</v>
      </c>
      <c r="AG3795" s="2">
        <f ca="1"/>
        <v>0.9163400221624578</v>
      </c>
      <c r="AH3795" s="2" t="str">
        <f ca="1"/>
        <v>Bad</v>
      </c>
    </row>
    <row r="3796" spans="2:34" x14ac:dyDescent="0.2">
      <c r="B3796" s="2">
        <f ca="1"/>
        <v>0.19210423685500966</v>
      </c>
      <c r="O3796" s="2">
        <f ca="1"/>
        <v>-1.6590894312678315</v>
      </c>
      <c r="X3796" s="2">
        <f ca="1"/>
        <v>41.881999879634229</v>
      </c>
      <c r="AG3796" s="2">
        <f ca="1"/>
        <v>0.68148560292669802</v>
      </c>
      <c r="AH3796" s="2" t="str">
        <f ca="1"/>
        <v>Bad</v>
      </c>
    </row>
    <row r="3797" spans="2:34" x14ac:dyDescent="0.2">
      <c r="B3797" s="2">
        <f ca="1"/>
        <v>0.84061979211162274</v>
      </c>
      <c r="O3797" s="2">
        <f ca="1"/>
        <v>0.58760106157081426</v>
      </c>
      <c r="X3797" s="2">
        <f ca="1"/>
        <v>64.295997838771683</v>
      </c>
      <c r="AG3797" s="2">
        <f ca="1"/>
        <v>4.7927006057438604E-2</v>
      </c>
      <c r="AH3797" s="2" t="str">
        <f ca="1"/>
        <v>Good</v>
      </c>
    </row>
    <row r="3798" spans="2:34" x14ac:dyDescent="0.2">
      <c r="B3798" s="2">
        <f ca="1"/>
        <v>0.32800255471315953</v>
      </c>
      <c r="O3798" s="2">
        <f ca="1"/>
        <v>1.6488678112847337</v>
      </c>
      <c r="X3798" s="2">
        <f ca="1"/>
        <v>68.154094653223495</v>
      </c>
      <c r="AG3798" s="2">
        <f ca="1"/>
        <v>0.96460463691997878</v>
      </c>
      <c r="AH3798" s="2" t="str">
        <f ca="1"/>
        <v>Bad</v>
      </c>
    </row>
    <row r="3799" spans="2:34" x14ac:dyDescent="0.2">
      <c r="B3799" s="2">
        <f ca="1"/>
        <v>0.67235979762800779</v>
      </c>
      <c r="O3799" s="2">
        <f ca="1"/>
        <v>-0.82232105589594817</v>
      </c>
      <c r="X3799" s="2">
        <f ca="1"/>
        <v>52.688357104178152</v>
      </c>
      <c r="AG3799" s="2">
        <f ca="1"/>
        <v>0.60435280233717936</v>
      </c>
      <c r="AH3799" s="2" t="str">
        <f ca="1"/>
        <v>Bad</v>
      </c>
    </row>
    <row r="3800" spans="2:34" x14ac:dyDescent="0.2">
      <c r="B3800" s="2">
        <f ca="1"/>
        <v>0.66674314622518827</v>
      </c>
      <c r="O3800" s="2">
        <f ca="1"/>
        <v>-1.0198584194725888</v>
      </c>
      <c r="X3800" s="2">
        <f ca="1"/>
        <v>66.283455937703025</v>
      </c>
      <c r="AG3800" s="2">
        <f ca="1"/>
        <v>0.36312124032081128</v>
      </c>
      <c r="AH3800" s="2" t="str">
        <f ca="1"/>
        <v>OK</v>
      </c>
    </row>
    <row r="3801" spans="2:34" x14ac:dyDescent="0.2">
      <c r="B3801" s="2">
        <f ca="1"/>
        <v>7.1250914863844717E-2</v>
      </c>
      <c r="O3801" s="2">
        <f ca="1"/>
        <v>8.3550812389339868E-2</v>
      </c>
      <c r="X3801" s="2">
        <f ca="1"/>
        <v>31.106792380572699</v>
      </c>
      <c r="AG3801" s="2">
        <f ca="1"/>
        <v>0.7599312668999052</v>
      </c>
      <c r="AH3801" s="2" t="str">
        <f ca="1"/>
        <v>Bad</v>
      </c>
    </row>
    <row r="3802" spans="2:34" x14ac:dyDescent="0.2">
      <c r="B3802" s="2">
        <f ca="1"/>
        <v>0.45054687784836367</v>
      </c>
      <c r="O3802" s="2">
        <f ca="1"/>
        <v>0.63556122823794714</v>
      </c>
      <c r="X3802" s="2">
        <f ca="1"/>
        <v>68.262401713577091</v>
      </c>
      <c r="AG3802" s="2">
        <f ca="1"/>
        <v>0.55933371642840557</v>
      </c>
      <c r="AH3802" s="2" t="str">
        <f ca="1"/>
        <v>Bad</v>
      </c>
    </row>
    <row r="3803" spans="2:34" x14ac:dyDescent="0.2">
      <c r="B3803" s="2">
        <f ca="1"/>
        <v>4.5076832974102476E-2</v>
      </c>
      <c r="O3803" s="2">
        <f ca="1"/>
        <v>-0.37400870709079204</v>
      </c>
      <c r="X3803" s="2">
        <f ca="1"/>
        <v>48.060914112332085</v>
      </c>
      <c r="AG3803" s="2">
        <f ca="1"/>
        <v>0.68364052520308127</v>
      </c>
      <c r="AH3803" s="2" t="str">
        <f ca="1"/>
        <v>Bad</v>
      </c>
    </row>
    <row r="3804" spans="2:34" x14ac:dyDescent="0.2">
      <c r="B3804" s="2">
        <f ca="1"/>
        <v>0.97366854243501222</v>
      </c>
      <c r="O3804" s="2">
        <f ca="1"/>
        <v>1.359271418979759</v>
      </c>
      <c r="X3804" s="2">
        <f ca="1"/>
        <v>41.491821028373963</v>
      </c>
      <c r="AG3804" s="2">
        <f ca="1"/>
        <v>0.74078785915597889</v>
      </c>
      <c r="AH3804" s="2" t="str">
        <f ca="1"/>
        <v>Bad</v>
      </c>
    </row>
    <row r="3805" spans="2:34" x14ac:dyDescent="0.2">
      <c r="B3805" s="2">
        <f ca="1"/>
        <v>0.94706566521532265</v>
      </c>
      <c r="O3805" s="2">
        <f ca="1"/>
        <v>-0.97865923018521672</v>
      </c>
      <c r="X3805" s="2">
        <f ca="1"/>
        <v>46.63743093117322</v>
      </c>
      <c r="AG3805" s="2">
        <f ca="1"/>
        <v>0.24587426796794154</v>
      </c>
      <c r="AH3805" s="2" t="str">
        <f ca="1"/>
        <v>OK</v>
      </c>
    </row>
    <row r="3806" spans="2:34" x14ac:dyDescent="0.2">
      <c r="B3806" s="2">
        <f ca="1"/>
        <v>0.11911950870751986</v>
      </c>
      <c r="O3806" s="2">
        <f ca="1"/>
        <v>1.613396752847577</v>
      </c>
      <c r="X3806" s="2">
        <f ca="1"/>
        <v>53.705489074005747</v>
      </c>
      <c r="AG3806" s="2">
        <f ca="1"/>
        <v>0.76425817043237343</v>
      </c>
      <c r="AH3806" s="2" t="str">
        <f ca="1"/>
        <v>Bad</v>
      </c>
    </row>
    <row r="3807" spans="2:34" x14ac:dyDescent="0.2">
      <c r="B3807" s="2">
        <f ca="1"/>
        <v>0.46593054509080511</v>
      </c>
      <c r="O3807" s="2">
        <f ca="1"/>
        <v>-0.63621526372681847</v>
      </c>
      <c r="X3807" s="2">
        <f ca="1"/>
        <v>31.664577068247723</v>
      </c>
      <c r="AG3807" s="2">
        <f ca="1"/>
        <v>0.36174610154254916</v>
      </c>
      <c r="AH3807" s="2" t="str">
        <f ca="1"/>
        <v>OK</v>
      </c>
    </row>
    <row r="3808" spans="2:34" x14ac:dyDescent="0.2">
      <c r="B3808" s="2">
        <f ca="1"/>
        <v>0.81934417807047866</v>
      </c>
      <c r="O3808" s="2">
        <f ca="1"/>
        <v>-1.152114710806003</v>
      </c>
      <c r="X3808" s="2">
        <f ca="1"/>
        <v>58.674372474968379</v>
      </c>
      <c r="AG3808" s="2">
        <f ca="1"/>
        <v>0.93308830350578553</v>
      </c>
      <c r="AH3808" s="2" t="str">
        <f ca="1"/>
        <v>Bad</v>
      </c>
    </row>
    <row r="3809" spans="2:34" x14ac:dyDescent="0.2">
      <c r="B3809" s="2">
        <f ca="1"/>
        <v>0.70391041604782445</v>
      </c>
      <c r="O3809" s="2">
        <f ca="1"/>
        <v>1.1674281992400912</v>
      </c>
      <c r="X3809" s="2">
        <f ca="1"/>
        <v>41.472317279250447</v>
      </c>
      <c r="AG3809" s="2">
        <f ca="1"/>
        <v>0.85699934443949966</v>
      </c>
      <c r="AH3809" s="2" t="str">
        <f ca="1"/>
        <v>Bad</v>
      </c>
    </row>
    <row r="3810" spans="2:34" x14ac:dyDescent="0.2">
      <c r="B3810" s="2">
        <f ca="1"/>
        <v>0.30743136224043277</v>
      </c>
      <c r="O3810" s="2">
        <f ca="1"/>
        <v>0.36526589837355694</v>
      </c>
      <c r="X3810" s="2">
        <f ca="1"/>
        <v>52.412234955603211</v>
      </c>
      <c r="AG3810" s="2">
        <f ca="1"/>
        <v>0.26275068869180296</v>
      </c>
      <c r="AH3810" s="2" t="str">
        <f ca="1"/>
        <v>OK</v>
      </c>
    </row>
    <row r="3811" spans="2:34" x14ac:dyDescent="0.2">
      <c r="B3811" s="2">
        <f ca="1"/>
        <v>0.4118773022308102</v>
      </c>
      <c r="O3811" s="2">
        <f ca="1"/>
        <v>1.5450169226382227</v>
      </c>
      <c r="X3811" s="2">
        <f ca="1"/>
        <v>27.850984503872517</v>
      </c>
      <c r="AG3811" s="2">
        <f ca="1"/>
        <v>0.94064007614521006</v>
      </c>
      <c r="AH3811" s="2" t="str">
        <f ca="1"/>
        <v>Bad</v>
      </c>
    </row>
    <row r="3812" spans="2:34" x14ac:dyDescent="0.2">
      <c r="B3812" s="2">
        <f ca="1"/>
        <v>4.4505821496116704E-2</v>
      </c>
      <c r="O3812" s="2">
        <f ca="1"/>
        <v>-0.39916954374560398</v>
      </c>
      <c r="X3812" s="2">
        <f ca="1"/>
        <v>58.488711061669505</v>
      </c>
      <c r="AG3812" s="2">
        <f ca="1"/>
        <v>0.87257664628809706</v>
      </c>
      <c r="AH3812" s="2" t="str">
        <f ca="1"/>
        <v>Bad</v>
      </c>
    </row>
    <row r="3813" spans="2:34" x14ac:dyDescent="0.2">
      <c r="B3813" s="2">
        <f ca="1"/>
        <v>0.53748289918101566</v>
      </c>
      <c r="O3813" s="2">
        <f ca="1"/>
        <v>-1.3747942659098757</v>
      </c>
      <c r="X3813" s="2">
        <f ca="1"/>
        <v>34.535013349170086</v>
      </c>
      <c r="AG3813" s="2">
        <f ca="1"/>
        <v>0.68726125471327748</v>
      </c>
      <c r="AH3813" s="2" t="str">
        <f ca="1"/>
        <v>Bad</v>
      </c>
    </row>
    <row r="3814" spans="2:34" x14ac:dyDescent="0.2">
      <c r="B3814" s="2">
        <f ca="1"/>
        <v>0.6654039340989375</v>
      </c>
      <c r="O3814" s="2">
        <f ca="1"/>
        <v>-1.1541501141200616</v>
      </c>
      <c r="X3814" s="2">
        <f ca="1"/>
        <v>37.865006895805891</v>
      </c>
      <c r="AG3814" s="2">
        <f ca="1"/>
        <v>0.43457351267132327</v>
      </c>
      <c r="AH3814" s="2" t="str">
        <f ca="1"/>
        <v>Bad</v>
      </c>
    </row>
    <row r="3815" spans="2:34" x14ac:dyDescent="0.2">
      <c r="B3815" s="2">
        <f ca="1"/>
        <v>0.53169381413489325</v>
      </c>
      <c r="O3815" s="2">
        <f ca="1"/>
        <v>-0.1390417038461324</v>
      </c>
      <c r="X3815" s="2">
        <f ca="1"/>
        <v>25.060612668389084</v>
      </c>
      <c r="AG3815" s="2">
        <f ca="1"/>
        <v>0.50158344389979725</v>
      </c>
      <c r="AH3815" s="2" t="str">
        <f ca="1"/>
        <v>Bad</v>
      </c>
    </row>
    <row r="3816" spans="2:34" x14ac:dyDescent="0.2">
      <c r="B3816" s="2">
        <f ca="1"/>
        <v>0.2659420455342798</v>
      </c>
      <c r="O3816" s="2">
        <f ca="1"/>
        <v>0.99290402977914016</v>
      </c>
      <c r="X3816" s="2">
        <f ca="1"/>
        <v>54.989160049313952</v>
      </c>
      <c r="AG3816" s="2">
        <f ca="1"/>
        <v>0.54619399867000418</v>
      </c>
      <c r="AH3816" s="2" t="str">
        <f ca="1"/>
        <v>Bad</v>
      </c>
    </row>
    <row r="3817" spans="2:34" x14ac:dyDescent="0.2">
      <c r="B3817" s="2">
        <f ca="1"/>
        <v>0.25516945075076958</v>
      </c>
      <c r="O3817" s="2">
        <f ca="1"/>
        <v>1.4280394388040263</v>
      </c>
      <c r="X3817" s="2">
        <f ca="1"/>
        <v>90.378346520654688</v>
      </c>
      <c r="AG3817" s="2">
        <f ca="1"/>
        <v>0.12929718493945441</v>
      </c>
      <c r="AH3817" s="2" t="str">
        <f ca="1"/>
        <v>OK</v>
      </c>
    </row>
    <row r="3818" spans="2:34" x14ac:dyDescent="0.2">
      <c r="B3818" s="2">
        <f ca="1"/>
        <v>0.46759249325253593</v>
      </c>
      <c r="O3818" s="2">
        <f ca="1"/>
        <v>9.9321658221548231E-2</v>
      </c>
      <c r="X3818" s="2">
        <f ca="1"/>
        <v>59.160049149432446</v>
      </c>
      <c r="AG3818" s="2">
        <f ca="1"/>
        <v>0.1976527068637659</v>
      </c>
      <c r="AH3818" s="2" t="str">
        <f ca="1"/>
        <v>OK</v>
      </c>
    </row>
    <row r="3819" spans="2:34" x14ac:dyDescent="0.2">
      <c r="B3819" s="2">
        <f ca="1"/>
        <v>0.66812716917616299</v>
      </c>
      <c r="O3819" s="2">
        <f ca="1"/>
        <v>1.4902659459692484</v>
      </c>
      <c r="X3819" s="2">
        <f ca="1"/>
        <v>64.134499925258922</v>
      </c>
      <c r="AG3819" s="2">
        <f ca="1"/>
        <v>0.97220021104240928</v>
      </c>
      <c r="AH3819" s="2" t="str">
        <f ca="1"/>
        <v>Bad</v>
      </c>
    </row>
    <row r="3820" spans="2:34" x14ac:dyDescent="0.2">
      <c r="B3820" s="2">
        <f ca="1"/>
        <v>7.5372689174974639E-2</v>
      </c>
      <c r="O3820" s="2">
        <f ca="1"/>
        <v>-0.15781926193585688</v>
      </c>
      <c r="X3820" s="2">
        <f ca="1"/>
        <v>26.908739898716298</v>
      </c>
      <c r="AG3820" s="2">
        <f ca="1"/>
        <v>0.66584483025047025</v>
      </c>
      <c r="AH3820" s="2" t="str">
        <f ca="1"/>
        <v>Bad</v>
      </c>
    </row>
    <row r="3821" spans="2:34" x14ac:dyDescent="0.2">
      <c r="B3821" s="2">
        <f ca="1"/>
        <v>0.45272937190889007</v>
      </c>
      <c r="O3821" s="2">
        <f ca="1"/>
        <v>-1.2230734509678989</v>
      </c>
      <c r="X3821" s="2">
        <f ca="1"/>
        <v>66.185375052182579</v>
      </c>
      <c r="AG3821" s="2">
        <f ca="1"/>
        <v>0.88347344559670793</v>
      </c>
      <c r="AH3821" s="2" t="str">
        <f ca="1"/>
        <v>Bad</v>
      </c>
    </row>
    <row r="3822" spans="2:34" x14ac:dyDescent="0.2">
      <c r="B3822" s="2">
        <f ca="1"/>
        <v>0.67554155444949848</v>
      </c>
      <c r="O3822" s="2">
        <f ca="1"/>
        <v>-0.41178178854971609</v>
      </c>
      <c r="X3822" s="2">
        <f ca="1"/>
        <v>53.97362860302664</v>
      </c>
      <c r="AG3822" s="2">
        <f ca="1"/>
        <v>0.61697399911878503</v>
      </c>
      <c r="AH3822" s="2" t="str">
        <f ca="1"/>
        <v>Bad</v>
      </c>
    </row>
    <row r="3823" spans="2:34" x14ac:dyDescent="0.2">
      <c r="B3823" s="2">
        <f ca="1"/>
        <v>0.89084395806899486</v>
      </c>
      <c r="O3823" s="2">
        <f ca="1"/>
        <v>-0.58489022941005697</v>
      </c>
      <c r="X3823" s="2">
        <f ca="1"/>
        <v>38.91418512485766</v>
      </c>
      <c r="AG3823" s="2">
        <f ca="1"/>
        <v>0.60002885143818152</v>
      </c>
      <c r="AH3823" s="2" t="str">
        <f ca="1"/>
        <v>Bad</v>
      </c>
    </row>
    <row r="3824" spans="2:34" x14ac:dyDescent="0.2">
      <c r="B3824" s="2">
        <f ca="1"/>
        <v>0.72092448480715987</v>
      </c>
      <c r="O3824" s="2">
        <f ca="1"/>
        <v>0.50385442909166489</v>
      </c>
      <c r="X3824" s="2">
        <f ca="1"/>
        <v>18.997166494305155</v>
      </c>
      <c r="AG3824" s="2">
        <f ca="1"/>
        <v>6.277869092177002E-2</v>
      </c>
      <c r="AH3824" s="2" t="str">
        <f ca="1"/>
        <v>OK</v>
      </c>
    </row>
    <row r="3825" spans="2:34" x14ac:dyDescent="0.2">
      <c r="B3825" s="2">
        <f ca="1"/>
        <v>0.4591049880072533</v>
      </c>
      <c r="O3825" s="2">
        <f ca="1"/>
        <v>-1.5065396724648223</v>
      </c>
      <c r="X3825" s="2">
        <f ca="1"/>
        <v>51.981372792908907</v>
      </c>
      <c r="AG3825" s="2">
        <f ca="1"/>
        <v>0.99373706114552385</v>
      </c>
      <c r="AH3825" s="2" t="str">
        <f ca="1"/>
        <v>Bad</v>
      </c>
    </row>
    <row r="3826" spans="2:34" x14ac:dyDescent="0.2">
      <c r="B3826" s="2">
        <f ca="1"/>
        <v>0.24183622019069673</v>
      </c>
      <c r="O3826" s="2">
        <f ca="1"/>
        <v>0.4135095978193507</v>
      </c>
      <c r="X3826" s="2">
        <f ca="1"/>
        <v>36.186126395086205</v>
      </c>
      <c r="AG3826" s="2">
        <f ca="1"/>
        <v>0.23283980656861791</v>
      </c>
      <c r="AH3826" s="2" t="str">
        <f ca="1"/>
        <v>OK</v>
      </c>
    </row>
    <row r="3827" spans="2:34" x14ac:dyDescent="0.2">
      <c r="B3827" s="2">
        <f ca="1"/>
        <v>0.29535893576665151</v>
      </c>
      <c r="O3827" s="2">
        <f ca="1"/>
        <v>0.96169384304204608</v>
      </c>
      <c r="X3827" s="2">
        <f ca="1"/>
        <v>26.662401781323894</v>
      </c>
      <c r="AG3827" s="2">
        <f ca="1"/>
        <v>0.55627151969743971</v>
      </c>
      <c r="AH3827" s="2" t="str">
        <f ca="1"/>
        <v>Bad</v>
      </c>
    </row>
    <row r="3828" spans="2:34" x14ac:dyDescent="0.2">
      <c r="B3828" s="2">
        <f ca="1"/>
        <v>0.58701105206108184</v>
      </c>
      <c r="O3828" s="2">
        <f ca="1"/>
        <v>0.90728594055562362</v>
      </c>
      <c r="X3828" s="2">
        <f ca="1"/>
        <v>46.471878294014637</v>
      </c>
      <c r="AG3828" s="2">
        <f ca="1"/>
        <v>0.85237628187608383</v>
      </c>
      <c r="AH3828" s="2" t="str">
        <f ca="1"/>
        <v>Bad</v>
      </c>
    </row>
    <row r="3829" spans="2:34" x14ac:dyDescent="0.2">
      <c r="B3829" s="2">
        <f ca="1"/>
        <v>0.28134757042935798</v>
      </c>
      <c r="O3829" s="2">
        <f ca="1"/>
        <v>-0.18681098575425037</v>
      </c>
      <c r="X3829" s="2">
        <f ca="1"/>
        <v>64.245610193545488</v>
      </c>
      <c r="AG3829" s="2">
        <f ca="1"/>
        <v>0.91208168417365898</v>
      </c>
      <c r="AH3829" s="2" t="str">
        <f ca="1"/>
        <v>Bad</v>
      </c>
    </row>
    <row r="3830" spans="2:34" x14ac:dyDescent="0.2">
      <c r="B3830" s="2">
        <f ca="1"/>
        <v>0.72255061568762424</v>
      </c>
      <c r="O3830" s="2">
        <f ca="1"/>
        <v>-6.9954923527766083E-2</v>
      </c>
      <c r="X3830" s="2">
        <f ca="1"/>
        <v>56.700870430883199</v>
      </c>
      <c r="AG3830" s="2">
        <f ca="1"/>
        <v>0.92666577327056676</v>
      </c>
      <c r="AH3830" s="2" t="str">
        <f ca="1"/>
        <v>Bad</v>
      </c>
    </row>
    <row r="3831" spans="2:34" x14ac:dyDescent="0.2">
      <c r="B3831" s="2">
        <f ca="1"/>
        <v>0.16637897916380706</v>
      </c>
      <c r="O3831" s="2">
        <f ca="1"/>
        <v>-4.2342148876595966E-2</v>
      </c>
      <c r="X3831" s="2">
        <f ca="1"/>
        <v>36.549774925661779</v>
      </c>
      <c r="AG3831" s="2">
        <f ca="1"/>
        <v>0.97494809543143135</v>
      </c>
      <c r="AH3831" s="2" t="str">
        <f ca="1"/>
        <v>Bad</v>
      </c>
    </row>
    <row r="3832" spans="2:34" x14ac:dyDescent="0.2">
      <c r="B3832" s="2">
        <f ca="1"/>
        <v>0.5558036870042371</v>
      </c>
      <c r="O3832" s="2">
        <f ca="1"/>
        <v>1.7857694777765456</v>
      </c>
      <c r="X3832" s="2">
        <f ca="1"/>
        <v>47.708361358299072</v>
      </c>
      <c r="AG3832" s="2">
        <f ca="1"/>
        <v>0.43237573823662645</v>
      </c>
      <c r="AH3832" s="2" t="str">
        <f ca="1"/>
        <v>Bad</v>
      </c>
    </row>
    <row r="3833" spans="2:34" x14ac:dyDescent="0.2">
      <c r="B3833" s="2">
        <f ca="1"/>
        <v>0.88739945651190455</v>
      </c>
      <c r="O3833" s="2">
        <f ca="1"/>
        <v>-0.90762988920661369</v>
      </c>
      <c r="X3833" s="2">
        <f ca="1"/>
        <v>46.159013944315802</v>
      </c>
      <c r="AG3833" s="2">
        <f ca="1"/>
        <v>0.51759211029360008</v>
      </c>
      <c r="AH3833" s="2" t="str">
        <f ca="1"/>
        <v>Bad</v>
      </c>
    </row>
    <row r="3834" spans="2:34" x14ac:dyDescent="0.2">
      <c r="B3834" s="2">
        <f ca="1"/>
        <v>0.28542197682094339</v>
      </c>
      <c r="O3834" s="2">
        <f ca="1"/>
        <v>-0.13155929396237248</v>
      </c>
      <c r="X3834" s="2">
        <f ca="1"/>
        <v>36.633222654561564</v>
      </c>
      <c r="AG3834" s="2">
        <f ca="1"/>
        <v>0.83804180654305926</v>
      </c>
      <c r="AH3834" s="2" t="str">
        <f ca="1"/>
        <v>Bad</v>
      </c>
    </row>
    <row r="3835" spans="2:34" x14ac:dyDescent="0.2">
      <c r="B3835" s="2">
        <f ca="1"/>
        <v>0.24214892847921665</v>
      </c>
      <c r="O3835" s="2">
        <f ca="1"/>
        <v>-0.58186803461371006</v>
      </c>
      <c r="X3835" s="2">
        <f ca="1"/>
        <v>49.608791727534218</v>
      </c>
      <c r="AG3835" s="2">
        <f ca="1"/>
        <v>0.52162243625928251</v>
      </c>
      <c r="AH3835" s="2" t="str">
        <f ca="1"/>
        <v>Bad</v>
      </c>
    </row>
    <row r="3836" spans="2:34" x14ac:dyDescent="0.2">
      <c r="B3836" s="2">
        <f ca="1"/>
        <v>0.23473759348994871</v>
      </c>
      <c r="O3836" s="2">
        <f ca="1"/>
        <v>-1.1539110795869296</v>
      </c>
      <c r="X3836" s="2">
        <f ca="1"/>
        <v>48.44001835777366</v>
      </c>
      <c r="AG3836" s="2">
        <f ca="1"/>
        <v>7.684411685738346E-2</v>
      </c>
      <c r="AH3836" s="2" t="str">
        <f ca="1"/>
        <v>OK</v>
      </c>
    </row>
    <row r="3837" spans="2:34" x14ac:dyDescent="0.2">
      <c r="B3837" s="2">
        <f ca="1"/>
        <v>0.91440850504786364</v>
      </c>
      <c r="O3837" s="2">
        <f ca="1"/>
        <v>-0.54927949520309471</v>
      </c>
      <c r="X3837" s="2">
        <f ca="1"/>
        <v>34.284436913086068</v>
      </c>
      <c r="AG3837" s="2">
        <f ca="1"/>
        <v>0.93723786745960025</v>
      </c>
      <c r="AH3837" s="2" t="str">
        <f ca="1"/>
        <v>Bad</v>
      </c>
    </row>
    <row r="3838" spans="2:34" x14ac:dyDescent="0.2">
      <c r="B3838" s="2">
        <f ca="1"/>
        <v>0.57384062034990313</v>
      </c>
      <c r="O3838" s="2">
        <f ca="1"/>
        <v>-0.80765005830923631</v>
      </c>
      <c r="X3838" s="2">
        <f ca="1"/>
        <v>70.162942388263403</v>
      </c>
      <c r="AG3838" s="2">
        <f ca="1"/>
        <v>0.2196624236122573</v>
      </c>
      <c r="AH3838" s="2" t="str">
        <f ca="1"/>
        <v>OK</v>
      </c>
    </row>
    <row r="3839" spans="2:34" x14ac:dyDescent="0.2">
      <c r="B3839" s="2">
        <f ca="1"/>
        <v>0.74840306670391676</v>
      </c>
      <c r="O3839" s="2">
        <f ca="1"/>
        <v>-1.3658108244085168</v>
      </c>
      <c r="X3839" s="2">
        <f ca="1"/>
        <v>36.938823549236247</v>
      </c>
      <c r="AG3839" s="2">
        <f ca="1"/>
        <v>0.19148265639123108</v>
      </c>
      <c r="AH3839" s="2" t="str">
        <f ca="1"/>
        <v>OK</v>
      </c>
    </row>
    <row r="3840" spans="2:34" x14ac:dyDescent="0.2">
      <c r="B3840" s="2">
        <f ca="1"/>
        <v>1.7988319030939115E-2</v>
      </c>
      <c r="O3840" s="2">
        <f ca="1"/>
        <v>0.13693027535390548</v>
      </c>
      <c r="X3840" s="2">
        <f ca="1"/>
        <v>46.360513881999921</v>
      </c>
      <c r="AG3840" s="2">
        <f ca="1"/>
        <v>0.47632823286592862</v>
      </c>
      <c r="AH3840" s="2" t="str">
        <f ca="1"/>
        <v>Bad</v>
      </c>
    </row>
    <row r="3841" spans="2:34" x14ac:dyDescent="0.2">
      <c r="B3841" s="2">
        <f ca="1"/>
        <v>0.94161409886969882</v>
      </c>
      <c r="O3841" s="2">
        <f ca="1"/>
        <v>1.2906899470984421</v>
      </c>
      <c r="X3841" s="2">
        <f ca="1"/>
        <v>49.918063789713202</v>
      </c>
      <c r="AG3841" s="2">
        <f ca="1"/>
        <v>0.28897679589075187</v>
      </c>
      <c r="AH3841" s="2" t="str">
        <f ca="1"/>
        <v>OK</v>
      </c>
    </row>
    <row r="3842" spans="2:34" x14ac:dyDescent="0.2">
      <c r="B3842" s="2">
        <f ca="1"/>
        <v>0.78159246873003196</v>
      </c>
      <c r="O3842" s="2">
        <f ca="1"/>
        <v>-0.39509758910433018</v>
      </c>
      <c r="X3842" s="2">
        <f ca="1"/>
        <v>30.692443689522424</v>
      </c>
      <c r="AG3842" s="2">
        <f ca="1"/>
        <v>0.201958092623159</v>
      </c>
      <c r="AH3842" s="2" t="str">
        <f ca="1"/>
        <v>OK</v>
      </c>
    </row>
    <row r="3843" spans="2:34" x14ac:dyDescent="0.2">
      <c r="B3843" s="2">
        <f ca="1"/>
        <v>0.42047770119854366</v>
      </c>
      <c r="O3843" s="2">
        <f ca="1"/>
        <v>0.91921512516544934</v>
      </c>
      <c r="X3843" s="2">
        <f ca="1"/>
        <v>49.05950722489581</v>
      </c>
      <c r="AG3843" s="2">
        <f ca="1"/>
        <v>0.44588943548063176</v>
      </c>
      <c r="AH3843" s="2" t="str">
        <f ca="1"/>
        <v>Bad</v>
      </c>
    </row>
    <row r="3844" spans="2:34" x14ac:dyDescent="0.2">
      <c r="B3844" s="2">
        <f ca="1"/>
        <v>0.82576418784231809</v>
      </c>
      <c r="O3844" s="2">
        <f ca="1"/>
        <v>0.20548502122571188</v>
      </c>
      <c r="X3844" s="2">
        <f ca="1"/>
        <v>29.586588966559528</v>
      </c>
      <c r="AG3844" s="2">
        <f ca="1"/>
        <v>0.26331416098304006</v>
      </c>
      <c r="AH3844" s="2" t="str">
        <f ca="1"/>
        <v>OK</v>
      </c>
    </row>
    <row r="3845" spans="2:34" x14ac:dyDescent="0.2">
      <c r="B3845" s="2">
        <f ca="1"/>
        <v>0.21337109266842891</v>
      </c>
      <c r="O3845" s="2">
        <f ca="1"/>
        <v>-7.3710134879025668E-2</v>
      </c>
      <c r="X3845" s="2">
        <f ca="1"/>
        <v>77.517163848298182</v>
      </c>
      <c r="AG3845" s="2">
        <f ca="1"/>
        <v>0.25809587820177904</v>
      </c>
      <c r="AH3845" s="2" t="str">
        <f ca="1"/>
        <v>OK</v>
      </c>
    </row>
    <row r="3846" spans="2:34" x14ac:dyDescent="0.2">
      <c r="B3846" s="2">
        <f ca="1"/>
        <v>0.60328908006401738</v>
      </c>
      <c r="O3846" s="2">
        <f ca="1"/>
        <v>0.31964585629573061</v>
      </c>
      <c r="X3846" s="2">
        <f ca="1"/>
        <v>35.128190600597279</v>
      </c>
      <c r="AG3846" s="2">
        <f ca="1"/>
        <v>0.57723689427883373</v>
      </c>
      <c r="AH3846" s="2" t="str">
        <f ca="1"/>
        <v>Bad</v>
      </c>
    </row>
    <row r="3847" spans="2:34" x14ac:dyDescent="0.2">
      <c r="B3847" s="2">
        <f ca="1"/>
        <v>0.75299967723202466</v>
      </c>
      <c r="O3847" s="2">
        <f ca="1"/>
        <v>7.7555102892829658E-2</v>
      </c>
      <c r="X3847" s="2">
        <f ca="1"/>
        <v>21.530985483957473</v>
      </c>
      <c r="AG3847" s="2">
        <f ca="1"/>
        <v>0.87386169733621188</v>
      </c>
      <c r="AH3847" s="2" t="str">
        <f ca="1"/>
        <v>Bad</v>
      </c>
    </row>
    <row r="3848" spans="2:34" x14ac:dyDescent="0.2">
      <c r="B3848" s="2">
        <f ca="1"/>
        <v>3.2844267205688116E-2</v>
      </c>
      <c r="O3848" s="2">
        <f ca="1"/>
        <v>2.5143716359771191</v>
      </c>
      <c r="X3848" s="2">
        <f ca="1"/>
        <v>35.942591540173865</v>
      </c>
      <c r="AG3848" s="2">
        <f ca="1"/>
        <v>0.61092949285489362</v>
      </c>
      <c r="AH3848" s="2" t="str">
        <f ca="1"/>
        <v>Bad</v>
      </c>
    </row>
    <row r="3849" spans="2:34" x14ac:dyDescent="0.2">
      <c r="B3849" s="2">
        <f ca="1"/>
        <v>4.5490605509292958E-3</v>
      </c>
      <c r="O3849" s="2">
        <f ca="1"/>
        <v>1.042458676049943</v>
      </c>
      <c r="X3849" s="2">
        <f ca="1"/>
        <v>57.524760470451106</v>
      </c>
      <c r="AG3849" s="2">
        <f ca="1"/>
        <v>0.58395251841698204</v>
      </c>
      <c r="AH3849" s="2" t="str">
        <f ca="1"/>
        <v>Bad</v>
      </c>
    </row>
    <row r="3850" spans="2:34" x14ac:dyDescent="0.2">
      <c r="B3850" s="2">
        <f ca="1"/>
        <v>8.0042041871995151E-2</v>
      </c>
      <c r="O3850" s="2">
        <f ca="1"/>
        <v>-1.26912581441469</v>
      </c>
      <c r="X3850" s="2">
        <f ca="1"/>
        <v>43.43027418281455</v>
      </c>
      <c r="AG3850" s="2">
        <f ca="1"/>
        <v>0.73806222622607187</v>
      </c>
      <c r="AH3850" s="2" t="str">
        <f ca="1"/>
        <v>Bad</v>
      </c>
    </row>
    <row r="3851" spans="2:34" x14ac:dyDescent="0.2">
      <c r="B3851" s="2">
        <f ca="1"/>
        <v>0.93302200621749365</v>
      </c>
      <c r="O3851" s="2">
        <f ca="1"/>
        <v>-1.7041028751850866</v>
      </c>
      <c r="X3851" s="2">
        <f ca="1"/>
        <v>51.957575390172195</v>
      </c>
      <c r="AG3851" s="2">
        <f ca="1"/>
        <v>0.31682613587990294</v>
      </c>
      <c r="AH3851" s="2" t="str">
        <f ca="1"/>
        <v>OK</v>
      </c>
    </row>
    <row r="3852" spans="2:34" x14ac:dyDescent="0.2">
      <c r="B3852" s="2">
        <f ca="1"/>
        <v>6.0601804572204099E-2</v>
      </c>
      <c r="O3852" s="2">
        <f ca="1"/>
        <v>-0.37799741424902134</v>
      </c>
      <c r="X3852" s="2">
        <f ca="1"/>
        <v>41.935674035491814</v>
      </c>
      <c r="AG3852" s="2">
        <f ca="1"/>
        <v>0.84083309919823868</v>
      </c>
      <c r="AH3852" s="2" t="str">
        <f ca="1"/>
        <v>Bad</v>
      </c>
    </row>
    <row r="3853" spans="2:34" x14ac:dyDescent="0.2">
      <c r="B3853" s="2">
        <f ca="1"/>
        <v>0.94057671592987591</v>
      </c>
      <c r="O3853" s="2">
        <f ca="1"/>
        <v>-1.9984013003879779</v>
      </c>
      <c r="X3853" s="2">
        <f ca="1"/>
        <v>82.282174413487823</v>
      </c>
      <c r="AG3853" s="2">
        <f ca="1"/>
        <v>0.16336303565469379</v>
      </c>
      <c r="AH3853" s="2" t="str">
        <f ca="1"/>
        <v>OK</v>
      </c>
    </row>
    <row r="3854" spans="2:34" x14ac:dyDescent="0.2">
      <c r="B3854" s="2">
        <f ca="1"/>
        <v>0.70270165481941826</v>
      </c>
      <c r="O3854" s="2">
        <f ca="1"/>
        <v>0.60851741877639343</v>
      </c>
      <c r="X3854" s="2">
        <f ca="1"/>
        <v>43.587171882297611</v>
      </c>
      <c r="AG3854" s="2">
        <f ca="1"/>
        <v>0.59834297614998344</v>
      </c>
      <c r="AH3854" s="2" t="str">
        <f ca="1"/>
        <v>Bad</v>
      </c>
    </row>
    <row r="3855" spans="2:34" x14ac:dyDescent="0.2">
      <c r="B3855" s="2">
        <f ca="1"/>
        <v>0.28493271356665462</v>
      </c>
      <c r="O3855" s="2">
        <f ca="1"/>
        <v>-0.30139715273653206</v>
      </c>
      <c r="X3855" s="2">
        <f ca="1"/>
        <v>45.489714815193238</v>
      </c>
      <c r="AG3855" s="2">
        <f ca="1"/>
        <v>0.65659814968109353</v>
      </c>
      <c r="AH3855" s="2" t="str">
        <f ca="1"/>
        <v>Bad</v>
      </c>
    </row>
    <row r="3856" spans="2:34" x14ac:dyDescent="0.2">
      <c r="B3856" s="2">
        <f ca="1"/>
        <v>0.41391937126552758</v>
      </c>
      <c r="O3856" s="2">
        <f ca="1"/>
        <v>-0.17103746599583691</v>
      </c>
      <c r="X3856" s="2">
        <f ca="1"/>
        <v>32.073383575404868</v>
      </c>
      <c r="AG3856" s="2">
        <f ca="1"/>
        <v>0.96816558924611162</v>
      </c>
      <c r="AH3856" s="2" t="str">
        <f ca="1"/>
        <v>Bad</v>
      </c>
    </row>
    <row r="3857" spans="2:34" x14ac:dyDescent="0.2">
      <c r="B3857" s="2">
        <f ca="1"/>
        <v>0.91770853267055208</v>
      </c>
      <c r="O3857" s="2">
        <f ca="1"/>
        <v>-0.75363775254405252</v>
      </c>
      <c r="X3857" s="2">
        <f ca="1"/>
        <v>51.020477084169769</v>
      </c>
      <c r="AG3857" s="2">
        <f ca="1"/>
        <v>5.286633767810045E-2</v>
      </c>
      <c r="AH3857" s="2" t="str">
        <f ca="1"/>
        <v>OK</v>
      </c>
    </row>
    <row r="3858" spans="2:34" x14ac:dyDescent="0.2">
      <c r="B3858" s="2">
        <f ca="1"/>
        <v>0.97218687297147977</v>
      </c>
      <c r="O3858" s="2">
        <f ca="1"/>
        <v>-0.32272836036689551</v>
      </c>
      <c r="X3858" s="2">
        <f ca="1"/>
        <v>40.875296606020342</v>
      </c>
      <c r="AG3858" s="2">
        <f ca="1"/>
        <v>0.81196923543309674</v>
      </c>
      <c r="AH3858" s="2" t="str">
        <f ca="1"/>
        <v>Bad</v>
      </c>
    </row>
    <row r="3859" spans="2:34" x14ac:dyDescent="0.2">
      <c r="B3859" s="2">
        <f ca="1"/>
        <v>0.45224947152038619</v>
      </c>
      <c r="O3859" s="2">
        <f ca="1"/>
        <v>-1.4273987012828493</v>
      </c>
      <c r="X3859" s="2">
        <f ca="1"/>
        <v>61.769190840695529</v>
      </c>
      <c r="AG3859" s="2">
        <f ca="1"/>
        <v>0.39294651375711354</v>
      </c>
      <c r="AH3859" s="2" t="str">
        <f ca="1"/>
        <v>OK</v>
      </c>
    </row>
    <row r="3860" spans="2:34" x14ac:dyDescent="0.2">
      <c r="B3860" s="2">
        <f ca="1"/>
        <v>0.36045123405527679</v>
      </c>
      <c r="O3860" s="2">
        <f ca="1"/>
        <v>1.4520057562611788</v>
      </c>
      <c r="X3860" s="2">
        <f ca="1"/>
        <v>67.914496100310203</v>
      </c>
      <c r="AG3860" s="2">
        <f ca="1"/>
        <v>0.593853793111776</v>
      </c>
      <c r="AH3860" s="2" t="str">
        <f ca="1"/>
        <v>Bad</v>
      </c>
    </row>
    <row r="3861" spans="2:34" x14ac:dyDescent="0.2">
      <c r="B3861" s="2">
        <f ca="1"/>
        <v>0.73799078149832154</v>
      </c>
      <c r="O3861" s="2">
        <f ca="1"/>
        <v>-0.6009068301071766</v>
      </c>
      <c r="X3861" s="2">
        <f ca="1"/>
        <v>38.902146730374149</v>
      </c>
      <c r="AG3861" s="2">
        <f ca="1"/>
        <v>2.6814628262809892E-2</v>
      </c>
      <c r="AH3861" s="2" t="str">
        <f ca="1"/>
        <v>Good</v>
      </c>
    </row>
    <row r="3862" spans="2:34" x14ac:dyDescent="0.2">
      <c r="B3862" s="2">
        <f ca="1"/>
        <v>0.89011799953177451</v>
      </c>
      <c r="O3862" s="2">
        <f ca="1"/>
        <v>0.6521965129050753</v>
      </c>
      <c r="X3862" s="2">
        <f ca="1"/>
        <v>34.050341908148788</v>
      </c>
      <c r="AG3862" s="2">
        <f ca="1"/>
        <v>0.89650826267489991</v>
      </c>
      <c r="AH3862" s="2" t="str">
        <f ca="1"/>
        <v>Bad</v>
      </c>
    </row>
    <row r="3863" spans="2:34" x14ac:dyDescent="0.2">
      <c r="B3863" s="2">
        <f ca="1"/>
        <v>0.57495911099563202</v>
      </c>
      <c r="O3863" s="2">
        <f ca="1"/>
        <v>-1.0278648410957734</v>
      </c>
      <c r="X3863" s="2">
        <f ca="1"/>
        <v>63.258173197210219</v>
      </c>
      <c r="AG3863" s="2">
        <f ca="1"/>
        <v>0.20671862475787828</v>
      </c>
      <c r="AH3863" s="2" t="str">
        <f ca="1"/>
        <v>OK</v>
      </c>
    </row>
    <row r="3864" spans="2:34" x14ac:dyDescent="0.2">
      <c r="B3864" s="2">
        <f ca="1"/>
        <v>0.40316767165019751</v>
      </c>
      <c r="O3864" s="2">
        <f ca="1"/>
        <v>0.51010931199434439</v>
      </c>
      <c r="X3864" s="2">
        <f ca="1"/>
        <v>38.668275909629806</v>
      </c>
      <c r="AG3864" s="2">
        <f ca="1"/>
        <v>0.86136486118815681</v>
      </c>
      <c r="AH3864" s="2" t="str">
        <f ca="1"/>
        <v>Bad</v>
      </c>
    </row>
    <row r="3865" spans="2:34" x14ac:dyDescent="0.2">
      <c r="B3865" s="2">
        <f ca="1"/>
        <v>0.92790252956384256</v>
      </c>
      <c r="O3865" s="2">
        <f ca="1"/>
        <v>-4.7198239150878646E-2</v>
      </c>
      <c r="X3865" s="2">
        <f ca="1"/>
        <v>56.803141784473937</v>
      </c>
      <c r="AG3865" s="2">
        <f ca="1"/>
        <v>0.11443540863262114</v>
      </c>
      <c r="AH3865" s="2" t="str">
        <f ca="1"/>
        <v>OK</v>
      </c>
    </row>
    <row r="3866" spans="2:34" x14ac:dyDescent="0.2">
      <c r="B3866" s="2">
        <f ca="1"/>
        <v>0.39963790312453029</v>
      </c>
      <c r="O3866" s="2">
        <f ca="1"/>
        <v>-0.76763517485758703</v>
      </c>
      <c r="X3866" s="2">
        <f ca="1"/>
        <v>46.53292687698783</v>
      </c>
      <c r="AG3866" s="2">
        <f ca="1"/>
        <v>0.77705459534333254</v>
      </c>
      <c r="AH3866" s="2" t="str">
        <f ca="1"/>
        <v>Bad</v>
      </c>
    </row>
    <row r="3867" spans="2:34" x14ac:dyDescent="0.2">
      <c r="B3867" s="2">
        <f ca="1"/>
        <v>0.17867762091360984</v>
      </c>
      <c r="O3867" s="2">
        <f ca="1"/>
        <v>1.2610023817757163</v>
      </c>
      <c r="X3867" s="2">
        <f ca="1"/>
        <v>20.749267166887265</v>
      </c>
      <c r="AG3867" s="2">
        <f ca="1"/>
        <v>0.47921118647573735</v>
      </c>
      <c r="AH3867" s="2" t="str">
        <f ca="1"/>
        <v>Bad</v>
      </c>
    </row>
    <row r="3868" spans="2:34" x14ac:dyDescent="0.2">
      <c r="B3868" s="2">
        <f ca="1"/>
        <v>0.76326485119260123</v>
      </c>
      <c r="O3868" s="2">
        <f ca="1"/>
        <v>-1.5207471262665264</v>
      </c>
      <c r="X3868" s="2">
        <f ca="1"/>
        <v>42.940049405372733</v>
      </c>
      <c r="AG3868" s="2">
        <f ca="1"/>
        <v>0.45989527917475415</v>
      </c>
      <c r="AH3868" s="2" t="str">
        <f ca="1"/>
        <v>Bad</v>
      </c>
    </row>
    <row r="3869" spans="2:34" x14ac:dyDescent="0.2">
      <c r="B3869" s="2">
        <f ca="1"/>
        <v>6.3307893985921293E-2</v>
      </c>
      <c r="O3869" s="2">
        <f ca="1"/>
        <v>-0.91552575349236764</v>
      </c>
      <c r="X3869" s="2">
        <f ca="1"/>
        <v>30.13893303031309</v>
      </c>
      <c r="AG3869" s="2">
        <f ca="1"/>
        <v>0.8234125874276097</v>
      </c>
      <c r="AH3869" s="2" t="str">
        <f ca="1"/>
        <v>Bad</v>
      </c>
    </row>
    <row r="3870" spans="2:34" x14ac:dyDescent="0.2">
      <c r="B3870" s="2">
        <f ca="1"/>
        <v>0.84934578971693764</v>
      </c>
      <c r="O3870" s="2">
        <f ca="1"/>
        <v>-1.0043455020693524</v>
      </c>
      <c r="X3870" s="2">
        <f ca="1"/>
        <v>82.100238245039847</v>
      </c>
      <c r="AG3870" s="2">
        <f ca="1"/>
        <v>0.41721378259560282</v>
      </c>
      <c r="AH3870" s="2" t="str">
        <f ca="1"/>
        <v>Bad</v>
      </c>
    </row>
    <row r="3871" spans="2:34" x14ac:dyDescent="0.2">
      <c r="B3871" s="2">
        <f ca="1"/>
        <v>0.53571919974158799</v>
      </c>
      <c r="O3871" s="2">
        <f ca="1"/>
        <v>-1.0315070934295596</v>
      </c>
      <c r="X3871" s="2">
        <f ca="1"/>
        <v>58.077620018376727</v>
      </c>
      <c r="AG3871" s="2">
        <f ca="1"/>
        <v>0.4270887126479439</v>
      </c>
      <c r="AH3871" s="2" t="str">
        <f ca="1"/>
        <v>Bad</v>
      </c>
    </row>
    <row r="3872" spans="2:34" x14ac:dyDescent="0.2">
      <c r="B3872" s="2">
        <f ca="1"/>
        <v>0.43790843431456317</v>
      </c>
      <c r="O3872" s="2">
        <f ca="1"/>
        <v>0.56842307583332752</v>
      </c>
      <c r="X3872" s="2">
        <f ca="1"/>
        <v>57.451813960098164</v>
      </c>
      <c r="AG3872" s="2">
        <f ca="1"/>
        <v>0.72081555829329425</v>
      </c>
      <c r="AH3872" s="2" t="str">
        <f ca="1"/>
        <v>Bad</v>
      </c>
    </row>
    <row r="3873" spans="2:34" x14ac:dyDescent="0.2">
      <c r="B3873" s="2">
        <f ca="1"/>
        <v>0.13360124539603535</v>
      </c>
      <c r="O3873" s="2">
        <f ca="1"/>
        <v>1.8050939947194236</v>
      </c>
      <c r="X3873" s="2">
        <f ca="1"/>
        <v>31.549796069691848</v>
      </c>
      <c r="AG3873" s="2">
        <f ca="1"/>
        <v>0.92620793657270561</v>
      </c>
      <c r="AH3873" s="2" t="str">
        <f ca="1"/>
        <v>Bad</v>
      </c>
    </row>
    <row r="3874" spans="2:34" x14ac:dyDescent="0.2">
      <c r="B3874" s="2">
        <f ca="1"/>
        <v>0.32742981369327606</v>
      </c>
      <c r="O3874" s="2">
        <f ca="1"/>
        <v>-0.37094386491222175</v>
      </c>
      <c r="X3874" s="2">
        <f ca="1"/>
        <v>72.361499903396094</v>
      </c>
      <c r="AG3874" s="2">
        <f ca="1"/>
        <v>0.8772572050827907</v>
      </c>
      <c r="AH3874" s="2" t="str">
        <f ca="1"/>
        <v>Bad</v>
      </c>
    </row>
    <row r="3875" spans="2:34" x14ac:dyDescent="0.2">
      <c r="B3875" s="2">
        <f ca="1"/>
        <v>0.78219024214079336</v>
      </c>
      <c r="O3875" s="2">
        <f ca="1"/>
        <v>1.5590903009466983</v>
      </c>
      <c r="X3875" s="2">
        <f ca="1"/>
        <v>53.572175839689109</v>
      </c>
      <c r="AG3875" s="2">
        <f ca="1"/>
        <v>4.0523504818650524E-2</v>
      </c>
      <c r="AH3875" s="2" t="str">
        <f ca="1"/>
        <v>Good</v>
      </c>
    </row>
    <row r="3876" spans="2:34" x14ac:dyDescent="0.2">
      <c r="B3876" s="2">
        <f ca="1"/>
        <v>0.1389783421505788</v>
      </c>
      <c r="O3876" s="2">
        <f ca="1"/>
        <v>0.23800891004901142</v>
      </c>
      <c r="X3876" s="2">
        <f ca="1"/>
        <v>37.525542966707839</v>
      </c>
      <c r="AG3876" s="2">
        <f ca="1"/>
        <v>0.48138849356423496</v>
      </c>
      <c r="AH3876" s="2" t="str">
        <f ca="1"/>
        <v>Bad</v>
      </c>
    </row>
    <row r="3877" spans="2:34" x14ac:dyDescent="0.2">
      <c r="B3877" s="2">
        <f ca="1"/>
        <v>0.32841123644930637</v>
      </c>
      <c r="O3877" s="2">
        <f ca="1"/>
        <v>-0.3406413268512592</v>
      </c>
      <c r="X3877" s="2">
        <f ca="1"/>
        <v>42.409914440177147</v>
      </c>
      <c r="AG3877" s="2">
        <f ca="1"/>
        <v>0.17195247712147355</v>
      </c>
      <c r="AH3877" s="2" t="str">
        <f ca="1"/>
        <v>OK</v>
      </c>
    </row>
    <row r="3878" spans="2:34" x14ac:dyDescent="0.2">
      <c r="B3878" s="2">
        <f ca="1"/>
        <v>0.59281159007250483</v>
      </c>
      <c r="O3878" s="2">
        <f ca="1"/>
        <v>0.9971636144430599</v>
      </c>
      <c r="X3878" s="2">
        <f ca="1"/>
        <v>32.339227128777857</v>
      </c>
      <c r="AG3878" s="2">
        <f ca="1"/>
        <v>0.5726796283876181</v>
      </c>
      <c r="AH3878" s="2" t="str">
        <f ca="1"/>
        <v>Bad</v>
      </c>
    </row>
    <row r="3879" spans="2:34" x14ac:dyDescent="0.2">
      <c r="B3879" s="2">
        <f ca="1"/>
        <v>0.81528327293424474</v>
      </c>
      <c r="O3879" s="2">
        <f ca="1"/>
        <v>0.86369760355728531</v>
      </c>
      <c r="X3879" s="2">
        <f ca="1"/>
        <v>39.102802109001516</v>
      </c>
      <c r="AG3879" s="2">
        <f ca="1"/>
        <v>0.38557628472515137</v>
      </c>
      <c r="AH3879" s="2" t="str">
        <f ca="1"/>
        <v>OK</v>
      </c>
    </row>
    <row r="3880" spans="2:34" x14ac:dyDescent="0.2">
      <c r="B3880" s="2">
        <f ca="1"/>
        <v>0.93618084911588539</v>
      </c>
      <c r="O3880" s="2">
        <f ca="1"/>
        <v>1.0954248950828382</v>
      </c>
      <c r="X3880" s="2">
        <f ca="1"/>
        <v>47.27048785281012</v>
      </c>
      <c r="AG3880" s="2">
        <f ca="1"/>
        <v>0.50994393269408356</v>
      </c>
      <c r="AH3880" s="2" t="str">
        <f ca="1"/>
        <v>Bad</v>
      </c>
    </row>
    <row r="3881" spans="2:34" x14ac:dyDescent="0.2">
      <c r="B3881" s="2">
        <f ca="1"/>
        <v>0.53754566317966135</v>
      </c>
      <c r="O3881" s="2">
        <f ca="1"/>
        <v>3.6170964279896814E-2</v>
      </c>
      <c r="X3881" s="2">
        <f ca="1"/>
        <v>45.526840722170519</v>
      </c>
      <c r="AG3881" s="2">
        <f ca="1"/>
        <v>2.3850036006427322E-2</v>
      </c>
      <c r="AH3881" s="2" t="str">
        <f ca="1"/>
        <v>Good</v>
      </c>
    </row>
    <row r="3882" spans="2:34" x14ac:dyDescent="0.2">
      <c r="B3882" s="2">
        <f ca="1"/>
        <v>0.50021432782972108</v>
      </c>
      <c r="O3882" s="2">
        <f ca="1"/>
        <v>0.19583827697386755</v>
      </c>
      <c r="X3882" s="2">
        <f ca="1"/>
        <v>83.467920143641962</v>
      </c>
      <c r="AG3882" s="2">
        <f ca="1"/>
        <v>0.12016267120083679</v>
      </c>
      <c r="AH3882" s="2" t="str">
        <f ca="1"/>
        <v>OK</v>
      </c>
    </row>
    <row r="3883" spans="2:34" x14ac:dyDescent="0.2">
      <c r="B3883" s="2">
        <f ca="1"/>
        <v>0.3171995917313799</v>
      </c>
      <c r="O3883" s="2">
        <f ca="1"/>
        <v>-0.98887091681436357</v>
      </c>
      <c r="X3883" s="2">
        <f ca="1"/>
        <v>43.390115011548204</v>
      </c>
      <c r="AG3883" s="2">
        <f ca="1"/>
        <v>0.27122425106998405</v>
      </c>
      <c r="AH3883" s="2" t="str">
        <f ca="1"/>
        <v>OK</v>
      </c>
    </row>
    <row r="3884" spans="2:34" x14ac:dyDescent="0.2">
      <c r="B3884" s="2">
        <f ca="1"/>
        <v>0.69827408462729856</v>
      </c>
      <c r="O3884" s="2">
        <f ca="1"/>
        <v>0.82494174176387802</v>
      </c>
      <c r="X3884" s="2">
        <f ca="1"/>
        <v>48.206201704705727</v>
      </c>
      <c r="AG3884" s="2">
        <f ca="1"/>
        <v>0.33917731571311283</v>
      </c>
      <c r="AH3884" s="2" t="str">
        <f ca="1"/>
        <v>OK</v>
      </c>
    </row>
    <row r="3885" spans="2:34" x14ac:dyDescent="0.2">
      <c r="B3885" s="2">
        <f ca="1"/>
        <v>0.40639305894581934</v>
      </c>
      <c r="O3885" s="2">
        <f ca="1"/>
        <v>9.7690264894321158E-2</v>
      </c>
      <c r="X3885" s="2">
        <f ca="1"/>
        <v>51.703040823216639</v>
      </c>
      <c r="AG3885" s="2">
        <f ca="1"/>
        <v>0.78020968451686801</v>
      </c>
      <c r="AH3885" s="2" t="str">
        <f ca="1"/>
        <v>Bad</v>
      </c>
    </row>
    <row r="3886" spans="2:34" x14ac:dyDescent="0.2">
      <c r="B3886" s="2">
        <f ca="1"/>
        <v>0.69829343181362447</v>
      </c>
      <c r="O3886" s="2">
        <f ca="1"/>
        <v>0.81402091134783083</v>
      </c>
      <c r="X3886" s="2">
        <f ca="1"/>
        <v>32.80952038376055</v>
      </c>
      <c r="AG3886" s="2">
        <f ca="1"/>
        <v>0.73000687755826665</v>
      </c>
      <c r="AH3886" s="2" t="str">
        <f ca="1"/>
        <v>Bad</v>
      </c>
    </row>
    <row r="3887" spans="2:34" x14ac:dyDescent="0.2">
      <c r="B3887" s="2">
        <f ca="1"/>
        <v>0.83987319541055383</v>
      </c>
      <c r="O3887" s="2">
        <f ca="1"/>
        <v>-0.51028821218289488</v>
      </c>
      <c r="X3887" s="2">
        <f ca="1"/>
        <v>64.760298673476484</v>
      </c>
      <c r="AG3887" s="2">
        <f ca="1"/>
        <v>8.1896868562134628E-3</v>
      </c>
      <c r="AH3887" s="2" t="str">
        <f ca="1"/>
        <v>Good</v>
      </c>
    </row>
    <row r="3888" spans="2:34" x14ac:dyDescent="0.2">
      <c r="B3888" s="2">
        <f ca="1"/>
        <v>0.47738608780717406</v>
      </c>
      <c r="O3888" s="2">
        <f ca="1"/>
        <v>-0.10619510155174886</v>
      </c>
      <c r="X3888" s="2">
        <f ca="1"/>
        <v>63.512327101607305</v>
      </c>
      <c r="AG3888" s="2">
        <f ca="1"/>
        <v>0.9138438064122365</v>
      </c>
      <c r="AH3888" s="2" t="str">
        <f ca="1"/>
        <v>Bad</v>
      </c>
    </row>
    <row r="3889" spans="2:34" x14ac:dyDescent="0.2">
      <c r="B3889" s="2">
        <f ca="1"/>
        <v>0.81594733201393255</v>
      </c>
      <c r="O3889" s="2">
        <f ca="1"/>
        <v>-1.3101942209144235</v>
      </c>
      <c r="X3889" s="2">
        <f ca="1"/>
        <v>36.635442555332723</v>
      </c>
      <c r="AG3889" s="2">
        <f ca="1"/>
        <v>0.23455312988925203</v>
      </c>
      <c r="AH3889" s="2" t="str">
        <f ca="1"/>
        <v>OK</v>
      </c>
    </row>
    <row r="3890" spans="2:34" x14ac:dyDescent="0.2">
      <c r="B3890" s="2">
        <f ca="1"/>
        <v>0.38270976855304362</v>
      </c>
      <c r="O3890" s="2">
        <f ca="1"/>
        <v>-1.3891955912874663</v>
      </c>
      <c r="X3890" s="2">
        <f ca="1"/>
        <v>28.285398015280951</v>
      </c>
      <c r="AG3890" s="2">
        <f ca="1"/>
        <v>0.23832244604316166</v>
      </c>
      <c r="AH3890" s="2" t="str">
        <f ca="1"/>
        <v>OK</v>
      </c>
    </row>
    <row r="3891" spans="2:34" x14ac:dyDescent="0.2">
      <c r="B3891" s="2">
        <f ca="1"/>
        <v>0.82971896490954755</v>
      </c>
      <c r="O3891" s="2">
        <f ca="1"/>
        <v>0.2202657878375299</v>
      </c>
      <c r="X3891" s="2">
        <f ca="1"/>
        <v>55.724873176602252</v>
      </c>
      <c r="AG3891" s="2">
        <f ca="1"/>
        <v>0.56960847474303211</v>
      </c>
      <c r="AH3891" s="2" t="str">
        <f ca="1"/>
        <v>Bad</v>
      </c>
    </row>
    <row r="3892" spans="2:34" x14ac:dyDescent="0.2">
      <c r="B3892" s="2">
        <f ca="1"/>
        <v>0.83775816612111109</v>
      </c>
      <c r="O3892" s="2">
        <f ca="1"/>
        <v>0.1539615132075482</v>
      </c>
      <c r="X3892" s="2">
        <f ca="1"/>
        <v>53.917226482201748</v>
      </c>
      <c r="AG3892" s="2">
        <f ca="1"/>
        <v>0.30580357143629344</v>
      </c>
      <c r="AH3892" s="2" t="str">
        <f ca="1"/>
        <v>OK</v>
      </c>
    </row>
    <row r="3893" spans="2:34" x14ac:dyDescent="0.2">
      <c r="B3893" s="2">
        <f ca="1"/>
        <v>0.90281358483058383</v>
      </c>
      <c r="O3893" s="2">
        <f ca="1"/>
        <v>-0.24311749936788468</v>
      </c>
      <c r="X3893" s="2">
        <f ca="1"/>
        <v>27.446944762898923</v>
      </c>
      <c r="AG3893" s="2">
        <f ca="1"/>
        <v>0.30452513908523859</v>
      </c>
      <c r="AH3893" s="2" t="str">
        <f ca="1"/>
        <v>OK</v>
      </c>
    </row>
    <row r="3894" spans="2:34" x14ac:dyDescent="0.2">
      <c r="B3894" s="2">
        <f ca="1"/>
        <v>0.78962950918945385</v>
      </c>
      <c r="O3894" s="2">
        <f ca="1"/>
        <v>1.1333638457642043</v>
      </c>
      <c r="X3894" s="2">
        <f ca="1"/>
        <v>53.80665046450892</v>
      </c>
      <c r="AG3894" s="2">
        <f ca="1"/>
        <v>9.989327186017638E-3</v>
      </c>
      <c r="AH3894" s="2" t="str">
        <f ca="1"/>
        <v>Good</v>
      </c>
    </row>
    <row r="3895" spans="2:34" x14ac:dyDescent="0.2">
      <c r="B3895" s="2">
        <f ca="1"/>
        <v>0.36236670308498287</v>
      </c>
      <c r="O3895" s="2">
        <f ca="1"/>
        <v>1.0067215105959104</v>
      </c>
      <c r="X3895" s="2">
        <f ca="1"/>
        <v>57.393318930846213</v>
      </c>
      <c r="AG3895" s="2">
        <f ca="1"/>
        <v>0.58405701007617594</v>
      </c>
      <c r="AH3895" s="2" t="str">
        <f ca="1"/>
        <v>Bad</v>
      </c>
    </row>
    <row r="3896" spans="2:34" x14ac:dyDescent="0.2">
      <c r="B3896" s="2">
        <f ca="1"/>
        <v>0.48302037230948192</v>
      </c>
      <c r="O3896" s="2">
        <f ca="1"/>
        <v>-0.94228107809531392</v>
      </c>
      <c r="X3896" s="2">
        <f ca="1"/>
        <v>25.445796922659074</v>
      </c>
      <c r="AG3896" s="2">
        <f ca="1"/>
        <v>0.13865890798275782</v>
      </c>
      <c r="AH3896" s="2" t="str">
        <f ca="1"/>
        <v>OK</v>
      </c>
    </row>
    <row r="3897" spans="2:34" x14ac:dyDescent="0.2">
      <c r="B3897" s="2">
        <f ca="1"/>
        <v>0.76067991094892995</v>
      </c>
      <c r="O3897" s="2">
        <f ca="1"/>
        <v>5.2453596360608035E-2</v>
      </c>
      <c r="X3897" s="2">
        <f ca="1"/>
        <v>38.782146961709088</v>
      </c>
      <c r="AG3897" s="2">
        <f ca="1"/>
        <v>1.9491889662930362E-2</v>
      </c>
      <c r="AH3897" s="2" t="str">
        <f ca="1"/>
        <v>Good</v>
      </c>
    </row>
    <row r="3898" spans="2:34" x14ac:dyDescent="0.2">
      <c r="B3898" s="2">
        <f ca="1"/>
        <v>0.85818949712489623</v>
      </c>
      <c r="O3898" s="2">
        <f ca="1"/>
        <v>-0.62587846167869432</v>
      </c>
      <c r="X3898" s="2">
        <f ca="1"/>
        <v>50.427055620717873</v>
      </c>
      <c r="AG3898" s="2">
        <f ca="1"/>
        <v>0.81650006565433841</v>
      </c>
      <c r="AH3898" s="2" t="str">
        <f ca="1"/>
        <v>Bad</v>
      </c>
    </row>
    <row r="3899" spans="2:34" x14ac:dyDescent="0.2">
      <c r="B3899" s="2">
        <f ca="1"/>
        <v>0.38136325229489643</v>
      </c>
      <c r="O3899" s="2">
        <f ca="1"/>
        <v>1.6520694712149173</v>
      </c>
      <c r="X3899" s="2">
        <f ca="1"/>
        <v>51.993938442383545</v>
      </c>
      <c r="AG3899" s="2">
        <f ca="1"/>
        <v>0.45617139524235895</v>
      </c>
      <c r="AH3899" s="2" t="str">
        <f ca="1"/>
        <v>Bad</v>
      </c>
    </row>
    <row r="3900" spans="2:34" x14ac:dyDescent="0.2">
      <c r="B3900" s="2">
        <f ca="1"/>
        <v>0.12265684088354556</v>
      </c>
      <c r="O3900" s="2">
        <f ca="1"/>
        <v>-6.5448876941281986E-2</v>
      </c>
      <c r="X3900" s="2">
        <f ca="1"/>
        <v>54.68880931348491</v>
      </c>
      <c r="AG3900" s="2">
        <f ca="1"/>
        <v>0.73191188375929417</v>
      </c>
      <c r="AH3900" s="2" t="str">
        <f ca="1"/>
        <v>Bad</v>
      </c>
    </row>
    <row r="3901" spans="2:34" x14ac:dyDescent="0.2">
      <c r="B3901" s="2">
        <f ca="1"/>
        <v>0.45052575937905193</v>
      </c>
      <c r="O3901" s="2">
        <f ca="1"/>
        <v>-0.87530614856082434</v>
      </c>
      <c r="X3901" s="2">
        <f ca="1"/>
        <v>36.017129774018493</v>
      </c>
      <c r="AG3901" s="2">
        <f ca="1"/>
        <v>0.33941090091442572</v>
      </c>
      <c r="AH3901" s="2" t="str">
        <f ca="1"/>
        <v>OK</v>
      </c>
    </row>
    <row r="3902" spans="2:34" x14ac:dyDescent="0.2">
      <c r="B3902" s="2">
        <f ca="1"/>
        <v>0.84530572366195456</v>
      </c>
      <c r="O3902" s="2">
        <f ca="1"/>
        <v>0.10381224185498951</v>
      </c>
      <c r="X3902" s="2">
        <f ca="1"/>
        <v>36.13418307697431</v>
      </c>
      <c r="AG3902" s="2">
        <f ca="1"/>
        <v>0.23453776317436703</v>
      </c>
      <c r="AH3902" s="2" t="str">
        <f ca="1"/>
        <v>OK</v>
      </c>
    </row>
    <row r="3903" spans="2:34" x14ac:dyDescent="0.2">
      <c r="B3903" s="2">
        <f ca="1"/>
        <v>0.18205634749969035</v>
      </c>
      <c r="O3903" s="2">
        <f ca="1"/>
        <v>-0.38431578604350364</v>
      </c>
      <c r="X3903" s="2">
        <f ca="1"/>
        <v>54.406519411842957</v>
      </c>
      <c r="AG3903" s="2">
        <f ca="1"/>
        <v>0.92088306320900393</v>
      </c>
      <c r="AH3903" s="2" t="str">
        <f ca="1"/>
        <v>Bad</v>
      </c>
    </row>
    <row r="3904" spans="2:34" x14ac:dyDescent="0.2">
      <c r="B3904" s="2">
        <f ca="1"/>
        <v>3.2883171915282228E-2</v>
      </c>
      <c r="O3904" s="2">
        <f ca="1"/>
        <v>0.36296117139748479</v>
      </c>
      <c r="X3904" s="2">
        <f ca="1"/>
        <v>71.973947032975843</v>
      </c>
      <c r="AG3904" s="2">
        <f ca="1"/>
        <v>0.94642557714356501</v>
      </c>
      <c r="AH3904" s="2" t="str">
        <f ca="1"/>
        <v>Bad</v>
      </c>
    </row>
    <row r="3905" spans="2:34" x14ac:dyDescent="0.2">
      <c r="B3905" s="2">
        <f ca="1"/>
        <v>0.37350108150059658</v>
      </c>
      <c r="O3905" s="2">
        <f ca="1"/>
        <v>0.10179170641509269</v>
      </c>
      <c r="X3905" s="2">
        <f ca="1"/>
        <v>51.367015503807806</v>
      </c>
      <c r="AG3905" s="2">
        <f ca="1"/>
        <v>0.9654540764483841</v>
      </c>
      <c r="AH3905" s="2" t="str">
        <f ca="1"/>
        <v>Bad</v>
      </c>
    </row>
    <row r="3906" spans="2:34" x14ac:dyDescent="0.2">
      <c r="B3906" s="2">
        <f ca="1"/>
        <v>0.94553676755181693</v>
      </c>
      <c r="O3906" s="2">
        <f ca="1"/>
        <v>-6.9730371585162987E-2</v>
      </c>
      <c r="X3906" s="2">
        <f ca="1"/>
        <v>33.522142166902022</v>
      </c>
      <c r="AG3906" s="2">
        <f ca="1"/>
        <v>0.63114619142211303</v>
      </c>
      <c r="AH3906" s="2" t="str">
        <f ca="1"/>
        <v>Bad</v>
      </c>
    </row>
    <row r="3907" spans="2:34" x14ac:dyDescent="0.2">
      <c r="B3907" s="2">
        <f ca="1"/>
        <v>0.19661914904392952</v>
      </c>
      <c r="O3907" s="2">
        <f ca="1"/>
        <v>-0.34206978837451674</v>
      </c>
      <c r="X3907" s="2">
        <f ca="1"/>
        <v>34.249354929015993</v>
      </c>
      <c r="AG3907" s="2">
        <f ca="1"/>
        <v>0.43333333899363735</v>
      </c>
      <c r="AH3907" s="2" t="str">
        <f ca="1"/>
        <v>Bad</v>
      </c>
    </row>
    <row r="3908" spans="2:34" x14ac:dyDescent="0.2">
      <c r="B3908" s="2">
        <f ca="1"/>
        <v>0.34674152076413267</v>
      </c>
      <c r="O3908" s="2">
        <f ca="1"/>
        <v>0.51456684326997437</v>
      </c>
      <c r="X3908" s="2">
        <f ca="1"/>
        <v>46.537807038594529</v>
      </c>
      <c r="AG3908" s="2">
        <f ca="1"/>
        <v>0.59782510286903379</v>
      </c>
      <c r="AH3908" s="2" t="str">
        <f ca="1"/>
        <v>Bad</v>
      </c>
    </row>
    <row r="3909" spans="2:34" x14ac:dyDescent="0.2">
      <c r="B3909" s="2">
        <f ca="1"/>
        <v>0.28308453655124488</v>
      </c>
      <c r="O3909" s="2">
        <f ca="1"/>
        <v>1.1417438259394312</v>
      </c>
      <c r="X3909" s="2">
        <f ca="1"/>
        <v>28.617435659023641</v>
      </c>
      <c r="AG3909" s="2">
        <f ca="1"/>
        <v>0.53439243988426122</v>
      </c>
      <c r="AH3909" s="2" t="str">
        <f ca="1"/>
        <v>Bad</v>
      </c>
    </row>
    <row r="3910" spans="2:34" x14ac:dyDescent="0.2">
      <c r="B3910" s="2">
        <f ca="1"/>
        <v>0.83676173373867524</v>
      </c>
      <c r="O3910" s="2">
        <f ca="1"/>
        <v>1.0795060286919436</v>
      </c>
      <c r="X3910" s="2">
        <f ca="1"/>
        <v>44.792215862701426</v>
      </c>
      <c r="AG3910" s="2">
        <f ca="1"/>
        <v>0.44142917261954695</v>
      </c>
      <c r="AH3910" s="2" t="str">
        <f ca="1"/>
        <v>Bad</v>
      </c>
    </row>
    <row r="3911" spans="2:34" x14ac:dyDescent="0.2">
      <c r="B3911" s="2">
        <f ca="1"/>
        <v>0.96895204093622578</v>
      </c>
      <c r="O3911" s="2">
        <f ca="1"/>
        <v>0.20437264783247389</v>
      </c>
      <c r="X3911" s="2">
        <f ca="1"/>
        <v>28.752384603687094</v>
      </c>
      <c r="AG3911" s="2">
        <f ca="1"/>
        <v>0.85673588953520352</v>
      </c>
      <c r="AH3911" s="2" t="str">
        <f ca="1"/>
        <v>Bad</v>
      </c>
    </row>
    <row r="3912" spans="2:34" x14ac:dyDescent="0.2">
      <c r="B3912" s="2">
        <f ca="1"/>
        <v>0.34311343684145679</v>
      </c>
      <c r="O3912" s="2">
        <f ca="1"/>
        <v>-0.44327938566848379</v>
      </c>
      <c r="X3912" s="2">
        <f ca="1"/>
        <v>84.516917393821501</v>
      </c>
      <c r="AG3912" s="2">
        <f ca="1"/>
        <v>0.73863287150493906</v>
      </c>
      <c r="AH3912" s="2" t="str">
        <f ca="1"/>
        <v>Bad</v>
      </c>
    </row>
    <row r="3913" spans="2:34" x14ac:dyDescent="0.2">
      <c r="B3913" s="2">
        <f ca="1"/>
        <v>0.75024320096299801</v>
      </c>
      <c r="O3913" s="2">
        <f ca="1"/>
        <v>0.67512426422556615</v>
      </c>
      <c r="X3913" s="2">
        <f ca="1"/>
        <v>52.564186700385001</v>
      </c>
      <c r="AG3913" s="2">
        <f ca="1"/>
        <v>0.98853044609302021</v>
      </c>
      <c r="AH3913" s="2" t="str">
        <f ca="1"/>
        <v>Bad</v>
      </c>
    </row>
    <row r="3914" spans="2:34" x14ac:dyDescent="0.2">
      <c r="B3914" s="2">
        <f ca="1"/>
        <v>0.99389091692902687</v>
      </c>
      <c r="O3914" s="2">
        <f ca="1"/>
        <v>-0.17594794632479724</v>
      </c>
      <c r="X3914" s="2">
        <f ca="1"/>
        <v>23.432520962331047</v>
      </c>
      <c r="AG3914" s="2">
        <f ca="1"/>
        <v>0.17118538192595323</v>
      </c>
      <c r="AH3914" s="2" t="str">
        <f ca="1"/>
        <v>OK</v>
      </c>
    </row>
    <row r="3915" spans="2:34" x14ac:dyDescent="0.2">
      <c r="B3915" s="2">
        <f ca="1"/>
        <v>0.65679806077051417</v>
      </c>
      <c r="O3915" s="2">
        <f ca="1"/>
        <v>1.4458399067320682</v>
      </c>
      <c r="X3915" s="2">
        <f ca="1"/>
        <v>37.11048673662625</v>
      </c>
      <c r="AG3915" s="2">
        <f ca="1"/>
        <v>0.90387400948291341</v>
      </c>
      <c r="AH3915" s="2" t="str">
        <f ca="1"/>
        <v>Bad</v>
      </c>
    </row>
    <row r="3916" spans="2:34" x14ac:dyDescent="0.2">
      <c r="B3916" s="2">
        <f ca="1"/>
        <v>0.73103500084827</v>
      </c>
      <c r="O3916" s="2">
        <f ca="1"/>
        <v>-1.159276244826505</v>
      </c>
      <c r="X3916" s="2">
        <f ca="1"/>
        <v>52.573958376201091</v>
      </c>
      <c r="AG3916" s="2">
        <f ca="1"/>
        <v>0.70584662792379627</v>
      </c>
      <c r="AH3916" s="2" t="str">
        <f ca="1"/>
        <v>Bad</v>
      </c>
    </row>
    <row r="3917" spans="2:34" x14ac:dyDescent="0.2">
      <c r="B3917" s="2">
        <f ca="1"/>
        <v>7.7562226032831694E-2</v>
      </c>
      <c r="O3917" s="2">
        <f ca="1"/>
        <v>-1.2828741200621894</v>
      </c>
      <c r="X3917" s="2">
        <f ca="1"/>
        <v>55.989014533386694</v>
      </c>
      <c r="AG3917" s="2">
        <f ca="1"/>
        <v>0.7949939107982309</v>
      </c>
      <c r="AH3917" s="2" t="str">
        <f ca="1"/>
        <v>Bad</v>
      </c>
    </row>
    <row r="3918" spans="2:34" x14ac:dyDescent="0.2">
      <c r="B3918" s="2">
        <f ca="1"/>
        <v>0.37561072955748398</v>
      </c>
      <c r="O3918" s="2">
        <f ca="1"/>
        <v>-5.2897711358357836E-2</v>
      </c>
      <c r="X3918" s="2">
        <f ca="1"/>
        <v>30.245273746859379</v>
      </c>
      <c r="AG3918" s="2">
        <f ca="1"/>
        <v>0.65202576477129681</v>
      </c>
      <c r="AH3918" s="2" t="str">
        <f ca="1"/>
        <v>Bad</v>
      </c>
    </row>
    <row r="3919" spans="2:34" x14ac:dyDescent="0.2">
      <c r="B3919" s="2">
        <f ca="1"/>
        <v>0.68274354684126681</v>
      </c>
      <c r="O3919" s="2">
        <f ca="1"/>
        <v>2.0159237877514893</v>
      </c>
      <c r="X3919" s="2">
        <f ca="1"/>
        <v>43.209699772438881</v>
      </c>
      <c r="AG3919" s="2">
        <f ca="1"/>
        <v>0.83706952240643528</v>
      </c>
      <c r="AH3919" s="2" t="str">
        <f ca="1"/>
        <v>Bad</v>
      </c>
    </row>
    <row r="3920" spans="2:34" x14ac:dyDescent="0.2">
      <c r="B3920" s="2">
        <f ca="1"/>
        <v>0.31175097813201291</v>
      </c>
      <c r="O3920" s="2">
        <f ca="1"/>
        <v>0.42186658435300622</v>
      </c>
      <c r="X3920" s="2">
        <f ca="1"/>
        <v>28.733122320023678</v>
      </c>
      <c r="AG3920" s="2">
        <f ca="1"/>
        <v>0.66613064648396403</v>
      </c>
      <c r="AH3920" s="2" t="str">
        <f ca="1"/>
        <v>Bad</v>
      </c>
    </row>
    <row r="3921" spans="2:34" x14ac:dyDescent="0.2">
      <c r="B3921" s="2">
        <f ca="1"/>
        <v>0.24450329580175967</v>
      </c>
      <c r="O3921" s="2">
        <f ca="1"/>
        <v>-0.12809933061967391</v>
      </c>
      <c r="X3921" s="2">
        <f ca="1"/>
        <v>29.83052354481671</v>
      </c>
      <c r="AG3921" s="2">
        <f ca="1"/>
        <v>0.10332040753173888</v>
      </c>
      <c r="AH3921" s="2" t="str">
        <f ca="1"/>
        <v>OK</v>
      </c>
    </row>
    <row r="3922" spans="2:34" x14ac:dyDescent="0.2">
      <c r="B3922" s="2">
        <f ca="1"/>
        <v>0.32008275672068698</v>
      </c>
      <c r="O3922" s="2">
        <f ca="1"/>
        <v>2.1869698330936611</v>
      </c>
      <c r="X3922" s="2">
        <f ca="1"/>
        <v>50.521047459295396</v>
      </c>
      <c r="AG3922" s="2">
        <f ca="1"/>
        <v>0.61122868919687967</v>
      </c>
      <c r="AH3922" s="2" t="str">
        <f ca="1"/>
        <v>Bad</v>
      </c>
    </row>
    <row r="3923" spans="2:34" x14ac:dyDescent="0.2">
      <c r="B3923" s="2">
        <f ca="1"/>
        <v>0.72275874232974457</v>
      </c>
      <c r="O3923" s="2">
        <f ca="1"/>
        <v>-1.3439312230885394</v>
      </c>
      <c r="X3923" s="2">
        <f ca="1"/>
        <v>43.868529399074092</v>
      </c>
      <c r="AG3923" s="2">
        <f ca="1"/>
        <v>3.0094752090803478E-2</v>
      </c>
      <c r="AH3923" s="2" t="str">
        <f ca="1"/>
        <v>Good</v>
      </c>
    </row>
    <row r="3924" spans="2:34" x14ac:dyDescent="0.2">
      <c r="B3924" s="2">
        <f ca="1"/>
        <v>0.48540900746299154</v>
      </c>
      <c r="O3924" s="2">
        <f ca="1"/>
        <v>0.97447302567030425</v>
      </c>
      <c r="X3924" s="2">
        <f ca="1"/>
        <v>39.18335514761457</v>
      </c>
      <c r="AG3924" s="2">
        <f ca="1"/>
        <v>0.69342059295540071</v>
      </c>
      <c r="AH3924" s="2" t="str">
        <f ca="1"/>
        <v>Bad</v>
      </c>
    </row>
    <row r="3925" spans="2:34" x14ac:dyDescent="0.2">
      <c r="B3925" s="2">
        <f ca="1"/>
        <v>0.9901804382567212</v>
      </c>
      <c r="O3925" s="2">
        <f ca="1"/>
        <v>-7.355308910943939E-2</v>
      </c>
      <c r="X3925" s="2">
        <f ca="1"/>
        <v>72.768610095788816</v>
      </c>
      <c r="AG3925" s="2">
        <f ca="1"/>
        <v>7.0379508908357868E-2</v>
      </c>
      <c r="AH3925" s="2" t="str">
        <f ca="1"/>
        <v>OK</v>
      </c>
    </row>
    <row r="3926" spans="2:34" x14ac:dyDescent="0.2">
      <c r="B3926" s="2">
        <f ca="1"/>
        <v>0.67685703447155965</v>
      </c>
      <c r="O3926" s="2">
        <f ca="1"/>
        <v>-0.88520079482041003</v>
      </c>
      <c r="X3926" s="2">
        <f ca="1"/>
        <v>60.3699797362571</v>
      </c>
      <c r="AG3926" s="2">
        <f ca="1"/>
        <v>0.57642089249881145</v>
      </c>
      <c r="AH3926" s="2" t="str">
        <f ca="1"/>
        <v>Bad</v>
      </c>
    </row>
    <row r="3927" spans="2:34" x14ac:dyDescent="0.2">
      <c r="B3927" s="2">
        <f ca="1"/>
        <v>0.45621321016737193</v>
      </c>
      <c r="O3927" s="2">
        <f ca="1"/>
        <v>0.40998582646320769</v>
      </c>
      <c r="X3927" s="2">
        <f ca="1"/>
        <v>42.715494055364516</v>
      </c>
      <c r="AG3927" s="2">
        <f ca="1"/>
        <v>0.94518017950254052</v>
      </c>
      <c r="AH3927" s="2" t="str">
        <f ca="1"/>
        <v>Bad</v>
      </c>
    </row>
    <row r="3928" spans="2:34" x14ac:dyDescent="0.2">
      <c r="B3928" s="2">
        <f ca="1"/>
        <v>0.32641269465620981</v>
      </c>
      <c r="O3928" s="2">
        <f ca="1"/>
        <v>-1.1050199718044</v>
      </c>
      <c r="X3928" s="2">
        <f ca="1"/>
        <v>37.021942083671256</v>
      </c>
      <c r="AG3928" s="2">
        <f ca="1"/>
        <v>0.4512240883538674</v>
      </c>
      <c r="AH3928" s="2" t="str">
        <f ca="1"/>
        <v>Bad</v>
      </c>
    </row>
    <row r="3929" spans="2:34" x14ac:dyDescent="0.2">
      <c r="B3929" s="2">
        <f ca="1"/>
        <v>0.77923747680490307</v>
      </c>
      <c r="O3929" s="2">
        <f ca="1"/>
        <v>-0.61869110067247002</v>
      </c>
      <c r="X3929" s="2">
        <f ca="1"/>
        <v>69.217583744557601</v>
      </c>
      <c r="AG3929" s="2">
        <f ca="1"/>
        <v>0.21890189796556525</v>
      </c>
      <c r="AH3929" s="2" t="str">
        <f ca="1"/>
        <v>OK</v>
      </c>
    </row>
    <row r="3930" spans="2:34" x14ac:dyDescent="0.2">
      <c r="B3930" s="2">
        <f ca="1"/>
        <v>0.58738902270760152</v>
      </c>
      <c r="O3930" s="2">
        <f ca="1"/>
        <v>1.2758296096978714</v>
      </c>
      <c r="X3930" s="2">
        <f ca="1"/>
        <v>57.425787196115763</v>
      </c>
      <c r="AG3930" s="2">
        <f ca="1"/>
        <v>0.21774395749889597</v>
      </c>
      <c r="AH3930" s="2" t="str">
        <f ca="1"/>
        <v>OK</v>
      </c>
    </row>
    <row r="3931" spans="2:34" x14ac:dyDescent="0.2">
      <c r="B3931" s="2">
        <f ca="1"/>
        <v>0.98241738205368523</v>
      </c>
      <c r="O3931" s="2">
        <f ca="1"/>
        <v>1.0991153577706465</v>
      </c>
      <c r="X3931" s="2">
        <f ca="1"/>
        <v>30.069752574182779</v>
      </c>
      <c r="AG3931" s="2">
        <f ca="1"/>
        <v>0.76626287271531557</v>
      </c>
      <c r="AH3931" s="2" t="str">
        <f ca="1"/>
        <v>Bad</v>
      </c>
    </row>
    <row r="3932" spans="2:34" x14ac:dyDescent="0.2">
      <c r="B3932" s="2">
        <f ca="1"/>
        <v>0.43693761544393439</v>
      </c>
      <c r="O3932" s="2">
        <f ca="1"/>
        <v>1.8675629705074714</v>
      </c>
      <c r="X3932" s="2">
        <f ca="1"/>
        <v>29.501022517123893</v>
      </c>
      <c r="AG3932" s="2">
        <f ca="1"/>
        <v>0.6071148628192351</v>
      </c>
      <c r="AH3932" s="2" t="str">
        <f ca="1"/>
        <v>Bad</v>
      </c>
    </row>
    <row r="3933" spans="2:34" x14ac:dyDescent="0.2">
      <c r="B3933" s="2">
        <f ca="1"/>
        <v>0.35472354549725904</v>
      </c>
      <c r="O3933" s="2">
        <f ca="1"/>
        <v>-0.8526263193307666</v>
      </c>
      <c r="X3933" s="2">
        <f ca="1"/>
        <v>54.78458140044323</v>
      </c>
      <c r="AG3933" s="2">
        <f ca="1"/>
        <v>0.95162464234038313</v>
      </c>
      <c r="AH3933" s="2" t="str">
        <f ca="1"/>
        <v>Bad</v>
      </c>
    </row>
    <row r="3934" spans="2:34" x14ac:dyDescent="0.2">
      <c r="B3934" s="2">
        <f ca="1"/>
        <v>0.21522840191934001</v>
      </c>
      <c r="O3934" s="2">
        <f ca="1"/>
        <v>0.89926078661689379</v>
      </c>
      <c r="X3934" s="2">
        <f ca="1"/>
        <v>29.179999881284569</v>
      </c>
      <c r="AG3934" s="2">
        <f ca="1"/>
        <v>0.92051134559434677</v>
      </c>
      <c r="AH3934" s="2" t="str">
        <f ca="1"/>
        <v>Bad</v>
      </c>
    </row>
    <row r="3935" spans="2:34" x14ac:dyDescent="0.2">
      <c r="B3935" s="2">
        <f ca="1"/>
        <v>0.26749754126605274</v>
      </c>
      <c r="O3935" s="2">
        <f ca="1"/>
        <v>-1.0631077802126363</v>
      </c>
      <c r="X3935" s="2">
        <f ca="1"/>
        <v>49.45942016883496</v>
      </c>
      <c r="AG3935" s="2">
        <f ca="1"/>
        <v>0.84017011649550066</v>
      </c>
      <c r="AH3935" s="2" t="str">
        <f ca="1"/>
        <v>Bad</v>
      </c>
    </row>
    <row r="3936" spans="2:34" x14ac:dyDescent="0.2">
      <c r="B3936" s="2">
        <f ca="1"/>
        <v>0.84986664857869654</v>
      </c>
      <c r="O3936" s="2">
        <f ca="1"/>
        <v>-0.54079477936549991</v>
      </c>
      <c r="X3936" s="2">
        <f ca="1"/>
        <v>50.058488554520537</v>
      </c>
      <c r="AG3936" s="2">
        <f ca="1"/>
        <v>0.70163894689622741</v>
      </c>
      <c r="AH3936" s="2" t="str">
        <f ca="1"/>
        <v>Bad</v>
      </c>
    </row>
    <row r="3937" spans="2:34" x14ac:dyDescent="0.2">
      <c r="B3937" s="2">
        <f ca="1"/>
        <v>0.28449878026769015</v>
      </c>
      <c r="O3937" s="2">
        <f ca="1"/>
        <v>1.4125492860829916</v>
      </c>
      <c r="X3937" s="2">
        <f ca="1"/>
        <v>79.77108184747641</v>
      </c>
      <c r="AG3937" s="2">
        <f ca="1"/>
        <v>0.22053747485291675</v>
      </c>
      <c r="AH3937" s="2" t="str">
        <f ca="1"/>
        <v>OK</v>
      </c>
    </row>
    <row r="3938" spans="2:34" x14ac:dyDescent="0.2">
      <c r="B3938" s="2">
        <f ca="1"/>
        <v>0.86203585649976411</v>
      </c>
      <c r="O3938" s="2">
        <f ca="1"/>
        <v>1.0672222110947649</v>
      </c>
      <c r="X3938" s="2">
        <f ca="1"/>
        <v>50.502885187877226</v>
      </c>
      <c r="AG3938" s="2">
        <f ca="1"/>
        <v>0.86462244094789287</v>
      </c>
      <c r="AH3938" s="2" t="str">
        <f ca="1"/>
        <v>Bad</v>
      </c>
    </row>
    <row r="3939" spans="2:34" x14ac:dyDescent="0.2">
      <c r="B3939" s="2">
        <f ca="1"/>
        <v>0.64465206865125713</v>
      </c>
      <c r="O3939" s="2">
        <f ca="1"/>
        <v>-0.71331487302452978</v>
      </c>
      <c r="X3939" s="2">
        <f ca="1"/>
        <v>46.202338933856019</v>
      </c>
      <c r="AG3939" s="2">
        <f ca="1"/>
        <v>0.41196896507095238</v>
      </c>
      <c r="AH3939" s="2" t="str">
        <f ca="1"/>
        <v>Bad</v>
      </c>
    </row>
    <row r="3940" spans="2:34" x14ac:dyDescent="0.2">
      <c r="B3940" s="2">
        <f ca="1"/>
        <v>0.42438448726926636</v>
      </c>
      <c r="O3940" s="2">
        <f ca="1"/>
        <v>1.5839028274988092</v>
      </c>
      <c r="X3940" s="2">
        <f ca="1"/>
        <v>46.314887801496766</v>
      </c>
      <c r="AG3940" s="2">
        <f ca="1"/>
        <v>0.35526172409586332</v>
      </c>
      <c r="AH3940" s="2" t="str">
        <f ca="1"/>
        <v>OK</v>
      </c>
    </row>
    <row r="3941" spans="2:34" x14ac:dyDescent="0.2">
      <c r="B3941" s="2">
        <f ca="1"/>
        <v>0.41919561452088083</v>
      </c>
      <c r="O3941" s="2">
        <f ca="1"/>
        <v>2.3217627534230931E-2</v>
      </c>
      <c r="X3941" s="2">
        <f ca="1"/>
        <v>67.87552997957016</v>
      </c>
      <c r="AG3941" s="2">
        <f ca="1"/>
        <v>5.0378713494541039E-2</v>
      </c>
      <c r="AH3941" s="2" t="str">
        <f ca="1"/>
        <v>OK</v>
      </c>
    </row>
    <row r="3942" spans="2:34" x14ac:dyDescent="0.2">
      <c r="B3942" s="2">
        <f ca="1"/>
        <v>0.76722862494055954</v>
      </c>
      <c r="O3942" s="2">
        <f ca="1"/>
        <v>0.14123500123962515</v>
      </c>
      <c r="X3942" s="2">
        <f ca="1"/>
        <v>61.531939287611827</v>
      </c>
      <c r="AG3942" s="2">
        <f ca="1"/>
        <v>0.72795917449977243</v>
      </c>
      <c r="AH3942" s="2" t="str">
        <f ca="1"/>
        <v>Bad</v>
      </c>
    </row>
    <row r="3943" spans="2:34" x14ac:dyDescent="0.2">
      <c r="B3943" s="2">
        <f ca="1"/>
        <v>0.91570197797734987</v>
      </c>
      <c r="O3943" s="2">
        <f ca="1"/>
        <v>-0.21142203593104719</v>
      </c>
      <c r="X3943" s="2">
        <f ca="1"/>
        <v>79.665141636221534</v>
      </c>
      <c r="AG3943" s="2">
        <f ca="1"/>
        <v>0.39775742103906064</v>
      </c>
      <c r="AH3943" s="2" t="str">
        <f ca="1"/>
        <v>OK</v>
      </c>
    </row>
    <row r="3944" spans="2:34" x14ac:dyDescent="0.2">
      <c r="B3944" s="2">
        <f ca="1"/>
        <v>5.2176700973810997E-2</v>
      </c>
      <c r="O3944" s="2">
        <f ca="1"/>
        <v>-0.61585379011432329</v>
      </c>
      <c r="X3944" s="2">
        <f ca="1"/>
        <v>71.635878791294772</v>
      </c>
      <c r="AG3944" s="2">
        <f ca="1"/>
        <v>0.63731920644381779</v>
      </c>
      <c r="AH3944" s="2" t="str">
        <f ca="1"/>
        <v>Bad</v>
      </c>
    </row>
    <row r="3945" spans="2:34" x14ac:dyDescent="0.2">
      <c r="B3945" s="2">
        <f ca="1"/>
        <v>0.72803728097262099</v>
      </c>
      <c r="O3945" s="2">
        <f ca="1"/>
        <v>0.32359198869219802</v>
      </c>
      <c r="X3945" s="2">
        <f ca="1"/>
        <v>48.28744047593382</v>
      </c>
      <c r="AG3945" s="2">
        <f ca="1"/>
        <v>0.35954280681075224</v>
      </c>
      <c r="AH3945" s="2" t="str">
        <f ca="1"/>
        <v>OK</v>
      </c>
    </row>
    <row r="3946" spans="2:34" x14ac:dyDescent="0.2">
      <c r="B3946" s="2">
        <f ca="1"/>
        <v>0.4920472852983524</v>
      </c>
      <c r="O3946" s="2">
        <f ca="1"/>
        <v>1.1437874489882995</v>
      </c>
      <c r="X3946" s="2">
        <f ca="1"/>
        <v>52.24933556876838</v>
      </c>
      <c r="AG3946" s="2">
        <f ca="1"/>
        <v>0.700965544353503</v>
      </c>
      <c r="AH3946" s="2" t="str">
        <f ca="1"/>
        <v>Bad</v>
      </c>
    </row>
    <row r="3947" spans="2:34" x14ac:dyDescent="0.2">
      <c r="B3947" s="2">
        <f ca="1"/>
        <v>0.41098811203911545</v>
      </c>
      <c r="O3947" s="2">
        <f ca="1"/>
        <v>0.75993795504901063</v>
      </c>
      <c r="X3947" s="2">
        <f ca="1"/>
        <v>62.901725012654587</v>
      </c>
      <c r="AG3947" s="2">
        <f ca="1"/>
        <v>0.35783875653213393</v>
      </c>
      <c r="AH3947" s="2" t="str">
        <f ca="1"/>
        <v>OK</v>
      </c>
    </row>
    <row r="3948" spans="2:34" x14ac:dyDescent="0.2">
      <c r="B3948" s="2">
        <f ca="1"/>
        <v>0.50425742309041688</v>
      </c>
      <c r="O3948" s="2">
        <f ca="1"/>
        <v>-2.0170129507793601E-2</v>
      </c>
      <c r="X3948" s="2">
        <f ca="1"/>
        <v>74.009875335513286</v>
      </c>
      <c r="AG3948" s="2">
        <f ca="1"/>
        <v>0.47088372639473408</v>
      </c>
      <c r="AH3948" s="2" t="str">
        <f ca="1"/>
        <v>Bad</v>
      </c>
    </row>
    <row r="3949" spans="2:34" x14ac:dyDescent="0.2">
      <c r="B3949" s="2">
        <f ca="1"/>
        <v>0.74985779925071117</v>
      </c>
      <c r="O3949" s="2">
        <f ca="1"/>
        <v>-0.70628586145754357</v>
      </c>
      <c r="X3949" s="2">
        <f ca="1"/>
        <v>52.927856402907778</v>
      </c>
      <c r="AG3949" s="2">
        <f ca="1"/>
        <v>0.75168140985713672</v>
      </c>
      <c r="AH3949" s="2" t="str">
        <f ca="1"/>
        <v>Bad</v>
      </c>
    </row>
    <row r="3950" spans="2:34" x14ac:dyDescent="0.2">
      <c r="B3950" s="2">
        <f ca="1"/>
        <v>0.71039341439778925</v>
      </c>
      <c r="O3950" s="2">
        <f ca="1"/>
        <v>0.2671637523319515</v>
      </c>
      <c r="X3950" s="2">
        <f ca="1"/>
        <v>31.575693178182988</v>
      </c>
      <c r="AG3950" s="2">
        <f ca="1"/>
        <v>0.53566996538220701</v>
      </c>
      <c r="AH3950" s="2" t="str">
        <f ca="1"/>
        <v>Bad</v>
      </c>
    </row>
    <row r="3951" spans="2:34" x14ac:dyDescent="0.2">
      <c r="B3951" s="2">
        <f ca="1"/>
        <v>0.74036982735469148</v>
      </c>
      <c r="O3951" s="2">
        <f ca="1"/>
        <v>-0.15764401082195875</v>
      </c>
      <c r="X3951" s="2">
        <f ca="1"/>
        <v>47.100296669258952</v>
      </c>
      <c r="AG3951" s="2">
        <f ca="1"/>
        <v>0.27611469088968543</v>
      </c>
      <c r="AH3951" s="2" t="str">
        <f ca="1"/>
        <v>OK</v>
      </c>
    </row>
    <row r="3952" spans="2:34" x14ac:dyDescent="0.2">
      <c r="B3952" s="2">
        <f ca="1"/>
        <v>0.17770989446361285</v>
      </c>
      <c r="O3952" s="2">
        <f ca="1"/>
        <v>-0.90796745671151702</v>
      </c>
      <c r="X3952" s="2">
        <f ca="1"/>
        <v>36.028044417758721</v>
      </c>
      <c r="AG3952" s="2">
        <f ca="1"/>
        <v>0.44644689410691951</v>
      </c>
      <c r="AH3952" s="2" t="str">
        <f ca="1"/>
        <v>Bad</v>
      </c>
    </row>
    <row r="3953" spans="2:34" x14ac:dyDescent="0.2">
      <c r="B3953" s="2">
        <f ca="1"/>
        <v>0.35515897256558837</v>
      </c>
      <c r="O3953" s="2">
        <f ca="1"/>
        <v>-1.1406982555665899</v>
      </c>
      <c r="X3953" s="2">
        <f ca="1"/>
        <v>42.760381602019621</v>
      </c>
      <c r="AG3953" s="2">
        <f ca="1"/>
        <v>0.94523632360945276</v>
      </c>
      <c r="AH3953" s="2" t="str">
        <f ca="1"/>
        <v>Bad</v>
      </c>
    </row>
    <row r="3954" spans="2:34" x14ac:dyDescent="0.2">
      <c r="B3954" s="2">
        <f ca="1"/>
        <v>0.84169929339498495</v>
      </c>
      <c r="O3954" s="2">
        <f ca="1"/>
        <v>1.559237596484726</v>
      </c>
      <c r="X3954" s="2">
        <f ca="1"/>
        <v>59.554217192388691</v>
      </c>
      <c r="AG3954" s="2">
        <f ca="1"/>
        <v>0.88898494621007185</v>
      </c>
      <c r="AH3954" s="2" t="str">
        <f ca="1"/>
        <v>Bad</v>
      </c>
    </row>
    <row r="3955" spans="2:34" x14ac:dyDescent="0.2">
      <c r="B3955" s="2">
        <f ca="1"/>
        <v>8.3659069688048815E-2</v>
      </c>
      <c r="O3955" s="2">
        <f ca="1"/>
        <v>0.11507635035753239</v>
      </c>
      <c r="X3955" s="2">
        <f ca="1"/>
        <v>75.27370568202933</v>
      </c>
      <c r="AG3955" s="2">
        <f ca="1"/>
        <v>0.33486311905088861</v>
      </c>
      <c r="AH3955" s="2" t="str">
        <f ca="1"/>
        <v>OK</v>
      </c>
    </row>
    <row r="3956" spans="2:34" x14ac:dyDescent="0.2">
      <c r="B3956" s="2">
        <f ca="1"/>
        <v>0.60336217666170922</v>
      </c>
      <c r="O3956" s="2">
        <f ca="1"/>
        <v>-0.95978687982555499</v>
      </c>
      <c r="X3956" s="2">
        <f ca="1"/>
        <v>30.306681733781005</v>
      </c>
      <c r="AG3956" s="2">
        <f ca="1"/>
        <v>0.41514418492657068</v>
      </c>
      <c r="AH3956" s="2" t="str">
        <f ca="1"/>
        <v>Bad</v>
      </c>
    </row>
    <row r="3957" spans="2:34" x14ac:dyDescent="0.2">
      <c r="B3957" s="2">
        <f ca="1"/>
        <v>0.47060792633860715</v>
      </c>
      <c r="O3957" s="2">
        <f ca="1"/>
        <v>-2.0928558287305536</v>
      </c>
      <c r="X3957" s="2">
        <f ca="1"/>
        <v>51.914755585416628</v>
      </c>
      <c r="AG3957" s="2">
        <f ca="1"/>
        <v>0.20293323780912309</v>
      </c>
      <c r="AH3957" s="2" t="str">
        <f ca="1"/>
        <v>OK</v>
      </c>
    </row>
    <row r="3958" spans="2:34" x14ac:dyDescent="0.2">
      <c r="B3958" s="2">
        <f ca="1"/>
        <v>7.9240901711013834E-2</v>
      </c>
      <c r="O3958" s="2">
        <f ca="1"/>
        <v>1.2935805673932896</v>
      </c>
      <c r="X3958" s="2">
        <f ca="1"/>
        <v>42.111081776063266</v>
      </c>
      <c r="AG3958" s="2">
        <f ca="1"/>
        <v>0.4721863276170355</v>
      </c>
      <c r="AH3958" s="2" t="str">
        <f ca="1"/>
        <v>Bad</v>
      </c>
    </row>
    <row r="3959" spans="2:34" x14ac:dyDescent="0.2">
      <c r="B3959" s="2">
        <f ca="1"/>
        <v>0.35369558726683481</v>
      </c>
      <c r="O3959" s="2">
        <f ca="1"/>
        <v>-1.0143370136948293</v>
      </c>
      <c r="X3959" s="2">
        <f ca="1"/>
        <v>65.962919976868037</v>
      </c>
      <c r="AG3959" s="2">
        <f ca="1"/>
        <v>5.108400604719443E-2</v>
      </c>
      <c r="AH3959" s="2" t="str">
        <f ca="1"/>
        <v>OK</v>
      </c>
    </row>
    <row r="3960" spans="2:34" x14ac:dyDescent="0.2">
      <c r="B3960" s="2">
        <f ca="1"/>
        <v>2.5132063755719081E-2</v>
      </c>
      <c r="O3960" s="2">
        <f ca="1"/>
        <v>-0.5859314824768953</v>
      </c>
      <c r="X3960" s="2">
        <f ca="1"/>
        <v>51.400912690861844</v>
      </c>
      <c r="AG3960" s="2">
        <f ca="1"/>
        <v>0.55163275796205191</v>
      </c>
      <c r="AH3960" s="2" t="str">
        <f ca="1"/>
        <v>Bad</v>
      </c>
    </row>
    <row r="3961" spans="2:34" x14ac:dyDescent="0.2">
      <c r="B3961" s="2">
        <f ca="1"/>
        <v>0.52300849717786391</v>
      </c>
      <c r="O3961" s="2">
        <f ca="1"/>
        <v>-0.71203599844265153</v>
      </c>
      <c r="X3961" s="2">
        <f ca="1"/>
        <v>76.664191130142825</v>
      </c>
      <c r="AG3961" s="2">
        <f ca="1"/>
        <v>0.43986563632090903</v>
      </c>
      <c r="AH3961" s="2" t="str">
        <f ca="1"/>
        <v>Bad</v>
      </c>
    </row>
    <row r="3962" spans="2:34" x14ac:dyDescent="0.2">
      <c r="B3962" s="2">
        <f ca="1"/>
        <v>0.52242066924127006</v>
      </c>
      <c r="O3962" s="2">
        <f ca="1"/>
        <v>-0.14898588316528072</v>
      </c>
      <c r="X3962" s="2">
        <f ca="1"/>
        <v>50.054263646162497</v>
      </c>
      <c r="AG3962" s="2">
        <f ca="1"/>
        <v>0.8532128815898441</v>
      </c>
      <c r="AH3962" s="2" t="str">
        <f ca="1"/>
        <v>Bad</v>
      </c>
    </row>
    <row r="3963" spans="2:34" x14ac:dyDescent="0.2">
      <c r="B3963" s="2">
        <f ca="1"/>
        <v>0.95890088999275336</v>
      </c>
      <c r="O3963" s="2">
        <f ca="1"/>
        <v>0.75467810556627668</v>
      </c>
      <c r="X3963" s="2">
        <f ca="1"/>
        <v>59.66734754186389</v>
      </c>
      <c r="AG3963" s="2">
        <f ca="1"/>
        <v>0.64818763534504598</v>
      </c>
      <c r="AH3963" s="2" t="str">
        <f ca="1"/>
        <v>Bad</v>
      </c>
    </row>
    <row r="3964" spans="2:34" x14ac:dyDescent="0.2">
      <c r="B3964" s="2">
        <f ca="1"/>
        <v>1.5766360091375331E-2</v>
      </c>
      <c r="O3964" s="2">
        <f ca="1"/>
        <v>2.7128369873158498</v>
      </c>
      <c r="X3964" s="2">
        <f ca="1"/>
        <v>48.109624832057769</v>
      </c>
      <c r="AG3964" s="2">
        <f ca="1"/>
        <v>0.7969389969660361</v>
      </c>
      <c r="AH3964" s="2" t="str">
        <f ca="1"/>
        <v>Bad</v>
      </c>
    </row>
    <row r="3965" spans="2:34" x14ac:dyDescent="0.2">
      <c r="B3965" s="2">
        <f ca="1"/>
        <v>0.97824717032073871</v>
      </c>
      <c r="O3965" s="2">
        <f ca="1"/>
        <v>0.10837312527243229</v>
      </c>
      <c r="X3965" s="2">
        <f ca="1"/>
        <v>45.075659369761652</v>
      </c>
      <c r="AG3965" s="2">
        <f ca="1"/>
        <v>0.31343140948233006</v>
      </c>
      <c r="AH3965" s="2" t="str">
        <f ca="1"/>
        <v>OK</v>
      </c>
    </row>
    <row r="3966" spans="2:34" x14ac:dyDescent="0.2">
      <c r="B3966" s="2">
        <f ca="1"/>
        <v>0.30632480838724785</v>
      </c>
      <c r="O3966" s="2">
        <f ca="1"/>
        <v>-0.33352405984256017</v>
      </c>
      <c r="X3966" s="2">
        <f ca="1"/>
        <v>57.359097781855077</v>
      </c>
      <c r="AG3966" s="2">
        <f ca="1"/>
        <v>0.94711614242387254</v>
      </c>
      <c r="AH3966" s="2" t="str">
        <f ca="1"/>
        <v>Bad</v>
      </c>
    </row>
    <row r="3967" spans="2:34" x14ac:dyDescent="0.2">
      <c r="B3967" s="2">
        <f ca="1"/>
        <v>0.88886697039184392</v>
      </c>
      <c r="O3967" s="2">
        <f ca="1"/>
        <v>-1.8773700352955001</v>
      </c>
      <c r="X3967" s="2">
        <f ca="1"/>
        <v>45.895408507568561</v>
      </c>
      <c r="AG3967" s="2">
        <f ca="1"/>
        <v>0.58521486293910718</v>
      </c>
      <c r="AH3967" s="2" t="str">
        <f ca="1"/>
        <v>Bad</v>
      </c>
    </row>
    <row r="3968" spans="2:34" x14ac:dyDescent="0.2">
      <c r="B3968" s="2">
        <f ca="1"/>
        <v>0.47765697718108213</v>
      </c>
      <c r="O3968" s="2">
        <f ca="1"/>
        <v>1.8583727837300748</v>
      </c>
      <c r="X3968" s="2">
        <f ca="1"/>
        <v>44.079803069207529</v>
      </c>
      <c r="AG3968" s="2">
        <f ca="1"/>
        <v>4.7602207282127385E-2</v>
      </c>
      <c r="AH3968" s="2" t="str">
        <f ca="1"/>
        <v>Good</v>
      </c>
    </row>
    <row r="3969" spans="2:34" x14ac:dyDescent="0.2">
      <c r="B3969" s="2">
        <f ca="1"/>
        <v>0.71808096672145183</v>
      </c>
      <c r="O3969" s="2">
        <f ca="1"/>
        <v>1.3438063336412818</v>
      </c>
      <c r="X3969" s="2">
        <f ca="1"/>
        <v>44.33291543787837</v>
      </c>
      <c r="AG3969" s="2">
        <f ca="1"/>
        <v>0.28856983183892293</v>
      </c>
      <c r="AH3969" s="2" t="str">
        <f ca="1"/>
        <v>OK</v>
      </c>
    </row>
    <row r="3970" spans="2:34" x14ac:dyDescent="0.2">
      <c r="B3970" s="2">
        <f ca="1"/>
        <v>0.19440193558491781</v>
      </c>
      <c r="O3970" s="2">
        <f ca="1"/>
        <v>1.7012275654026445</v>
      </c>
      <c r="X3970" s="2">
        <f ca="1"/>
        <v>44.934150618486612</v>
      </c>
      <c r="AG3970" s="2">
        <f ca="1"/>
        <v>0.83578832876040976</v>
      </c>
      <c r="AH3970" s="2" t="str">
        <f ca="1"/>
        <v>Bad</v>
      </c>
    </row>
    <row r="3971" spans="2:34" x14ac:dyDescent="0.2">
      <c r="B3971" s="2">
        <f ca="1"/>
        <v>9.5723523141410416E-2</v>
      </c>
      <c r="O3971" s="2">
        <f ca="1"/>
        <v>0.93338202121974401</v>
      </c>
      <c r="X3971" s="2">
        <f ca="1"/>
        <v>65.794452560367972</v>
      </c>
      <c r="AG3971" s="2">
        <f ca="1"/>
        <v>0.82473945736276422</v>
      </c>
      <c r="AH3971" s="2" t="str">
        <f ca="1"/>
        <v>Bad</v>
      </c>
    </row>
    <row r="3972" spans="2:34" x14ac:dyDescent="0.2">
      <c r="B3972" s="2">
        <f ca="1"/>
        <v>0.67310337114962571</v>
      </c>
      <c r="O3972" s="2">
        <f ca="1"/>
        <v>-0.89624195267167739</v>
      </c>
      <c r="X3972" s="2">
        <f ca="1"/>
        <v>40.210637090440109</v>
      </c>
      <c r="AG3972" s="2">
        <f ca="1"/>
        <v>0.76090361069741652</v>
      </c>
      <c r="AH3972" s="2" t="str">
        <f ca="1"/>
        <v>Bad</v>
      </c>
    </row>
    <row r="3973" spans="2:34" x14ac:dyDescent="0.2">
      <c r="B3973" s="2">
        <f ca="1"/>
        <v>0.58689582623929692</v>
      </c>
      <c r="O3973" s="2">
        <f ca="1"/>
        <v>1.3368867052713418</v>
      </c>
      <c r="X3973" s="2">
        <f ca="1"/>
        <v>74.499466958435519</v>
      </c>
      <c r="AG3973" s="2">
        <f ca="1"/>
        <v>0.42007410587623162</v>
      </c>
      <c r="AH3973" s="2" t="str">
        <f ca="1"/>
        <v>Bad</v>
      </c>
    </row>
    <row r="3974" spans="2:34" x14ac:dyDescent="0.2">
      <c r="B3974" s="2">
        <f ca="1"/>
        <v>0.63162819272911763</v>
      </c>
      <c r="O3974" s="2">
        <f ca="1"/>
        <v>1.0680233244910569</v>
      </c>
      <c r="X3974" s="2">
        <f ca="1"/>
        <v>61.55125034863233</v>
      </c>
      <c r="AG3974" s="2">
        <f ca="1"/>
        <v>0.69315702307158422</v>
      </c>
      <c r="AH3974" s="2" t="str">
        <f ca="1"/>
        <v>Bad</v>
      </c>
    </row>
    <row r="3975" spans="2:34" x14ac:dyDescent="0.2">
      <c r="B3975" s="2">
        <f ca="1"/>
        <v>0.86926926565326146</v>
      </c>
      <c r="O3975" s="2">
        <f ca="1"/>
        <v>-0.30445018541223756</v>
      </c>
      <c r="X3975" s="2">
        <f ca="1"/>
        <v>62.030317011757589</v>
      </c>
      <c r="AG3975" s="2">
        <f ca="1"/>
        <v>6.9146249132223891E-2</v>
      </c>
      <c r="AH3975" s="2" t="str">
        <f ca="1"/>
        <v>OK</v>
      </c>
    </row>
    <row r="3976" spans="2:34" x14ac:dyDescent="0.2">
      <c r="B3976" s="2">
        <f ca="1"/>
        <v>0.45650425338496059</v>
      </c>
      <c r="O3976" s="2">
        <f ca="1"/>
        <v>-0.13792629002276013</v>
      </c>
      <c r="X3976" s="2">
        <f ca="1"/>
        <v>75.439237104454605</v>
      </c>
      <c r="AG3976" s="2">
        <f ca="1"/>
        <v>0.43307829325646008</v>
      </c>
      <c r="AH3976" s="2" t="str">
        <f ca="1"/>
        <v>Bad</v>
      </c>
    </row>
    <row r="3977" spans="2:34" x14ac:dyDescent="0.2">
      <c r="B3977" s="2">
        <f ca="1"/>
        <v>0.90697209986545868</v>
      </c>
      <c r="O3977" s="2">
        <f ca="1"/>
        <v>0.51368016752983625</v>
      </c>
      <c r="X3977" s="2">
        <f ca="1"/>
        <v>28.794725816021757</v>
      </c>
      <c r="AG3977" s="2">
        <f ca="1"/>
        <v>0.31141951649897193</v>
      </c>
      <c r="AH3977" s="2" t="str">
        <f ca="1"/>
        <v>OK</v>
      </c>
    </row>
    <row r="3978" spans="2:34" x14ac:dyDescent="0.2">
      <c r="B3978" s="2">
        <f ca="1"/>
        <v>0.75848204881898051</v>
      </c>
      <c r="O3978" s="2">
        <f ca="1"/>
        <v>1.383473164097051</v>
      </c>
      <c r="X3978" s="2">
        <f ca="1"/>
        <v>31.783435877156926</v>
      </c>
      <c r="AG3978" s="2">
        <f ca="1"/>
        <v>0.87609784488373466</v>
      </c>
      <c r="AH3978" s="2" t="str">
        <f ca="1"/>
        <v>Bad</v>
      </c>
    </row>
    <row r="3979" spans="2:34" x14ac:dyDescent="0.2">
      <c r="B3979" s="2">
        <f ca="1"/>
        <v>0.1810996650055916</v>
      </c>
      <c r="O3979" s="2">
        <f ca="1"/>
        <v>-1.088832517084189</v>
      </c>
      <c r="X3979" s="2">
        <f ca="1"/>
        <v>76.951777875099637</v>
      </c>
      <c r="AG3979" s="2">
        <f ca="1"/>
        <v>0.76503883403539441</v>
      </c>
      <c r="AH3979" s="2" t="str">
        <f ca="1"/>
        <v>Bad</v>
      </c>
    </row>
    <row r="3980" spans="2:34" x14ac:dyDescent="0.2">
      <c r="B3980" s="2">
        <f ca="1"/>
        <v>3.7398188434559554E-2</v>
      </c>
      <c r="O3980" s="2">
        <f ca="1"/>
        <v>1.0924696271424017</v>
      </c>
      <c r="X3980" s="2">
        <f ca="1"/>
        <v>29.465877812812579</v>
      </c>
      <c r="AG3980" s="2">
        <f ca="1"/>
        <v>0.16737773863922367</v>
      </c>
      <c r="AH3980" s="2" t="str">
        <f ca="1"/>
        <v>OK</v>
      </c>
    </row>
    <row r="3981" spans="2:34" x14ac:dyDescent="0.2">
      <c r="B3981" s="2">
        <f ca="1"/>
        <v>0.38605879047711822</v>
      </c>
      <c r="O3981" s="2">
        <f ca="1"/>
        <v>0.93375728301905669</v>
      </c>
      <c r="X3981" s="2">
        <f ca="1"/>
        <v>38.464901296668984</v>
      </c>
      <c r="AG3981" s="2">
        <f ca="1"/>
        <v>0.31610746969653403</v>
      </c>
      <c r="AH3981" s="2" t="str">
        <f ca="1"/>
        <v>OK</v>
      </c>
    </row>
    <row r="3982" spans="2:34" x14ac:dyDescent="0.2">
      <c r="B3982" s="2">
        <f ca="1"/>
        <v>0.10209844742929497</v>
      </c>
      <c r="O3982" s="2">
        <f ca="1"/>
        <v>-0.46738876135922797</v>
      </c>
      <c r="X3982" s="2">
        <f ca="1"/>
        <v>31.775999519575105</v>
      </c>
      <c r="AG3982" s="2">
        <f ca="1"/>
        <v>0.88172806589557595</v>
      </c>
      <c r="AH3982" s="2" t="str">
        <f ca="1"/>
        <v>Bad</v>
      </c>
    </row>
    <row r="3983" spans="2:34" x14ac:dyDescent="0.2">
      <c r="B3983" s="2">
        <f ca="1"/>
        <v>0.86192762000527789</v>
      </c>
      <c r="O3983" s="2">
        <f ca="1"/>
        <v>-0.29423277396465869</v>
      </c>
      <c r="X3983" s="2">
        <f ca="1"/>
        <v>56.193524284404887</v>
      </c>
      <c r="AG3983" s="2">
        <f ca="1"/>
        <v>0.65358229105524979</v>
      </c>
      <c r="AH3983" s="2" t="str">
        <f ca="1"/>
        <v>Bad</v>
      </c>
    </row>
    <row r="3984" spans="2:34" x14ac:dyDescent="0.2">
      <c r="B3984" s="2">
        <f ca="1"/>
        <v>0.77585881251990796</v>
      </c>
      <c r="O3984" s="2">
        <f ca="1"/>
        <v>1.2724879105878886</v>
      </c>
      <c r="X3984" s="2">
        <f ca="1"/>
        <v>57.277879202803355</v>
      </c>
      <c r="AG3984" s="2">
        <f ca="1"/>
        <v>0.15421996096222523</v>
      </c>
      <c r="AH3984" s="2" t="str">
        <f ca="1"/>
        <v>OK</v>
      </c>
    </row>
    <row r="3985" spans="2:34" x14ac:dyDescent="0.2">
      <c r="B3985" s="2">
        <f ca="1"/>
        <v>0.10146105692030671</v>
      </c>
      <c r="O3985" s="2">
        <f ca="1"/>
        <v>-0.2225371740218253</v>
      </c>
      <c r="X3985" s="2">
        <f ca="1"/>
        <v>45.104594330950192</v>
      </c>
      <c r="AG3985" s="2">
        <f ca="1"/>
        <v>1.1538181847078333E-2</v>
      </c>
      <c r="AH3985" s="2" t="str">
        <f ca="1"/>
        <v>Good</v>
      </c>
    </row>
    <row r="3986" spans="2:34" x14ac:dyDescent="0.2">
      <c r="B3986" s="2">
        <f ca="1"/>
        <v>0.72873449938593593</v>
      </c>
      <c r="O3986" s="2">
        <f ca="1"/>
        <v>-1.149943523987299</v>
      </c>
      <c r="X3986" s="2">
        <f ca="1"/>
        <v>80.046368739808599</v>
      </c>
      <c r="AG3986" s="2">
        <f ca="1"/>
        <v>0.93140903199923719</v>
      </c>
      <c r="AH3986" s="2" t="str">
        <f ca="1"/>
        <v>Bad</v>
      </c>
    </row>
    <row r="3987" spans="2:34" x14ac:dyDescent="0.2">
      <c r="B3987" s="2">
        <f ca="1"/>
        <v>0.8709188149390934</v>
      </c>
      <c r="O3987" s="2">
        <f ca="1"/>
        <v>6.7443482022284881E-2</v>
      </c>
      <c r="X3987" s="2">
        <f ca="1"/>
        <v>59.40808871734076</v>
      </c>
      <c r="AG3987" s="2">
        <f ca="1"/>
        <v>3.9898123461835855E-2</v>
      </c>
      <c r="AH3987" s="2" t="str">
        <f ca="1"/>
        <v>Good</v>
      </c>
    </row>
    <row r="3988" spans="2:34" x14ac:dyDescent="0.2">
      <c r="B3988" s="2">
        <f ca="1"/>
        <v>0.11469799503175349</v>
      </c>
      <c r="O3988" s="2">
        <f ca="1"/>
        <v>0.92347228495620881</v>
      </c>
      <c r="X3988" s="2">
        <f ca="1"/>
        <v>35.603939626969925</v>
      </c>
      <c r="AG3988" s="2">
        <f ca="1"/>
        <v>0.92918243909367804</v>
      </c>
      <c r="AH3988" s="2" t="str">
        <f ca="1"/>
        <v>Bad</v>
      </c>
    </row>
    <row r="3989" spans="2:34" x14ac:dyDescent="0.2">
      <c r="B3989" s="2">
        <f ca="1"/>
        <v>0.40285123583155391</v>
      </c>
      <c r="O3989" s="2">
        <f ca="1"/>
        <v>-0.12573202347602214</v>
      </c>
      <c r="X3989" s="2">
        <f ca="1"/>
        <v>94.324506600566338</v>
      </c>
      <c r="AG3989" s="2">
        <f ca="1"/>
        <v>0.94420188957981743</v>
      </c>
      <c r="AH3989" s="2" t="str">
        <f ca="1"/>
        <v>Bad</v>
      </c>
    </row>
    <row r="3990" spans="2:34" x14ac:dyDescent="0.2">
      <c r="B3990" s="2">
        <f ca="1"/>
        <v>0.87995395812110955</v>
      </c>
      <c r="O3990" s="2">
        <f ca="1"/>
        <v>0.52112315950913812</v>
      </c>
      <c r="X3990" s="2">
        <f ca="1"/>
        <v>56.522151515331068</v>
      </c>
      <c r="AG3990" s="2">
        <f ca="1"/>
        <v>0.31054647859524276</v>
      </c>
      <c r="AH3990" s="2" t="str">
        <f ca="1"/>
        <v>OK</v>
      </c>
    </row>
    <row r="3991" spans="2:34" x14ac:dyDescent="0.2">
      <c r="B3991" s="2">
        <f ca="1"/>
        <v>0.37906435606745648</v>
      </c>
      <c r="O3991" s="2">
        <f ca="1"/>
        <v>-2.0767865597956279</v>
      </c>
      <c r="X3991" s="2">
        <f ca="1"/>
        <v>45.134740098422618</v>
      </c>
      <c r="AG3991" s="2">
        <f ca="1"/>
        <v>0.78698831889358112</v>
      </c>
      <c r="AH3991" s="2" t="str">
        <f ca="1"/>
        <v>Bad</v>
      </c>
    </row>
    <row r="3992" spans="2:34" x14ac:dyDescent="0.2">
      <c r="B3992" s="2">
        <f ca="1"/>
        <v>0.54214510665684856</v>
      </c>
      <c r="O3992" s="2">
        <f ca="1"/>
        <v>0.84441224209359789</v>
      </c>
      <c r="X3992" s="2">
        <f ca="1"/>
        <v>28.672130891342849</v>
      </c>
      <c r="AG3992" s="2">
        <f ca="1"/>
        <v>0.64590953012968355</v>
      </c>
      <c r="AH3992" s="2" t="str">
        <f ca="1"/>
        <v>Bad</v>
      </c>
    </row>
    <row r="3993" spans="2:34" x14ac:dyDescent="0.2">
      <c r="B3993" s="2">
        <f ca="1"/>
        <v>0.10290237492058907</v>
      </c>
      <c r="O3993" s="2">
        <f ca="1"/>
        <v>-0.48901028331081181</v>
      </c>
      <c r="X3993" s="2">
        <f ca="1"/>
        <v>53.339527092205536</v>
      </c>
      <c r="AG3993" s="2">
        <f ca="1"/>
        <v>0.49660573558831445</v>
      </c>
      <c r="AH3993" s="2" t="str">
        <f ca="1"/>
        <v>Bad</v>
      </c>
    </row>
    <row r="3994" spans="2:34" x14ac:dyDescent="0.2">
      <c r="B3994" s="2">
        <f ca="1"/>
        <v>1.3215060491243102E-2</v>
      </c>
      <c r="O3994" s="2">
        <f ca="1"/>
        <v>-0.50993898304912111</v>
      </c>
      <c r="X3994" s="2">
        <f ca="1"/>
        <v>51.617733476373296</v>
      </c>
      <c r="AG3994" s="2">
        <f ca="1"/>
        <v>0.67134918910379526</v>
      </c>
      <c r="AH3994" s="2" t="str">
        <f ca="1"/>
        <v>Bad</v>
      </c>
    </row>
    <row r="3995" spans="2:34" x14ac:dyDescent="0.2">
      <c r="B3995" s="2">
        <f ca="1"/>
        <v>0.45475836235696465</v>
      </c>
      <c r="O3995" s="2">
        <f ca="1"/>
        <v>-0.47804012445010963</v>
      </c>
      <c r="X3995" s="2">
        <f ca="1"/>
        <v>54.315008257088984</v>
      </c>
      <c r="AG3995" s="2">
        <f ca="1"/>
        <v>0.6344042667668448</v>
      </c>
      <c r="AH3995" s="2" t="str">
        <f ca="1"/>
        <v>Bad</v>
      </c>
    </row>
    <row r="3996" spans="2:34" x14ac:dyDescent="0.2">
      <c r="B3996" s="2">
        <f ca="1"/>
        <v>0.49313611199414087</v>
      </c>
      <c r="O3996" s="2">
        <f ca="1"/>
        <v>-0.57037700639094613</v>
      </c>
      <c r="X3996" s="2">
        <f ca="1"/>
        <v>51.600963411231298</v>
      </c>
      <c r="AG3996" s="2">
        <f ca="1"/>
        <v>0.54434360691821015</v>
      </c>
      <c r="AH3996" s="2" t="str">
        <f ca="1"/>
        <v>Bad</v>
      </c>
    </row>
    <row r="3997" spans="2:34" x14ac:dyDescent="0.2">
      <c r="B3997" s="2">
        <f ca="1"/>
        <v>0.16695874341627026</v>
      </c>
      <c r="O3997" s="2">
        <f ca="1"/>
        <v>-1.6555522392160456</v>
      </c>
      <c r="X3997" s="2">
        <f ca="1"/>
        <v>61.190130486512047</v>
      </c>
      <c r="AG3997" s="2">
        <f ca="1"/>
        <v>0.4035244169864507</v>
      </c>
      <c r="AH3997" s="2" t="str">
        <f ca="1"/>
        <v>Bad</v>
      </c>
    </row>
    <row r="3998" spans="2:34" x14ac:dyDescent="0.2">
      <c r="B3998" s="2">
        <f ca="1"/>
        <v>0.25935095492280746</v>
      </c>
      <c r="O3998" s="2">
        <f ca="1"/>
        <v>0.94399011962652002</v>
      </c>
      <c r="X3998" s="2">
        <f ca="1"/>
        <v>52.66361640847893</v>
      </c>
      <c r="AG3998" s="2">
        <f ca="1"/>
        <v>0.10292091955428528</v>
      </c>
      <c r="AH3998" s="2" t="str">
        <f ca="1"/>
        <v>OK</v>
      </c>
    </row>
    <row r="3999" spans="2:34" x14ac:dyDescent="0.2">
      <c r="B3999" s="2">
        <f ca="1"/>
        <v>0.10838518477859238</v>
      </c>
      <c r="O3999" s="2">
        <f ca="1"/>
        <v>1.3855923644328965</v>
      </c>
      <c r="X3999" s="2">
        <f ca="1"/>
        <v>43.07370082167062</v>
      </c>
      <c r="AG3999" s="2">
        <f ca="1"/>
        <v>0.44205492653012346</v>
      </c>
      <c r="AH3999" s="2" t="str">
        <f ca="1"/>
        <v>Bad</v>
      </c>
    </row>
    <row r="4000" spans="2:34" x14ac:dyDescent="0.2">
      <c r="B4000" s="2">
        <f ca="1"/>
        <v>0.25257787629301398</v>
      </c>
      <c r="O4000" s="2">
        <f ca="1"/>
        <v>-0.91159394509422675</v>
      </c>
      <c r="X4000" s="2">
        <f ca="1"/>
        <v>35.467275631924686</v>
      </c>
      <c r="AG4000" s="2">
        <f ca="1"/>
        <v>0.55998619374934444</v>
      </c>
      <c r="AH4000" s="2" t="str">
        <f ca="1"/>
        <v>Bad</v>
      </c>
    </row>
    <row r="4001" spans="2:34" x14ac:dyDescent="0.2">
      <c r="B4001" s="2">
        <f ca="1"/>
        <v>0.11908098679102519</v>
      </c>
      <c r="O4001" s="2">
        <f ca="1"/>
        <v>-0.57993360398408689</v>
      </c>
      <c r="X4001" s="2">
        <f ca="1"/>
        <v>33.716753691820109</v>
      </c>
      <c r="AG4001" s="2">
        <f ca="1"/>
        <v>0.8768534133111523</v>
      </c>
      <c r="AH4001" s="2" t="str">
        <f ca="1"/>
        <v>Bad</v>
      </c>
    </row>
    <row r="4002" spans="2:34" x14ac:dyDescent="0.2">
      <c r="B4002" s="2">
        <f ca="1"/>
        <v>0.93941695967306416</v>
      </c>
      <c r="O4002" s="2">
        <f ca="1"/>
        <v>1.8676205556909005</v>
      </c>
      <c r="X4002" s="2">
        <f ca="1"/>
        <v>44.019462077036884</v>
      </c>
      <c r="AG4002" s="2">
        <f ca="1"/>
        <v>0.36752003858569271</v>
      </c>
      <c r="AH4002" s="2" t="str">
        <f ca="1"/>
        <v>OK</v>
      </c>
    </row>
    <row r="4003" spans="2:34" x14ac:dyDescent="0.2">
      <c r="B4003" s="2">
        <f ca="1"/>
        <v>0.46873088950922925</v>
      </c>
      <c r="O4003" s="2">
        <f ca="1"/>
        <v>-0.39943336882595926</v>
      </c>
      <c r="X4003" s="2">
        <f ca="1"/>
        <v>54.966995499036926</v>
      </c>
      <c r="AG4003" s="2">
        <f ca="1"/>
        <v>0.65473241423486717</v>
      </c>
      <c r="AH4003" s="2" t="str">
        <f ca="1"/>
        <v>Bad</v>
      </c>
    </row>
    <row r="4004" spans="2:34" x14ac:dyDescent="0.2">
      <c r="B4004" s="2">
        <f ca="1"/>
        <v>0.28549885815876586</v>
      </c>
      <c r="O4004" s="2">
        <f ca="1"/>
        <v>-1.3491763381570367</v>
      </c>
      <c r="X4004" s="2">
        <f ca="1"/>
        <v>66.336514451555445</v>
      </c>
      <c r="AG4004" s="2">
        <f ca="1"/>
        <v>0.28282515527794039</v>
      </c>
      <c r="AH4004" s="2" t="str">
        <f ca="1"/>
        <v>OK</v>
      </c>
    </row>
    <row r="4005" spans="2:34" x14ac:dyDescent="0.2">
      <c r="B4005" s="2">
        <f ca="1"/>
        <v>0.40878641008505623</v>
      </c>
      <c r="O4005" s="2">
        <f ca="1"/>
        <v>-0.42894889767020972</v>
      </c>
      <c r="X4005" s="2">
        <f ca="1"/>
        <v>43.715912841355731</v>
      </c>
      <c r="AG4005" s="2">
        <f ca="1"/>
        <v>0.31100911703964718</v>
      </c>
      <c r="AH4005" s="2" t="str">
        <f ca="1"/>
        <v>OK</v>
      </c>
    </row>
    <row r="4006" spans="2:34" x14ac:dyDescent="0.2">
      <c r="B4006" s="2">
        <f ca="1"/>
        <v>0.94696432080070481</v>
      </c>
      <c r="O4006" s="2">
        <f ca="1"/>
        <v>-0.71789236226381792</v>
      </c>
      <c r="X4006" s="2">
        <f ca="1"/>
        <v>66.445844492717967</v>
      </c>
      <c r="AG4006" s="2">
        <f ca="1"/>
        <v>0.96133649980021696</v>
      </c>
      <c r="AH4006" s="2" t="str">
        <f ca="1"/>
        <v>Bad</v>
      </c>
    </row>
    <row r="4007" spans="2:34" x14ac:dyDescent="0.2">
      <c r="B4007" s="2">
        <f ca="1"/>
        <v>0.79525119743258066</v>
      </c>
      <c r="O4007" s="2">
        <f ca="1"/>
        <v>-1.0144543404689164</v>
      </c>
      <c r="X4007" s="2">
        <f ca="1"/>
        <v>43.205782135325578</v>
      </c>
      <c r="AG4007" s="2">
        <f ca="1"/>
        <v>0.26695085261159024</v>
      </c>
      <c r="AH4007" s="2" t="str">
        <f ca="1"/>
        <v>OK</v>
      </c>
    </row>
    <row r="4008" spans="2:34" x14ac:dyDescent="0.2">
      <c r="B4008" s="2">
        <f ca="1"/>
        <v>0.22853208365245425</v>
      </c>
      <c r="O4008" s="2">
        <f ca="1"/>
        <v>-3.6576414695153915E-2</v>
      </c>
      <c r="X4008" s="2">
        <f ca="1"/>
        <v>40.564038803051339</v>
      </c>
      <c r="AG4008" s="2">
        <f ca="1"/>
        <v>0.37354554470217072</v>
      </c>
      <c r="AH4008" s="2" t="str">
        <f ca="1"/>
        <v>OK</v>
      </c>
    </row>
    <row r="4009" spans="2:34" x14ac:dyDescent="0.2">
      <c r="B4009" s="2">
        <f ca="1"/>
        <v>0.15003394485608257</v>
      </c>
      <c r="O4009" s="2">
        <f ca="1"/>
        <v>1.5175710105493321</v>
      </c>
      <c r="X4009" s="2">
        <f ca="1"/>
        <v>57.346672412405823</v>
      </c>
      <c r="AG4009" s="2">
        <f ca="1"/>
        <v>0.26768682571664737</v>
      </c>
      <c r="AH4009" s="2" t="str">
        <f ca="1"/>
        <v>OK</v>
      </c>
    </row>
    <row r="4010" spans="2:34" x14ac:dyDescent="0.2">
      <c r="B4010" s="2">
        <f ca="1"/>
        <v>0.27670248496348004</v>
      </c>
      <c r="O4010" s="2">
        <f ca="1"/>
        <v>0.93757312032373175</v>
      </c>
      <c r="X4010" s="2">
        <f ca="1"/>
        <v>38.492054769666012</v>
      </c>
      <c r="AG4010" s="2">
        <f ca="1"/>
        <v>0.63000188156804415</v>
      </c>
      <c r="AH4010" s="2" t="str">
        <f ca="1"/>
        <v>Bad</v>
      </c>
    </row>
    <row r="4011" spans="2:34" x14ac:dyDescent="0.2">
      <c r="B4011" s="2">
        <f ca="1"/>
        <v>0.36198228983792058</v>
      </c>
      <c r="O4011" s="2">
        <f ca="1"/>
        <v>0.2838924289371289</v>
      </c>
      <c r="X4011" s="2">
        <f ca="1"/>
        <v>38.197234419149929</v>
      </c>
      <c r="AG4011" s="2">
        <f ca="1"/>
        <v>0.89617387664226911</v>
      </c>
      <c r="AH4011" s="2" t="str">
        <f ca="1"/>
        <v>Bad</v>
      </c>
    </row>
    <row r="4012" spans="2:34" x14ac:dyDescent="0.2">
      <c r="B4012" s="2">
        <f ca="1"/>
        <v>0.98150395747630204</v>
      </c>
      <c r="O4012" s="2">
        <f ca="1"/>
        <v>-0.19517783612417097</v>
      </c>
      <c r="X4012" s="2">
        <f ca="1"/>
        <v>39.038274890586081</v>
      </c>
      <c r="AG4012" s="2">
        <f ca="1"/>
        <v>0.51375083667569688</v>
      </c>
      <c r="AH4012" s="2" t="str">
        <f ca="1"/>
        <v>Bad</v>
      </c>
    </row>
    <row r="4013" spans="2:34" x14ac:dyDescent="0.2">
      <c r="B4013" s="2">
        <f ca="1"/>
        <v>0.61546929072281897</v>
      </c>
      <c r="O4013" s="2">
        <f ca="1"/>
        <v>1.0962904346012305</v>
      </c>
      <c r="X4013" s="2">
        <f ca="1"/>
        <v>72.194156174063778</v>
      </c>
      <c r="AG4013" s="2">
        <f ca="1"/>
        <v>0.23203897461889511</v>
      </c>
      <c r="AH4013" s="2" t="str">
        <f ca="1"/>
        <v>OK</v>
      </c>
    </row>
    <row r="4014" spans="2:34" x14ac:dyDescent="0.2">
      <c r="B4014" s="2">
        <f ca="1"/>
        <v>0.68485560332606932</v>
      </c>
      <c r="O4014" s="2">
        <f ca="1"/>
        <v>1.5863006936465369</v>
      </c>
      <c r="X4014" s="2">
        <f ca="1"/>
        <v>57.333382314338053</v>
      </c>
      <c r="AG4014" s="2">
        <f ca="1"/>
        <v>0.2798320320358656</v>
      </c>
      <c r="AH4014" s="2" t="str">
        <f ca="1"/>
        <v>OK</v>
      </c>
    </row>
    <row r="4015" spans="2:34" x14ac:dyDescent="0.2">
      <c r="B4015" s="2">
        <f ca="1"/>
        <v>0.44578734253075036</v>
      </c>
      <c r="O4015" s="2">
        <f ca="1"/>
        <v>-1.0886349032148637</v>
      </c>
      <c r="X4015" s="2">
        <f ca="1"/>
        <v>61.076777007130318</v>
      </c>
      <c r="AG4015" s="2">
        <f ca="1"/>
        <v>0.4282592537493215</v>
      </c>
      <c r="AH4015" s="2" t="str">
        <f ca="1"/>
        <v>Bad</v>
      </c>
    </row>
    <row r="4016" spans="2:34" x14ac:dyDescent="0.2">
      <c r="B4016" s="2">
        <f ca="1"/>
        <v>0.67025345653794055</v>
      </c>
      <c r="O4016" s="2">
        <f ca="1"/>
        <v>0.95519405760716802</v>
      </c>
      <c r="X4016" s="2">
        <f ca="1"/>
        <v>38.797897408896581</v>
      </c>
      <c r="AG4016" s="2">
        <f ca="1"/>
        <v>7.4366808336953971E-2</v>
      </c>
      <c r="AH4016" s="2" t="str">
        <f ca="1"/>
        <v>OK</v>
      </c>
    </row>
    <row r="4017" spans="2:34" x14ac:dyDescent="0.2">
      <c r="B4017" s="2">
        <f ca="1"/>
        <v>0.84154978815557402</v>
      </c>
      <c r="O4017" s="2">
        <f ca="1"/>
        <v>0.30491288126859528</v>
      </c>
      <c r="X4017" s="2">
        <f ca="1"/>
        <v>55.509803586899373</v>
      </c>
      <c r="AG4017" s="2">
        <f ca="1"/>
        <v>0.86269382507015924</v>
      </c>
      <c r="AH4017" s="2" t="str">
        <f ca="1"/>
        <v>Bad</v>
      </c>
    </row>
    <row r="4018" spans="2:34" x14ac:dyDescent="0.2">
      <c r="B4018" s="2">
        <f ca="1"/>
        <v>0.20513945348622697</v>
      </c>
      <c r="O4018" s="2">
        <f ca="1"/>
        <v>-1.3196752675648531</v>
      </c>
      <c r="X4018" s="2">
        <f ca="1"/>
        <v>46.112149101389399</v>
      </c>
      <c r="AG4018" s="2">
        <f ca="1"/>
        <v>0.40728997486755647</v>
      </c>
      <c r="AH4018" s="2" t="str">
        <f ca="1"/>
        <v>Bad</v>
      </c>
    </row>
    <row r="4019" spans="2:34" x14ac:dyDescent="0.2">
      <c r="B4019" s="2">
        <f ca="1"/>
        <v>0.95841993676884529</v>
      </c>
      <c r="O4019" s="2">
        <f ca="1"/>
        <v>-0.58924107095238398</v>
      </c>
      <c r="X4019" s="2">
        <f ca="1"/>
        <v>45.215387303516565</v>
      </c>
      <c r="AG4019" s="2">
        <f ca="1"/>
        <v>0.13810207842329159</v>
      </c>
      <c r="AH4019" s="2" t="str">
        <f ca="1"/>
        <v>OK</v>
      </c>
    </row>
    <row r="4020" spans="2:34" x14ac:dyDescent="0.2">
      <c r="B4020" s="2">
        <f ca="1"/>
        <v>0.18293500104853244</v>
      </c>
      <c r="O4020" s="2">
        <f ca="1"/>
        <v>-2.3416616581807155</v>
      </c>
      <c r="X4020" s="2">
        <f ca="1"/>
        <v>29.90972307356995</v>
      </c>
      <c r="AG4020" s="2">
        <f ca="1"/>
        <v>0.43420239524530224</v>
      </c>
      <c r="AH4020" s="2" t="str">
        <f ca="1"/>
        <v>Bad</v>
      </c>
    </row>
    <row r="4021" spans="2:34" x14ac:dyDescent="0.2">
      <c r="B4021" s="2">
        <f ca="1"/>
        <v>0.51817444448154704</v>
      </c>
      <c r="O4021" s="2">
        <f ca="1"/>
        <v>-2.2348692214139336</v>
      </c>
      <c r="X4021" s="2">
        <f ca="1"/>
        <v>75.521239211402488</v>
      </c>
      <c r="AG4021" s="2">
        <f ca="1"/>
        <v>0.67501570941074518</v>
      </c>
      <c r="AH4021" s="2" t="str">
        <f ca="1"/>
        <v>Bad</v>
      </c>
    </row>
    <row r="4022" spans="2:34" x14ac:dyDescent="0.2">
      <c r="B4022" s="2">
        <f ca="1"/>
        <v>0.5325594609643356</v>
      </c>
      <c r="O4022" s="2">
        <f ca="1"/>
        <v>-0.18203841514149954</v>
      </c>
      <c r="X4022" s="2">
        <f ca="1"/>
        <v>46.778058930896705</v>
      </c>
      <c r="AG4022" s="2">
        <f ca="1"/>
        <v>0.66674203604242033</v>
      </c>
      <c r="AH4022" s="2" t="str">
        <f ca="1"/>
        <v>Bad</v>
      </c>
    </row>
    <row r="4023" spans="2:34" x14ac:dyDescent="0.2">
      <c r="B4023" s="2">
        <f ca="1"/>
        <v>0.48818773382668068</v>
      </c>
      <c r="O4023" s="2">
        <f ca="1"/>
        <v>-0.55182757771304924</v>
      </c>
      <c r="X4023" s="2">
        <f ca="1"/>
        <v>42.490818176353713</v>
      </c>
      <c r="AG4023" s="2">
        <f ca="1"/>
        <v>0.85151393205558756</v>
      </c>
      <c r="AH4023" s="2" t="str">
        <f ca="1"/>
        <v>Bad</v>
      </c>
    </row>
    <row r="4024" spans="2:34" x14ac:dyDescent="0.2">
      <c r="B4024" s="2">
        <f ca="1"/>
        <v>0.55302714575239986</v>
      </c>
      <c r="O4024" s="2">
        <f ca="1"/>
        <v>-0.80296483785022676</v>
      </c>
      <c r="X4024" s="2">
        <f ca="1"/>
        <v>37.268855558369211</v>
      </c>
      <c r="AG4024" s="2">
        <f ca="1"/>
        <v>0.16517927906879182</v>
      </c>
      <c r="AH4024" s="2" t="str">
        <f ca="1"/>
        <v>OK</v>
      </c>
    </row>
    <row r="4025" spans="2:34" x14ac:dyDescent="0.2">
      <c r="B4025" s="2">
        <f ca="1"/>
        <v>0.39459628759341658</v>
      </c>
      <c r="O4025" s="2">
        <f ca="1"/>
        <v>-1.2100878955525955</v>
      </c>
      <c r="X4025" s="2">
        <f ca="1"/>
        <v>64.016201038063571</v>
      </c>
      <c r="AG4025" s="2">
        <f ca="1"/>
        <v>0.25633176635840549</v>
      </c>
      <c r="AH4025" s="2" t="str">
        <f ca="1"/>
        <v>OK</v>
      </c>
    </row>
    <row r="4026" spans="2:34" x14ac:dyDescent="0.2">
      <c r="B4026" s="2">
        <f ca="1"/>
        <v>8.439282542774329E-2</v>
      </c>
      <c r="O4026" s="2">
        <f ca="1"/>
        <v>1.0757867209290779</v>
      </c>
      <c r="X4026" s="2">
        <f ca="1"/>
        <v>62.301470680736557</v>
      </c>
      <c r="AG4026" s="2">
        <f ca="1"/>
        <v>0.78392065051008464</v>
      </c>
      <c r="AH4026" s="2" t="str">
        <f ca="1"/>
        <v>Bad</v>
      </c>
    </row>
    <row r="4027" spans="2:34" x14ac:dyDescent="0.2">
      <c r="B4027" s="2">
        <f ca="1"/>
        <v>0.36675969787073837</v>
      </c>
      <c r="O4027" s="2">
        <f ca="1"/>
        <v>0.73530160808589229</v>
      </c>
      <c r="X4027" s="2">
        <f ca="1"/>
        <v>48.15579447934212</v>
      </c>
      <c r="AG4027" s="2">
        <f ca="1"/>
        <v>0.64992584362027239</v>
      </c>
      <c r="AH4027" s="2" t="str">
        <f ca="1"/>
        <v>Bad</v>
      </c>
    </row>
    <row r="4028" spans="2:34" x14ac:dyDescent="0.2">
      <c r="B4028" s="2">
        <f ca="1"/>
        <v>0.75677706590713223</v>
      </c>
      <c r="O4028" s="2">
        <f ca="1"/>
        <v>-0.39242419213238333</v>
      </c>
      <c r="X4028" s="2">
        <f ca="1"/>
        <v>76.670380585702461</v>
      </c>
      <c r="AG4028" s="2">
        <f ca="1"/>
        <v>0.57733214689012624</v>
      </c>
      <c r="AH4028" s="2" t="str">
        <f ca="1"/>
        <v>Bad</v>
      </c>
    </row>
    <row r="4029" spans="2:34" x14ac:dyDescent="0.2">
      <c r="B4029" s="2">
        <f ca="1"/>
        <v>0.15884980833683704</v>
      </c>
      <c r="O4029" s="2">
        <f ca="1"/>
        <v>0.61158056495233881</v>
      </c>
      <c r="X4029" s="2">
        <f ca="1"/>
        <v>54.41227342289924</v>
      </c>
      <c r="AG4029" s="2">
        <f ca="1"/>
        <v>0.23490744291177812</v>
      </c>
      <c r="AH4029" s="2" t="str">
        <f ca="1"/>
        <v>OK</v>
      </c>
    </row>
    <row r="4030" spans="2:34" x14ac:dyDescent="0.2">
      <c r="B4030" s="2">
        <f ca="1"/>
        <v>0.46180651281700436</v>
      </c>
      <c r="O4030" s="2">
        <f ca="1"/>
        <v>-0.84565471222866107</v>
      </c>
      <c r="X4030" s="2">
        <f ca="1"/>
        <v>27.527253916959367</v>
      </c>
      <c r="AG4030" s="2">
        <f ca="1"/>
        <v>0.7319325294704202</v>
      </c>
      <c r="AH4030" s="2" t="str">
        <f ca="1"/>
        <v>Bad</v>
      </c>
    </row>
    <row r="4031" spans="2:34" x14ac:dyDescent="0.2">
      <c r="B4031" s="2">
        <f ca="1"/>
        <v>0.16743436397789058</v>
      </c>
      <c r="O4031" s="2">
        <f ca="1"/>
        <v>-0.32255165094426913</v>
      </c>
      <c r="X4031" s="2">
        <f ca="1"/>
        <v>52.207031954710466</v>
      </c>
      <c r="AG4031" s="2">
        <f ca="1"/>
        <v>0.81129089020174239</v>
      </c>
      <c r="AH4031" s="2" t="str">
        <f ca="1"/>
        <v>Bad</v>
      </c>
    </row>
    <row r="4032" spans="2:34" x14ac:dyDescent="0.2">
      <c r="B4032" s="2">
        <f ca="1"/>
        <v>0.55857686270472695</v>
      </c>
      <c r="O4032" s="2">
        <f ca="1"/>
        <v>1.2131826002974031</v>
      </c>
      <c r="X4032" s="2">
        <f ca="1"/>
        <v>65.4248399829211</v>
      </c>
      <c r="AG4032" s="2">
        <f ca="1"/>
        <v>2.7991251856936072E-2</v>
      </c>
      <c r="AH4032" s="2" t="str">
        <f ca="1"/>
        <v>Good</v>
      </c>
    </row>
    <row r="4033" spans="2:34" x14ac:dyDescent="0.2">
      <c r="B4033" s="2">
        <f ca="1"/>
        <v>0.81953188683460598</v>
      </c>
      <c r="O4033" s="2">
        <f ca="1"/>
        <v>0.16809743090898588</v>
      </c>
      <c r="X4033" s="2">
        <f ca="1"/>
        <v>49.665722061489802</v>
      </c>
      <c r="AG4033" s="2">
        <f ca="1"/>
        <v>0.1189073747982583</v>
      </c>
      <c r="AH4033" s="2" t="str">
        <f ca="1"/>
        <v>OK</v>
      </c>
    </row>
    <row r="4034" spans="2:34" x14ac:dyDescent="0.2">
      <c r="B4034" s="2">
        <f ca="1"/>
        <v>0.43945403911200143</v>
      </c>
      <c r="O4034" s="2">
        <f ca="1"/>
        <v>-0.37285135207408254</v>
      </c>
      <c r="X4034" s="2">
        <f ca="1"/>
        <v>41.376541656272565</v>
      </c>
      <c r="AG4034" s="2">
        <f ca="1"/>
        <v>0.77361719943715856</v>
      </c>
      <c r="AH4034" s="2" t="str">
        <f ca="1"/>
        <v>Bad</v>
      </c>
    </row>
    <row r="4035" spans="2:34" x14ac:dyDescent="0.2">
      <c r="B4035" s="2">
        <f ca="1"/>
        <v>0.95265994155410127</v>
      </c>
      <c r="O4035" s="2">
        <f ca="1"/>
        <v>-0.71473048561732055</v>
      </c>
      <c r="X4035" s="2">
        <f ca="1"/>
        <v>38.83713513009598</v>
      </c>
      <c r="AG4035" s="2">
        <f ca="1"/>
        <v>0.94813691557393986</v>
      </c>
      <c r="AH4035" s="2" t="str">
        <f ca="1"/>
        <v>Bad</v>
      </c>
    </row>
    <row r="4036" spans="2:34" x14ac:dyDescent="0.2">
      <c r="B4036" s="2">
        <f ca="1"/>
        <v>0.51603443294983675</v>
      </c>
      <c r="O4036" s="2">
        <f ca="1"/>
        <v>-0.1391360538340459</v>
      </c>
      <c r="X4036" s="2">
        <f ca="1"/>
        <v>35.033603144233751</v>
      </c>
      <c r="AG4036" s="2">
        <f ca="1"/>
        <v>6.0113411024961705E-2</v>
      </c>
      <c r="AH4036" s="2" t="str">
        <f ca="1"/>
        <v>OK</v>
      </c>
    </row>
    <row r="4037" spans="2:34" x14ac:dyDescent="0.2">
      <c r="B4037" s="2">
        <f ca="1"/>
        <v>0.67750661923215438</v>
      </c>
      <c r="O4037" s="2">
        <f ca="1"/>
        <v>-1.1397792629919608</v>
      </c>
      <c r="X4037" s="2">
        <f ca="1"/>
        <v>32.492973581865016</v>
      </c>
      <c r="AG4037" s="2">
        <f ca="1"/>
        <v>4.1439790138237953E-3</v>
      </c>
      <c r="AH4037" s="2" t="str">
        <f ca="1"/>
        <v>Good</v>
      </c>
    </row>
    <row r="4038" spans="2:34" x14ac:dyDescent="0.2">
      <c r="B4038" s="2">
        <f ca="1"/>
        <v>0.2751931004899002</v>
      </c>
      <c r="O4038" s="2">
        <f ca="1"/>
        <v>-0.18060014370306085</v>
      </c>
      <c r="X4038" s="2">
        <f ca="1"/>
        <v>58.644402943799776</v>
      </c>
      <c r="AG4038" s="2">
        <f ca="1"/>
        <v>5.3063654834832663E-2</v>
      </c>
      <c r="AH4038" s="2" t="str">
        <f ca="1"/>
        <v>OK</v>
      </c>
    </row>
    <row r="4039" spans="2:34" x14ac:dyDescent="0.2">
      <c r="B4039" s="2">
        <f ca="1"/>
        <v>0.30162268893811262</v>
      </c>
      <c r="O4039" s="2">
        <f ca="1"/>
        <v>-0.15626451986511508</v>
      </c>
      <c r="X4039" s="2">
        <f ca="1"/>
        <v>40.242870987678614</v>
      </c>
      <c r="AG4039" s="2">
        <f ca="1"/>
        <v>0.63467320083944467</v>
      </c>
      <c r="AH4039" s="2" t="str">
        <f ca="1"/>
        <v>Bad</v>
      </c>
    </row>
    <row r="4040" spans="2:34" x14ac:dyDescent="0.2">
      <c r="B4040" s="2">
        <f ca="1"/>
        <v>0.54320356273804782</v>
      </c>
      <c r="O4040" s="2">
        <f ca="1"/>
        <v>-0.69924158169062056</v>
      </c>
      <c r="X4040" s="2">
        <f ca="1"/>
        <v>75.035228214392276</v>
      </c>
      <c r="AG4040" s="2">
        <f ca="1"/>
        <v>0.16706754324825424</v>
      </c>
      <c r="AH4040" s="2" t="str">
        <f ca="1"/>
        <v>OK</v>
      </c>
    </row>
    <row r="4041" spans="2:34" x14ac:dyDescent="0.2">
      <c r="B4041" s="2">
        <f ca="1"/>
        <v>0.52829343497231607</v>
      </c>
      <c r="O4041" s="2">
        <f ca="1"/>
        <v>-0.6560659645901854</v>
      </c>
      <c r="X4041" s="2">
        <f ca="1"/>
        <v>33.386805785706294</v>
      </c>
      <c r="AG4041" s="2">
        <f ca="1"/>
        <v>0.56912311660592207</v>
      </c>
      <c r="AH4041" s="2" t="str">
        <f ca="1"/>
        <v>Bad</v>
      </c>
    </row>
    <row r="4042" spans="2:34" x14ac:dyDescent="0.2">
      <c r="B4042" s="2">
        <f ca="1"/>
        <v>0.65980156483521601</v>
      </c>
      <c r="O4042" s="2">
        <f ca="1"/>
        <v>-0.30678942638297707</v>
      </c>
      <c r="X4042" s="2">
        <f ca="1"/>
        <v>63.761228036729563</v>
      </c>
      <c r="AG4042" s="2">
        <f ca="1"/>
        <v>0.53802038162808219</v>
      </c>
      <c r="AH4042" s="2" t="str">
        <f ca="1"/>
        <v>Bad</v>
      </c>
    </row>
    <row r="4043" spans="2:34" x14ac:dyDescent="0.2">
      <c r="B4043" s="2">
        <f ca="1"/>
        <v>0.35893271222497347</v>
      </c>
      <c r="O4043" s="2">
        <f ca="1"/>
        <v>-0.41391686204632122</v>
      </c>
      <c r="X4043" s="2">
        <f ca="1"/>
        <v>33.339801513021229</v>
      </c>
      <c r="AG4043" s="2">
        <f ca="1"/>
        <v>0.88227257099144096</v>
      </c>
      <c r="AH4043" s="2" t="str">
        <f ca="1"/>
        <v>Bad</v>
      </c>
    </row>
    <row r="4044" spans="2:34" x14ac:dyDescent="0.2">
      <c r="B4044" s="2">
        <f ca="1"/>
        <v>0.75316034319923419</v>
      </c>
      <c r="O4044" s="2">
        <f ca="1"/>
        <v>-0.55153605158027064</v>
      </c>
      <c r="X4044" s="2">
        <f ca="1"/>
        <v>21.434821885357337</v>
      </c>
      <c r="AG4044" s="2">
        <f ca="1"/>
        <v>0.11035197472671565</v>
      </c>
      <c r="AH4044" s="2" t="str">
        <f ca="1"/>
        <v>OK</v>
      </c>
    </row>
    <row r="4045" spans="2:34" x14ac:dyDescent="0.2">
      <c r="B4045" s="2">
        <f ca="1"/>
        <v>0.39653379516728471</v>
      </c>
      <c r="O4045" s="2">
        <f ca="1"/>
        <v>3.1564859588611806E-2</v>
      </c>
      <c r="X4045" s="2">
        <f ca="1"/>
        <v>50.376322895985282</v>
      </c>
      <c r="AG4045" s="2">
        <f ca="1"/>
        <v>0.42684365360287035</v>
      </c>
      <c r="AH4045" s="2" t="str">
        <f ca="1"/>
        <v>Bad</v>
      </c>
    </row>
    <row r="4046" spans="2:34" x14ac:dyDescent="0.2">
      <c r="B4046" s="2">
        <f ca="1"/>
        <v>0.90805986654036408</v>
      </c>
      <c r="O4046" s="2">
        <f ca="1"/>
        <v>2.6737536078299109</v>
      </c>
      <c r="X4046" s="2">
        <f ca="1"/>
        <v>50.780234148294817</v>
      </c>
      <c r="AG4046" s="2">
        <f ca="1"/>
        <v>0.2857076159439973</v>
      </c>
      <c r="AH4046" s="2" t="str">
        <f ca="1"/>
        <v>OK</v>
      </c>
    </row>
    <row r="4047" spans="2:34" x14ac:dyDescent="0.2">
      <c r="B4047" s="2">
        <f ca="1"/>
        <v>0.52062393796355222</v>
      </c>
      <c r="O4047" s="2">
        <f ca="1"/>
        <v>-1.16741571389787</v>
      </c>
      <c r="X4047" s="2">
        <f ca="1"/>
        <v>57.82527783197451</v>
      </c>
      <c r="AG4047" s="2">
        <f ca="1"/>
        <v>0.72175916281170949</v>
      </c>
      <c r="AH4047" s="2" t="str">
        <f ca="1"/>
        <v>Bad</v>
      </c>
    </row>
    <row r="4048" spans="2:34" x14ac:dyDescent="0.2">
      <c r="B4048" s="2">
        <f ca="1"/>
        <v>0.59871381706104398</v>
      </c>
      <c r="O4048" s="2">
        <f ca="1"/>
        <v>1.4008340283262859</v>
      </c>
      <c r="X4048" s="2">
        <f ca="1"/>
        <v>21.394241184035504</v>
      </c>
      <c r="AG4048" s="2">
        <f ca="1"/>
        <v>1.6106808719486887E-2</v>
      </c>
      <c r="AH4048" s="2" t="str">
        <f ca="1"/>
        <v>Good</v>
      </c>
    </row>
    <row r="4049" spans="2:34" x14ac:dyDescent="0.2">
      <c r="B4049" s="2">
        <f ca="1"/>
        <v>0.74172546486198665</v>
      </c>
      <c r="O4049" s="2">
        <f ca="1"/>
        <v>-0.18664507521518259</v>
      </c>
      <c r="X4049" s="2">
        <f ca="1"/>
        <v>39.555469067483493</v>
      </c>
      <c r="AG4049" s="2">
        <f ca="1"/>
        <v>0.36964002786644623</v>
      </c>
      <c r="AH4049" s="2" t="str">
        <f ca="1"/>
        <v>OK</v>
      </c>
    </row>
    <row r="4050" spans="2:34" x14ac:dyDescent="0.2">
      <c r="B4050" s="2">
        <f ca="1"/>
        <v>0.82992186738076712</v>
      </c>
      <c r="O4050" s="2">
        <f ca="1"/>
        <v>0.86762207546955217</v>
      </c>
      <c r="X4050" s="2">
        <f ca="1"/>
        <v>37.017964706707446</v>
      </c>
      <c r="AG4050" s="2">
        <f ca="1"/>
        <v>0.53609078030079438</v>
      </c>
      <c r="AH4050" s="2" t="str">
        <f ca="1"/>
        <v>Bad</v>
      </c>
    </row>
    <row r="4051" spans="2:34" x14ac:dyDescent="0.2">
      <c r="B4051" s="2">
        <f ca="1"/>
        <v>0.47492840439300354</v>
      </c>
      <c r="O4051" s="2">
        <f ca="1"/>
        <v>-0.67426433966253585</v>
      </c>
      <c r="X4051" s="2">
        <f ca="1"/>
        <v>56.287726850783962</v>
      </c>
      <c r="AG4051" s="2">
        <f ca="1"/>
        <v>0.26750661960263367</v>
      </c>
      <c r="AH4051" s="2" t="str">
        <f ca="1"/>
        <v>OK</v>
      </c>
    </row>
    <row r="4052" spans="2:34" x14ac:dyDescent="0.2">
      <c r="B4052" s="2">
        <f ca="1"/>
        <v>4.8823982528547027E-2</v>
      </c>
      <c r="O4052" s="2">
        <f ca="1"/>
        <v>-0.71841345256056222</v>
      </c>
      <c r="X4052" s="2">
        <f ca="1"/>
        <v>50.307524810652289</v>
      </c>
      <c r="AG4052" s="2">
        <f ca="1"/>
        <v>0.21428375594587656</v>
      </c>
      <c r="AH4052" s="2" t="str">
        <f ca="1"/>
        <v>OK</v>
      </c>
    </row>
    <row r="4053" spans="2:34" x14ac:dyDescent="0.2">
      <c r="B4053" s="2">
        <f ca="1"/>
        <v>0.64133954877151611</v>
      </c>
      <c r="O4053" s="2">
        <f ca="1"/>
        <v>-4.1919255156874009E-2</v>
      </c>
      <c r="X4053" s="2">
        <f ca="1"/>
        <v>46.165736725476243</v>
      </c>
      <c r="AG4053" s="2">
        <f ca="1"/>
        <v>0.53637236646046604</v>
      </c>
      <c r="AH4053" s="2" t="str">
        <f ca="1"/>
        <v>Bad</v>
      </c>
    </row>
    <row r="4054" spans="2:34" x14ac:dyDescent="0.2">
      <c r="B4054" s="2">
        <f ca="1"/>
        <v>0.53967467527666169</v>
      </c>
      <c r="O4054" s="2">
        <f ca="1"/>
        <v>-0.51254429789505096</v>
      </c>
      <c r="X4054" s="2">
        <f ca="1"/>
        <v>54.077178469975955</v>
      </c>
      <c r="AG4054" s="2">
        <f ca="1"/>
        <v>0.87320294004638765</v>
      </c>
      <c r="AH4054" s="2" t="str">
        <f ca="1"/>
        <v>Bad</v>
      </c>
    </row>
    <row r="4055" spans="2:34" x14ac:dyDescent="0.2">
      <c r="B4055" s="2">
        <f ca="1"/>
        <v>0.85884392873566795</v>
      </c>
      <c r="O4055" s="2">
        <f ca="1"/>
        <v>0.68194376558807446</v>
      </c>
      <c r="X4055" s="2">
        <f ca="1"/>
        <v>50.432489793348182</v>
      </c>
      <c r="AG4055" s="2">
        <f ca="1"/>
        <v>0.15606961748591286</v>
      </c>
      <c r="AH4055" s="2" t="str">
        <f ca="1"/>
        <v>OK</v>
      </c>
    </row>
    <row r="4056" spans="2:34" x14ac:dyDescent="0.2">
      <c r="B4056" s="2">
        <f ca="1"/>
        <v>0.81809764102953064</v>
      </c>
      <c r="O4056" s="2">
        <f ca="1"/>
        <v>-3.4127496906779854E-3</v>
      </c>
      <c r="X4056" s="2">
        <f ca="1"/>
        <v>48.540571318604727</v>
      </c>
      <c r="AG4056" s="2">
        <f ca="1"/>
        <v>0.83231445393913805</v>
      </c>
      <c r="AH4056" s="2" t="str">
        <f ca="1"/>
        <v>Bad</v>
      </c>
    </row>
    <row r="4057" spans="2:34" x14ac:dyDescent="0.2">
      <c r="B4057" s="2">
        <f ca="1"/>
        <v>3.4583279707276926E-2</v>
      </c>
      <c r="O4057" s="2">
        <f ca="1"/>
        <v>-0.73179992663473636</v>
      </c>
      <c r="X4057" s="2">
        <f ca="1"/>
        <v>49.91980654458736</v>
      </c>
      <c r="AG4057" s="2">
        <f ca="1"/>
        <v>0.65944658028628234</v>
      </c>
      <c r="AH4057" s="2" t="str">
        <f ca="1"/>
        <v>Bad</v>
      </c>
    </row>
    <row r="4058" spans="2:34" x14ac:dyDescent="0.2">
      <c r="B4058" s="2">
        <f ca="1"/>
        <v>0.77860616427716312</v>
      </c>
      <c r="O4058" s="2">
        <f ca="1"/>
        <v>0.46203370942359384</v>
      </c>
      <c r="X4058" s="2">
        <f ca="1"/>
        <v>41.156802248482627</v>
      </c>
      <c r="AG4058" s="2">
        <f ca="1"/>
        <v>0.28720034428511099</v>
      </c>
      <c r="AH4058" s="2" t="str">
        <f ca="1"/>
        <v>OK</v>
      </c>
    </row>
    <row r="4059" spans="2:34" x14ac:dyDescent="0.2">
      <c r="B4059" s="2">
        <f ca="1"/>
        <v>0.67227661377892001</v>
      </c>
      <c r="O4059" s="2">
        <f ca="1"/>
        <v>-0.44133206337843367</v>
      </c>
      <c r="X4059" s="2">
        <f ca="1"/>
        <v>48.257326763494504</v>
      </c>
      <c r="AG4059" s="2">
        <f ca="1"/>
        <v>7.9191205903768269E-2</v>
      </c>
      <c r="AH4059" s="2" t="str">
        <f ca="1"/>
        <v>OK</v>
      </c>
    </row>
    <row r="4060" spans="2:34" x14ac:dyDescent="0.2">
      <c r="B4060" s="2">
        <f ca="1"/>
        <v>0.96382380355820096</v>
      </c>
      <c r="O4060" s="2">
        <f ca="1"/>
        <v>0.33257294679275134</v>
      </c>
      <c r="X4060" s="2">
        <f ca="1"/>
        <v>37.896110810406995</v>
      </c>
      <c r="AG4060" s="2">
        <f ca="1"/>
        <v>0.24834005195646647</v>
      </c>
      <c r="AH4060" s="2" t="str">
        <f ca="1"/>
        <v>OK</v>
      </c>
    </row>
    <row r="4061" spans="2:34" x14ac:dyDescent="0.2">
      <c r="B4061" s="2">
        <f ca="1"/>
        <v>0.46891170196807574</v>
      </c>
      <c r="O4061" s="2">
        <f ca="1"/>
        <v>-0.11395186361369877</v>
      </c>
      <c r="X4061" s="2">
        <f ca="1"/>
        <v>14.642420589243368</v>
      </c>
      <c r="AG4061" s="2">
        <f ca="1"/>
        <v>0.42402940096434816</v>
      </c>
      <c r="AH4061" s="2" t="str">
        <f ca="1"/>
        <v>Bad</v>
      </c>
    </row>
    <row r="4062" spans="2:34" x14ac:dyDescent="0.2">
      <c r="B4062" s="2">
        <f ca="1"/>
        <v>2.2689542585101918E-2</v>
      </c>
      <c r="O4062" s="2">
        <f ca="1"/>
        <v>0.1112169211042829</v>
      </c>
      <c r="X4062" s="2">
        <f ca="1"/>
        <v>51.05131401095506</v>
      </c>
      <c r="AG4062" s="2">
        <f ca="1"/>
        <v>0.17243349885957282</v>
      </c>
      <c r="AH4062" s="2" t="str">
        <f ca="1"/>
        <v>OK</v>
      </c>
    </row>
    <row r="4063" spans="2:34" x14ac:dyDescent="0.2">
      <c r="B4063" s="2">
        <f ca="1"/>
        <v>8.3296698810489733E-2</v>
      </c>
      <c r="O4063" s="2">
        <f ca="1"/>
        <v>1.0226542142917372</v>
      </c>
      <c r="X4063" s="2">
        <f ca="1"/>
        <v>37.807897735518033</v>
      </c>
      <c r="AG4063" s="2">
        <f ca="1"/>
        <v>0.36789070417429004</v>
      </c>
      <c r="AH4063" s="2" t="str">
        <f ca="1"/>
        <v>OK</v>
      </c>
    </row>
    <row r="4064" spans="2:34" x14ac:dyDescent="0.2">
      <c r="B4064" s="2">
        <f ca="1"/>
        <v>0.42308433077130725</v>
      </c>
      <c r="O4064" s="2">
        <f ca="1"/>
        <v>0.30977533542154123</v>
      </c>
      <c r="X4064" s="2">
        <f ca="1"/>
        <v>45.337368130277291</v>
      </c>
      <c r="AG4064" s="2">
        <f ca="1"/>
        <v>0.67834323687998799</v>
      </c>
      <c r="AH4064" s="2" t="str">
        <f ca="1"/>
        <v>Bad</v>
      </c>
    </row>
    <row r="4065" spans="2:34" x14ac:dyDescent="0.2">
      <c r="B4065" s="2">
        <f ca="1"/>
        <v>0.36669661692454536</v>
      </c>
      <c r="O4065" s="2">
        <f ca="1"/>
        <v>-0.2388559689839482</v>
      </c>
      <c r="X4065" s="2">
        <f ca="1"/>
        <v>61.239549143750523</v>
      </c>
      <c r="AG4065" s="2">
        <f ca="1"/>
        <v>0.66409060805511344</v>
      </c>
      <c r="AH4065" s="2" t="str">
        <f ca="1"/>
        <v>Bad</v>
      </c>
    </row>
    <row r="4066" spans="2:34" x14ac:dyDescent="0.2">
      <c r="B4066" s="2">
        <f ca="1"/>
        <v>0.617212215698975</v>
      </c>
      <c r="O4066" s="2">
        <f ca="1"/>
        <v>0.83123302097422513</v>
      </c>
      <c r="X4066" s="2">
        <f ca="1"/>
        <v>68.772741524751979</v>
      </c>
      <c r="AG4066" s="2">
        <f ca="1"/>
        <v>4.0259597264473035E-2</v>
      </c>
      <c r="AH4066" s="2" t="str">
        <f ca="1"/>
        <v>Good</v>
      </c>
    </row>
    <row r="4067" spans="2:34" x14ac:dyDescent="0.2">
      <c r="B4067" s="2">
        <f ca="1"/>
        <v>0.61294968124547067</v>
      </c>
      <c r="O4067" s="2">
        <f ca="1"/>
        <v>0.43805373135389836</v>
      </c>
      <c r="X4067" s="2">
        <f ca="1"/>
        <v>55.23197667578188</v>
      </c>
      <c r="AG4067" s="2">
        <f ca="1"/>
        <v>0.89117018382697744</v>
      </c>
      <c r="AH4067" s="2" t="str">
        <f ca="1"/>
        <v>Bad</v>
      </c>
    </row>
    <row r="4068" spans="2:34" x14ac:dyDescent="0.2">
      <c r="B4068" s="2">
        <f ca="1"/>
        <v>0.71652087248090734</v>
      </c>
      <c r="O4068" s="2">
        <f ca="1"/>
        <v>-0.32118898045970595</v>
      </c>
      <c r="X4068" s="2">
        <f ca="1"/>
        <v>54.06102438183396</v>
      </c>
      <c r="AG4068" s="2">
        <f ca="1"/>
        <v>0.44801470085050954</v>
      </c>
      <c r="AH4068" s="2" t="str">
        <f ca="1"/>
        <v>Bad</v>
      </c>
    </row>
    <row r="4069" spans="2:34" x14ac:dyDescent="0.2">
      <c r="B4069" s="2">
        <f ca="1"/>
        <v>7.646663031034473E-2</v>
      </c>
      <c r="O4069" s="2">
        <f ca="1"/>
        <v>0.44781071561108854</v>
      </c>
      <c r="X4069" s="2">
        <f ca="1"/>
        <v>61.656374325845682</v>
      </c>
      <c r="AG4069" s="2">
        <f ca="1"/>
        <v>4.9943814205168691E-2</v>
      </c>
      <c r="AH4069" s="2" t="str">
        <f ca="1"/>
        <v>Good</v>
      </c>
    </row>
    <row r="4070" spans="2:34" x14ac:dyDescent="0.2">
      <c r="B4070" s="2">
        <f ca="1"/>
        <v>0.55029132228693323</v>
      </c>
      <c r="O4070" s="2">
        <f ca="1"/>
        <v>0.37205256697633121</v>
      </c>
      <c r="X4070" s="2">
        <f ca="1"/>
        <v>58.165739760824167</v>
      </c>
      <c r="AG4070" s="2">
        <f ca="1"/>
        <v>0.90444070091117035</v>
      </c>
      <c r="AH4070" s="2" t="str">
        <f ca="1"/>
        <v>Bad</v>
      </c>
    </row>
    <row r="4071" spans="2:34" x14ac:dyDescent="0.2">
      <c r="B4071" s="2">
        <f ca="1"/>
        <v>5.732170807407333E-2</v>
      </c>
      <c r="O4071" s="2">
        <f ca="1"/>
        <v>1.0437474907416411</v>
      </c>
      <c r="X4071" s="2">
        <f ca="1"/>
        <v>55.302778741267161</v>
      </c>
      <c r="AG4071" s="2">
        <f ca="1"/>
        <v>0.61192745283286931</v>
      </c>
      <c r="AH4071" s="2" t="str">
        <f ca="1"/>
        <v>Bad</v>
      </c>
    </row>
    <row r="4072" spans="2:34" x14ac:dyDescent="0.2">
      <c r="B4072" s="2">
        <f ca="1"/>
        <v>0.99690960620310864</v>
      </c>
      <c r="O4072" s="2">
        <f ca="1"/>
        <v>0.33474991332163889</v>
      </c>
      <c r="X4072" s="2">
        <f ca="1"/>
        <v>52.684415330404477</v>
      </c>
      <c r="AG4072" s="2">
        <f ca="1"/>
        <v>5.7781972178661878E-2</v>
      </c>
      <c r="AH4072" s="2" t="str">
        <f ca="1"/>
        <v>OK</v>
      </c>
    </row>
    <row r="4073" spans="2:34" x14ac:dyDescent="0.2">
      <c r="B4073" s="2">
        <f ca="1"/>
        <v>0.81014474358483013</v>
      </c>
      <c r="O4073" s="2">
        <f ca="1"/>
        <v>-0.1510421628420956</v>
      </c>
      <c r="X4073" s="2">
        <f ca="1"/>
        <v>36.07345053577059</v>
      </c>
      <c r="AG4073" s="2">
        <f ca="1"/>
        <v>0.62104238392930422</v>
      </c>
      <c r="AH4073" s="2" t="str">
        <f ca="1"/>
        <v>Bad</v>
      </c>
    </row>
    <row r="4074" spans="2:34" x14ac:dyDescent="0.2">
      <c r="B4074" s="2">
        <f ca="1"/>
        <v>0.61391902780939778</v>
      </c>
      <c r="O4074" s="2">
        <f ca="1"/>
        <v>1.8952835430294332</v>
      </c>
      <c r="X4074" s="2">
        <f ca="1"/>
        <v>26.244930487489828</v>
      </c>
      <c r="AG4074" s="2">
        <f ca="1"/>
        <v>0.87090961543065681</v>
      </c>
      <c r="AH4074" s="2" t="str">
        <f ca="1"/>
        <v>Bad</v>
      </c>
    </row>
    <row r="4075" spans="2:34" x14ac:dyDescent="0.2">
      <c r="B4075" s="2">
        <f ca="1"/>
        <v>0.35222827609195129</v>
      </c>
      <c r="O4075" s="2">
        <f ca="1"/>
        <v>-0.68254294652081005</v>
      </c>
      <c r="X4075" s="2">
        <f ca="1"/>
        <v>37.998171013671865</v>
      </c>
      <c r="AG4075" s="2">
        <f ca="1"/>
        <v>0.63110162361848565</v>
      </c>
      <c r="AH4075" s="2" t="str">
        <f ca="1"/>
        <v>Bad</v>
      </c>
    </row>
    <row r="4076" spans="2:34" x14ac:dyDescent="0.2">
      <c r="B4076" s="2">
        <f ca="1"/>
        <v>9.636413435842428E-3</v>
      </c>
      <c r="O4076" s="2">
        <f ca="1"/>
        <v>0.25195763777418595</v>
      </c>
      <c r="X4076" s="2">
        <f ca="1"/>
        <v>38.438307390866711</v>
      </c>
      <c r="AG4076" s="2">
        <f ca="1"/>
        <v>0.91062417314808664</v>
      </c>
      <c r="AH4076" s="2" t="str">
        <f ca="1"/>
        <v>Bad</v>
      </c>
    </row>
    <row r="4077" spans="2:34" x14ac:dyDescent="0.2">
      <c r="B4077" s="2">
        <f ca="1"/>
        <v>0.54903136136200881</v>
      </c>
      <c r="O4077" s="2">
        <f ca="1"/>
        <v>-0.76410657858619302</v>
      </c>
      <c r="X4077" s="2">
        <f ca="1"/>
        <v>37.454968836524721</v>
      </c>
      <c r="AG4077" s="2">
        <f ca="1"/>
        <v>0.27981787496734412</v>
      </c>
      <c r="AH4077" s="2" t="str">
        <f ca="1"/>
        <v>OK</v>
      </c>
    </row>
    <row r="4078" spans="2:34" x14ac:dyDescent="0.2">
      <c r="B4078" s="2">
        <f ca="1"/>
        <v>0.4656410147169614</v>
      </c>
      <c r="O4078" s="2">
        <f ca="1"/>
        <v>0.33102123220022117</v>
      </c>
      <c r="X4078" s="2">
        <f ca="1"/>
        <v>24.76771714043959</v>
      </c>
      <c r="AG4078" s="2">
        <f ca="1"/>
        <v>8.8191843474910936E-2</v>
      </c>
      <c r="AH4078" s="2" t="str">
        <f ca="1"/>
        <v>OK</v>
      </c>
    </row>
    <row r="4079" spans="2:34" x14ac:dyDescent="0.2">
      <c r="B4079" s="2">
        <f ca="1"/>
        <v>0.26891639138235268</v>
      </c>
      <c r="O4079" s="2">
        <f ca="1"/>
        <v>-1.0911017212649332</v>
      </c>
      <c r="X4079" s="2">
        <f ca="1"/>
        <v>43.207089113686052</v>
      </c>
      <c r="AG4079" s="2">
        <f ca="1"/>
        <v>0.60653264218323955</v>
      </c>
      <c r="AH4079" s="2" t="str">
        <f ca="1"/>
        <v>Bad</v>
      </c>
    </row>
    <row r="4080" spans="2:34" x14ac:dyDescent="0.2">
      <c r="B4080" s="2">
        <f ca="1"/>
        <v>0.4383478851963194</v>
      </c>
      <c r="O4080" s="2">
        <f ca="1"/>
        <v>-0.5212035483564611</v>
      </c>
      <c r="X4080" s="2">
        <f ca="1"/>
        <v>39.781726696271434</v>
      </c>
      <c r="AG4080" s="2">
        <f ca="1"/>
        <v>0.25849861388694406</v>
      </c>
      <c r="AH4080" s="2" t="str">
        <f ca="1"/>
        <v>OK</v>
      </c>
    </row>
    <row r="4081" spans="2:34" x14ac:dyDescent="0.2">
      <c r="B4081" s="2">
        <f ca="1"/>
        <v>0.48912347665376932</v>
      </c>
      <c r="O4081" s="2">
        <f ca="1"/>
        <v>-0.35421633579358602</v>
      </c>
      <c r="X4081" s="2">
        <f ca="1"/>
        <v>37.367826553729905</v>
      </c>
      <c r="AG4081" s="2">
        <f ca="1"/>
        <v>5.9578098183235229E-2</v>
      </c>
      <c r="AH4081" s="2" t="str">
        <f ca="1"/>
        <v>OK</v>
      </c>
    </row>
    <row r="4082" spans="2:34" x14ac:dyDescent="0.2">
      <c r="B4082" s="2">
        <f ca="1"/>
        <v>0.54860831961186673</v>
      </c>
      <c r="O4082" s="2">
        <f ca="1"/>
        <v>-1.0544612406264635</v>
      </c>
      <c r="X4082" s="2">
        <f ca="1"/>
        <v>39.782774641364391</v>
      </c>
      <c r="AG4082" s="2">
        <f ca="1"/>
        <v>0.29102261751906688</v>
      </c>
      <c r="AH4082" s="2" t="str">
        <f ca="1"/>
        <v>OK</v>
      </c>
    </row>
    <row r="4083" spans="2:34" x14ac:dyDescent="0.2">
      <c r="B4083" s="2">
        <f ca="1"/>
        <v>0.18106956976909938</v>
      </c>
      <c r="O4083" s="2">
        <f ca="1"/>
        <v>-0.2242071001142216</v>
      </c>
      <c r="X4083" s="2">
        <f ca="1"/>
        <v>40.078624336827779</v>
      </c>
      <c r="AG4083" s="2">
        <f ca="1"/>
        <v>9.2530028272446607E-2</v>
      </c>
      <c r="AH4083" s="2" t="str">
        <f ca="1"/>
        <v>OK</v>
      </c>
    </row>
    <row r="4084" spans="2:34" x14ac:dyDescent="0.2">
      <c r="B4084" s="2">
        <f ca="1"/>
        <v>0.25319664276085074</v>
      </c>
      <c r="O4084" s="2">
        <f ca="1"/>
        <v>0.53229862842572095</v>
      </c>
      <c r="X4084" s="2">
        <f ca="1"/>
        <v>48.619491513357005</v>
      </c>
      <c r="AG4084" s="2">
        <f ca="1"/>
        <v>0.43735465587390676</v>
      </c>
      <c r="AH4084" s="2" t="str">
        <f ca="1"/>
        <v>Bad</v>
      </c>
    </row>
    <row r="4085" spans="2:34" x14ac:dyDescent="0.2">
      <c r="B4085" s="2">
        <f ca="1"/>
        <v>0.66674277288848804</v>
      </c>
      <c r="O4085" s="2">
        <f ca="1"/>
        <v>0.53077557274315867</v>
      </c>
      <c r="X4085" s="2">
        <f ca="1"/>
        <v>43.341357156773782</v>
      </c>
      <c r="AG4085" s="2">
        <f ca="1"/>
        <v>0.3533628467556591</v>
      </c>
      <c r="AH4085" s="2" t="str">
        <f ca="1"/>
        <v>OK</v>
      </c>
    </row>
    <row r="4086" spans="2:34" x14ac:dyDescent="0.2">
      <c r="B4086" s="2">
        <f ca="1"/>
        <v>0.51100538808932705</v>
      </c>
      <c r="O4086" s="2">
        <f ca="1"/>
        <v>0.22639287373445474</v>
      </c>
      <c r="X4086" s="2">
        <f ca="1"/>
        <v>55.355094882034443</v>
      </c>
      <c r="AG4086" s="2">
        <f ca="1"/>
        <v>0.61289507945549127</v>
      </c>
      <c r="AH4086" s="2" t="str">
        <f ca="1"/>
        <v>Bad</v>
      </c>
    </row>
    <row r="4087" spans="2:34" x14ac:dyDescent="0.2">
      <c r="B4087" s="2">
        <f ca="1"/>
        <v>0.40963730074535043</v>
      </c>
      <c r="O4087" s="2">
        <f ca="1"/>
        <v>-1.3690428407054664</v>
      </c>
      <c r="X4087" s="2">
        <f ca="1"/>
        <v>52.067320756917994</v>
      </c>
      <c r="AG4087" s="2">
        <f ca="1"/>
        <v>0.91963406885522181</v>
      </c>
      <c r="AH4087" s="2" t="str">
        <f ca="1"/>
        <v>Bad</v>
      </c>
    </row>
    <row r="4088" spans="2:34" x14ac:dyDescent="0.2">
      <c r="B4088" s="2">
        <f ca="1"/>
        <v>0.61598638105704895</v>
      </c>
      <c r="O4088" s="2">
        <f ca="1"/>
        <v>2.3505778744949173</v>
      </c>
      <c r="X4088" s="2">
        <f ca="1"/>
        <v>50.588817842594025</v>
      </c>
      <c r="AG4088" s="2">
        <f ca="1"/>
        <v>0.98084887636308693</v>
      </c>
      <c r="AH4088" s="2" t="str">
        <f ca="1"/>
        <v>Bad</v>
      </c>
    </row>
    <row r="4089" spans="2:34" x14ac:dyDescent="0.2">
      <c r="B4089" s="2">
        <f ca="1"/>
        <v>0.2719706048490238</v>
      </c>
      <c r="O4089" s="2">
        <f ca="1"/>
        <v>0.2266628868449625</v>
      </c>
      <c r="X4089" s="2">
        <f ca="1"/>
        <v>106.30570237456629</v>
      </c>
      <c r="AG4089" s="2">
        <f ca="1"/>
        <v>0.63039610503392041</v>
      </c>
      <c r="AH4089" s="2" t="str">
        <f ca="1"/>
        <v>Bad</v>
      </c>
    </row>
    <row r="4090" spans="2:34" x14ac:dyDescent="0.2">
      <c r="B4090" s="2">
        <f ca="1"/>
        <v>0.71433729018961611</v>
      </c>
      <c r="O4090" s="2">
        <f ca="1"/>
        <v>-1.2640878137183611</v>
      </c>
      <c r="X4090" s="2">
        <f ca="1"/>
        <v>56.566268629902694</v>
      </c>
      <c r="AG4090" s="2">
        <f ca="1"/>
        <v>0.67043525113554248</v>
      </c>
      <c r="AH4090" s="2" t="str">
        <f ca="1"/>
        <v>Bad</v>
      </c>
    </row>
    <row r="4091" spans="2:34" x14ac:dyDescent="0.2">
      <c r="B4091" s="2">
        <f ca="1"/>
        <v>0.7595714460608618</v>
      </c>
      <c r="O4091" s="2">
        <f ca="1"/>
        <v>0.61026642297149092</v>
      </c>
      <c r="X4091" s="2">
        <f ca="1"/>
        <v>49.292769322554555</v>
      </c>
      <c r="AG4091" s="2">
        <f ca="1"/>
        <v>0.65270145451594375</v>
      </c>
      <c r="AH4091" s="2" t="str">
        <f ca="1"/>
        <v>Bad</v>
      </c>
    </row>
    <row r="4092" spans="2:34" x14ac:dyDescent="0.2">
      <c r="B4092" s="2">
        <f ca="1"/>
        <v>0.23261567479433065</v>
      </c>
      <c r="O4092" s="2">
        <f ca="1"/>
        <v>6.9668046403730075E-2</v>
      </c>
      <c r="X4092" s="2">
        <f ca="1"/>
        <v>75.73280709181843</v>
      </c>
      <c r="AG4092" s="2">
        <f ca="1"/>
        <v>0.39086730622256738</v>
      </c>
      <c r="AH4092" s="2" t="str">
        <f ca="1"/>
        <v>OK</v>
      </c>
    </row>
    <row r="4093" spans="2:34" x14ac:dyDescent="0.2">
      <c r="B4093" s="2">
        <f ca="1"/>
        <v>0.12187599882334088</v>
      </c>
      <c r="O4093" s="2">
        <f ca="1"/>
        <v>-0.53043002354280522</v>
      </c>
      <c r="X4093" s="2">
        <f ca="1"/>
        <v>52.720806336970874</v>
      </c>
      <c r="AG4093" s="2">
        <f ca="1"/>
        <v>0.54958752927362253</v>
      </c>
      <c r="AH4093" s="2" t="str">
        <f ca="1"/>
        <v>Bad</v>
      </c>
    </row>
    <row r="4094" spans="2:34" x14ac:dyDescent="0.2">
      <c r="B4094" s="2">
        <f ca="1"/>
        <v>0.42110846877932584</v>
      </c>
      <c r="O4094" s="2">
        <f ca="1"/>
        <v>-0.44995504595268976</v>
      </c>
      <c r="X4094" s="2">
        <f ca="1"/>
        <v>36.045340687431938</v>
      </c>
      <c r="AG4094" s="2">
        <f ca="1"/>
        <v>0.28900087275473862</v>
      </c>
      <c r="AH4094" s="2" t="str">
        <f ca="1"/>
        <v>OK</v>
      </c>
    </row>
    <row r="4095" spans="2:34" x14ac:dyDescent="0.2">
      <c r="B4095" s="2">
        <f ca="1"/>
        <v>0.7544130702577303</v>
      </c>
      <c r="O4095" s="2">
        <f ca="1"/>
        <v>0.14278849372453775</v>
      </c>
      <c r="X4095" s="2">
        <f ca="1"/>
        <v>48.094101151923489</v>
      </c>
      <c r="AG4095" s="2">
        <f ca="1"/>
        <v>0.86228694663683236</v>
      </c>
      <c r="AH4095" s="2" t="str">
        <f ca="1"/>
        <v>Bad</v>
      </c>
    </row>
    <row r="4096" spans="2:34" x14ac:dyDescent="0.2">
      <c r="B4096" s="2">
        <f ca="1"/>
        <v>7.68717503360552E-2</v>
      </c>
      <c r="O4096" s="2">
        <f ca="1"/>
        <v>1.0318817948398624</v>
      </c>
      <c r="X4096" s="2">
        <f ca="1"/>
        <v>23.725121114672344</v>
      </c>
      <c r="AG4096" s="2">
        <f ca="1"/>
        <v>0.87322207217751635</v>
      </c>
      <c r="AH4096" s="2" t="str">
        <f ca="1"/>
        <v>Bad</v>
      </c>
    </row>
    <row r="4097" spans="2:34" x14ac:dyDescent="0.2">
      <c r="B4097" s="2">
        <f ca="1"/>
        <v>0.51364667224340499</v>
      </c>
      <c r="O4097" s="2">
        <f ca="1"/>
        <v>0.41593691615043865</v>
      </c>
      <c r="X4097" s="2">
        <f ca="1"/>
        <v>27.270798795567835</v>
      </c>
      <c r="AG4097" s="2">
        <f ca="1"/>
        <v>0.40553028751531195</v>
      </c>
      <c r="AH4097" s="2" t="str">
        <f ca="1"/>
        <v>Bad</v>
      </c>
    </row>
    <row r="4098" spans="2:34" x14ac:dyDescent="0.2">
      <c r="B4098" s="2">
        <f ca="1"/>
        <v>0.37000311280260822</v>
      </c>
      <c r="O4098" s="2">
        <f ca="1"/>
        <v>-0.70917620311333474</v>
      </c>
      <c r="X4098" s="2">
        <f ca="1"/>
        <v>79.906035560906574</v>
      </c>
      <c r="AG4098" s="2">
        <f ca="1"/>
        <v>0.17529042912493975</v>
      </c>
      <c r="AH4098" s="2" t="str">
        <f ca="1"/>
        <v>OK</v>
      </c>
    </row>
    <row r="4099" spans="2:34" x14ac:dyDescent="0.2">
      <c r="B4099" s="2">
        <f ca="1"/>
        <v>0.65843161936901717</v>
      </c>
      <c r="O4099" s="2">
        <f ca="1"/>
        <v>0.48970132064887245</v>
      </c>
      <c r="X4099" s="2">
        <f ca="1"/>
        <v>46.865004268344379</v>
      </c>
      <c r="AG4099" s="2">
        <f ca="1"/>
        <v>0.8384406208779529</v>
      </c>
      <c r="AH4099" s="2" t="str">
        <f ca="1"/>
        <v>Bad</v>
      </c>
    </row>
    <row r="4100" spans="2:34" x14ac:dyDescent="0.2">
      <c r="B4100" s="2">
        <f ca="1"/>
        <v>0.82703147546186173</v>
      </c>
      <c r="O4100" s="2">
        <f ca="1"/>
        <v>1.5935259870918903</v>
      </c>
      <c r="X4100" s="2">
        <f ca="1"/>
        <v>57.110737338739582</v>
      </c>
      <c r="AG4100" s="2">
        <f ca="1"/>
        <v>0.20646912626662495</v>
      </c>
      <c r="AH4100" s="2" t="str">
        <f ca="1"/>
        <v>OK</v>
      </c>
    </row>
    <row r="4101" spans="2:34" x14ac:dyDescent="0.2">
      <c r="B4101" s="2">
        <f ca="1"/>
        <v>0.84087974698674772</v>
      </c>
      <c r="O4101" s="2">
        <f ca="1"/>
        <v>-0.76660852485354614</v>
      </c>
      <c r="X4101" s="2">
        <f ca="1"/>
        <v>60.154181882464087</v>
      </c>
      <c r="AG4101" s="2">
        <f ca="1"/>
        <v>0.28964539897706887</v>
      </c>
      <c r="AH4101" s="2" t="str">
        <f ca="1"/>
        <v>OK</v>
      </c>
    </row>
    <row r="4102" spans="2:34" x14ac:dyDescent="0.2">
      <c r="B4102" s="2">
        <f ca="1"/>
        <v>0.1670476049632279</v>
      </c>
      <c r="O4102" s="2">
        <f ca="1"/>
        <v>2.2442115772923743</v>
      </c>
      <c r="X4102" s="2">
        <f ca="1"/>
        <v>73.689086381188034</v>
      </c>
      <c r="AG4102" s="2">
        <f ca="1"/>
        <v>0.19228560047681942</v>
      </c>
      <c r="AH4102" s="2" t="str">
        <f ca="1"/>
        <v>OK</v>
      </c>
    </row>
    <row r="4103" spans="2:34" x14ac:dyDescent="0.2">
      <c r="B4103" s="2">
        <f ca="1"/>
        <v>0.7053684715667401</v>
      </c>
      <c r="O4103" s="2">
        <f ca="1"/>
        <v>0.92361853868867716</v>
      </c>
      <c r="X4103" s="2">
        <f ca="1"/>
        <v>59.751969618760832</v>
      </c>
      <c r="AG4103" s="2">
        <f ca="1"/>
        <v>0.81528045109999514</v>
      </c>
      <c r="AH4103" s="2" t="str">
        <f ca="1"/>
        <v>Bad</v>
      </c>
    </row>
    <row r="4104" spans="2:34" x14ac:dyDescent="0.2">
      <c r="B4104" s="2">
        <f ca="1"/>
        <v>0.3486649275557534</v>
      </c>
      <c r="O4104" s="2">
        <f ca="1"/>
        <v>1.967604218262754</v>
      </c>
      <c r="X4104" s="2">
        <f ca="1"/>
        <v>36.750028855499707</v>
      </c>
      <c r="AG4104" s="2">
        <f ca="1"/>
        <v>0.31620037123364853</v>
      </c>
      <c r="AH4104" s="2" t="str">
        <f ca="1"/>
        <v>OK</v>
      </c>
    </row>
    <row r="4105" spans="2:34" x14ac:dyDescent="0.2">
      <c r="B4105" s="2">
        <f ca="1"/>
        <v>9.6511108508927412E-2</v>
      </c>
      <c r="O4105" s="2">
        <f ca="1"/>
        <v>0.26015757883852053</v>
      </c>
      <c r="X4105" s="2">
        <f ca="1"/>
        <v>61.127767340979247</v>
      </c>
      <c r="AG4105" s="2">
        <f ca="1"/>
        <v>0.8586264541794022</v>
      </c>
      <c r="AH4105" s="2" t="str">
        <f ca="1"/>
        <v>Bad</v>
      </c>
    </row>
    <row r="4106" spans="2:34" x14ac:dyDescent="0.2">
      <c r="B4106" s="2">
        <f ca="1"/>
        <v>0.28633460059857518</v>
      </c>
      <c r="O4106" s="2">
        <f ca="1"/>
        <v>-0.9471563969278004</v>
      </c>
      <c r="X4106" s="2">
        <f ca="1"/>
        <v>55.986877174843166</v>
      </c>
      <c r="AG4106" s="2">
        <f ca="1"/>
        <v>0.92712955083517845</v>
      </c>
      <c r="AH4106" s="2" t="str">
        <f ca="1"/>
        <v>Bad</v>
      </c>
    </row>
    <row r="4107" spans="2:34" x14ac:dyDescent="0.2">
      <c r="B4107" s="2">
        <f ca="1"/>
        <v>0.1553263987071074</v>
      </c>
      <c r="O4107" s="2">
        <f ca="1"/>
        <v>2.1711828747962363</v>
      </c>
      <c r="X4107" s="2">
        <f ca="1"/>
        <v>41.412578904831918</v>
      </c>
      <c r="AG4107" s="2">
        <f ca="1"/>
        <v>0.54018984373483958</v>
      </c>
      <c r="AH4107" s="2" t="str">
        <f ca="1"/>
        <v>Bad</v>
      </c>
    </row>
    <row r="4108" spans="2:34" x14ac:dyDescent="0.2">
      <c r="B4108" s="2">
        <f ca="1"/>
        <v>0.33651607872006406</v>
      </c>
      <c r="O4108" s="2">
        <f ca="1"/>
        <v>-0.1200304672820402</v>
      </c>
      <c r="X4108" s="2">
        <f ca="1"/>
        <v>46.2987310635923</v>
      </c>
      <c r="AG4108" s="2">
        <f ca="1"/>
        <v>0.32994922484564015</v>
      </c>
      <c r="AH4108" s="2" t="str">
        <f ca="1"/>
        <v>OK</v>
      </c>
    </row>
    <row r="4109" spans="2:34" x14ac:dyDescent="0.2">
      <c r="B4109" s="2">
        <f ca="1"/>
        <v>0.51602110243750965</v>
      </c>
      <c r="O4109" s="2">
        <f ca="1"/>
        <v>-1.5815210594105171E-2</v>
      </c>
      <c r="X4109" s="2">
        <f ca="1"/>
        <v>53.717056033625781</v>
      </c>
      <c r="AG4109" s="2">
        <f ca="1"/>
        <v>0.14584474803155478</v>
      </c>
      <c r="AH4109" s="2" t="str">
        <f ca="1"/>
        <v>OK</v>
      </c>
    </row>
    <row r="4110" spans="2:34" x14ac:dyDescent="0.2">
      <c r="B4110" s="2">
        <f ca="1"/>
        <v>2.670183032085216E-4</v>
      </c>
      <c r="O4110" s="2">
        <f ca="1"/>
        <v>-0.88203367790304199</v>
      </c>
      <c r="X4110" s="2">
        <f ca="1"/>
        <v>28.580521735340142</v>
      </c>
      <c r="AG4110" s="2">
        <f ca="1"/>
        <v>0.51324186121361204</v>
      </c>
      <c r="AH4110" s="2" t="str">
        <f ca="1"/>
        <v>Bad</v>
      </c>
    </row>
    <row r="4111" spans="2:34" x14ac:dyDescent="0.2">
      <c r="B4111" s="2">
        <f ca="1"/>
        <v>0.61160091907359937</v>
      </c>
      <c r="O4111" s="2">
        <f ca="1"/>
        <v>-1.1912545407009405E-2</v>
      </c>
      <c r="X4111" s="2">
        <f ca="1"/>
        <v>48.15873218845919</v>
      </c>
      <c r="AG4111" s="2">
        <f ca="1"/>
        <v>0.77827395951800171</v>
      </c>
      <c r="AH4111" s="2" t="str">
        <f ca="1"/>
        <v>Bad</v>
      </c>
    </row>
    <row r="4112" spans="2:34" x14ac:dyDescent="0.2">
      <c r="B4112" s="2">
        <f ca="1"/>
        <v>0.86794729015723715</v>
      </c>
      <c r="O4112" s="2">
        <f ca="1"/>
        <v>-2.5462754300997212</v>
      </c>
      <c r="X4112" s="2">
        <f ca="1"/>
        <v>48.606894864920484</v>
      </c>
      <c r="AG4112" s="2">
        <f ca="1"/>
        <v>0.35379927564655911</v>
      </c>
      <c r="AH4112" s="2" t="str">
        <f ca="1"/>
        <v>OK</v>
      </c>
    </row>
    <row r="4113" spans="2:34" x14ac:dyDescent="0.2">
      <c r="B4113" s="2">
        <f ca="1"/>
        <v>0.16975075596955258</v>
      </c>
      <c r="O4113" s="2">
        <f ca="1"/>
        <v>-0.43298474062626285</v>
      </c>
      <c r="X4113" s="2">
        <f ca="1"/>
        <v>55.347061173056964</v>
      </c>
      <c r="AG4113" s="2">
        <f ca="1"/>
        <v>6.5058888102175638E-2</v>
      </c>
      <c r="AH4113" s="2" t="str">
        <f ca="1"/>
        <v>OK</v>
      </c>
    </row>
    <row r="4114" spans="2:34" x14ac:dyDescent="0.2">
      <c r="B4114" s="2">
        <f ca="1"/>
        <v>7.6073145605552339E-2</v>
      </c>
      <c r="O4114" s="2">
        <f ca="1"/>
        <v>1.9522389270592289</v>
      </c>
      <c r="X4114" s="2">
        <f ca="1"/>
        <v>39.200056965388171</v>
      </c>
      <c r="AG4114" s="2">
        <f ca="1"/>
        <v>0.38779379447266149</v>
      </c>
      <c r="AH4114" s="2" t="str">
        <f ca="1"/>
        <v>OK</v>
      </c>
    </row>
    <row r="4115" spans="2:34" x14ac:dyDescent="0.2">
      <c r="B4115" s="2">
        <f ca="1"/>
        <v>0.62434449475262888</v>
      </c>
      <c r="O4115" s="2">
        <f ca="1"/>
        <v>0.85859390692865367</v>
      </c>
      <c r="X4115" s="2">
        <f ca="1"/>
        <v>51.434021699379706</v>
      </c>
      <c r="AG4115" s="2">
        <f ca="1"/>
        <v>0.71552017623955066</v>
      </c>
      <c r="AH4115" s="2" t="str">
        <f ca="1"/>
        <v>Bad</v>
      </c>
    </row>
    <row r="4116" spans="2:34" x14ac:dyDescent="0.2">
      <c r="B4116" s="2">
        <f ca="1"/>
        <v>0.5722402730966718</v>
      </c>
      <c r="O4116" s="2">
        <f ca="1"/>
        <v>-0.30149820002264455</v>
      </c>
      <c r="X4116" s="2">
        <f ca="1"/>
        <v>67.561710350222754</v>
      </c>
      <c r="AG4116" s="2">
        <f ca="1"/>
        <v>0.49312135949895786</v>
      </c>
      <c r="AH4116" s="2" t="str">
        <f ca="1"/>
        <v>Bad</v>
      </c>
    </row>
    <row r="4117" spans="2:34" x14ac:dyDescent="0.2">
      <c r="B4117" s="2">
        <f ca="1"/>
        <v>0.75549890747306714</v>
      </c>
      <c r="O4117" s="2">
        <f ca="1"/>
        <v>-1.0765607988630841</v>
      </c>
      <c r="X4117" s="2">
        <f ca="1"/>
        <v>31.717547323017566</v>
      </c>
      <c r="AG4117" s="2">
        <f ca="1"/>
        <v>0.18809547727033138</v>
      </c>
      <c r="AH4117" s="2" t="str">
        <f ca="1"/>
        <v>OK</v>
      </c>
    </row>
    <row r="4118" spans="2:34" x14ac:dyDescent="0.2">
      <c r="B4118" s="2">
        <f ca="1"/>
        <v>0.88248754723426126</v>
      </c>
      <c r="O4118" s="2">
        <f ca="1"/>
        <v>7.7175160775675026E-3</v>
      </c>
      <c r="X4118" s="2">
        <f ca="1"/>
        <v>27.22949114483329</v>
      </c>
      <c r="AG4118" s="2">
        <f ca="1"/>
        <v>0.56268580229203269</v>
      </c>
      <c r="AH4118" s="2" t="str">
        <f ca="1"/>
        <v>Bad</v>
      </c>
    </row>
    <row r="4119" spans="2:34" x14ac:dyDescent="0.2">
      <c r="B4119" s="2">
        <f ca="1"/>
        <v>0.78821003450185434</v>
      </c>
      <c r="O4119" s="2">
        <f ca="1"/>
        <v>-1.2909036050161717</v>
      </c>
      <c r="X4119" s="2">
        <f ca="1"/>
        <v>73.17549828121804</v>
      </c>
      <c r="AG4119" s="2">
        <f ca="1"/>
        <v>0.44696005872104561</v>
      </c>
      <c r="AH4119" s="2" t="str">
        <f ca="1"/>
        <v>Bad</v>
      </c>
    </row>
    <row r="4120" spans="2:34" x14ac:dyDescent="0.2">
      <c r="B4120" s="2">
        <f ca="1"/>
        <v>0.28220207908522932</v>
      </c>
      <c r="O4120" s="2">
        <f ca="1"/>
        <v>-0.33442181584043851</v>
      </c>
      <c r="X4120" s="2">
        <f ca="1"/>
        <v>45.925791998136816</v>
      </c>
      <c r="AG4120" s="2">
        <f ca="1"/>
        <v>0.39843803006755651</v>
      </c>
      <c r="AH4120" s="2" t="str">
        <f ca="1"/>
        <v>OK</v>
      </c>
    </row>
    <row r="4121" spans="2:34" x14ac:dyDescent="0.2">
      <c r="B4121" s="2">
        <f ca="1"/>
        <v>0.71695208289241497</v>
      </c>
      <c r="O4121" s="2">
        <f ca="1"/>
        <v>-1.0613851126330929</v>
      </c>
      <c r="X4121" s="2">
        <f ca="1"/>
        <v>35.568104507281006</v>
      </c>
      <c r="AG4121" s="2">
        <f ca="1"/>
        <v>0.2185677330198843</v>
      </c>
      <c r="AH4121" s="2" t="str">
        <f ca="1"/>
        <v>OK</v>
      </c>
    </row>
    <row r="4122" spans="2:34" x14ac:dyDescent="0.2">
      <c r="B4122" s="2">
        <f ca="1"/>
        <v>0.12479110084788969</v>
      </c>
      <c r="O4122" s="2">
        <f ca="1"/>
        <v>-1.66020963224462</v>
      </c>
      <c r="X4122" s="2">
        <f ca="1"/>
        <v>36.836447810923964</v>
      </c>
      <c r="AG4122" s="2">
        <f ca="1"/>
        <v>0.98710958439912955</v>
      </c>
      <c r="AH4122" s="2" t="str">
        <f ca="1"/>
        <v>Bad</v>
      </c>
    </row>
    <row r="4123" spans="2:34" x14ac:dyDescent="0.2">
      <c r="B4123" s="2">
        <f ca="1"/>
        <v>0.91896119364020312</v>
      </c>
      <c r="O4123" s="2">
        <f ca="1"/>
        <v>-1.5609338400070341</v>
      </c>
      <c r="X4123" s="2">
        <f ca="1"/>
        <v>59.494291144850699</v>
      </c>
      <c r="AG4123" s="2">
        <f ca="1"/>
        <v>0.19858523265310812</v>
      </c>
      <c r="AH4123" s="2" t="str">
        <f ca="1"/>
        <v>OK</v>
      </c>
    </row>
    <row r="4124" spans="2:34" x14ac:dyDescent="0.2">
      <c r="B4124" s="2">
        <f ca="1"/>
        <v>0.28171036730506072</v>
      </c>
      <c r="O4124" s="2">
        <f ca="1"/>
        <v>0.31690354872426058</v>
      </c>
      <c r="X4124" s="2">
        <f ca="1"/>
        <v>75.766204512523132</v>
      </c>
      <c r="AG4124" s="2">
        <f ca="1"/>
        <v>0.34438984683746887</v>
      </c>
      <c r="AH4124" s="2" t="str">
        <f ca="1"/>
        <v>OK</v>
      </c>
    </row>
    <row r="4125" spans="2:34" x14ac:dyDescent="0.2">
      <c r="B4125" s="2">
        <f ca="1"/>
        <v>0.66335628305586214</v>
      </c>
      <c r="O4125" s="2">
        <f ca="1"/>
        <v>-1.6031879947513727</v>
      </c>
      <c r="X4125" s="2">
        <f ca="1"/>
        <v>37.474935159871883</v>
      </c>
      <c r="AG4125" s="2">
        <f ca="1"/>
        <v>0.95468284725968999</v>
      </c>
      <c r="AH4125" s="2" t="str">
        <f ca="1"/>
        <v>Bad</v>
      </c>
    </row>
    <row r="4126" spans="2:34" x14ac:dyDescent="0.2">
      <c r="B4126" s="2">
        <f ca="1"/>
        <v>0.14190236920272703</v>
      </c>
      <c r="O4126" s="2">
        <f ca="1"/>
        <v>0.30720232484444104</v>
      </c>
      <c r="X4126" s="2">
        <f ca="1"/>
        <v>61.800495739550158</v>
      </c>
      <c r="AG4126" s="2">
        <f ca="1"/>
        <v>0.26535129287312809</v>
      </c>
      <c r="AH4126" s="2" t="str">
        <f ca="1"/>
        <v>OK</v>
      </c>
    </row>
    <row r="4127" spans="2:34" x14ac:dyDescent="0.2">
      <c r="B4127" s="2">
        <f ca="1"/>
        <v>0.47595735186044696</v>
      </c>
      <c r="O4127" s="2">
        <f ca="1"/>
        <v>-2.5106275454671203</v>
      </c>
      <c r="X4127" s="2">
        <f ca="1"/>
        <v>42.581425880724211</v>
      </c>
      <c r="AG4127" s="2">
        <f ca="1"/>
        <v>0.85839361287588378</v>
      </c>
      <c r="AH4127" s="2" t="str">
        <f ca="1"/>
        <v>Bad</v>
      </c>
    </row>
    <row r="4128" spans="2:34" x14ac:dyDescent="0.2">
      <c r="B4128" s="2">
        <f ca="1"/>
        <v>6.0531568489722298E-2</v>
      </c>
      <c r="O4128" s="2">
        <f ca="1"/>
        <v>-0.35698548706452599</v>
      </c>
      <c r="X4128" s="2">
        <f ca="1"/>
        <v>77.982428062510735</v>
      </c>
      <c r="AG4128" s="2">
        <f ca="1"/>
        <v>0.76609962092989337</v>
      </c>
      <c r="AH4128" s="2" t="str">
        <f ca="1"/>
        <v>Bad</v>
      </c>
    </row>
    <row r="4129" spans="2:34" x14ac:dyDescent="0.2">
      <c r="B4129" s="2">
        <f ca="1"/>
        <v>0.42000848428183724</v>
      </c>
      <c r="O4129" s="2">
        <f ca="1"/>
        <v>-0.59235305950656103</v>
      </c>
      <c r="X4129" s="2">
        <f ca="1"/>
        <v>47.061107213609468</v>
      </c>
      <c r="AG4129" s="2">
        <f ca="1"/>
        <v>0.50449912448533984</v>
      </c>
      <c r="AH4129" s="2" t="str">
        <f ca="1"/>
        <v>Bad</v>
      </c>
    </row>
    <row r="4130" spans="2:34" x14ac:dyDescent="0.2">
      <c r="B4130" s="2">
        <f ca="1"/>
        <v>0.90806896783333935</v>
      </c>
      <c r="O4130" s="2">
        <f ca="1"/>
        <v>0.10866325104979874</v>
      </c>
      <c r="X4130" s="2">
        <f ca="1"/>
        <v>52.07077837335477</v>
      </c>
      <c r="AG4130" s="2">
        <f ca="1"/>
        <v>0.28761809009396844</v>
      </c>
      <c r="AH4130" s="2" t="str">
        <f ca="1"/>
        <v>OK</v>
      </c>
    </row>
    <row r="4131" spans="2:34" x14ac:dyDescent="0.2">
      <c r="B4131" s="2">
        <f ca="1"/>
        <v>0.99497654336296804</v>
      </c>
      <c r="O4131" s="2">
        <f ca="1"/>
        <v>-0.36218985292407746</v>
      </c>
      <c r="X4131" s="2">
        <f ca="1"/>
        <v>57.961216268635461</v>
      </c>
      <c r="AG4131" s="2">
        <f ca="1"/>
        <v>0.67943252933031961</v>
      </c>
      <c r="AH4131" s="2" t="str">
        <f ca="1"/>
        <v>Bad</v>
      </c>
    </row>
    <row r="4132" spans="2:34" x14ac:dyDescent="0.2">
      <c r="B4132" s="2">
        <f ca="1"/>
        <v>0.69887833450760906</v>
      </c>
      <c r="O4132" s="2">
        <f ca="1"/>
        <v>-1.6206243656143526</v>
      </c>
      <c r="X4132" s="2">
        <f ca="1"/>
        <v>22.14352706742368</v>
      </c>
      <c r="AG4132" s="2">
        <f ca="1"/>
        <v>0.88686864033303503</v>
      </c>
      <c r="AH4132" s="2" t="str">
        <f ca="1"/>
        <v>Bad</v>
      </c>
    </row>
    <row r="4133" spans="2:34" x14ac:dyDescent="0.2">
      <c r="B4133" s="2">
        <f ca="1"/>
        <v>0.31830192284012826</v>
      </c>
      <c r="O4133" s="2">
        <f ca="1"/>
        <v>-0.71480151173263673</v>
      </c>
      <c r="X4133" s="2">
        <f ca="1"/>
        <v>56.832345557464023</v>
      </c>
      <c r="AG4133" s="2">
        <f ca="1"/>
        <v>0.48048005867798316</v>
      </c>
      <c r="AH4133" s="2" t="str">
        <f ca="1"/>
        <v>Bad</v>
      </c>
    </row>
    <row r="4134" spans="2:34" x14ac:dyDescent="0.2">
      <c r="B4134" s="2">
        <f ca="1"/>
        <v>0.1718963839454084</v>
      </c>
      <c r="O4134" s="2">
        <f ca="1"/>
        <v>-0.39493659603001607</v>
      </c>
      <c r="X4134" s="2">
        <f ca="1"/>
        <v>47.048798177035785</v>
      </c>
      <c r="AG4134" s="2">
        <f ca="1"/>
        <v>0.26884992833140742</v>
      </c>
      <c r="AH4134" s="2" t="str">
        <f ca="1"/>
        <v>OK</v>
      </c>
    </row>
    <row r="4135" spans="2:34" x14ac:dyDescent="0.2">
      <c r="B4135" s="2">
        <f ca="1"/>
        <v>0.12846767001238968</v>
      </c>
      <c r="O4135" s="2">
        <f ca="1"/>
        <v>-8.1255766087798414E-2</v>
      </c>
      <c r="X4135" s="2">
        <f ca="1"/>
        <v>52.806671524604603</v>
      </c>
      <c r="AG4135" s="2">
        <f ca="1"/>
        <v>0.49575280539308975</v>
      </c>
      <c r="AH4135" s="2" t="str">
        <f ca="1"/>
        <v>Bad</v>
      </c>
    </row>
    <row r="4136" spans="2:34" x14ac:dyDescent="0.2">
      <c r="B4136" s="2">
        <f ca="1"/>
        <v>6.365959735694271E-2</v>
      </c>
      <c r="O4136" s="2">
        <f ca="1"/>
        <v>0.43959336547805317</v>
      </c>
      <c r="X4136" s="2">
        <f ca="1"/>
        <v>43.502241043755177</v>
      </c>
      <c r="AG4136" s="2">
        <f ca="1"/>
        <v>0.83995460152776369</v>
      </c>
      <c r="AH4136" s="2" t="str">
        <f ca="1"/>
        <v>Bad</v>
      </c>
    </row>
    <row r="4137" spans="2:34" x14ac:dyDescent="0.2">
      <c r="B4137" s="2">
        <f ca="1"/>
        <v>0.88543643322589727</v>
      </c>
      <c r="O4137" s="2">
        <f ca="1"/>
        <v>0.35526492385190889</v>
      </c>
      <c r="X4137" s="2">
        <f ca="1"/>
        <v>35.65296963888413</v>
      </c>
      <c r="AG4137" s="2">
        <f ca="1"/>
        <v>0.45661977709659118</v>
      </c>
      <c r="AH4137" s="2" t="str">
        <f ca="1"/>
        <v>Bad</v>
      </c>
    </row>
    <row r="4138" spans="2:34" x14ac:dyDescent="0.2">
      <c r="B4138" s="2">
        <f ca="1"/>
        <v>0.84109075186581661</v>
      </c>
      <c r="O4138" s="2">
        <f ca="1"/>
        <v>-0.52480613935562936</v>
      </c>
      <c r="X4138" s="2">
        <f ca="1"/>
        <v>30.32871582690888</v>
      </c>
      <c r="AG4138" s="2">
        <f ca="1"/>
        <v>0.94796873417654903</v>
      </c>
      <c r="AH4138" s="2" t="str">
        <f ca="1"/>
        <v>Bad</v>
      </c>
    </row>
    <row r="4139" spans="2:34" x14ac:dyDescent="0.2">
      <c r="B4139" s="2">
        <f ca="1"/>
        <v>0.65407036071383762</v>
      </c>
      <c r="O4139" s="2">
        <f ca="1"/>
        <v>1.237386709585206</v>
      </c>
      <c r="X4139" s="2">
        <f ca="1"/>
        <v>50.073928435379798</v>
      </c>
      <c r="AG4139" s="2">
        <f ca="1"/>
        <v>0.33478135988660584</v>
      </c>
      <c r="AH4139" s="2" t="str">
        <f ca="1"/>
        <v>OK</v>
      </c>
    </row>
    <row r="4140" spans="2:34" x14ac:dyDescent="0.2">
      <c r="B4140" s="2">
        <f ca="1"/>
        <v>0.55859645083254206</v>
      </c>
      <c r="O4140" s="2">
        <f ca="1"/>
        <v>0.49453120546973178</v>
      </c>
      <c r="X4140" s="2">
        <f ca="1"/>
        <v>50.545612079329054</v>
      </c>
      <c r="AG4140" s="2">
        <f ca="1"/>
        <v>0.64900105964807353</v>
      </c>
      <c r="AH4140" s="2" t="str">
        <f ca="1"/>
        <v>Bad</v>
      </c>
    </row>
    <row r="4141" spans="2:34" x14ac:dyDescent="0.2">
      <c r="B4141" s="2">
        <f ca="1"/>
        <v>0.76332991520189708</v>
      </c>
      <c r="O4141" s="2">
        <f ca="1"/>
        <v>-0.66639640554013058</v>
      </c>
      <c r="X4141" s="2">
        <f ca="1"/>
        <v>51.819357294379486</v>
      </c>
      <c r="AG4141" s="2">
        <f ca="1"/>
        <v>0.82372206298535322</v>
      </c>
      <c r="AH4141" s="2" t="str">
        <f ca="1"/>
        <v>Bad</v>
      </c>
    </row>
    <row r="4142" spans="2:34" x14ac:dyDescent="0.2">
      <c r="B4142" s="2">
        <f ca="1"/>
        <v>0.26081779164589713</v>
      </c>
      <c r="O4142" s="2">
        <f ca="1"/>
        <v>-1.3050088836249922</v>
      </c>
      <c r="X4142" s="2">
        <f ca="1"/>
        <v>82.608078862184925</v>
      </c>
      <c r="AG4142" s="2">
        <f ca="1"/>
        <v>0.17322698252866564</v>
      </c>
      <c r="AH4142" s="2" t="str">
        <f ca="1"/>
        <v>OK</v>
      </c>
    </row>
    <row r="4143" spans="2:34" x14ac:dyDescent="0.2">
      <c r="B4143" s="2">
        <f ca="1"/>
        <v>9.4059075839394879E-2</v>
      </c>
      <c r="O4143" s="2">
        <f ca="1"/>
        <v>-1.5151029032984697</v>
      </c>
      <c r="X4143" s="2">
        <f ca="1"/>
        <v>37.000891352893149</v>
      </c>
      <c r="AG4143" s="2">
        <f ca="1"/>
        <v>0.65803033934791455</v>
      </c>
      <c r="AH4143" s="2" t="str">
        <f ca="1"/>
        <v>Bad</v>
      </c>
    </row>
    <row r="4144" spans="2:34" x14ac:dyDescent="0.2">
      <c r="B4144" s="2">
        <f ca="1"/>
        <v>0.21923410821838929</v>
      </c>
      <c r="O4144" s="2">
        <f ca="1"/>
        <v>1.051082170167406</v>
      </c>
      <c r="X4144" s="2">
        <f ca="1"/>
        <v>44.478640549569441</v>
      </c>
      <c r="AG4144" s="2">
        <f ca="1"/>
        <v>0.98772319792757868</v>
      </c>
      <c r="AH4144" s="2" t="str">
        <f ca="1"/>
        <v>Bad</v>
      </c>
    </row>
    <row r="4145" spans="2:34" x14ac:dyDescent="0.2">
      <c r="B4145" s="2">
        <f ca="1"/>
        <v>0.84013579220604662</v>
      </c>
      <c r="O4145" s="2">
        <f ca="1"/>
        <v>0.31904504422268559</v>
      </c>
      <c r="X4145" s="2">
        <f ca="1"/>
        <v>36.494729200721729</v>
      </c>
      <c r="AG4145" s="2">
        <f ca="1"/>
        <v>0.12337807107497434</v>
      </c>
      <c r="AH4145" s="2" t="str">
        <f ca="1"/>
        <v>OK</v>
      </c>
    </row>
    <row r="4146" spans="2:34" x14ac:dyDescent="0.2">
      <c r="B4146" s="2">
        <f ca="1"/>
        <v>0.40310162379076653</v>
      </c>
      <c r="O4146" s="2">
        <f ca="1"/>
        <v>-0.76725249416788799</v>
      </c>
      <c r="X4146" s="2">
        <f ca="1"/>
        <v>50.304523411254308</v>
      </c>
      <c r="AG4146" s="2">
        <f ca="1"/>
        <v>4.1274880529995839E-2</v>
      </c>
      <c r="AH4146" s="2" t="str">
        <f ca="1"/>
        <v>Good</v>
      </c>
    </row>
    <row r="4147" spans="2:34" x14ac:dyDescent="0.2">
      <c r="B4147" s="2">
        <f ca="1"/>
        <v>0.61517198575506105</v>
      </c>
      <c r="O4147" s="2">
        <f ca="1"/>
        <v>-8.380475175581556E-2</v>
      </c>
      <c r="X4147" s="2">
        <f ca="1"/>
        <v>50.450685767222332</v>
      </c>
      <c r="AG4147" s="2">
        <f ca="1"/>
        <v>0.56938718972141311</v>
      </c>
      <c r="AH4147" s="2" t="str">
        <f ca="1"/>
        <v>Bad</v>
      </c>
    </row>
    <row r="4148" spans="2:34" x14ac:dyDescent="0.2">
      <c r="B4148" s="2">
        <f ca="1"/>
        <v>0.75617970636091436</v>
      </c>
      <c r="O4148" s="2">
        <f ca="1"/>
        <v>0.99565006422906988</v>
      </c>
      <c r="X4148" s="2">
        <f ca="1"/>
        <v>78.2146954636667</v>
      </c>
      <c r="AG4148" s="2">
        <f ca="1"/>
        <v>0.33112817475548173</v>
      </c>
      <c r="AH4148" s="2" t="str">
        <f ca="1"/>
        <v>OK</v>
      </c>
    </row>
    <row r="4149" spans="2:34" x14ac:dyDescent="0.2">
      <c r="B4149" s="2">
        <f ca="1"/>
        <v>1.0435344934095037E-2</v>
      </c>
      <c r="O4149" s="2">
        <f ca="1"/>
        <v>1.2680129484528255</v>
      </c>
      <c r="X4149" s="2">
        <f ca="1"/>
        <v>50.764735036628423</v>
      </c>
      <c r="AG4149" s="2">
        <f ca="1"/>
        <v>0.81794651089647052</v>
      </c>
      <c r="AH4149" s="2" t="str">
        <f ca="1"/>
        <v>Bad</v>
      </c>
    </row>
    <row r="4150" spans="2:34" x14ac:dyDescent="0.2">
      <c r="B4150" s="2">
        <f ca="1"/>
        <v>0.26666273258958673</v>
      </c>
      <c r="O4150" s="2">
        <f ca="1"/>
        <v>-0.92514436980027726</v>
      </c>
      <c r="X4150" s="2">
        <f ca="1"/>
        <v>47.448430181887659</v>
      </c>
      <c r="AG4150" s="2">
        <f ca="1"/>
        <v>0.47044129519603173</v>
      </c>
      <c r="AH4150" s="2" t="str">
        <f ca="1"/>
        <v>Bad</v>
      </c>
    </row>
    <row r="4151" spans="2:34" x14ac:dyDescent="0.2">
      <c r="B4151" s="2">
        <f ca="1"/>
        <v>0.8159125793303843</v>
      </c>
      <c r="O4151" s="2">
        <f ca="1"/>
        <v>1.9313242716579533</v>
      </c>
      <c r="X4151" s="2">
        <f ca="1"/>
        <v>39.671981006707107</v>
      </c>
      <c r="AG4151" s="2">
        <f ca="1"/>
        <v>0.4086917288609162</v>
      </c>
      <c r="AH4151" s="2" t="str">
        <f ca="1"/>
        <v>Bad</v>
      </c>
    </row>
    <row r="4152" spans="2:34" x14ac:dyDescent="0.2">
      <c r="B4152" s="2">
        <f ca="1"/>
        <v>0.77072998075960397</v>
      </c>
      <c r="O4152" s="2">
        <f ca="1"/>
        <v>-1.3222888666129304</v>
      </c>
      <c r="X4152" s="2">
        <f ca="1"/>
        <v>30.467667754292037</v>
      </c>
      <c r="AG4152" s="2">
        <f ca="1"/>
        <v>0.74271421421549455</v>
      </c>
      <c r="AH4152" s="2" t="str">
        <f ca="1"/>
        <v>Bad</v>
      </c>
    </row>
    <row r="4153" spans="2:34" x14ac:dyDescent="0.2">
      <c r="B4153" s="2">
        <f ca="1"/>
        <v>0.88862616560037444</v>
      </c>
      <c r="O4153" s="2">
        <f ca="1"/>
        <v>0.9631748872864071</v>
      </c>
      <c r="X4153" s="2">
        <f ca="1"/>
        <v>45.759849439893529</v>
      </c>
      <c r="AG4153" s="2">
        <f ca="1"/>
        <v>0.88581148853384239</v>
      </c>
      <c r="AH4153" s="2" t="str">
        <f ca="1"/>
        <v>Bad</v>
      </c>
    </row>
    <row r="4154" spans="2:34" x14ac:dyDescent="0.2">
      <c r="B4154" s="2">
        <f ca="1"/>
        <v>0.43754353386769962</v>
      </c>
      <c r="O4154" s="2">
        <f ca="1"/>
        <v>1.4359592315310854</v>
      </c>
      <c r="X4154" s="2">
        <f ca="1"/>
        <v>41.328142653083333</v>
      </c>
      <c r="AG4154" s="2">
        <f ca="1"/>
        <v>0.17152191856582477</v>
      </c>
      <c r="AH4154" s="2" t="str">
        <f ca="1"/>
        <v>OK</v>
      </c>
    </row>
    <row r="4155" spans="2:34" x14ac:dyDescent="0.2">
      <c r="B4155" s="2">
        <f ca="1"/>
        <v>0.86500007451842698</v>
      </c>
      <c r="O4155" s="2">
        <f ca="1"/>
        <v>-0.24990516752847183</v>
      </c>
      <c r="X4155" s="2">
        <f ca="1"/>
        <v>50.214848153105748</v>
      </c>
      <c r="AG4155" s="2">
        <f ca="1"/>
        <v>0.59816580649595608</v>
      </c>
      <c r="AH4155" s="2" t="str">
        <f ca="1"/>
        <v>Bad</v>
      </c>
    </row>
    <row r="4156" spans="2:34" x14ac:dyDescent="0.2">
      <c r="B4156" s="2">
        <f ca="1"/>
        <v>0.86463725754419496</v>
      </c>
      <c r="O4156" s="2">
        <f ca="1"/>
        <v>0.33246634776965395</v>
      </c>
      <c r="X4156" s="2">
        <f ca="1"/>
        <v>53.415148439358973</v>
      </c>
      <c r="AG4156" s="2">
        <f ca="1"/>
        <v>0.94164245191345985</v>
      </c>
      <c r="AH4156" s="2" t="str">
        <f ca="1"/>
        <v>Bad</v>
      </c>
    </row>
    <row r="4157" spans="2:34" x14ac:dyDescent="0.2">
      <c r="B4157" s="2">
        <f ca="1"/>
        <v>0.53562611468468702</v>
      </c>
      <c r="O4157" s="2">
        <f ca="1"/>
        <v>-1.2475825002186782</v>
      </c>
      <c r="X4157" s="2">
        <f ca="1"/>
        <v>35.600916667851052</v>
      </c>
      <c r="AG4157" s="2">
        <f ca="1"/>
        <v>0.41871997550301399</v>
      </c>
      <c r="AH4157" s="2" t="str">
        <f ca="1"/>
        <v>Bad</v>
      </c>
    </row>
    <row r="4158" spans="2:34" x14ac:dyDescent="0.2">
      <c r="B4158" s="2">
        <f ca="1"/>
        <v>0.25058567626676598</v>
      </c>
      <c r="O4158" s="2">
        <f ca="1"/>
        <v>1.8678986845323506</v>
      </c>
      <c r="X4158" s="2">
        <f ca="1"/>
        <v>34.554756647592832</v>
      </c>
      <c r="AG4158" s="2">
        <f ca="1"/>
        <v>0.91861291051847926</v>
      </c>
      <c r="AH4158" s="2" t="str">
        <f ca="1"/>
        <v>Bad</v>
      </c>
    </row>
    <row r="4159" spans="2:34" x14ac:dyDescent="0.2">
      <c r="B4159" s="2">
        <f ca="1"/>
        <v>0.57341869650551436</v>
      </c>
      <c r="O4159" s="2">
        <f ca="1"/>
        <v>-1.5142067695579826</v>
      </c>
      <c r="X4159" s="2">
        <f ca="1"/>
        <v>42.571314334699139</v>
      </c>
      <c r="AG4159" s="2">
        <f ca="1"/>
        <v>0.92542894667257247</v>
      </c>
      <c r="AH4159" s="2" t="str">
        <f ca="1"/>
        <v>Bad</v>
      </c>
    </row>
    <row r="4160" spans="2:34" x14ac:dyDescent="0.2">
      <c r="B4160" s="2">
        <f ca="1"/>
        <v>0.69261693523236367</v>
      </c>
      <c r="O4160" s="2">
        <f ca="1"/>
        <v>0.34818077029298661</v>
      </c>
      <c r="X4160" s="2">
        <f ca="1"/>
        <v>44.534322752565394</v>
      </c>
      <c r="AG4160" s="2">
        <f ca="1"/>
        <v>0.24168771593919547</v>
      </c>
      <c r="AH4160" s="2" t="str">
        <f ca="1"/>
        <v>OK</v>
      </c>
    </row>
    <row r="4161" spans="2:34" x14ac:dyDescent="0.2">
      <c r="B4161" s="2">
        <f ca="1"/>
        <v>0.46937471069833103</v>
      </c>
      <c r="O4161" s="2">
        <f ca="1"/>
        <v>0.89332724768472949</v>
      </c>
      <c r="X4161" s="2">
        <f ca="1"/>
        <v>15.992673572875777</v>
      </c>
      <c r="AG4161" s="2">
        <f ca="1"/>
        <v>6.584564629844869E-2</v>
      </c>
      <c r="AH4161" s="2" t="str">
        <f ca="1"/>
        <v>OK</v>
      </c>
    </row>
    <row r="4162" spans="2:34" x14ac:dyDescent="0.2">
      <c r="B4162" s="2">
        <f ca="1"/>
        <v>0.42308554649968833</v>
      </c>
      <c r="O4162" s="2">
        <f ca="1"/>
        <v>-0.6749580505778231</v>
      </c>
      <c r="X4162" s="2">
        <f ca="1"/>
        <v>26.919510164601014</v>
      </c>
      <c r="AG4162" s="2">
        <f ca="1"/>
        <v>0.18840782515209775</v>
      </c>
      <c r="AH4162" s="2" t="str">
        <f ca="1"/>
        <v>OK</v>
      </c>
    </row>
    <row r="4163" spans="2:34" x14ac:dyDescent="0.2">
      <c r="B4163" s="2">
        <f ca="1"/>
        <v>6.6856636588197293E-2</v>
      </c>
      <c r="O4163" s="2">
        <f ca="1"/>
        <v>0.61258098164830865</v>
      </c>
      <c r="X4163" s="2">
        <f ca="1"/>
        <v>40.947239750173303</v>
      </c>
      <c r="AG4163" s="2">
        <f ca="1"/>
        <v>0.2322981313191308</v>
      </c>
      <c r="AH4163" s="2" t="str">
        <f ca="1"/>
        <v>OK</v>
      </c>
    </row>
    <row r="4164" spans="2:34" x14ac:dyDescent="0.2">
      <c r="B4164" s="2">
        <f ca="1"/>
        <v>0.96429045613158704</v>
      </c>
      <c r="O4164" s="2">
        <f ca="1"/>
        <v>-0.46350281520704911</v>
      </c>
      <c r="X4164" s="2">
        <f ca="1"/>
        <v>46.50137495093945</v>
      </c>
      <c r="AG4164" s="2">
        <f ca="1"/>
        <v>0.26544995064123844</v>
      </c>
      <c r="AH4164" s="2" t="str">
        <f ca="1"/>
        <v>OK</v>
      </c>
    </row>
    <row r="4165" spans="2:34" x14ac:dyDescent="0.2">
      <c r="B4165" s="2">
        <f ca="1"/>
        <v>0.65024423959711597</v>
      </c>
      <c r="O4165" s="2">
        <f ca="1"/>
        <v>0.90283106524485279</v>
      </c>
      <c r="X4165" s="2">
        <f ca="1"/>
        <v>33.946763795336736</v>
      </c>
      <c r="AG4165" s="2">
        <f ca="1"/>
        <v>0.9068744126608077</v>
      </c>
      <c r="AH4165" s="2" t="str">
        <f ca="1"/>
        <v>Bad</v>
      </c>
    </row>
    <row r="4166" spans="2:34" x14ac:dyDescent="0.2">
      <c r="B4166" s="2">
        <f ca="1"/>
        <v>0.43956002182157938</v>
      </c>
      <c r="O4166" s="2">
        <f ca="1"/>
        <v>-0.76257951918743871</v>
      </c>
      <c r="X4166" s="2">
        <f ca="1"/>
        <v>79.8109642357512</v>
      </c>
      <c r="AG4166" s="2">
        <f ca="1"/>
        <v>4.7695375606689794E-2</v>
      </c>
      <c r="AH4166" s="2" t="str">
        <f ca="1"/>
        <v>Good</v>
      </c>
    </row>
    <row r="4167" spans="2:34" x14ac:dyDescent="0.2">
      <c r="B4167" s="2">
        <f ca="1"/>
        <v>0.85886856192750827</v>
      </c>
      <c r="O4167" s="2">
        <f ca="1"/>
        <v>-0.1473286553824267</v>
      </c>
      <c r="X4167" s="2">
        <f ca="1"/>
        <v>27.224583873767809</v>
      </c>
      <c r="AG4167" s="2">
        <f ca="1"/>
        <v>0.12319472689497868</v>
      </c>
      <c r="AH4167" s="2" t="str">
        <f ca="1"/>
        <v>OK</v>
      </c>
    </row>
    <row r="4168" spans="2:34" x14ac:dyDescent="0.2">
      <c r="B4168" s="2">
        <f ca="1"/>
        <v>0.27074681890707053</v>
      </c>
      <c r="O4168" s="2">
        <f ca="1"/>
        <v>-0.72014391562365021</v>
      </c>
      <c r="X4168" s="2">
        <f ca="1"/>
        <v>54.557632708652726</v>
      </c>
      <c r="AG4168" s="2">
        <f ca="1"/>
        <v>0.69798731339446163</v>
      </c>
      <c r="AH4168" s="2" t="str">
        <f ca="1"/>
        <v>Bad</v>
      </c>
    </row>
    <row r="4169" spans="2:34" x14ac:dyDescent="0.2">
      <c r="B4169" s="2">
        <f ca="1"/>
        <v>0.8219854419767858</v>
      </c>
      <c r="O4169" s="2">
        <f ca="1"/>
        <v>0.44362805766005853</v>
      </c>
      <c r="X4169" s="2">
        <f ca="1"/>
        <v>74.490604449977965</v>
      </c>
      <c r="AG4169" s="2">
        <f ca="1"/>
        <v>0.53449575896724011</v>
      </c>
      <c r="AH4169" s="2" t="str">
        <f ca="1"/>
        <v>Bad</v>
      </c>
    </row>
    <row r="4170" spans="2:34" x14ac:dyDescent="0.2">
      <c r="B4170" s="2">
        <f ca="1"/>
        <v>0.71097824810237187</v>
      </c>
      <c r="O4170" s="2">
        <f ca="1"/>
        <v>-0.37078771221200135</v>
      </c>
      <c r="X4170" s="2">
        <f ca="1"/>
        <v>50.671030996451421</v>
      </c>
      <c r="AG4170" s="2">
        <f ca="1"/>
        <v>0.63384098931760224</v>
      </c>
      <c r="AH4170" s="2" t="str">
        <f ca="1"/>
        <v>Bad</v>
      </c>
    </row>
    <row r="4171" spans="2:34" x14ac:dyDescent="0.2">
      <c r="B4171" s="2">
        <f ca="1"/>
        <v>0.46315842694507792</v>
      </c>
      <c r="O4171" s="2">
        <f ca="1"/>
        <v>-0.33066212432660319</v>
      </c>
      <c r="X4171" s="2">
        <f ca="1"/>
        <v>31.746389443694653</v>
      </c>
      <c r="AG4171" s="2">
        <f ca="1"/>
        <v>0.51256779664217889</v>
      </c>
      <c r="AH4171" s="2" t="str">
        <f ca="1"/>
        <v>Bad</v>
      </c>
    </row>
    <row r="4172" spans="2:34" x14ac:dyDescent="0.2">
      <c r="B4172" s="2">
        <f ca="1"/>
        <v>6.751553867452631E-2</v>
      </c>
      <c r="O4172" s="2">
        <f ca="1"/>
        <v>-0.82995604289506908</v>
      </c>
      <c r="X4172" s="2">
        <f ca="1"/>
        <v>36.272090609211183</v>
      </c>
      <c r="AG4172" s="2">
        <f ca="1"/>
        <v>0.84745888368909061</v>
      </c>
      <c r="AH4172" s="2" t="str">
        <f ca="1"/>
        <v>Bad</v>
      </c>
    </row>
    <row r="4173" spans="2:34" x14ac:dyDescent="0.2">
      <c r="B4173" s="2">
        <f ca="1"/>
        <v>0.20019625309065447</v>
      </c>
      <c r="O4173" s="2">
        <f ca="1"/>
        <v>-0.85727865386850699</v>
      </c>
      <c r="X4173" s="2">
        <f ca="1"/>
        <v>30.485794834285098</v>
      </c>
      <c r="AG4173" s="2">
        <f ca="1"/>
        <v>3.2661644231454012E-2</v>
      </c>
      <c r="AH4173" s="2" t="str">
        <f ca="1"/>
        <v>Good</v>
      </c>
    </row>
    <row r="4174" spans="2:34" x14ac:dyDescent="0.2">
      <c r="B4174" s="2">
        <f ca="1"/>
        <v>0.29905725519310189</v>
      </c>
      <c r="O4174" s="2">
        <f ca="1"/>
        <v>-0.19067730980446823</v>
      </c>
      <c r="X4174" s="2">
        <f ca="1"/>
        <v>59.177516007316335</v>
      </c>
      <c r="AG4174" s="2">
        <f ca="1"/>
        <v>0.89276001803564609</v>
      </c>
      <c r="AH4174" s="2" t="str">
        <f ca="1"/>
        <v>Bad</v>
      </c>
    </row>
    <row r="4175" spans="2:34" x14ac:dyDescent="0.2">
      <c r="B4175" s="2">
        <f ca="1"/>
        <v>0.70868061333858989</v>
      </c>
      <c r="O4175" s="2">
        <f ca="1"/>
        <v>-1.1653184753267303</v>
      </c>
      <c r="X4175" s="2">
        <f ca="1"/>
        <v>42.509513694096277</v>
      </c>
      <c r="AG4175" s="2">
        <f ca="1"/>
        <v>0.3497535503512319</v>
      </c>
      <c r="AH4175" s="2" t="str">
        <f ca="1"/>
        <v>OK</v>
      </c>
    </row>
    <row r="4176" spans="2:34" x14ac:dyDescent="0.2">
      <c r="B4176" s="2">
        <f ca="1"/>
        <v>0.73197405315808184</v>
      </c>
      <c r="O4176" s="2">
        <f ca="1"/>
        <v>0.13500489938884558</v>
      </c>
      <c r="X4176" s="2">
        <f ca="1"/>
        <v>34.733834235389914</v>
      </c>
      <c r="AG4176" s="2">
        <f ca="1"/>
        <v>0.74145129603352689</v>
      </c>
      <c r="AH4176" s="2" t="str">
        <f ca="1"/>
        <v>Bad</v>
      </c>
    </row>
    <row r="4177" spans="2:34" x14ac:dyDescent="0.2">
      <c r="B4177" s="2">
        <f ca="1"/>
        <v>0.4129547521979291</v>
      </c>
      <c r="O4177" s="2">
        <f ca="1"/>
        <v>0.23072692240606707</v>
      </c>
      <c r="X4177" s="2">
        <f ca="1"/>
        <v>64.474741002116062</v>
      </c>
      <c r="AG4177" s="2">
        <f ca="1"/>
        <v>0.57828325935313418</v>
      </c>
      <c r="AH4177" s="2" t="str">
        <f ca="1"/>
        <v>Bad</v>
      </c>
    </row>
    <row r="4178" spans="2:34" x14ac:dyDescent="0.2">
      <c r="B4178" s="2">
        <f ca="1"/>
        <v>0.608716223458728</v>
      </c>
      <c r="O4178" s="2">
        <f ca="1"/>
        <v>-0.32952749525383734</v>
      </c>
      <c r="X4178" s="2">
        <f ca="1"/>
        <v>37.723794030564129</v>
      </c>
      <c r="AG4178" s="2">
        <f ca="1"/>
        <v>0.16428016189013173</v>
      </c>
      <c r="AH4178" s="2" t="str">
        <f ca="1"/>
        <v>OK</v>
      </c>
    </row>
    <row r="4179" spans="2:34" x14ac:dyDescent="0.2">
      <c r="B4179" s="2">
        <f ca="1"/>
        <v>0.53901103304018716</v>
      </c>
      <c r="O4179" s="2">
        <f ca="1"/>
        <v>-1.5813049766037424</v>
      </c>
      <c r="X4179" s="2">
        <f ca="1"/>
        <v>39.621104666595002</v>
      </c>
      <c r="AG4179" s="2">
        <f ca="1"/>
        <v>3.6507439337007952E-4</v>
      </c>
      <c r="AH4179" s="2" t="str">
        <f ca="1"/>
        <v>Good</v>
      </c>
    </row>
    <row r="4180" spans="2:34" x14ac:dyDescent="0.2">
      <c r="B4180" s="2">
        <f ca="1"/>
        <v>2.2523745452044164E-2</v>
      </c>
      <c r="O4180" s="2">
        <f ca="1"/>
        <v>0.17358274617825906</v>
      </c>
      <c r="X4180" s="2">
        <f ca="1"/>
        <v>44.993939549572957</v>
      </c>
      <c r="AG4180" s="2">
        <f ca="1"/>
        <v>0.24019392747087398</v>
      </c>
      <c r="AH4180" s="2" t="str">
        <f ca="1"/>
        <v>OK</v>
      </c>
    </row>
    <row r="4181" spans="2:34" x14ac:dyDescent="0.2">
      <c r="B4181" s="2">
        <f ca="1"/>
        <v>0.88054149911962853</v>
      </c>
      <c r="O4181" s="2">
        <f ca="1"/>
        <v>-0.53578001826018518</v>
      </c>
      <c r="X4181" s="2">
        <f ca="1"/>
        <v>33.584709662879405</v>
      </c>
      <c r="AG4181" s="2">
        <f ca="1"/>
        <v>0.37598427404806767</v>
      </c>
      <c r="AH4181" s="2" t="str">
        <f ca="1"/>
        <v>OK</v>
      </c>
    </row>
    <row r="4182" spans="2:34" x14ac:dyDescent="0.2">
      <c r="B4182" s="2">
        <f ca="1"/>
        <v>0.4977799172747488</v>
      </c>
      <c r="O4182" s="2">
        <f ca="1"/>
        <v>-0.3003765978925359</v>
      </c>
      <c r="X4182" s="2">
        <f ca="1"/>
        <v>32.798072204741267</v>
      </c>
      <c r="AG4182" s="2">
        <f ca="1"/>
        <v>0.48597235782901449</v>
      </c>
      <c r="AH4182" s="2" t="str">
        <f ca="1"/>
        <v>Bad</v>
      </c>
    </row>
    <row r="4183" spans="2:34" x14ac:dyDescent="0.2">
      <c r="B4183" s="2">
        <f ca="1"/>
        <v>1.6508893130710023E-2</v>
      </c>
      <c r="O4183" s="2">
        <f ca="1"/>
        <v>-1.4461173749590031</v>
      </c>
      <c r="X4183" s="2">
        <f ca="1"/>
        <v>39.525016239413183</v>
      </c>
      <c r="AG4183" s="2">
        <f ca="1"/>
        <v>0.24483823429309726</v>
      </c>
      <c r="AH4183" s="2" t="str">
        <f ca="1"/>
        <v>OK</v>
      </c>
    </row>
    <row r="4184" spans="2:34" x14ac:dyDescent="0.2">
      <c r="B4184" s="2">
        <f ca="1"/>
        <v>0.47255502758347778</v>
      </c>
      <c r="O4184" s="2">
        <f ca="1"/>
        <v>-0.89687019723811534</v>
      </c>
      <c r="X4184" s="2">
        <f ca="1"/>
        <v>53.480587381121573</v>
      </c>
      <c r="AG4184" s="2">
        <f ca="1"/>
        <v>0.82021361548174943</v>
      </c>
      <c r="AH4184" s="2" t="str">
        <f ca="1"/>
        <v>Bad</v>
      </c>
    </row>
    <row r="4185" spans="2:34" x14ac:dyDescent="0.2">
      <c r="B4185" s="2">
        <f ca="1"/>
        <v>0.94519486377784623</v>
      </c>
      <c r="O4185" s="2">
        <f ca="1"/>
        <v>-7.6669663860990486E-2</v>
      </c>
      <c r="X4185" s="2">
        <f ca="1"/>
        <v>54.506937086502958</v>
      </c>
      <c r="AG4185" s="2">
        <f ca="1"/>
        <v>0.11030274207291835</v>
      </c>
      <c r="AH4185" s="2" t="str">
        <f ca="1"/>
        <v>OK</v>
      </c>
    </row>
    <row r="4186" spans="2:34" x14ac:dyDescent="0.2">
      <c r="B4186" s="2">
        <f ca="1"/>
        <v>0.94987205182446943</v>
      </c>
      <c r="O4186" s="2">
        <f ca="1"/>
        <v>-0.10737504166312142</v>
      </c>
      <c r="X4186" s="2">
        <f ca="1"/>
        <v>53.141081978180473</v>
      </c>
      <c r="AG4186" s="2">
        <f ca="1"/>
        <v>0.82757006062836402</v>
      </c>
      <c r="AH4186" s="2" t="str">
        <f ca="1"/>
        <v>Bad</v>
      </c>
    </row>
    <row r="4187" spans="2:34" x14ac:dyDescent="0.2">
      <c r="B4187" s="2">
        <f ca="1"/>
        <v>0.43220956540434519</v>
      </c>
      <c r="O4187" s="2">
        <f ca="1"/>
        <v>1.7583858146063625</v>
      </c>
      <c r="X4187" s="2">
        <f ca="1"/>
        <v>49.73701486826058</v>
      </c>
      <c r="AG4187" s="2">
        <f ca="1"/>
        <v>0.31673569889957265</v>
      </c>
      <c r="AH4187" s="2" t="str">
        <f ca="1"/>
        <v>OK</v>
      </c>
    </row>
    <row r="4188" spans="2:34" x14ac:dyDescent="0.2">
      <c r="B4188" s="2">
        <f ca="1"/>
        <v>0.1513871934073292</v>
      </c>
      <c r="O4188" s="2">
        <f ca="1"/>
        <v>-1.0235279758960416</v>
      </c>
      <c r="X4188" s="2">
        <f ca="1"/>
        <v>32.687733638992754</v>
      </c>
      <c r="AG4188" s="2">
        <f ca="1"/>
        <v>0.47117359264142733</v>
      </c>
      <c r="AH4188" s="2" t="str">
        <f ca="1"/>
        <v>Bad</v>
      </c>
    </row>
    <row r="4189" spans="2:34" x14ac:dyDescent="0.2">
      <c r="B4189" s="2">
        <f ca="1"/>
        <v>0.63889218825721894</v>
      </c>
      <c r="O4189" s="2">
        <f ca="1"/>
        <v>1.0851969623570965</v>
      </c>
      <c r="X4189" s="2">
        <f ca="1"/>
        <v>66.511921647244364</v>
      </c>
      <c r="AG4189" s="2">
        <f ca="1"/>
        <v>0.77070020666955363</v>
      </c>
      <c r="AH4189" s="2" t="str">
        <f ca="1"/>
        <v>Bad</v>
      </c>
    </row>
    <row r="4190" spans="2:34" x14ac:dyDescent="0.2">
      <c r="B4190" s="2">
        <f ca="1"/>
        <v>0.56710966535863405</v>
      </c>
      <c r="O4190" s="2">
        <f ca="1"/>
        <v>1.1270023990184233</v>
      </c>
      <c r="X4190" s="2">
        <f ca="1"/>
        <v>27.354056263193378</v>
      </c>
      <c r="AG4190" s="2">
        <f ca="1"/>
        <v>0.36131180246235051</v>
      </c>
      <c r="AH4190" s="2" t="str">
        <f ca="1"/>
        <v>OK</v>
      </c>
    </row>
    <row r="4191" spans="2:34" x14ac:dyDescent="0.2">
      <c r="B4191" s="2">
        <f ca="1"/>
        <v>0.91495439563025704</v>
      </c>
      <c r="O4191" s="2">
        <f ca="1"/>
        <v>0.77487195342663673</v>
      </c>
      <c r="X4191" s="2">
        <f ca="1"/>
        <v>40.909864627756072</v>
      </c>
      <c r="AG4191" s="2">
        <f ca="1"/>
        <v>0.60425176064697106</v>
      </c>
      <c r="AH4191" s="2" t="str">
        <f ca="1"/>
        <v>Bad</v>
      </c>
    </row>
    <row r="4192" spans="2:34" x14ac:dyDescent="0.2">
      <c r="B4192" s="2">
        <f ca="1"/>
        <v>0.64324378537125182</v>
      </c>
      <c r="O4192" s="2">
        <f ca="1"/>
        <v>-1.0982343308157714</v>
      </c>
      <c r="X4192" s="2">
        <f ca="1"/>
        <v>46.748966977400606</v>
      </c>
      <c r="AG4192" s="2">
        <f ca="1"/>
        <v>0.35037252240012973</v>
      </c>
      <c r="AH4192" s="2" t="str">
        <f ca="1"/>
        <v>OK</v>
      </c>
    </row>
    <row r="4193" spans="2:34" x14ac:dyDescent="0.2">
      <c r="B4193" s="2">
        <f ca="1"/>
        <v>0.89576850584921464</v>
      </c>
      <c r="O4193" s="2">
        <f ca="1"/>
        <v>0.42751168563769459</v>
      </c>
      <c r="X4193" s="2">
        <f ca="1"/>
        <v>34.990563871313469</v>
      </c>
      <c r="AG4193" s="2">
        <f ca="1"/>
        <v>0.12029126576201166</v>
      </c>
      <c r="AH4193" s="2" t="str">
        <f ca="1"/>
        <v>OK</v>
      </c>
    </row>
    <row r="4194" spans="2:34" x14ac:dyDescent="0.2">
      <c r="B4194" s="2">
        <f ca="1"/>
        <v>0.48942249475900979</v>
      </c>
      <c r="O4194" s="2">
        <f ca="1"/>
        <v>0.13126206938290427</v>
      </c>
      <c r="X4194" s="2">
        <f ca="1"/>
        <v>50.354329502944196</v>
      </c>
      <c r="AG4194" s="2">
        <f ca="1"/>
        <v>0.29317425001575281</v>
      </c>
      <c r="AH4194" s="2" t="str">
        <f ca="1"/>
        <v>OK</v>
      </c>
    </row>
    <row r="4195" spans="2:34" x14ac:dyDescent="0.2">
      <c r="B4195" s="2">
        <f ca="1"/>
        <v>0.69133512434293887</v>
      </c>
      <c r="O4195" s="2">
        <f ca="1"/>
        <v>1.0914541532490882</v>
      </c>
      <c r="X4195" s="2">
        <f ca="1"/>
        <v>49.751534746903758</v>
      </c>
      <c r="AG4195" s="2">
        <f ca="1"/>
        <v>0.70700815423487806</v>
      </c>
      <c r="AH4195" s="2" t="str">
        <f ca="1"/>
        <v>Bad</v>
      </c>
    </row>
    <row r="4196" spans="2:34" x14ac:dyDescent="0.2">
      <c r="B4196" s="2">
        <f ca="1"/>
        <v>0.2814146251957903</v>
      </c>
      <c r="O4196" s="2">
        <f ca="1"/>
        <v>-0.51480067585179468</v>
      </c>
      <c r="X4196" s="2">
        <f ca="1"/>
        <v>63.904820440872392</v>
      </c>
      <c r="AG4196" s="2">
        <f ca="1"/>
        <v>0.97518676120125791</v>
      </c>
      <c r="AH4196" s="2" t="str">
        <f ca="1"/>
        <v>Bad</v>
      </c>
    </row>
    <row r="4197" spans="2:34" x14ac:dyDescent="0.2">
      <c r="B4197" s="2">
        <f ca="1"/>
        <v>0.53951169418466494</v>
      </c>
      <c r="O4197" s="2">
        <f ca="1"/>
        <v>-1.8354814253546845</v>
      </c>
      <c r="X4197" s="2">
        <f ca="1"/>
        <v>48.514551163982311</v>
      </c>
      <c r="AG4197" s="2">
        <f ca="1"/>
        <v>0.87668545111446439</v>
      </c>
      <c r="AH4197" s="2" t="str">
        <f ca="1"/>
        <v>Bad</v>
      </c>
    </row>
    <row r="4198" spans="2:34" x14ac:dyDescent="0.2">
      <c r="B4198" s="2">
        <f ca="1"/>
        <v>5.5425846794596056E-2</v>
      </c>
      <c r="O4198" s="2">
        <f ca="1"/>
        <v>0.24663895858004153</v>
      </c>
      <c r="X4198" s="2">
        <f ca="1"/>
        <v>76.297012626988916</v>
      </c>
      <c r="AG4198" s="2">
        <f ca="1"/>
        <v>0.65799984961617275</v>
      </c>
      <c r="AH4198" s="2" t="str">
        <f ca="1"/>
        <v>Bad</v>
      </c>
    </row>
    <row r="4199" spans="2:34" x14ac:dyDescent="0.2">
      <c r="B4199" s="2">
        <f ca="1"/>
        <v>6.2376428652916482E-2</v>
      </c>
      <c r="O4199" s="2">
        <f ca="1"/>
        <v>-0.391285818801827</v>
      </c>
      <c r="X4199" s="2">
        <f ca="1"/>
        <v>67.232195833805918</v>
      </c>
      <c r="AG4199" s="2">
        <f ca="1"/>
        <v>0.10180437320014968</v>
      </c>
      <c r="AH4199" s="2" t="str">
        <f ca="1"/>
        <v>OK</v>
      </c>
    </row>
    <row r="4200" spans="2:34" x14ac:dyDescent="0.2">
      <c r="B4200" s="2">
        <f ca="1"/>
        <v>3.9710056565221308E-2</v>
      </c>
      <c r="O4200" s="2">
        <f ca="1"/>
        <v>0.93741376556997369</v>
      </c>
      <c r="X4200" s="2">
        <f ca="1"/>
        <v>56.398557996745929</v>
      </c>
      <c r="AG4200" s="2">
        <f ca="1"/>
        <v>0.40524385775475591</v>
      </c>
      <c r="AH4200" s="2" t="str">
        <f ca="1"/>
        <v>Bad</v>
      </c>
    </row>
    <row r="4201" spans="2:34" x14ac:dyDescent="0.2">
      <c r="B4201" s="2">
        <f ca="1"/>
        <v>0.72124740708248525</v>
      </c>
      <c r="O4201" s="2">
        <f ca="1"/>
        <v>-0.19838311265244057</v>
      </c>
      <c r="X4201" s="2">
        <f ca="1"/>
        <v>55.922763462859677</v>
      </c>
      <c r="AG4201" s="2">
        <f ca="1"/>
        <v>0.98364031676355168</v>
      </c>
      <c r="AH4201" s="2" t="str">
        <f ca="1"/>
        <v>Bad</v>
      </c>
    </row>
    <row r="4202" spans="2:34" x14ac:dyDescent="0.2">
      <c r="B4202" s="2">
        <f ca="1"/>
        <v>8.5299107510556249E-2</v>
      </c>
      <c r="O4202" s="2">
        <f ca="1"/>
        <v>-1.4402934654183404</v>
      </c>
      <c r="X4202" s="2">
        <f ca="1"/>
        <v>54.555879790008191</v>
      </c>
      <c r="AG4202" s="2">
        <f ca="1"/>
        <v>0.17992379745525056</v>
      </c>
      <c r="AH4202" s="2" t="str">
        <f ca="1"/>
        <v>OK</v>
      </c>
    </row>
    <row r="4203" spans="2:34" x14ac:dyDescent="0.2">
      <c r="B4203" s="2">
        <f ca="1"/>
        <v>0.98951561172223856</v>
      </c>
      <c r="O4203" s="2">
        <f ca="1"/>
        <v>0.41485170137286953</v>
      </c>
      <c r="X4203" s="2">
        <f ca="1"/>
        <v>50.323177470133658</v>
      </c>
      <c r="AG4203" s="2">
        <f ca="1"/>
        <v>0.34470421900118886</v>
      </c>
      <c r="AH4203" s="2" t="str">
        <f ca="1"/>
        <v>OK</v>
      </c>
    </row>
    <row r="4204" spans="2:34" x14ac:dyDescent="0.2">
      <c r="B4204" s="2">
        <f ca="1"/>
        <v>0.21400926363026973</v>
      </c>
      <c r="O4204" s="2">
        <f ca="1"/>
        <v>0.21021661921744245</v>
      </c>
      <c r="X4204" s="2">
        <f ca="1"/>
        <v>60.496144448752901</v>
      </c>
      <c r="AG4204" s="2">
        <f ca="1"/>
        <v>0.90404422129496353</v>
      </c>
      <c r="AH4204" s="2" t="str">
        <f ca="1"/>
        <v>Bad</v>
      </c>
    </row>
    <row r="4205" spans="2:34" x14ac:dyDescent="0.2">
      <c r="B4205" s="2">
        <f ca="1"/>
        <v>0.31644757333708307</v>
      </c>
      <c r="O4205" s="2">
        <f ca="1"/>
        <v>0.32634466505152582</v>
      </c>
      <c r="X4205" s="2">
        <f ca="1"/>
        <v>58.714505833728509</v>
      </c>
      <c r="AG4205" s="2">
        <f ca="1"/>
        <v>0.97255776956793194</v>
      </c>
      <c r="AH4205" s="2" t="str">
        <f ca="1"/>
        <v>Bad</v>
      </c>
    </row>
    <row r="4206" spans="2:34" x14ac:dyDescent="0.2">
      <c r="B4206" s="2">
        <f ca="1"/>
        <v>0.37245934007632142</v>
      </c>
      <c r="O4206" s="2">
        <f ca="1"/>
        <v>-0.39152465938267494</v>
      </c>
      <c r="X4206" s="2">
        <f ca="1"/>
        <v>36.244300192743559</v>
      </c>
      <c r="AG4206" s="2">
        <f ca="1"/>
        <v>0.21570306912819603</v>
      </c>
      <c r="AH4206" s="2" t="str">
        <f ca="1"/>
        <v>OK</v>
      </c>
    </row>
    <row r="4207" spans="2:34" x14ac:dyDescent="0.2">
      <c r="B4207" s="2">
        <f ca="1"/>
        <v>0.37981999075736783</v>
      </c>
      <c r="O4207" s="2">
        <f ca="1"/>
        <v>-1.3532634271000117</v>
      </c>
      <c r="X4207" s="2">
        <f ca="1"/>
        <v>28.080957934805284</v>
      </c>
      <c r="AG4207" s="2">
        <f ca="1"/>
        <v>0.59299552766689922</v>
      </c>
      <c r="AH4207" s="2" t="str">
        <f ca="1"/>
        <v>Bad</v>
      </c>
    </row>
    <row r="4208" spans="2:34" x14ac:dyDescent="0.2">
      <c r="B4208" s="2">
        <f ca="1"/>
        <v>0.59665634749373364</v>
      </c>
      <c r="O4208" s="2">
        <f ca="1"/>
        <v>0.4444616189211722</v>
      </c>
      <c r="X4208" s="2">
        <f ca="1"/>
        <v>28.964579615892664</v>
      </c>
      <c r="AG4208" s="2">
        <f ca="1"/>
        <v>3.5850562394820429E-2</v>
      </c>
      <c r="AH4208" s="2" t="str">
        <f ca="1"/>
        <v>Good</v>
      </c>
    </row>
    <row r="4209" spans="2:34" x14ac:dyDescent="0.2">
      <c r="B4209" s="2">
        <f ca="1"/>
        <v>0.97149679799309152</v>
      </c>
      <c r="O4209" s="2">
        <f ca="1"/>
        <v>-0.64788243081329999</v>
      </c>
      <c r="X4209" s="2">
        <f ca="1"/>
        <v>71.741550285548684</v>
      </c>
      <c r="AG4209" s="2">
        <f ca="1"/>
        <v>0.42288536869825188</v>
      </c>
      <c r="AH4209" s="2" t="str">
        <f ca="1"/>
        <v>Bad</v>
      </c>
    </row>
    <row r="4210" spans="2:34" x14ac:dyDescent="0.2">
      <c r="B4210" s="2">
        <f ca="1"/>
        <v>0.60798154842417018</v>
      </c>
      <c r="O4210" s="2">
        <f ca="1"/>
        <v>0.6035346809074551</v>
      </c>
      <c r="X4210" s="2">
        <f ca="1"/>
        <v>39.900231728349624</v>
      </c>
      <c r="AG4210" s="2">
        <f ca="1"/>
        <v>0.71684146066068699</v>
      </c>
      <c r="AH4210" s="2" t="str">
        <f ca="1"/>
        <v>Bad</v>
      </c>
    </row>
    <row r="4211" spans="2:34" x14ac:dyDescent="0.2">
      <c r="B4211" s="2">
        <f ca="1"/>
        <v>0.85910745710316516</v>
      </c>
      <c r="O4211" s="2">
        <f ca="1"/>
        <v>-0.15780619379641372</v>
      </c>
      <c r="X4211" s="2">
        <f ca="1"/>
        <v>76.213332531607307</v>
      </c>
      <c r="AG4211" s="2">
        <f ca="1"/>
        <v>0.45169103838386593</v>
      </c>
      <c r="AH4211" s="2" t="str">
        <f ca="1"/>
        <v>Bad</v>
      </c>
    </row>
    <row r="4212" spans="2:34" x14ac:dyDescent="0.2">
      <c r="B4212" s="2">
        <f ca="1"/>
        <v>0.2342334542427269</v>
      </c>
      <c r="O4212" s="2">
        <f ca="1"/>
        <v>-0.31311326004408291</v>
      </c>
      <c r="X4212" s="2">
        <f ca="1"/>
        <v>86.141012990979647</v>
      </c>
      <c r="AG4212" s="2">
        <f ca="1"/>
        <v>0.87447466269829377</v>
      </c>
      <c r="AH4212" s="2" t="str">
        <f ca="1"/>
        <v>Bad</v>
      </c>
    </row>
    <row r="4213" spans="2:34" x14ac:dyDescent="0.2">
      <c r="B4213" s="2">
        <f ca="1"/>
        <v>0.19358156144329275</v>
      </c>
      <c r="O4213" s="2">
        <f ca="1"/>
        <v>0.76667555883721172</v>
      </c>
      <c r="X4213" s="2">
        <f ca="1"/>
        <v>64.539052987561462</v>
      </c>
      <c r="AG4213" s="2">
        <f ca="1"/>
        <v>0.64365928428579133</v>
      </c>
      <c r="AH4213" s="2" t="str">
        <f ca="1"/>
        <v>Bad</v>
      </c>
    </row>
    <row r="4214" spans="2:34" x14ac:dyDescent="0.2">
      <c r="B4214" s="2">
        <f ca="1"/>
        <v>0.12971227744689906</v>
      </c>
      <c r="O4214" s="2">
        <f ca="1"/>
        <v>-0.59225640853279982</v>
      </c>
      <c r="X4214" s="2">
        <f ca="1"/>
        <v>23.22453791759418</v>
      </c>
      <c r="AG4214" s="2">
        <f ca="1"/>
        <v>0.17264651339774018</v>
      </c>
      <c r="AH4214" s="2" t="str">
        <f ca="1"/>
        <v>OK</v>
      </c>
    </row>
    <row r="4215" spans="2:34" x14ac:dyDescent="0.2">
      <c r="B4215" s="2">
        <f ca="1"/>
        <v>0.35652693957403581</v>
      </c>
      <c r="O4215" s="2">
        <f ca="1"/>
        <v>-0.21295312180114606</v>
      </c>
      <c r="X4215" s="2">
        <f ca="1"/>
        <v>63.443530059158171</v>
      </c>
      <c r="AG4215" s="2">
        <f ca="1"/>
        <v>0.1995439772060208</v>
      </c>
      <c r="AH4215" s="2" t="str">
        <f ca="1"/>
        <v>OK</v>
      </c>
    </row>
    <row r="4216" spans="2:34" x14ac:dyDescent="0.2">
      <c r="B4216" s="2">
        <f ca="1"/>
        <v>0.51784402696850496</v>
      </c>
      <c r="O4216" s="2">
        <f ca="1"/>
        <v>0.5470052598276236</v>
      </c>
      <c r="X4216" s="2">
        <f ca="1"/>
        <v>50.495925782140034</v>
      </c>
      <c r="AG4216" s="2">
        <f ca="1"/>
        <v>0.68734182481327677</v>
      </c>
      <c r="AH4216" s="2" t="str">
        <f ca="1"/>
        <v>Bad</v>
      </c>
    </row>
    <row r="4217" spans="2:34" x14ac:dyDescent="0.2">
      <c r="B4217" s="2">
        <f ca="1"/>
        <v>0.17389903800975492</v>
      </c>
      <c r="O4217" s="2">
        <f ca="1"/>
        <v>0.65154005198088061</v>
      </c>
      <c r="X4217" s="2">
        <f ca="1"/>
        <v>47.021337494052574</v>
      </c>
      <c r="AG4217" s="2">
        <f ca="1"/>
        <v>0.80800456922896546</v>
      </c>
      <c r="AH4217" s="2" t="str">
        <f ca="1"/>
        <v>Bad</v>
      </c>
    </row>
    <row r="4218" spans="2:34" x14ac:dyDescent="0.2">
      <c r="B4218" s="2">
        <f ca="1"/>
        <v>0.71478584236623166</v>
      </c>
      <c r="O4218" s="2">
        <f ca="1"/>
        <v>-0.42564429106698204</v>
      </c>
      <c r="X4218" s="2">
        <f ca="1"/>
        <v>35.851566402010995</v>
      </c>
      <c r="AG4218" s="2">
        <f ca="1"/>
        <v>0.20127385173066314</v>
      </c>
      <c r="AH4218" s="2" t="str">
        <f ca="1"/>
        <v>OK</v>
      </c>
    </row>
    <row r="4219" spans="2:34" x14ac:dyDescent="0.2">
      <c r="B4219" s="2">
        <f ca="1"/>
        <v>0.82129631253895918</v>
      </c>
      <c r="O4219" s="2">
        <f ca="1"/>
        <v>1.1546162571690504</v>
      </c>
      <c r="X4219" s="2">
        <f ca="1"/>
        <v>60.731466164720381</v>
      </c>
      <c r="AG4219" s="2">
        <f ca="1"/>
        <v>0.27620996617775506</v>
      </c>
      <c r="AH4219" s="2" t="str">
        <f ca="1"/>
        <v>OK</v>
      </c>
    </row>
    <row r="4220" spans="2:34" x14ac:dyDescent="0.2">
      <c r="B4220" s="2">
        <f ca="1"/>
        <v>0.37553431587763675</v>
      </c>
      <c r="O4220" s="2">
        <f ca="1"/>
        <v>0.28887924801842085</v>
      </c>
      <c r="X4220" s="2">
        <f ca="1"/>
        <v>75.892654311199522</v>
      </c>
      <c r="AG4220" s="2">
        <f ca="1"/>
        <v>5.0857896996869822E-3</v>
      </c>
      <c r="AH4220" s="2" t="str">
        <f ca="1"/>
        <v>Good</v>
      </c>
    </row>
    <row r="4221" spans="2:34" x14ac:dyDescent="0.2">
      <c r="B4221" s="2">
        <f ca="1"/>
        <v>0.36353749573882066</v>
      </c>
      <c r="O4221" s="2">
        <f ca="1"/>
        <v>-0.32509158983277736</v>
      </c>
      <c r="X4221" s="2">
        <f ca="1"/>
        <v>56.272913084109533</v>
      </c>
      <c r="AG4221" s="2">
        <f ca="1"/>
        <v>0.60208457209065247</v>
      </c>
      <c r="AH4221" s="2" t="str">
        <f ca="1"/>
        <v>Bad</v>
      </c>
    </row>
    <row r="4222" spans="2:34" x14ac:dyDescent="0.2">
      <c r="B4222" s="2">
        <f ca="1"/>
        <v>0.98349221804226938</v>
      </c>
      <c r="O4222" s="2">
        <f ca="1"/>
        <v>0.19027745915226676</v>
      </c>
      <c r="X4222" s="2">
        <f ca="1"/>
        <v>47.765539870073724</v>
      </c>
      <c r="AG4222" s="2">
        <f ca="1"/>
        <v>0.10012288801049274</v>
      </c>
      <c r="AH4222" s="2" t="str">
        <f ca="1"/>
        <v>OK</v>
      </c>
    </row>
    <row r="4223" spans="2:34" x14ac:dyDescent="0.2">
      <c r="B4223" s="2">
        <f ca="1"/>
        <v>0.12674474640660072</v>
      </c>
      <c r="O4223" s="2">
        <f ca="1"/>
        <v>-1.3792538277192341</v>
      </c>
      <c r="X4223" s="2">
        <f ca="1"/>
        <v>53.901422311005582</v>
      </c>
      <c r="AG4223" s="2">
        <f ca="1"/>
        <v>0.69006954490190386</v>
      </c>
      <c r="AH4223" s="2" t="str">
        <f ca="1"/>
        <v>Bad</v>
      </c>
    </row>
    <row r="4224" spans="2:34" x14ac:dyDescent="0.2">
      <c r="B4224" s="2">
        <f ca="1"/>
        <v>0.76106316070986835</v>
      </c>
      <c r="O4224" s="2">
        <f ca="1"/>
        <v>1.4681645446903138</v>
      </c>
      <c r="X4224" s="2">
        <f ca="1"/>
        <v>38.45573675433323</v>
      </c>
      <c r="AG4224" s="2">
        <f ca="1"/>
        <v>9.337444944890505E-2</v>
      </c>
      <c r="AH4224" s="2" t="str">
        <f ca="1"/>
        <v>OK</v>
      </c>
    </row>
    <row r="4225" spans="2:34" x14ac:dyDescent="0.2">
      <c r="B4225" s="2">
        <f ca="1"/>
        <v>0.82723520085787805</v>
      </c>
      <c r="O4225" s="2">
        <f ca="1"/>
        <v>0.45262053741463337</v>
      </c>
      <c r="X4225" s="2">
        <f ca="1"/>
        <v>56.640987605922241</v>
      </c>
      <c r="AG4225" s="2">
        <f ca="1"/>
        <v>0.51974358042591429</v>
      </c>
      <c r="AH4225" s="2" t="str">
        <f ca="1"/>
        <v>Bad</v>
      </c>
    </row>
    <row r="4226" spans="2:34" x14ac:dyDescent="0.2">
      <c r="B4226" s="2">
        <f ca="1"/>
        <v>0.49793875967464118</v>
      </c>
      <c r="O4226" s="2">
        <f ca="1"/>
        <v>0.34602728672636013</v>
      </c>
      <c r="X4226" s="2">
        <f ca="1"/>
        <v>29.261609304180428</v>
      </c>
      <c r="AG4226" s="2">
        <f ca="1"/>
        <v>0.61483028174340659</v>
      </c>
      <c r="AH4226" s="2" t="str">
        <f ca="1"/>
        <v>Bad</v>
      </c>
    </row>
    <row r="4227" spans="2:34" x14ac:dyDescent="0.2">
      <c r="B4227" s="2">
        <f ca="1"/>
        <v>0.29064030104897176</v>
      </c>
      <c r="O4227" s="2">
        <f ca="1"/>
        <v>-0.22055471744846825</v>
      </c>
      <c r="X4227" s="2">
        <f ca="1"/>
        <v>42.962118667583134</v>
      </c>
      <c r="AG4227" s="2">
        <f ca="1"/>
        <v>0.20639279478451078</v>
      </c>
      <c r="AH4227" s="2" t="str">
        <f ca="1"/>
        <v>OK</v>
      </c>
    </row>
    <row r="4228" spans="2:34" x14ac:dyDescent="0.2">
      <c r="B4228" s="2">
        <f ca="1"/>
        <v>0.55629348784778454</v>
      </c>
      <c r="O4228" s="2">
        <f ca="1"/>
        <v>-0.97116642025999655</v>
      </c>
      <c r="X4228" s="2">
        <f ca="1"/>
        <v>63.260872769336601</v>
      </c>
      <c r="AG4228" s="2">
        <f ca="1"/>
        <v>0.61984727921795124</v>
      </c>
      <c r="AH4228" s="2" t="str">
        <f ca="1"/>
        <v>Bad</v>
      </c>
    </row>
    <row r="4229" spans="2:34" x14ac:dyDescent="0.2">
      <c r="B4229" s="2">
        <f ca="1"/>
        <v>0.62984936786954226</v>
      </c>
      <c r="O4229" s="2">
        <f ca="1"/>
        <v>0.80147473519579959</v>
      </c>
      <c r="X4229" s="2">
        <f ca="1"/>
        <v>33.550068668573005</v>
      </c>
      <c r="AG4229" s="2">
        <f ca="1"/>
        <v>0.22249520077165963</v>
      </c>
      <c r="AH4229" s="2" t="str">
        <f ca="1"/>
        <v>OK</v>
      </c>
    </row>
    <row r="4230" spans="2:34" x14ac:dyDescent="0.2">
      <c r="B4230" s="2">
        <f ca="1"/>
        <v>0.77788520903903735</v>
      </c>
      <c r="O4230" s="2">
        <f ca="1"/>
        <v>-1.0954679342329205</v>
      </c>
      <c r="X4230" s="2">
        <f ca="1"/>
        <v>37.624746231517378</v>
      </c>
      <c r="AG4230" s="2">
        <f ca="1"/>
        <v>0.44628433317575578</v>
      </c>
      <c r="AH4230" s="2" t="str">
        <f ca="1"/>
        <v>Bad</v>
      </c>
    </row>
    <row r="4231" spans="2:34" x14ac:dyDescent="0.2">
      <c r="B4231" s="2">
        <f ca="1"/>
        <v>0.27048287301690732</v>
      </c>
      <c r="O4231" s="2">
        <f ca="1"/>
        <v>0.36157241724351258</v>
      </c>
      <c r="X4231" s="2">
        <f ca="1"/>
        <v>42.09920489991913</v>
      </c>
      <c r="AG4231" s="2">
        <f ca="1"/>
        <v>0.89270164243673844</v>
      </c>
      <c r="AH4231" s="2" t="str">
        <f ca="1"/>
        <v>Bad</v>
      </c>
    </row>
    <row r="4232" spans="2:34" x14ac:dyDescent="0.2">
      <c r="B4232" s="2">
        <f ca="1"/>
        <v>0.16385462443153109</v>
      </c>
      <c r="O4232" s="2">
        <f ca="1"/>
        <v>-0.43858218975873287</v>
      </c>
      <c r="X4232" s="2">
        <f ca="1"/>
        <v>36.692863152905069</v>
      </c>
      <c r="AG4232" s="2">
        <f ca="1"/>
        <v>6.2464831288495448E-2</v>
      </c>
      <c r="AH4232" s="2" t="str">
        <f ca="1"/>
        <v>OK</v>
      </c>
    </row>
    <row r="4233" spans="2:34" x14ac:dyDescent="0.2">
      <c r="B4233" s="2">
        <f ca="1"/>
        <v>0.67817475582181386</v>
      </c>
      <c r="O4233" s="2">
        <f ca="1"/>
        <v>-0.68461836684927457</v>
      </c>
      <c r="X4233" s="2">
        <f ca="1"/>
        <v>49.499860236610083</v>
      </c>
      <c r="AG4233" s="2">
        <f ca="1"/>
        <v>0.2890003074731522</v>
      </c>
      <c r="AH4233" s="2" t="str">
        <f ca="1"/>
        <v>OK</v>
      </c>
    </row>
    <row r="4234" spans="2:34" x14ac:dyDescent="0.2">
      <c r="B4234" s="2">
        <f ca="1"/>
        <v>0.16068606771249638</v>
      </c>
      <c r="O4234" s="2">
        <f ca="1"/>
        <v>-1.4966756985502458</v>
      </c>
      <c r="X4234" s="2">
        <f ca="1"/>
        <v>30.832167740020321</v>
      </c>
      <c r="AG4234" s="2">
        <f ca="1"/>
        <v>0.83320262387299349</v>
      </c>
      <c r="AH4234" s="2" t="str">
        <f ca="1"/>
        <v>Bad</v>
      </c>
    </row>
    <row r="4235" spans="2:34" x14ac:dyDescent="0.2">
      <c r="B4235" s="2">
        <f ca="1"/>
        <v>0.13936255160332434</v>
      </c>
      <c r="O4235" s="2">
        <f ca="1"/>
        <v>-0.23375947685672277</v>
      </c>
      <c r="X4235" s="2">
        <f ca="1"/>
        <v>59.785103378598528</v>
      </c>
      <c r="AG4235" s="2">
        <f ca="1"/>
        <v>0.59653622701737108</v>
      </c>
      <c r="AH4235" s="2" t="str">
        <f ca="1"/>
        <v>Bad</v>
      </c>
    </row>
    <row r="4236" spans="2:34" x14ac:dyDescent="0.2">
      <c r="B4236" s="2">
        <f ca="1"/>
        <v>0.22510458745381046</v>
      </c>
      <c r="O4236" s="2">
        <f ca="1"/>
        <v>0.26786299670822999</v>
      </c>
      <c r="X4236" s="2">
        <f ca="1"/>
        <v>51.285897380348345</v>
      </c>
      <c r="AG4236" s="2">
        <f ca="1"/>
        <v>0.21378701111269294</v>
      </c>
      <c r="AH4236" s="2" t="str">
        <f ca="1"/>
        <v>OK</v>
      </c>
    </row>
    <row r="4237" spans="2:34" x14ac:dyDescent="0.2">
      <c r="B4237" s="2">
        <f ca="1"/>
        <v>0.8050815343917499</v>
      </c>
      <c r="O4237" s="2">
        <f ca="1"/>
        <v>2.5557891800854229</v>
      </c>
      <c r="X4237" s="2">
        <f ca="1"/>
        <v>68.738310461395116</v>
      </c>
      <c r="AG4237" s="2">
        <f ca="1"/>
        <v>0.36533694272837547</v>
      </c>
      <c r="AH4237" s="2" t="str">
        <f ca="1"/>
        <v>OK</v>
      </c>
    </row>
    <row r="4238" spans="2:34" x14ac:dyDescent="0.2">
      <c r="B4238" s="2">
        <f ca="1"/>
        <v>0.70934247407683548</v>
      </c>
      <c r="O4238" s="2">
        <f ca="1"/>
        <v>-1.075408931846811</v>
      </c>
      <c r="X4238" s="2">
        <f ca="1"/>
        <v>31.678894070271507</v>
      </c>
      <c r="AG4238" s="2">
        <f ca="1"/>
        <v>0.70502888871038594</v>
      </c>
      <c r="AH4238" s="2" t="str">
        <f ca="1"/>
        <v>Bad</v>
      </c>
    </row>
    <row r="4239" spans="2:34" x14ac:dyDescent="0.2">
      <c r="B4239" s="2">
        <f ca="1"/>
        <v>0.45468043225918708</v>
      </c>
      <c r="O4239" s="2">
        <f ca="1"/>
        <v>0.7208995845580235</v>
      </c>
      <c r="X4239" s="2">
        <f ca="1"/>
        <v>63.949018899648692</v>
      </c>
      <c r="AG4239" s="2">
        <f ca="1"/>
        <v>0.63874845520980728</v>
      </c>
      <c r="AH4239" s="2" t="str">
        <f ca="1"/>
        <v>Bad</v>
      </c>
    </row>
    <row r="4240" spans="2:34" x14ac:dyDescent="0.2">
      <c r="B4240" s="2">
        <f ca="1"/>
        <v>0.99068803551796991</v>
      </c>
      <c r="O4240" s="2">
        <f ca="1"/>
        <v>1.0490557196784043</v>
      </c>
      <c r="X4240" s="2">
        <f ca="1"/>
        <v>51.76688514553998</v>
      </c>
      <c r="AG4240" s="2">
        <f ca="1"/>
        <v>0.27629030850267</v>
      </c>
      <c r="AH4240" s="2" t="str">
        <f ca="1"/>
        <v>OK</v>
      </c>
    </row>
    <row r="4241" spans="2:34" x14ac:dyDescent="0.2">
      <c r="B4241" s="2">
        <f ca="1"/>
        <v>0.16538342933129191</v>
      </c>
      <c r="O4241" s="2">
        <f ca="1"/>
        <v>-2.2559716926352755</v>
      </c>
      <c r="X4241" s="2">
        <f ca="1"/>
        <v>72.759821175279271</v>
      </c>
      <c r="AG4241" s="2">
        <f ca="1"/>
        <v>0.58589488319217664</v>
      </c>
      <c r="AH4241" s="2" t="str">
        <f ca="1"/>
        <v>Bad</v>
      </c>
    </row>
    <row r="4242" spans="2:34" x14ac:dyDescent="0.2">
      <c r="B4242" s="2">
        <f ca="1"/>
        <v>0.19602329403118945</v>
      </c>
      <c r="O4242" s="2">
        <f ca="1"/>
        <v>2.3108840460049218</v>
      </c>
      <c r="X4242" s="2">
        <f ca="1"/>
        <v>41.932721398726343</v>
      </c>
      <c r="AG4242" s="2">
        <f ca="1"/>
        <v>3.4774418212216052E-2</v>
      </c>
      <c r="AH4242" s="2" t="str">
        <f ca="1"/>
        <v>Good</v>
      </c>
    </row>
    <row r="4243" spans="2:34" x14ac:dyDescent="0.2">
      <c r="B4243" s="2">
        <f ca="1"/>
        <v>0.27814794075951021</v>
      </c>
      <c r="O4243" s="2">
        <f ca="1"/>
        <v>-1.3663055081920361</v>
      </c>
      <c r="X4243" s="2">
        <f ca="1"/>
        <v>38.696097919730114</v>
      </c>
      <c r="AG4243" s="2">
        <f ca="1"/>
        <v>0.72610032423071202</v>
      </c>
      <c r="AH4243" s="2" t="str">
        <f ca="1"/>
        <v>Bad</v>
      </c>
    </row>
    <row r="4244" spans="2:34" x14ac:dyDescent="0.2">
      <c r="B4244" s="2">
        <f ca="1"/>
        <v>0.50221743380155126</v>
      </c>
      <c r="O4244" s="2">
        <f ca="1"/>
        <v>1.9786134372595214</v>
      </c>
      <c r="X4244" s="2">
        <f ca="1"/>
        <v>44.355867746178852</v>
      </c>
      <c r="AG4244" s="2">
        <f ca="1"/>
        <v>4.8158726075445912E-2</v>
      </c>
      <c r="AH4244" s="2" t="str">
        <f ca="1"/>
        <v>Good</v>
      </c>
    </row>
    <row r="4245" spans="2:34" x14ac:dyDescent="0.2">
      <c r="B4245" s="2">
        <f ca="1"/>
        <v>0.25022818935331692</v>
      </c>
      <c r="O4245" s="2">
        <f ca="1"/>
        <v>-1.480016696094792</v>
      </c>
      <c r="X4245" s="2">
        <f ca="1"/>
        <v>73.777249556812819</v>
      </c>
      <c r="AG4245" s="2">
        <f ca="1"/>
        <v>0.96428258143375767</v>
      </c>
      <c r="AH4245" s="2" t="str">
        <f ca="1"/>
        <v>Bad</v>
      </c>
    </row>
    <row r="4246" spans="2:34" x14ac:dyDescent="0.2">
      <c r="B4246" s="2">
        <f ca="1"/>
        <v>0.2752086390069155</v>
      </c>
      <c r="O4246" s="2">
        <f ca="1"/>
        <v>-0.18854961189699579</v>
      </c>
      <c r="X4246" s="2">
        <f ca="1"/>
        <v>56.973819081557394</v>
      </c>
      <c r="AG4246" s="2">
        <f ca="1"/>
        <v>8.3657811775615043E-2</v>
      </c>
      <c r="AH4246" s="2" t="str">
        <f ca="1"/>
        <v>OK</v>
      </c>
    </row>
    <row r="4247" spans="2:34" x14ac:dyDescent="0.2">
      <c r="B4247" s="2">
        <f ca="1"/>
        <v>6.296188784173351E-2</v>
      </c>
      <c r="O4247" s="2">
        <f ca="1"/>
        <v>-0.33786741767076461</v>
      </c>
      <c r="X4247" s="2">
        <f ca="1"/>
        <v>31.454679595728795</v>
      </c>
      <c r="AG4247" s="2">
        <f ca="1"/>
        <v>0.4619151361679259</v>
      </c>
      <c r="AH4247" s="2" t="str">
        <f ca="1"/>
        <v>Bad</v>
      </c>
    </row>
    <row r="4248" spans="2:34" x14ac:dyDescent="0.2">
      <c r="B4248" s="2">
        <f ca="1"/>
        <v>0.38237395903869653</v>
      </c>
      <c r="O4248" s="2">
        <f ca="1"/>
        <v>-1.2778923307938033</v>
      </c>
      <c r="X4248" s="2">
        <f ca="1"/>
        <v>32.686725379006901</v>
      </c>
      <c r="AG4248" s="2">
        <f ca="1"/>
        <v>0.35019198277224706</v>
      </c>
      <c r="AH4248" s="2" t="str">
        <f ca="1"/>
        <v>OK</v>
      </c>
    </row>
    <row r="4249" spans="2:34" x14ac:dyDescent="0.2">
      <c r="B4249" s="2">
        <f ca="1"/>
        <v>0.73032396712452985</v>
      </c>
      <c r="O4249" s="2">
        <f ca="1"/>
        <v>1.18123340595695</v>
      </c>
      <c r="X4249" s="2">
        <f ca="1"/>
        <v>73.919849099204683</v>
      </c>
      <c r="AG4249" s="2">
        <f ca="1"/>
        <v>0.16110728850086531</v>
      </c>
      <c r="AH4249" s="2" t="str">
        <f ca="1"/>
        <v>OK</v>
      </c>
    </row>
    <row r="4250" spans="2:34" x14ac:dyDescent="0.2">
      <c r="B4250" s="2">
        <f ca="1"/>
        <v>0.90477443569850857</v>
      </c>
      <c r="O4250" s="2">
        <f ca="1"/>
        <v>-0.15574776308780333</v>
      </c>
      <c r="X4250" s="2">
        <f ca="1"/>
        <v>73.090616234455595</v>
      </c>
      <c r="AG4250" s="2">
        <f ca="1"/>
        <v>3.3061669121760007E-2</v>
      </c>
      <c r="AH4250" s="2" t="str">
        <f ca="1"/>
        <v>Good</v>
      </c>
    </row>
    <row r="4251" spans="2:34" x14ac:dyDescent="0.2">
      <c r="B4251" s="2">
        <f ca="1"/>
        <v>0.7626465788473682</v>
      </c>
      <c r="O4251" s="2">
        <f ca="1"/>
        <v>-0.20872877909251977</v>
      </c>
      <c r="X4251" s="2">
        <f ca="1"/>
        <v>55.914397918773147</v>
      </c>
      <c r="AG4251" s="2">
        <f ca="1"/>
        <v>0.33236565470016544</v>
      </c>
      <c r="AH4251" s="2" t="str">
        <f ca="1"/>
        <v>OK</v>
      </c>
    </row>
    <row r="4252" spans="2:34" x14ac:dyDescent="0.2">
      <c r="B4252" s="2">
        <f ca="1"/>
        <v>0.9084021291668174</v>
      </c>
      <c r="O4252" s="2">
        <f ca="1"/>
        <v>-0.11830223761511872</v>
      </c>
      <c r="X4252" s="2">
        <f ca="1"/>
        <v>52.248211810858322</v>
      </c>
      <c r="AG4252" s="2">
        <f ca="1"/>
        <v>0.51060581061389132</v>
      </c>
      <c r="AH4252" s="2" t="str">
        <f ca="1"/>
        <v>Bad</v>
      </c>
    </row>
    <row r="4253" spans="2:34" x14ac:dyDescent="0.2">
      <c r="B4253" s="2">
        <f ca="1"/>
        <v>0.20901873798501214</v>
      </c>
      <c r="O4253" s="2">
        <f ca="1"/>
        <v>0.62396050548847537</v>
      </c>
      <c r="X4253" s="2">
        <f ca="1"/>
        <v>36.251692386332891</v>
      </c>
      <c r="AG4253" s="2">
        <f ca="1"/>
        <v>0.87004886148801752</v>
      </c>
      <c r="AH4253" s="2" t="str">
        <f ca="1"/>
        <v>Bad</v>
      </c>
    </row>
    <row r="4254" spans="2:34" x14ac:dyDescent="0.2">
      <c r="B4254" s="2">
        <f ca="1"/>
        <v>0.3683241341924981</v>
      </c>
      <c r="O4254" s="2">
        <f ca="1"/>
        <v>0.26604343010852827</v>
      </c>
      <c r="X4254" s="2">
        <f ca="1"/>
        <v>49.04336147533553</v>
      </c>
      <c r="AG4254" s="2">
        <f ca="1"/>
        <v>0.81632085801468635</v>
      </c>
      <c r="AH4254" s="2" t="str">
        <f ca="1"/>
        <v>Bad</v>
      </c>
    </row>
    <row r="4255" spans="2:34" x14ac:dyDescent="0.2">
      <c r="B4255" s="2">
        <f ca="1"/>
        <v>0.88037348468834331</v>
      </c>
      <c r="O4255" s="2">
        <f ca="1"/>
        <v>1.9457639559623952</v>
      </c>
      <c r="X4255" s="2">
        <f ca="1"/>
        <v>40.831633531432217</v>
      </c>
      <c r="AG4255" s="2">
        <f ca="1"/>
        <v>0.53349378622940535</v>
      </c>
      <c r="AH4255" s="2" t="str">
        <f ca="1"/>
        <v>Bad</v>
      </c>
    </row>
    <row r="4256" spans="2:34" x14ac:dyDescent="0.2">
      <c r="B4256" s="2">
        <f ca="1"/>
        <v>0.29955087665206626</v>
      </c>
      <c r="O4256" s="2">
        <f ca="1"/>
        <v>-1.5759644387775635</v>
      </c>
      <c r="X4256" s="2">
        <f ca="1"/>
        <v>41.665592398763145</v>
      </c>
      <c r="AG4256" s="2">
        <f ca="1"/>
        <v>0.18370970344568893</v>
      </c>
      <c r="AH4256" s="2" t="str">
        <f ca="1"/>
        <v>OK</v>
      </c>
    </row>
    <row r="4257" spans="2:34" x14ac:dyDescent="0.2">
      <c r="B4257" s="2">
        <f ca="1"/>
        <v>0.50780791102659739</v>
      </c>
      <c r="O4257" s="2">
        <f ca="1"/>
        <v>0.49710871464922385</v>
      </c>
      <c r="X4257" s="2">
        <f ca="1"/>
        <v>40.720681185530822</v>
      </c>
      <c r="AG4257" s="2">
        <f ca="1"/>
        <v>0.60114987144479581</v>
      </c>
      <c r="AH4257" s="2" t="str">
        <f ca="1"/>
        <v>Bad</v>
      </c>
    </row>
    <row r="4258" spans="2:34" x14ac:dyDescent="0.2">
      <c r="B4258" s="2">
        <f ca="1"/>
        <v>1.6181436538645677E-2</v>
      </c>
      <c r="O4258" s="2">
        <f ca="1"/>
        <v>-2.2499727748299754</v>
      </c>
      <c r="X4258" s="2">
        <f ca="1"/>
        <v>47.817900168958296</v>
      </c>
      <c r="AG4258" s="2">
        <f ca="1"/>
        <v>0.19726154948765173</v>
      </c>
      <c r="AH4258" s="2" t="str">
        <f ca="1"/>
        <v>OK</v>
      </c>
    </row>
    <row r="4259" spans="2:34" x14ac:dyDescent="0.2">
      <c r="B4259" s="2">
        <f ca="1"/>
        <v>0.23689977377422822</v>
      </c>
      <c r="O4259" s="2">
        <f ca="1"/>
        <v>0.22109101950513435</v>
      </c>
      <c r="X4259" s="2">
        <f ca="1"/>
        <v>59.032649310419728</v>
      </c>
      <c r="AG4259" s="2">
        <f ca="1"/>
        <v>3.184781970646644E-2</v>
      </c>
      <c r="AH4259" s="2" t="str">
        <f ca="1"/>
        <v>Good</v>
      </c>
    </row>
    <row r="4260" spans="2:34" x14ac:dyDescent="0.2">
      <c r="B4260" s="2">
        <f ca="1"/>
        <v>0.53161866130525204</v>
      </c>
      <c r="O4260" s="2">
        <f ca="1"/>
        <v>0.70007718418396914</v>
      </c>
      <c r="X4260" s="2">
        <f ca="1"/>
        <v>77.003293028930258</v>
      </c>
      <c r="AG4260" s="2">
        <f ca="1"/>
        <v>0.89665456316305359</v>
      </c>
      <c r="AH4260" s="2" t="str">
        <f ca="1"/>
        <v>Bad</v>
      </c>
    </row>
    <row r="4261" spans="2:34" x14ac:dyDescent="0.2">
      <c r="B4261" s="2">
        <f ca="1"/>
        <v>0.59165323443943585</v>
      </c>
      <c r="O4261" s="2">
        <f ca="1"/>
        <v>0.94723035338348538</v>
      </c>
      <c r="X4261" s="2">
        <f ca="1"/>
        <v>38.69639238241075</v>
      </c>
      <c r="AG4261" s="2">
        <f ca="1"/>
        <v>0.6384665759954411</v>
      </c>
      <c r="AH4261" s="2" t="str">
        <f ca="1"/>
        <v>Bad</v>
      </c>
    </row>
    <row r="4262" spans="2:34" x14ac:dyDescent="0.2">
      <c r="B4262" s="2">
        <f ca="1"/>
        <v>0.2055078595290849</v>
      </c>
      <c r="O4262" s="2">
        <f ca="1"/>
        <v>-0.97039207734077715</v>
      </c>
      <c r="X4262" s="2">
        <f ca="1"/>
        <v>63.446466496876354</v>
      </c>
      <c r="AG4262" s="2">
        <f ca="1"/>
        <v>0.98571832423123618</v>
      </c>
      <c r="AH4262" s="2" t="str">
        <f ca="1"/>
        <v>Bad</v>
      </c>
    </row>
    <row r="4263" spans="2:34" x14ac:dyDescent="0.2">
      <c r="B4263" s="2">
        <f ca="1"/>
        <v>0.14781509364875789</v>
      </c>
      <c r="O4263" s="2">
        <f ca="1"/>
        <v>-0.3880136396467424</v>
      </c>
      <c r="X4263" s="2">
        <f ca="1"/>
        <v>58.090668767186457</v>
      </c>
      <c r="AG4263" s="2">
        <f ca="1"/>
        <v>0.30462890031491385</v>
      </c>
      <c r="AH4263" s="2" t="str">
        <f ca="1"/>
        <v>OK</v>
      </c>
    </row>
    <row r="4264" spans="2:34" x14ac:dyDescent="0.2">
      <c r="B4264" s="2">
        <f ca="1"/>
        <v>0.89292856420343769</v>
      </c>
      <c r="O4264" s="2">
        <f ca="1"/>
        <v>-0.9409908690327109</v>
      </c>
      <c r="X4264" s="2">
        <f ca="1"/>
        <v>47.567629359661069</v>
      </c>
      <c r="AG4264" s="2">
        <f ca="1"/>
        <v>0.8820235127361975</v>
      </c>
      <c r="AH4264" s="2" t="str">
        <f ca="1"/>
        <v>Bad</v>
      </c>
    </row>
    <row r="4265" spans="2:34" x14ac:dyDescent="0.2">
      <c r="B4265" s="2">
        <f ca="1"/>
        <v>0.21446944542218627</v>
      </c>
      <c r="O4265" s="2">
        <f ca="1"/>
        <v>6.0272158687747115E-2</v>
      </c>
      <c r="X4265" s="2">
        <f ca="1"/>
        <v>45.625800767897424</v>
      </c>
      <c r="AG4265" s="2">
        <f ca="1"/>
        <v>0.83384905212365723</v>
      </c>
      <c r="AH4265" s="2" t="str">
        <f ca="1"/>
        <v>Bad</v>
      </c>
    </row>
    <row r="4266" spans="2:34" x14ac:dyDescent="0.2">
      <c r="B4266" s="2">
        <f ca="1"/>
        <v>0.30353581049631284</v>
      </c>
      <c r="O4266" s="2">
        <f ca="1"/>
        <v>-2.1319166988933699E-2</v>
      </c>
      <c r="X4266" s="2">
        <f ca="1"/>
        <v>40.642926032274914</v>
      </c>
      <c r="AG4266" s="2">
        <f ca="1"/>
        <v>0.22695903725169897</v>
      </c>
      <c r="AH4266" s="2" t="str">
        <f ca="1"/>
        <v>OK</v>
      </c>
    </row>
    <row r="4267" spans="2:34" x14ac:dyDescent="0.2">
      <c r="B4267" s="2">
        <f ca="1"/>
        <v>0.28532320551630996</v>
      </c>
      <c r="O4267" s="2">
        <f ca="1"/>
        <v>-0.22629768831337904</v>
      </c>
      <c r="X4267" s="2">
        <f ca="1"/>
        <v>49.906749219219755</v>
      </c>
      <c r="AG4267" s="2">
        <f ca="1"/>
        <v>0.7611085205960777</v>
      </c>
      <c r="AH4267" s="2" t="str">
        <f ca="1"/>
        <v>Bad</v>
      </c>
    </row>
    <row r="4268" spans="2:34" x14ac:dyDescent="0.2">
      <c r="B4268" s="2">
        <f ca="1"/>
        <v>0.96093851496506755</v>
      </c>
      <c r="O4268" s="2">
        <f ca="1"/>
        <v>-1.148296022374675</v>
      </c>
      <c r="X4268" s="2">
        <f ca="1"/>
        <v>50.139721113098979</v>
      </c>
      <c r="AG4268" s="2">
        <f ca="1"/>
        <v>0.67527541815135295</v>
      </c>
      <c r="AH4268" s="2" t="str">
        <f ca="1"/>
        <v>Bad</v>
      </c>
    </row>
    <row r="4269" spans="2:34" x14ac:dyDescent="0.2">
      <c r="B4269" s="2">
        <f ca="1"/>
        <v>0.66565881144475236</v>
      </c>
      <c r="O4269" s="2">
        <f ca="1"/>
        <v>0.58428734738866361</v>
      </c>
      <c r="X4269" s="2">
        <f ca="1"/>
        <v>30.500443551931987</v>
      </c>
      <c r="AG4269" s="2">
        <f ca="1"/>
        <v>0.12223136362269105</v>
      </c>
      <c r="AH4269" s="2" t="str">
        <f ca="1"/>
        <v>OK</v>
      </c>
    </row>
    <row r="4270" spans="2:34" x14ac:dyDescent="0.2">
      <c r="B4270" s="2">
        <f ca="1"/>
        <v>0.2986678395396678</v>
      </c>
      <c r="O4270" s="2">
        <f ca="1"/>
        <v>0.60623464315031972</v>
      </c>
      <c r="X4270" s="2">
        <f ca="1"/>
        <v>51.274369316377062</v>
      </c>
      <c r="AG4270" s="2">
        <f ca="1"/>
        <v>0.62062594294131657</v>
      </c>
      <c r="AH4270" s="2" t="str">
        <f ca="1"/>
        <v>Bad</v>
      </c>
    </row>
    <row r="4271" spans="2:34" x14ac:dyDescent="0.2">
      <c r="B4271" s="2">
        <f ca="1"/>
        <v>0.24208377661804215</v>
      </c>
      <c r="O4271" s="2">
        <f ca="1"/>
        <v>0.45344755193989084</v>
      </c>
      <c r="X4271" s="2">
        <f ca="1"/>
        <v>57.696139355304012</v>
      </c>
      <c r="AG4271" s="2">
        <f ca="1"/>
        <v>0.4719516031957518</v>
      </c>
      <c r="AH4271" s="2" t="str">
        <f ca="1"/>
        <v>Bad</v>
      </c>
    </row>
    <row r="4272" spans="2:34" x14ac:dyDescent="0.2">
      <c r="B4272" s="2">
        <f ca="1"/>
        <v>0.21934516145617367</v>
      </c>
      <c r="O4272" s="2">
        <f ca="1"/>
        <v>0.79973441210808638</v>
      </c>
      <c r="X4272" s="2">
        <f ca="1"/>
        <v>55.718303283074263</v>
      </c>
      <c r="AG4272" s="2">
        <f ca="1"/>
        <v>0.27930332599221641</v>
      </c>
      <c r="AH4272" s="2" t="str">
        <f ca="1"/>
        <v>OK</v>
      </c>
    </row>
    <row r="4273" spans="2:34" x14ac:dyDescent="0.2">
      <c r="B4273" s="2">
        <f ca="1"/>
        <v>0.82126928356756967</v>
      </c>
      <c r="O4273" s="2">
        <f ca="1"/>
        <v>0.30673802097248626</v>
      </c>
      <c r="X4273" s="2">
        <f ca="1"/>
        <v>20.785868092581556</v>
      </c>
      <c r="AG4273" s="2">
        <f ca="1"/>
        <v>0.85286344178988882</v>
      </c>
      <c r="AH4273" s="2" t="str">
        <f ca="1"/>
        <v>Bad</v>
      </c>
    </row>
    <row r="4274" spans="2:34" x14ac:dyDescent="0.2">
      <c r="B4274" s="2">
        <f ca="1"/>
        <v>0.5605179033516805</v>
      </c>
      <c r="O4274" s="2">
        <f ca="1"/>
        <v>1.9854980496167034</v>
      </c>
      <c r="X4274" s="2">
        <f ca="1"/>
        <v>99.804689837778568</v>
      </c>
      <c r="AG4274" s="2">
        <f ca="1"/>
        <v>0.11994532858668738</v>
      </c>
      <c r="AH4274" s="2" t="str">
        <f ca="1"/>
        <v>OK</v>
      </c>
    </row>
    <row r="4275" spans="2:34" x14ac:dyDescent="0.2">
      <c r="B4275" s="2">
        <f ca="1"/>
        <v>0.75481373130958351</v>
      </c>
      <c r="O4275" s="2">
        <f ca="1"/>
        <v>-0.70295978792325553</v>
      </c>
      <c r="X4275" s="2">
        <f ca="1"/>
        <v>22.045008798231926</v>
      </c>
      <c r="AG4275" s="2">
        <f ca="1"/>
        <v>7.3731457046013471E-2</v>
      </c>
      <c r="AH4275" s="2" t="str">
        <f ca="1"/>
        <v>OK</v>
      </c>
    </row>
    <row r="4276" spans="2:34" x14ac:dyDescent="0.2">
      <c r="B4276" s="2">
        <f ca="1"/>
        <v>0.67064078321838694</v>
      </c>
      <c r="O4276" s="2">
        <f ca="1"/>
        <v>1.3167259184241364</v>
      </c>
      <c r="X4276" s="2">
        <f ca="1"/>
        <v>51.597436141834542</v>
      </c>
      <c r="AG4276" s="2">
        <f ca="1"/>
        <v>0.17737013507678356</v>
      </c>
      <c r="AH4276" s="2" t="str">
        <f ca="1"/>
        <v>OK</v>
      </c>
    </row>
    <row r="4277" spans="2:34" x14ac:dyDescent="0.2">
      <c r="B4277" s="2">
        <f ca="1"/>
        <v>0.40831340685780249</v>
      </c>
      <c r="O4277" s="2">
        <f ca="1"/>
        <v>-0.60368312882595432</v>
      </c>
      <c r="X4277" s="2">
        <f ca="1"/>
        <v>54.407383210944985</v>
      </c>
      <c r="AG4277" s="2">
        <f ca="1"/>
        <v>0.63277794841818746</v>
      </c>
      <c r="AH4277" s="2" t="str">
        <f ca="1"/>
        <v>Bad</v>
      </c>
    </row>
    <row r="4278" spans="2:34" x14ac:dyDescent="0.2">
      <c r="B4278" s="2">
        <f ca="1"/>
        <v>0.71607699077296383</v>
      </c>
      <c r="O4278" s="2">
        <f ca="1"/>
        <v>-0.54742067781835313</v>
      </c>
      <c r="X4278" s="2">
        <f ca="1"/>
        <v>35.112830555965566</v>
      </c>
      <c r="AG4278" s="2">
        <f ca="1"/>
        <v>0.47279971360552731</v>
      </c>
      <c r="AH4278" s="2" t="str">
        <f ca="1"/>
        <v>Bad</v>
      </c>
    </row>
    <row r="4279" spans="2:34" x14ac:dyDescent="0.2">
      <c r="B4279" s="2">
        <f ca="1"/>
        <v>0.47545424479403553</v>
      </c>
      <c r="O4279" s="2">
        <f ca="1"/>
        <v>1.0485813022265664</v>
      </c>
      <c r="X4279" s="2">
        <f ca="1"/>
        <v>59.459135594679225</v>
      </c>
      <c r="AG4279" s="2">
        <f ca="1"/>
        <v>0.24850775976248252</v>
      </c>
      <c r="AH4279" s="2" t="str">
        <f ca="1"/>
        <v>OK</v>
      </c>
    </row>
    <row r="4280" spans="2:34" x14ac:dyDescent="0.2">
      <c r="B4280" s="2">
        <f ca="1"/>
        <v>0.11112493235930865</v>
      </c>
      <c r="O4280" s="2">
        <f ca="1"/>
        <v>-0.31378226278457039</v>
      </c>
      <c r="X4280" s="2">
        <f ca="1"/>
        <v>47.445487044489212</v>
      </c>
      <c r="AG4280" s="2">
        <f ca="1"/>
        <v>0.54414916300692595</v>
      </c>
      <c r="AH4280" s="2" t="str">
        <f ca="1"/>
        <v>Bad</v>
      </c>
    </row>
    <row r="4281" spans="2:34" x14ac:dyDescent="0.2">
      <c r="B4281" s="2">
        <f ca="1"/>
        <v>0.34280662674602613</v>
      </c>
      <c r="O4281" s="2">
        <f ca="1"/>
        <v>1.5969669461940854</v>
      </c>
      <c r="X4281" s="2">
        <f ca="1"/>
        <v>29.061491895686128</v>
      </c>
      <c r="AG4281" s="2">
        <f ca="1"/>
        <v>0.42205069008097262</v>
      </c>
      <c r="AH4281" s="2" t="str">
        <f ca="1"/>
        <v>Bad</v>
      </c>
    </row>
    <row r="4282" spans="2:34" x14ac:dyDescent="0.2">
      <c r="B4282" s="2">
        <f ca="1"/>
        <v>0.23038552673812918</v>
      </c>
      <c r="O4282" s="2">
        <f ca="1"/>
        <v>0.13206168215146991</v>
      </c>
      <c r="X4282" s="2">
        <f ca="1"/>
        <v>54.433696683567227</v>
      </c>
      <c r="AG4282" s="2">
        <f ca="1"/>
        <v>0.31578384549143146</v>
      </c>
      <c r="AH4282" s="2" t="str">
        <f ca="1"/>
        <v>OK</v>
      </c>
    </row>
    <row r="4283" spans="2:34" x14ac:dyDescent="0.2">
      <c r="B4283" s="2">
        <f ca="1"/>
        <v>0.54461920941725528</v>
      </c>
      <c r="O4283" s="2">
        <f ca="1"/>
        <v>3.9899791367220119E-2</v>
      </c>
      <c r="X4283" s="2">
        <f ca="1"/>
        <v>68.565967349177669</v>
      </c>
      <c r="AG4283" s="2">
        <f ca="1"/>
        <v>2.4247025707931691E-2</v>
      </c>
      <c r="AH4283" s="2" t="str">
        <f ca="1"/>
        <v>Good</v>
      </c>
    </row>
    <row r="4284" spans="2:34" x14ac:dyDescent="0.2">
      <c r="B4284" s="2">
        <f ca="1"/>
        <v>7.8233626383002797E-2</v>
      </c>
      <c r="O4284" s="2">
        <f ca="1"/>
        <v>1.3270629807459118</v>
      </c>
      <c r="X4284" s="2">
        <f ca="1"/>
        <v>37.298703648159666</v>
      </c>
      <c r="AG4284" s="2">
        <f ca="1"/>
        <v>0.10628385836803811</v>
      </c>
      <c r="AH4284" s="2" t="str">
        <f ca="1"/>
        <v>OK</v>
      </c>
    </row>
    <row r="4285" spans="2:34" x14ac:dyDescent="0.2">
      <c r="B4285" s="2">
        <f ca="1"/>
        <v>0.77370209091399156</v>
      </c>
      <c r="O4285" s="2">
        <f ca="1"/>
        <v>1.9049077581102662</v>
      </c>
      <c r="X4285" s="2">
        <f ca="1"/>
        <v>39.721123187202792</v>
      </c>
      <c r="AG4285" s="2">
        <f ca="1"/>
        <v>0.27660607978023211</v>
      </c>
      <c r="AH4285" s="2" t="str">
        <f ca="1"/>
        <v>OK</v>
      </c>
    </row>
    <row r="4286" spans="2:34" x14ac:dyDescent="0.2">
      <c r="B4286" s="2">
        <f ca="1"/>
        <v>0.85727458565706383</v>
      </c>
      <c r="O4286" s="2">
        <f ca="1"/>
        <v>0.11977944917097515</v>
      </c>
      <c r="X4286" s="2">
        <f ca="1"/>
        <v>47.66408706352928</v>
      </c>
      <c r="AG4286" s="2">
        <f ca="1"/>
        <v>0.41059125922088779</v>
      </c>
      <c r="AH4286" s="2" t="str">
        <f ca="1"/>
        <v>Bad</v>
      </c>
    </row>
    <row r="4287" spans="2:34" x14ac:dyDescent="0.2">
      <c r="B4287" s="2">
        <f ca="1"/>
        <v>0.81146331912828096</v>
      </c>
      <c r="O4287" s="2">
        <f ca="1"/>
        <v>1.4323917265622568</v>
      </c>
      <c r="X4287" s="2">
        <f ca="1"/>
        <v>55.970015471359318</v>
      </c>
      <c r="AG4287" s="2">
        <f ca="1"/>
        <v>0.79549640379982578</v>
      </c>
      <c r="AH4287" s="2" t="str">
        <f ca="1"/>
        <v>Bad</v>
      </c>
    </row>
    <row r="4288" spans="2:34" x14ac:dyDescent="0.2">
      <c r="B4288" s="2">
        <f ca="1"/>
        <v>0.88869888764899252</v>
      </c>
      <c r="O4288" s="2">
        <f ca="1"/>
        <v>0.15805649775783098</v>
      </c>
      <c r="X4288" s="2">
        <f ca="1"/>
        <v>31.374663588372101</v>
      </c>
      <c r="AG4288" s="2">
        <f ca="1"/>
        <v>0.69693863536882472</v>
      </c>
      <c r="AH4288" s="2" t="str">
        <f ca="1"/>
        <v>Bad</v>
      </c>
    </row>
    <row r="4289" spans="2:34" x14ac:dyDescent="0.2">
      <c r="B4289" s="2">
        <f ca="1"/>
        <v>0.57050482269847036</v>
      </c>
      <c r="O4289" s="2">
        <f ca="1"/>
        <v>-0.47147838418193677</v>
      </c>
      <c r="X4289" s="2">
        <f ca="1"/>
        <v>53.368535150985934</v>
      </c>
      <c r="AG4289" s="2">
        <f ca="1"/>
        <v>0.39906210507116779</v>
      </c>
      <c r="AH4289" s="2" t="str">
        <f ca="1"/>
        <v>OK</v>
      </c>
    </row>
    <row r="4290" spans="2:34" x14ac:dyDescent="0.2">
      <c r="B4290" s="2">
        <f ca="1"/>
        <v>0.44212818943906385</v>
      </c>
      <c r="O4290" s="2">
        <f ca="1"/>
        <v>0.30414964936408501</v>
      </c>
      <c r="X4290" s="2">
        <f ca="1"/>
        <v>64.848073470715462</v>
      </c>
      <c r="AG4290" s="2">
        <f ca="1"/>
        <v>0.8878194366455463</v>
      </c>
      <c r="AH4290" s="2" t="str">
        <f ca="1"/>
        <v>Bad</v>
      </c>
    </row>
    <row r="4291" spans="2:34" x14ac:dyDescent="0.2">
      <c r="B4291" s="2">
        <f ca="1"/>
        <v>0.40257818300625536</v>
      </c>
      <c r="O4291" s="2">
        <f ca="1"/>
        <v>-1.8540012050656469</v>
      </c>
      <c r="X4291" s="2">
        <f ca="1"/>
        <v>29.019203780505066</v>
      </c>
      <c r="AG4291" s="2">
        <f ca="1"/>
        <v>0.92491684379963712</v>
      </c>
      <c r="AH4291" s="2" t="str">
        <f ca="1"/>
        <v>Bad</v>
      </c>
    </row>
    <row r="4292" spans="2:34" x14ac:dyDescent="0.2">
      <c r="B4292" s="2">
        <f ca="1"/>
        <v>0.39068005250436122</v>
      </c>
      <c r="O4292" s="2">
        <f ca="1"/>
        <v>-2.1885755302673764</v>
      </c>
      <c r="X4292" s="2">
        <f ca="1"/>
        <v>80.321637750992608</v>
      </c>
      <c r="AG4292" s="2">
        <f ca="1"/>
        <v>0.58255822276403202</v>
      </c>
      <c r="AH4292" s="2" t="str">
        <f ca="1"/>
        <v>Bad</v>
      </c>
    </row>
    <row r="4293" spans="2:34" x14ac:dyDescent="0.2">
      <c r="B4293" s="2">
        <f ca="1"/>
        <v>0.23440224169430457</v>
      </c>
      <c r="O4293" s="2">
        <f ca="1"/>
        <v>-0.19149129838917414</v>
      </c>
      <c r="X4293" s="2">
        <f ca="1"/>
        <v>34.698377008445576</v>
      </c>
      <c r="AG4293" s="2">
        <f ca="1"/>
        <v>0.41062880344722141</v>
      </c>
      <c r="AH4293" s="2" t="str">
        <f ca="1"/>
        <v>Bad</v>
      </c>
    </row>
    <row r="4294" spans="2:34" x14ac:dyDescent="0.2">
      <c r="B4294" s="2">
        <f ca="1"/>
        <v>0.26967370639915833</v>
      </c>
      <c r="O4294" s="2">
        <f ca="1"/>
        <v>-0.46765814277163559</v>
      </c>
      <c r="X4294" s="2">
        <f ca="1"/>
        <v>39.791000417546762</v>
      </c>
      <c r="AG4294" s="2">
        <f ca="1"/>
        <v>0.52298125627119219</v>
      </c>
      <c r="AH4294" s="2" t="str">
        <f ca="1"/>
        <v>Bad</v>
      </c>
    </row>
    <row r="4295" spans="2:34" x14ac:dyDescent="0.2">
      <c r="B4295" s="2">
        <f ca="1"/>
        <v>0.45356873158478028</v>
      </c>
      <c r="O4295" s="2">
        <f ca="1"/>
        <v>0.83173631450619223</v>
      </c>
      <c r="X4295" s="2">
        <f ca="1"/>
        <v>50.569068907082411</v>
      </c>
      <c r="AG4295" s="2">
        <f ca="1"/>
        <v>4.2465166690557776E-2</v>
      </c>
      <c r="AH4295" s="2" t="str">
        <f ca="1"/>
        <v>Good</v>
      </c>
    </row>
    <row r="4296" spans="2:34" x14ac:dyDescent="0.2">
      <c r="B4296" s="2">
        <f ca="1"/>
        <v>0.84040064493642697</v>
      </c>
      <c r="O4296" s="2">
        <f ca="1"/>
        <v>0.7847510211736588</v>
      </c>
      <c r="X4296" s="2">
        <f ca="1"/>
        <v>25.293535929827044</v>
      </c>
      <c r="AG4296" s="2">
        <f ca="1"/>
        <v>0.55943087236192657</v>
      </c>
      <c r="AH4296" s="2" t="str">
        <f ca="1"/>
        <v>Bad</v>
      </c>
    </row>
    <row r="4297" spans="2:34" x14ac:dyDescent="0.2">
      <c r="B4297" s="2">
        <f ca="1"/>
        <v>0.96861012176738215</v>
      </c>
      <c r="O4297" s="2">
        <f ca="1"/>
        <v>0.5196463149056969</v>
      </c>
      <c r="X4297" s="2">
        <f ca="1"/>
        <v>37.802175279508347</v>
      </c>
      <c r="AG4297" s="2">
        <f ca="1"/>
        <v>0.5679121795411961</v>
      </c>
      <c r="AH4297" s="2" t="str">
        <f ca="1"/>
        <v>Bad</v>
      </c>
    </row>
    <row r="4298" spans="2:34" x14ac:dyDescent="0.2">
      <c r="B4298" s="2">
        <f ca="1"/>
        <v>0.84303001344616546</v>
      </c>
      <c r="O4298" s="2">
        <f ca="1"/>
        <v>0.50480736592701692</v>
      </c>
      <c r="X4298" s="2">
        <f ca="1"/>
        <v>47.709055801434985</v>
      </c>
      <c r="AG4298" s="2">
        <f ca="1"/>
        <v>1.159906272968203E-2</v>
      </c>
      <c r="AH4298" s="2" t="str">
        <f ca="1"/>
        <v>Good</v>
      </c>
    </row>
    <row r="4299" spans="2:34" x14ac:dyDescent="0.2">
      <c r="B4299" s="2">
        <f ca="1"/>
        <v>0.44467391544952628</v>
      </c>
      <c r="O4299" s="2">
        <f ca="1"/>
        <v>0.65983444063186691</v>
      </c>
      <c r="X4299" s="2">
        <f ca="1"/>
        <v>45.573480907010875</v>
      </c>
      <c r="AG4299" s="2">
        <f ca="1"/>
        <v>0.63903303806039657</v>
      </c>
      <c r="AH4299" s="2" t="str">
        <f ca="1"/>
        <v>Bad</v>
      </c>
    </row>
    <row r="4300" spans="2:34" x14ac:dyDescent="0.2">
      <c r="B4300" s="2">
        <f ca="1"/>
        <v>0.24188184894801168</v>
      </c>
      <c r="O4300" s="2">
        <f ca="1"/>
        <v>1.7349793019808721</v>
      </c>
      <c r="X4300" s="2">
        <f ca="1"/>
        <v>41.274340413220955</v>
      </c>
      <c r="AG4300" s="2">
        <f ca="1"/>
        <v>0.40994139528847762</v>
      </c>
      <c r="AH4300" s="2" t="str">
        <f ca="1"/>
        <v>Bad</v>
      </c>
    </row>
    <row r="4301" spans="2:34" x14ac:dyDescent="0.2">
      <c r="B4301" s="2">
        <f ca="1"/>
        <v>0.45927086061094946</v>
      </c>
      <c r="O4301" s="2">
        <f ca="1"/>
        <v>-0.64979909652022561</v>
      </c>
      <c r="X4301" s="2">
        <f ca="1"/>
        <v>47.257603108688862</v>
      </c>
      <c r="AG4301" s="2">
        <f ca="1"/>
        <v>0.56223981840633797</v>
      </c>
      <c r="AH4301" s="2" t="str">
        <f ca="1"/>
        <v>Bad</v>
      </c>
    </row>
    <row r="4302" spans="2:34" x14ac:dyDescent="0.2">
      <c r="B4302" s="2">
        <f ca="1"/>
        <v>0.33646955263736689</v>
      </c>
      <c r="O4302" s="2">
        <f ca="1"/>
        <v>1.2521929463033374</v>
      </c>
      <c r="X4302" s="2">
        <f ca="1"/>
        <v>48.289717272002989</v>
      </c>
      <c r="AG4302" s="2">
        <f ca="1"/>
        <v>0.19645668328173005</v>
      </c>
      <c r="AH4302" s="2" t="str">
        <f ca="1"/>
        <v>OK</v>
      </c>
    </row>
    <row r="4303" spans="2:34" x14ac:dyDescent="0.2">
      <c r="B4303" s="2">
        <f ca="1"/>
        <v>0.18619570571394806</v>
      </c>
      <c r="O4303" s="2">
        <f ca="1"/>
        <v>-0.47754473296598793</v>
      </c>
      <c r="X4303" s="2">
        <f ca="1"/>
        <v>58.814347918607524</v>
      </c>
      <c r="AG4303" s="2">
        <f ca="1"/>
        <v>0.89706523208833278</v>
      </c>
      <c r="AH4303" s="2" t="str">
        <f ca="1"/>
        <v>Bad</v>
      </c>
    </row>
    <row r="4304" spans="2:34" x14ac:dyDescent="0.2">
      <c r="B4304" s="2">
        <f ca="1"/>
        <v>0.17016276699753008</v>
      </c>
      <c r="O4304" s="2">
        <f ca="1"/>
        <v>-0.71135236035126526</v>
      </c>
      <c r="X4304" s="2">
        <f ca="1"/>
        <v>22.931109010407653</v>
      </c>
      <c r="AG4304" s="2">
        <f ca="1"/>
        <v>0.35011404138842406</v>
      </c>
      <c r="AH4304" s="2" t="str">
        <f ca="1"/>
        <v>OK</v>
      </c>
    </row>
    <row r="4305" spans="2:34" x14ac:dyDescent="0.2">
      <c r="B4305" s="2">
        <f ca="1"/>
        <v>0.94338268441814366</v>
      </c>
      <c r="O4305" s="2">
        <f ca="1"/>
        <v>-0.12001898298476725</v>
      </c>
      <c r="X4305" s="2">
        <f ca="1"/>
        <v>45.692080479213814</v>
      </c>
      <c r="AG4305" s="2">
        <f ca="1"/>
        <v>0.54303454413817187</v>
      </c>
      <c r="AH4305" s="2" t="str">
        <f ca="1"/>
        <v>Bad</v>
      </c>
    </row>
    <row r="4306" spans="2:34" x14ac:dyDescent="0.2">
      <c r="B4306" s="2">
        <f ca="1"/>
        <v>0.7883470459539077</v>
      </c>
      <c r="O4306" s="2">
        <f ca="1"/>
        <v>0.42327075621448657</v>
      </c>
      <c r="X4306" s="2">
        <f ca="1"/>
        <v>60.700607385625645</v>
      </c>
      <c r="AG4306" s="2">
        <f ca="1"/>
        <v>0.51211233463527406</v>
      </c>
      <c r="AH4306" s="2" t="str">
        <f ca="1"/>
        <v>Bad</v>
      </c>
    </row>
    <row r="4307" spans="2:34" x14ac:dyDescent="0.2">
      <c r="B4307" s="2">
        <f ca="1"/>
        <v>0.34347681344371006</v>
      </c>
      <c r="O4307" s="2">
        <f ca="1"/>
        <v>0.39803331737564918</v>
      </c>
      <c r="X4307" s="2">
        <f ca="1"/>
        <v>42.242928825072269</v>
      </c>
      <c r="AG4307" s="2">
        <f ca="1"/>
        <v>0.98815015043455379</v>
      </c>
      <c r="AH4307" s="2" t="str">
        <f ca="1"/>
        <v>Bad</v>
      </c>
    </row>
    <row r="4308" spans="2:34" x14ac:dyDescent="0.2">
      <c r="B4308" s="2">
        <f ca="1"/>
        <v>0.4057248614635991</v>
      </c>
      <c r="O4308" s="2">
        <f ca="1"/>
        <v>-0.12183190583021547</v>
      </c>
      <c r="X4308" s="2">
        <f ca="1"/>
        <v>54.625988467478088</v>
      </c>
      <c r="AG4308" s="2">
        <f ca="1"/>
        <v>0.41911654013112365</v>
      </c>
      <c r="AH4308" s="2" t="str">
        <f ca="1"/>
        <v>Bad</v>
      </c>
    </row>
    <row r="4309" spans="2:34" x14ac:dyDescent="0.2">
      <c r="B4309" s="2">
        <f ca="1"/>
        <v>0.1574789414367781</v>
      </c>
      <c r="O4309" s="2">
        <f ca="1"/>
        <v>-0.13258904026186055</v>
      </c>
      <c r="X4309" s="2">
        <f ca="1"/>
        <v>42.63206978982786</v>
      </c>
      <c r="AG4309" s="2">
        <f ca="1"/>
        <v>0.95151141469194522</v>
      </c>
      <c r="AH4309" s="2" t="str">
        <f ca="1"/>
        <v>Bad</v>
      </c>
    </row>
    <row r="4310" spans="2:34" x14ac:dyDescent="0.2">
      <c r="B4310" s="2">
        <f ca="1"/>
        <v>0.19044312495794657</v>
      </c>
      <c r="O4310" s="2">
        <f ca="1"/>
        <v>0.43711745562793169</v>
      </c>
      <c r="X4310" s="2">
        <f ca="1"/>
        <v>35.912727531059708</v>
      </c>
      <c r="AG4310" s="2">
        <f ca="1"/>
        <v>0.74871324051094756</v>
      </c>
      <c r="AH4310" s="2" t="str">
        <f ca="1"/>
        <v>Bad</v>
      </c>
    </row>
    <row r="4311" spans="2:34" x14ac:dyDescent="0.2">
      <c r="B4311" s="2">
        <f ca="1"/>
        <v>2.8363891208454284E-2</v>
      </c>
      <c r="O4311" s="2">
        <f ca="1"/>
        <v>0.79984614676770016</v>
      </c>
      <c r="X4311" s="2">
        <f ca="1"/>
        <v>26.393083002677216</v>
      </c>
      <c r="AG4311" s="2">
        <f ca="1"/>
        <v>0.39585896988071356</v>
      </c>
      <c r="AH4311" s="2" t="str">
        <f ca="1"/>
        <v>OK</v>
      </c>
    </row>
    <row r="4312" spans="2:34" x14ac:dyDescent="0.2">
      <c r="B4312" s="2">
        <f ca="1"/>
        <v>0.53125703989561335</v>
      </c>
      <c r="O4312" s="2">
        <f ca="1"/>
        <v>-0.88146463297399569</v>
      </c>
      <c r="X4312" s="2">
        <f ca="1"/>
        <v>65.57199755596298</v>
      </c>
      <c r="AG4312" s="2">
        <f ca="1"/>
        <v>0.99051715444489519</v>
      </c>
      <c r="AH4312" s="2" t="str">
        <f ca="1"/>
        <v>Bad</v>
      </c>
    </row>
    <row r="4313" spans="2:34" x14ac:dyDescent="0.2">
      <c r="B4313" s="2">
        <f ca="1"/>
        <v>3.0847640807420973E-2</v>
      </c>
      <c r="O4313" s="2">
        <f ca="1"/>
        <v>0.21342386436504349</v>
      </c>
      <c r="X4313" s="2">
        <f ca="1"/>
        <v>47.079629936859078</v>
      </c>
      <c r="AG4313" s="2">
        <f ca="1"/>
        <v>0.63163299744532031</v>
      </c>
      <c r="AH4313" s="2" t="str">
        <f ca="1"/>
        <v>Bad</v>
      </c>
    </row>
    <row r="4314" spans="2:34" x14ac:dyDescent="0.2">
      <c r="B4314" s="2">
        <f ca="1"/>
        <v>0.67236107206928675</v>
      </c>
      <c r="O4314" s="2">
        <f ca="1"/>
        <v>0.28671923689473777</v>
      </c>
      <c r="X4314" s="2">
        <f ca="1"/>
        <v>34.954304977240106</v>
      </c>
      <c r="AG4314" s="2">
        <f ca="1"/>
        <v>0.10700270565256575</v>
      </c>
      <c r="AH4314" s="2" t="str">
        <f ca="1"/>
        <v>OK</v>
      </c>
    </row>
    <row r="4315" spans="2:34" x14ac:dyDescent="0.2">
      <c r="B4315" s="2">
        <f ca="1"/>
        <v>0.45240022424788662</v>
      </c>
      <c r="O4315" s="2">
        <f ca="1"/>
        <v>-0.6810517322254882</v>
      </c>
      <c r="X4315" s="2">
        <f ca="1"/>
        <v>41.209924435410215</v>
      </c>
      <c r="AG4315" s="2">
        <f ca="1"/>
        <v>0.1495999353424049</v>
      </c>
      <c r="AH4315" s="2" t="str">
        <f ca="1"/>
        <v>OK</v>
      </c>
    </row>
    <row r="4316" spans="2:34" x14ac:dyDescent="0.2">
      <c r="B4316" s="2">
        <f ca="1"/>
        <v>0.97885046658109576</v>
      </c>
      <c r="O4316" s="2">
        <f ca="1"/>
        <v>0.62495305937832779</v>
      </c>
      <c r="X4316" s="2">
        <f ca="1"/>
        <v>61.906220890358306</v>
      </c>
      <c r="AG4316" s="2">
        <f ca="1"/>
        <v>0.72145164668937745</v>
      </c>
      <c r="AH4316" s="2" t="str">
        <f ca="1"/>
        <v>Bad</v>
      </c>
    </row>
    <row r="4317" spans="2:34" x14ac:dyDescent="0.2">
      <c r="B4317" s="2">
        <f ca="1"/>
        <v>0.23074816018463373</v>
      </c>
      <c r="O4317" s="2">
        <f ca="1"/>
        <v>-1.6874617915703964</v>
      </c>
      <c r="X4317" s="2">
        <f ca="1"/>
        <v>45.994900723415952</v>
      </c>
      <c r="AG4317" s="2">
        <f ca="1"/>
        <v>0.2716038870224482</v>
      </c>
      <c r="AH4317" s="2" t="str">
        <f ca="1"/>
        <v>OK</v>
      </c>
    </row>
    <row r="4318" spans="2:34" x14ac:dyDescent="0.2">
      <c r="B4318" s="2">
        <f ca="1"/>
        <v>3.7946376999879128E-2</v>
      </c>
      <c r="O4318" s="2">
        <f ca="1"/>
        <v>0.31337178585577941</v>
      </c>
      <c r="X4318" s="2">
        <f ca="1"/>
        <v>30.381405864135647</v>
      </c>
      <c r="AG4318" s="2">
        <f ca="1"/>
        <v>0.15816090832537766</v>
      </c>
      <c r="AH4318" s="2" t="str">
        <f ca="1"/>
        <v>OK</v>
      </c>
    </row>
    <row r="4319" spans="2:34" x14ac:dyDescent="0.2">
      <c r="B4319" s="2">
        <f ca="1"/>
        <v>0.28043054814742852</v>
      </c>
      <c r="O4319" s="2">
        <f ca="1"/>
        <v>-0.7295824854233588</v>
      </c>
      <c r="X4319" s="2">
        <f ca="1"/>
        <v>34.623417587284749</v>
      </c>
      <c r="AG4319" s="2">
        <f ca="1"/>
        <v>0.88490504376112344</v>
      </c>
      <c r="AH4319" s="2" t="str">
        <f ca="1"/>
        <v>Bad</v>
      </c>
    </row>
    <row r="4320" spans="2:34" x14ac:dyDescent="0.2">
      <c r="B4320" s="2">
        <f ca="1"/>
        <v>0.19583603887064904</v>
      </c>
      <c r="O4320" s="2">
        <f ca="1"/>
        <v>-0.28941584945490462</v>
      </c>
      <c r="X4320" s="2">
        <f ca="1"/>
        <v>38.927260613199934</v>
      </c>
      <c r="AG4320" s="2">
        <f ca="1"/>
        <v>0.91151252515933567</v>
      </c>
      <c r="AH4320" s="2" t="str">
        <f ca="1"/>
        <v>Bad</v>
      </c>
    </row>
    <row r="4321" spans="2:34" x14ac:dyDescent="0.2">
      <c r="B4321" s="2">
        <f ca="1"/>
        <v>0.94228516581757149</v>
      </c>
      <c r="O4321" s="2">
        <f ca="1"/>
        <v>-0.33294583470703054</v>
      </c>
      <c r="X4321" s="2">
        <f ca="1"/>
        <v>45.029764921407448</v>
      </c>
      <c r="AG4321" s="2">
        <f ca="1"/>
        <v>0.18168970249940708</v>
      </c>
      <c r="AH4321" s="2" t="str">
        <f ca="1"/>
        <v>OK</v>
      </c>
    </row>
    <row r="4322" spans="2:34" x14ac:dyDescent="0.2">
      <c r="B4322" s="2">
        <f ca="1"/>
        <v>0.77553224843563773</v>
      </c>
      <c r="O4322" s="2">
        <f ca="1"/>
        <v>0.27994667741638851</v>
      </c>
      <c r="X4322" s="2">
        <f ca="1"/>
        <v>35.072977647857584</v>
      </c>
      <c r="AG4322" s="2">
        <f ca="1"/>
        <v>0.44573377085772226</v>
      </c>
      <c r="AH4322" s="2" t="str">
        <f ca="1"/>
        <v>Bad</v>
      </c>
    </row>
    <row r="4323" spans="2:34" x14ac:dyDescent="0.2">
      <c r="B4323" s="2">
        <f ca="1"/>
        <v>0.86176641800937248</v>
      </c>
      <c r="O4323" s="2">
        <f ca="1"/>
        <v>-0.56144814504099139</v>
      </c>
      <c r="X4323" s="2">
        <f ca="1"/>
        <v>28.630639203674949</v>
      </c>
      <c r="AG4323" s="2">
        <f ca="1"/>
        <v>0.41764545775603246</v>
      </c>
      <c r="AH4323" s="2" t="str">
        <f ca="1"/>
        <v>Bad</v>
      </c>
    </row>
    <row r="4324" spans="2:34" x14ac:dyDescent="0.2">
      <c r="B4324" s="2">
        <f ca="1"/>
        <v>0.19994503223183879</v>
      </c>
      <c r="O4324" s="2">
        <f ca="1"/>
        <v>1.8046221841314716</v>
      </c>
      <c r="X4324" s="2">
        <f ca="1"/>
        <v>36.729493448014154</v>
      </c>
      <c r="AG4324" s="2">
        <f ca="1"/>
        <v>0.2320951914626932</v>
      </c>
      <c r="AH4324" s="2" t="str">
        <f ca="1"/>
        <v>OK</v>
      </c>
    </row>
    <row r="4325" spans="2:34" x14ac:dyDescent="0.2">
      <c r="B4325" s="2">
        <f ca="1"/>
        <v>0.26082169560207946</v>
      </c>
      <c r="O4325" s="2">
        <f ca="1"/>
        <v>0.25266851329236634</v>
      </c>
      <c r="X4325" s="2">
        <f ca="1"/>
        <v>65.096024659207899</v>
      </c>
      <c r="AG4325" s="2">
        <f ca="1"/>
        <v>0.98762220808568868</v>
      </c>
      <c r="AH4325" s="2" t="str">
        <f ca="1"/>
        <v>Bad</v>
      </c>
    </row>
    <row r="4326" spans="2:34" x14ac:dyDescent="0.2">
      <c r="B4326" s="2">
        <f ca="1"/>
        <v>0.51145903021002548</v>
      </c>
      <c r="O4326" s="2">
        <f ca="1"/>
        <v>-0.57519148699133738</v>
      </c>
      <c r="X4326" s="2">
        <f ca="1"/>
        <v>45.101131300229326</v>
      </c>
      <c r="AG4326" s="2">
        <f ca="1"/>
        <v>0.65113264311313612</v>
      </c>
      <c r="AH4326" s="2" t="str">
        <f ca="1"/>
        <v>Bad</v>
      </c>
    </row>
    <row r="4327" spans="2:34" x14ac:dyDescent="0.2">
      <c r="B4327" s="2">
        <f ca="1"/>
        <v>0.27260657712537228</v>
      </c>
      <c r="O4327" s="2">
        <f ca="1"/>
        <v>0.21443309691406867</v>
      </c>
      <c r="X4327" s="2">
        <f ca="1"/>
        <v>34.019421459437773</v>
      </c>
      <c r="AG4327" s="2">
        <f ca="1"/>
        <v>0.64575786513576938</v>
      </c>
      <c r="AH4327" s="2" t="str">
        <f ca="1"/>
        <v>Bad</v>
      </c>
    </row>
    <row r="4328" spans="2:34" x14ac:dyDescent="0.2">
      <c r="B4328" s="2">
        <f ca="1"/>
        <v>0.55593848586173844</v>
      </c>
      <c r="O4328" s="2">
        <f ca="1"/>
        <v>0.97760170505371502</v>
      </c>
      <c r="X4328" s="2">
        <f ca="1"/>
        <v>55.020283114329693</v>
      </c>
      <c r="AG4328" s="2">
        <f ca="1"/>
        <v>0.68657695433262633</v>
      </c>
      <c r="AH4328" s="2" t="str">
        <f ca="1"/>
        <v>Bad</v>
      </c>
    </row>
    <row r="4329" spans="2:34" x14ac:dyDescent="0.2">
      <c r="B4329" s="2">
        <f ca="1"/>
        <v>0.45994310565840957</v>
      </c>
      <c r="O4329" s="2">
        <f ca="1"/>
        <v>0.60064366334499808</v>
      </c>
      <c r="X4329" s="2">
        <f ca="1"/>
        <v>43.796688287787376</v>
      </c>
      <c r="AG4329" s="2">
        <f ca="1"/>
        <v>9.2191159546283652E-2</v>
      </c>
      <c r="AH4329" s="2" t="str">
        <f ca="1"/>
        <v>OK</v>
      </c>
    </row>
    <row r="4330" spans="2:34" x14ac:dyDescent="0.2">
      <c r="B4330" s="2">
        <f ca="1"/>
        <v>0.83205751446191933</v>
      </c>
      <c r="O4330" s="2">
        <f ca="1"/>
        <v>-0.71614615073341115</v>
      </c>
      <c r="X4330" s="2">
        <f ca="1"/>
        <v>41.711078739491676</v>
      </c>
      <c r="AG4330" s="2">
        <f ca="1"/>
        <v>0.89138085013584312</v>
      </c>
      <c r="AH4330" s="2" t="str">
        <f ca="1"/>
        <v>Bad</v>
      </c>
    </row>
    <row r="4331" spans="2:34" x14ac:dyDescent="0.2">
      <c r="B4331" s="2">
        <f ca="1"/>
        <v>0.98165808732854321</v>
      </c>
      <c r="O4331" s="2">
        <f ca="1"/>
        <v>-0.64112733410630518</v>
      </c>
      <c r="X4331" s="2">
        <f ca="1"/>
        <v>37.791728004930377</v>
      </c>
      <c r="AG4331" s="2">
        <f ca="1"/>
        <v>0.6798032384662529</v>
      </c>
      <c r="AH4331" s="2" t="str">
        <f ca="1"/>
        <v>Bad</v>
      </c>
    </row>
    <row r="4332" spans="2:34" x14ac:dyDescent="0.2">
      <c r="B4332" s="2">
        <f ca="1"/>
        <v>0.89002089387284666</v>
      </c>
      <c r="O4332" s="2">
        <f ca="1"/>
        <v>0.48153378079226994</v>
      </c>
      <c r="X4332" s="2">
        <f ca="1"/>
        <v>51.062746451642212</v>
      </c>
      <c r="AG4332" s="2">
        <f ca="1"/>
        <v>0.66621456148648117</v>
      </c>
      <c r="AH4332" s="2" t="str">
        <f ca="1"/>
        <v>Bad</v>
      </c>
    </row>
    <row r="4333" spans="2:34" x14ac:dyDescent="0.2">
      <c r="B4333" s="2">
        <f ca="1"/>
        <v>0.34322404069969159</v>
      </c>
      <c r="O4333" s="2">
        <f ca="1"/>
        <v>1.23354075031469</v>
      </c>
      <c r="X4333" s="2">
        <f ca="1"/>
        <v>39.926601932275645</v>
      </c>
      <c r="AG4333" s="2">
        <f ca="1"/>
        <v>5.7918377737044002E-2</v>
      </c>
      <c r="AH4333" s="2" t="str">
        <f ca="1"/>
        <v>OK</v>
      </c>
    </row>
    <row r="4334" spans="2:34" x14ac:dyDescent="0.2">
      <c r="B4334" s="2">
        <f ca="1"/>
        <v>0.51188899785658348</v>
      </c>
      <c r="O4334" s="2">
        <f ca="1"/>
        <v>1.8983226156243447</v>
      </c>
      <c r="X4334" s="2">
        <f ca="1"/>
        <v>50.869548619993836</v>
      </c>
      <c r="AG4334" s="2">
        <f ca="1"/>
        <v>0.80558525551211568</v>
      </c>
      <c r="AH4334" s="2" t="str">
        <f ca="1"/>
        <v>Bad</v>
      </c>
    </row>
    <row r="4335" spans="2:34" x14ac:dyDescent="0.2">
      <c r="B4335" s="2">
        <f ca="1"/>
        <v>0.92355935428488345</v>
      </c>
      <c r="O4335" s="2">
        <f ca="1"/>
        <v>-1.6036112323008467</v>
      </c>
      <c r="X4335" s="2">
        <f ca="1"/>
        <v>80.42418053071232</v>
      </c>
      <c r="AG4335" s="2">
        <f ca="1"/>
        <v>3.9115928166799652E-2</v>
      </c>
      <c r="AH4335" s="2" t="str">
        <f ca="1"/>
        <v>Good</v>
      </c>
    </row>
    <row r="4336" spans="2:34" x14ac:dyDescent="0.2">
      <c r="B4336" s="2">
        <f ca="1"/>
        <v>0.60939106622368455</v>
      </c>
      <c r="O4336" s="2">
        <f ca="1"/>
        <v>-0.48852108704104413</v>
      </c>
      <c r="X4336" s="2">
        <f ca="1"/>
        <v>67.408624747941445</v>
      </c>
      <c r="AG4336" s="2">
        <f ca="1"/>
        <v>0.70889525222218142</v>
      </c>
      <c r="AH4336" s="2" t="str">
        <f ca="1"/>
        <v>Bad</v>
      </c>
    </row>
    <row r="4337" spans="2:34" x14ac:dyDescent="0.2">
      <c r="B4337" s="2">
        <f ca="1"/>
        <v>0.62937080758614994</v>
      </c>
      <c r="O4337" s="2">
        <f ca="1"/>
        <v>-0.59041421340538036</v>
      </c>
      <c r="X4337" s="2">
        <f ca="1"/>
        <v>40.148828810387833</v>
      </c>
      <c r="AG4337" s="2">
        <f ca="1"/>
        <v>0.57012563232894831</v>
      </c>
      <c r="AH4337" s="2" t="str">
        <f ca="1"/>
        <v>Bad</v>
      </c>
    </row>
    <row r="4338" spans="2:34" x14ac:dyDescent="0.2">
      <c r="B4338" s="2">
        <f ca="1"/>
        <v>0.24694638156169924</v>
      </c>
      <c r="O4338" s="2">
        <f ca="1"/>
        <v>2.0400587807812731</v>
      </c>
      <c r="X4338" s="2">
        <f ca="1"/>
        <v>38.003960932440776</v>
      </c>
      <c r="AG4338" s="2">
        <f ca="1"/>
        <v>0.67545745161953219</v>
      </c>
      <c r="AH4338" s="2" t="str">
        <f ca="1"/>
        <v>Bad</v>
      </c>
    </row>
    <row r="4339" spans="2:34" x14ac:dyDescent="0.2">
      <c r="B4339" s="2">
        <f ca="1"/>
        <v>0.23897344808476206</v>
      </c>
      <c r="O4339" s="2">
        <f ca="1"/>
        <v>-9.969780220685559E-2</v>
      </c>
      <c r="X4339" s="2">
        <f ca="1"/>
        <v>46.114749350448278</v>
      </c>
      <c r="AG4339" s="2">
        <f ca="1"/>
        <v>0.4935574480139957</v>
      </c>
      <c r="AH4339" s="2" t="str">
        <f ca="1"/>
        <v>Bad</v>
      </c>
    </row>
    <row r="4340" spans="2:34" x14ac:dyDescent="0.2">
      <c r="B4340" s="2">
        <f ca="1"/>
        <v>0.23353213445479892</v>
      </c>
      <c r="O4340" s="2">
        <f ca="1"/>
        <v>1.1035715903269581</v>
      </c>
      <c r="X4340" s="2">
        <f ca="1"/>
        <v>39.028668057197194</v>
      </c>
      <c r="AG4340" s="2">
        <f ca="1"/>
        <v>0.57489297009308338</v>
      </c>
      <c r="AH4340" s="2" t="str">
        <f ca="1"/>
        <v>Bad</v>
      </c>
    </row>
    <row r="4341" spans="2:34" x14ac:dyDescent="0.2">
      <c r="B4341" s="2">
        <f ca="1"/>
        <v>0.9485517806746242</v>
      </c>
      <c r="O4341" s="2">
        <f ca="1"/>
        <v>1.3349932059481564</v>
      </c>
      <c r="X4341" s="2">
        <f ca="1"/>
        <v>53.129561729167762</v>
      </c>
      <c r="AG4341" s="2">
        <f ca="1"/>
        <v>0.86721838506347626</v>
      </c>
      <c r="AH4341" s="2" t="str">
        <f ca="1"/>
        <v>Bad</v>
      </c>
    </row>
    <row r="4342" spans="2:34" x14ac:dyDescent="0.2">
      <c r="B4342" s="2">
        <f ca="1"/>
        <v>9.6176213785229114E-2</v>
      </c>
      <c r="O4342" s="2">
        <f ca="1"/>
        <v>-0.28514446681616828</v>
      </c>
      <c r="X4342" s="2">
        <f ca="1"/>
        <v>52.174786833412583</v>
      </c>
      <c r="AG4342" s="2">
        <f ca="1"/>
        <v>0.26198807513313138</v>
      </c>
      <c r="AH4342" s="2" t="str">
        <f ca="1"/>
        <v>OK</v>
      </c>
    </row>
    <row r="4343" spans="2:34" x14ac:dyDescent="0.2">
      <c r="B4343" s="2">
        <f ca="1"/>
        <v>0.32839078971670888</v>
      </c>
      <c r="O4343" s="2">
        <f ca="1"/>
        <v>-0.18107858345053718</v>
      </c>
      <c r="X4343" s="2">
        <f ca="1"/>
        <v>42.406043188912506</v>
      </c>
      <c r="AG4343" s="2">
        <f ca="1"/>
        <v>0.49202154012125821</v>
      </c>
      <c r="AH4343" s="2" t="str">
        <f ca="1"/>
        <v>Bad</v>
      </c>
    </row>
    <row r="4344" spans="2:34" x14ac:dyDescent="0.2">
      <c r="B4344" s="2">
        <f ca="1"/>
        <v>0.82682320869367754</v>
      </c>
      <c r="O4344" s="2">
        <f ca="1"/>
        <v>0.49797570535519692</v>
      </c>
      <c r="X4344" s="2">
        <f ca="1"/>
        <v>46.202914685894996</v>
      </c>
      <c r="AG4344" s="2">
        <f ca="1"/>
        <v>2.666981573827254E-2</v>
      </c>
      <c r="AH4344" s="2" t="str">
        <f ca="1"/>
        <v>Good</v>
      </c>
    </row>
    <row r="4345" spans="2:34" x14ac:dyDescent="0.2">
      <c r="B4345" s="2">
        <f ca="1"/>
        <v>0.39181085010257899</v>
      </c>
      <c r="O4345" s="2">
        <f ca="1"/>
        <v>5.7092598017038476E-2</v>
      </c>
      <c r="X4345" s="2">
        <f ca="1"/>
        <v>29.028023431967533</v>
      </c>
      <c r="AG4345" s="2">
        <f ca="1"/>
        <v>0.2279295087079154</v>
      </c>
      <c r="AH4345" s="2" t="str">
        <f ca="1"/>
        <v>OK</v>
      </c>
    </row>
    <row r="4346" spans="2:34" x14ac:dyDescent="0.2">
      <c r="B4346" s="2">
        <f ca="1"/>
        <v>0.24109713472432048</v>
      </c>
      <c r="O4346" s="2">
        <f ca="1"/>
        <v>0.44997822832646495</v>
      </c>
      <c r="X4346" s="2">
        <f ca="1"/>
        <v>31.997426494234482</v>
      </c>
      <c r="AG4346" s="2">
        <f ca="1"/>
        <v>0.44021611368549207</v>
      </c>
      <c r="AH4346" s="2" t="str">
        <f ca="1"/>
        <v>Bad</v>
      </c>
    </row>
    <row r="4347" spans="2:34" x14ac:dyDescent="0.2">
      <c r="B4347" s="2">
        <f ca="1"/>
        <v>0.18548460761399244</v>
      </c>
      <c r="O4347" s="2">
        <f ca="1"/>
        <v>-0.5133672750666024</v>
      </c>
      <c r="X4347" s="2">
        <f ca="1"/>
        <v>45.512642236469716</v>
      </c>
      <c r="AG4347" s="2">
        <f ca="1"/>
        <v>0.92772926065395622</v>
      </c>
      <c r="AH4347" s="2" t="str">
        <f ca="1"/>
        <v>Bad</v>
      </c>
    </row>
    <row r="4348" spans="2:34" x14ac:dyDescent="0.2">
      <c r="B4348" s="2">
        <f ca="1"/>
        <v>0.28666116007486409</v>
      </c>
      <c r="O4348" s="2">
        <f ca="1"/>
        <v>-0.83907617401242074</v>
      </c>
      <c r="X4348" s="2">
        <f ca="1"/>
        <v>32.136446139666532</v>
      </c>
      <c r="AG4348" s="2">
        <f ca="1"/>
        <v>0.3773044288784444</v>
      </c>
      <c r="AH4348" s="2" t="str">
        <f ca="1"/>
        <v>OK</v>
      </c>
    </row>
    <row r="4349" spans="2:34" x14ac:dyDescent="0.2">
      <c r="B4349" s="2">
        <f ca="1"/>
        <v>0.84571816192945581</v>
      </c>
      <c r="O4349" s="2">
        <f ca="1"/>
        <v>-1.1075247482331909</v>
      </c>
      <c r="X4349" s="2">
        <f ca="1"/>
        <v>20.99566396113087</v>
      </c>
      <c r="AG4349" s="2">
        <f ca="1"/>
        <v>0.65980290068015512</v>
      </c>
      <c r="AH4349" s="2" t="str">
        <f ca="1"/>
        <v>Bad</v>
      </c>
    </row>
    <row r="4350" spans="2:34" x14ac:dyDescent="0.2">
      <c r="B4350" s="2">
        <f ca="1"/>
        <v>0.67623246877972965</v>
      </c>
      <c r="O4350" s="2">
        <f ca="1"/>
        <v>0.96789810249302921</v>
      </c>
      <c r="X4350" s="2">
        <f ca="1"/>
        <v>59.16345624999866</v>
      </c>
      <c r="AG4350" s="2">
        <f ca="1"/>
        <v>0.38952948147084099</v>
      </c>
      <c r="AH4350" s="2" t="str">
        <f ca="1"/>
        <v>OK</v>
      </c>
    </row>
    <row r="4351" spans="2:34" x14ac:dyDescent="0.2">
      <c r="B4351" s="2">
        <f ca="1"/>
        <v>0.58403977559488562</v>
      </c>
      <c r="O4351" s="2">
        <f ca="1"/>
        <v>-0.18945354557390048</v>
      </c>
      <c r="X4351" s="2">
        <f ca="1"/>
        <v>35.920048255224188</v>
      </c>
      <c r="AG4351" s="2">
        <f ca="1"/>
        <v>7.9510500215207003E-2</v>
      </c>
      <c r="AH4351" s="2" t="str">
        <f ca="1"/>
        <v>OK</v>
      </c>
    </row>
    <row r="4352" spans="2:34" x14ac:dyDescent="0.2">
      <c r="B4352" s="2">
        <f ca="1"/>
        <v>0.32124698889513459</v>
      </c>
      <c r="O4352" s="2">
        <f ca="1"/>
        <v>0.60938122694553765</v>
      </c>
      <c r="X4352" s="2">
        <f ca="1"/>
        <v>52.066897162441236</v>
      </c>
      <c r="AG4352" s="2">
        <f ca="1"/>
        <v>0.37723655289336255</v>
      </c>
      <c r="AH4352" s="2" t="str">
        <f ca="1"/>
        <v>OK</v>
      </c>
    </row>
    <row r="4353" spans="2:34" x14ac:dyDescent="0.2">
      <c r="B4353" s="2">
        <f ca="1"/>
        <v>0.17298264807627817</v>
      </c>
      <c r="O4353" s="2">
        <f ca="1"/>
        <v>0.83150678762727248</v>
      </c>
      <c r="X4353" s="2">
        <f ca="1"/>
        <v>23.50738257533709</v>
      </c>
      <c r="AG4353" s="2">
        <f ca="1"/>
        <v>0.37735221369503047</v>
      </c>
      <c r="AH4353" s="2" t="str">
        <f ca="1"/>
        <v>OK</v>
      </c>
    </row>
    <row r="4354" spans="2:34" x14ac:dyDescent="0.2">
      <c r="B4354" s="2">
        <f ca="1"/>
        <v>0.97729018158457337</v>
      </c>
      <c r="O4354" s="2">
        <f ca="1"/>
        <v>0.98650434085865235</v>
      </c>
      <c r="X4354" s="2">
        <f ca="1"/>
        <v>51.352579299001746</v>
      </c>
      <c r="AG4354" s="2">
        <f ca="1"/>
        <v>0.95321645946273725</v>
      </c>
      <c r="AH4354" s="2" t="str">
        <f ca="1"/>
        <v>Bad</v>
      </c>
    </row>
    <row r="4355" spans="2:34" x14ac:dyDescent="0.2">
      <c r="B4355" s="2">
        <f ca="1"/>
        <v>0.29395997382929484</v>
      </c>
      <c r="O4355" s="2">
        <f ca="1"/>
        <v>1.4256928262721877</v>
      </c>
      <c r="X4355" s="2">
        <f ca="1"/>
        <v>60.483982974536168</v>
      </c>
      <c r="AG4355" s="2">
        <f ca="1"/>
        <v>0.65736201238092384</v>
      </c>
      <c r="AH4355" s="2" t="str">
        <f ca="1"/>
        <v>Bad</v>
      </c>
    </row>
    <row r="4356" spans="2:34" x14ac:dyDescent="0.2">
      <c r="B4356" s="2">
        <f ca="1"/>
        <v>0.89644100033514085</v>
      </c>
      <c r="O4356" s="2">
        <f ca="1"/>
        <v>1.6435502556152364</v>
      </c>
      <c r="X4356" s="2">
        <f ca="1"/>
        <v>54.720667041009598</v>
      </c>
      <c r="AG4356" s="2">
        <f ca="1"/>
        <v>0.26976563176243284</v>
      </c>
      <c r="AH4356" s="2" t="str">
        <f ca="1"/>
        <v>OK</v>
      </c>
    </row>
    <row r="4357" spans="2:34" x14ac:dyDescent="0.2">
      <c r="B4357" s="2">
        <f ca="1"/>
        <v>0.49436556663822517</v>
      </c>
      <c r="O4357" s="2">
        <f ca="1"/>
        <v>2.0309782143442972</v>
      </c>
      <c r="X4357" s="2">
        <f ca="1"/>
        <v>38.621883777102873</v>
      </c>
      <c r="AG4357" s="2">
        <f ca="1"/>
        <v>0.60365751583528371</v>
      </c>
      <c r="AH4357" s="2" t="str">
        <f ca="1"/>
        <v>Bad</v>
      </c>
    </row>
    <row r="4358" spans="2:34" x14ac:dyDescent="0.2">
      <c r="B4358" s="2">
        <f ca="1"/>
        <v>0.26925653903857083</v>
      </c>
      <c r="O4358" s="2">
        <f ca="1"/>
        <v>0.58073843044785567</v>
      </c>
      <c r="X4358" s="2">
        <f ca="1"/>
        <v>66.409161888231324</v>
      </c>
      <c r="AG4358" s="2">
        <f ca="1"/>
        <v>0.62460176162165171</v>
      </c>
      <c r="AH4358" s="2" t="str">
        <f ca="1"/>
        <v>Bad</v>
      </c>
    </row>
    <row r="4359" spans="2:34" x14ac:dyDescent="0.2">
      <c r="B4359" s="2">
        <f ca="1"/>
        <v>9.3835920221856828E-2</v>
      </c>
      <c r="O4359" s="2">
        <f ca="1"/>
        <v>-0.20199893172289854</v>
      </c>
      <c r="X4359" s="2">
        <f ca="1"/>
        <v>29.461371494974159</v>
      </c>
      <c r="AG4359" s="2">
        <f ca="1"/>
        <v>0.65363672166267039</v>
      </c>
      <c r="AH4359" s="2" t="str">
        <f ca="1"/>
        <v>Bad</v>
      </c>
    </row>
    <row r="4360" spans="2:34" x14ac:dyDescent="0.2">
      <c r="B4360" s="2">
        <f ca="1"/>
        <v>0.46102420081404838</v>
      </c>
      <c r="O4360" s="2">
        <f ca="1"/>
        <v>-0.9909767929681329</v>
      </c>
      <c r="X4360" s="2">
        <f ca="1"/>
        <v>42.890069832071127</v>
      </c>
      <c r="AG4360" s="2">
        <f ca="1"/>
        <v>0.90028563320762922</v>
      </c>
      <c r="AH4360" s="2" t="str">
        <f ca="1"/>
        <v>Bad</v>
      </c>
    </row>
    <row r="4361" spans="2:34" x14ac:dyDescent="0.2">
      <c r="B4361" s="2">
        <f ca="1"/>
        <v>0.22817752188294094</v>
      </c>
      <c r="O4361" s="2">
        <f ca="1"/>
        <v>9.4257123727786829E-2</v>
      </c>
      <c r="X4361" s="2">
        <f ca="1"/>
        <v>57.584616065570529</v>
      </c>
      <c r="AG4361" s="2">
        <f ca="1"/>
        <v>0.18679496926649164</v>
      </c>
      <c r="AH4361" s="2" t="str">
        <f ca="1"/>
        <v>OK</v>
      </c>
    </row>
    <row r="4362" spans="2:34" x14ac:dyDescent="0.2">
      <c r="B4362" s="2">
        <f ca="1"/>
        <v>0.18567129075075672</v>
      </c>
      <c r="O4362" s="2">
        <f ca="1"/>
        <v>1.0250171616033197</v>
      </c>
      <c r="X4362" s="2">
        <f ca="1"/>
        <v>43.999431382107019</v>
      </c>
      <c r="AG4362" s="2">
        <f ca="1"/>
        <v>0.43500666042270209</v>
      </c>
      <c r="AH4362" s="2" t="str">
        <f ca="1"/>
        <v>Bad</v>
      </c>
    </row>
    <row r="4363" spans="2:34" x14ac:dyDescent="0.2">
      <c r="B4363" s="2">
        <f ca="1"/>
        <v>0.73878166673915691</v>
      </c>
      <c r="O4363" s="2">
        <f ca="1"/>
        <v>1.3518313347777242</v>
      </c>
      <c r="X4363" s="2">
        <f ca="1"/>
        <v>49.737856379699096</v>
      </c>
      <c r="AG4363" s="2">
        <f ca="1"/>
        <v>0.90565763660473442</v>
      </c>
      <c r="AH4363" s="2" t="str">
        <f ca="1"/>
        <v>Bad</v>
      </c>
    </row>
    <row r="4364" spans="2:34" x14ac:dyDescent="0.2">
      <c r="B4364" s="2">
        <f ca="1"/>
        <v>0.20017594579473208</v>
      </c>
      <c r="O4364" s="2">
        <f ca="1"/>
        <v>0.94240830895977978</v>
      </c>
      <c r="X4364" s="2">
        <f ca="1"/>
        <v>63.267005482406653</v>
      </c>
      <c r="AG4364" s="2">
        <f ca="1"/>
        <v>0.66430631565392151</v>
      </c>
      <c r="AH4364" s="2" t="str">
        <f ca="1"/>
        <v>Bad</v>
      </c>
    </row>
    <row r="4365" spans="2:34" x14ac:dyDescent="0.2">
      <c r="B4365" s="2">
        <f ca="1"/>
        <v>0.71961111492982055</v>
      </c>
      <c r="O4365" s="2">
        <f ca="1"/>
        <v>1.3215677469883251</v>
      </c>
      <c r="X4365" s="2">
        <f ca="1"/>
        <v>39.401392067500289</v>
      </c>
      <c r="AG4365" s="2">
        <f ca="1"/>
        <v>0.66556314830032215</v>
      </c>
      <c r="AH4365" s="2" t="str">
        <f ca="1"/>
        <v>Bad</v>
      </c>
    </row>
    <row r="4366" spans="2:34" x14ac:dyDescent="0.2">
      <c r="B4366" s="2">
        <f ca="1"/>
        <v>0.33776235499072604</v>
      </c>
      <c r="O4366" s="2">
        <f ca="1"/>
        <v>0.90603231669878304</v>
      </c>
      <c r="X4366" s="2">
        <f ca="1"/>
        <v>30.828430186521217</v>
      </c>
      <c r="AG4366" s="2">
        <f ca="1"/>
        <v>0.73326070402459465</v>
      </c>
      <c r="AH4366" s="2" t="str">
        <f ca="1"/>
        <v>Bad</v>
      </c>
    </row>
    <row r="4367" spans="2:34" x14ac:dyDescent="0.2">
      <c r="B4367" s="2">
        <f ca="1"/>
        <v>0.28123987362820313</v>
      </c>
      <c r="O4367" s="2">
        <f ca="1"/>
        <v>0.84532056168763126</v>
      </c>
      <c r="X4367" s="2">
        <f ca="1"/>
        <v>37.293273686762525</v>
      </c>
      <c r="AG4367" s="2">
        <f ca="1"/>
        <v>0.24672843685817347</v>
      </c>
      <c r="AH4367" s="2" t="str">
        <f ca="1"/>
        <v>OK</v>
      </c>
    </row>
    <row r="4368" spans="2:34" x14ac:dyDescent="0.2">
      <c r="B4368" s="2">
        <f ca="1"/>
        <v>0.33859776018657661</v>
      </c>
      <c r="O4368" s="2">
        <f ca="1"/>
        <v>-0.74252268675379951</v>
      </c>
      <c r="X4368" s="2">
        <f ca="1"/>
        <v>36.729833086298193</v>
      </c>
      <c r="AG4368" s="2">
        <f ca="1"/>
        <v>0.81926862287424784</v>
      </c>
      <c r="AH4368" s="2" t="str">
        <f ca="1"/>
        <v>Bad</v>
      </c>
    </row>
    <row r="4369" spans="2:34" x14ac:dyDescent="0.2">
      <c r="B4369" s="2">
        <f ca="1"/>
        <v>0.29371328540855335</v>
      </c>
      <c r="O4369" s="2">
        <f ca="1"/>
        <v>-0.58541914253038396</v>
      </c>
      <c r="X4369" s="2">
        <f ca="1"/>
        <v>26.542067982794425</v>
      </c>
      <c r="AG4369" s="2">
        <f ca="1"/>
        <v>6.2081110019098329E-2</v>
      </c>
      <c r="AH4369" s="2" t="str">
        <f ca="1"/>
        <v>OK</v>
      </c>
    </row>
    <row r="4370" spans="2:34" x14ac:dyDescent="0.2">
      <c r="B4370" s="2">
        <f ca="1"/>
        <v>0.11534504790359024</v>
      </c>
      <c r="O4370" s="2">
        <f ca="1"/>
        <v>0.96573170426924704</v>
      </c>
      <c r="X4370" s="2">
        <f ca="1"/>
        <v>77.239306515615425</v>
      </c>
      <c r="AG4370" s="2">
        <f ca="1"/>
        <v>0.1107977713100925</v>
      </c>
      <c r="AH4370" s="2" t="str">
        <f ca="1"/>
        <v>OK</v>
      </c>
    </row>
    <row r="4371" spans="2:34" x14ac:dyDescent="0.2">
      <c r="B4371" s="2">
        <f ca="1"/>
        <v>0.73667019099490694</v>
      </c>
      <c r="O4371" s="2">
        <f ca="1"/>
        <v>0.12364013800580796</v>
      </c>
      <c r="X4371" s="2">
        <f ca="1"/>
        <v>51.922288428536362</v>
      </c>
      <c r="AG4371" s="2">
        <f ca="1"/>
        <v>0.14329402551878001</v>
      </c>
      <c r="AH4371" s="2" t="str">
        <f ca="1"/>
        <v>OK</v>
      </c>
    </row>
    <row r="4372" spans="2:34" x14ac:dyDescent="0.2">
      <c r="B4372" s="2">
        <f ca="1"/>
        <v>0.60393541338052659</v>
      </c>
      <c r="O4372" s="2">
        <f ca="1"/>
        <v>0.53332333685184397</v>
      </c>
      <c r="X4372" s="2">
        <f ca="1"/>
        <v>82.355970372020906</v>
      </c>
      <c r="AG4372" s="2">
        <f ca="1"/>
        <v>0.99675266212133562</v>
      </c>
      <c r="AH4372" s="2" t="str">
        <f ca="1"/>
        <v>Bad</v>
      </c>
    </row>
    <row r="4373" spans="2:34" x14ac:dyDescent="0.2">
      <c r="B4373" s="2">
        <f ca="1"/>
        <v>0.62154966026742797</v>
      </c>
      <c r="O4373" s="2">
        <f ca="1"/>
        <v>-0.73246755491251458</v>
      </c>
      <c r="X4373" s="2">
        <f ca="1"/>
        <v>83.372733434373913</v>
      </c>
      <c r="AG4373" s="2">
        <f ca="1"/>
        <v>0.58879334225806601</v>
      </c>
      <c r="AH4373" s="2" t="str">
        <f ca="1"/>
        <v>Bad</v>
      </c>
    </row>
    <row r="4374" spans="2:34" x14ac:dyDescent="0.2">
      <c r="B4374" s="2">
        <f ca="1"/>
        <v>0.58809784463150083</v>
      </c>
      <c r="O4374" s="2">
        <f ca="1"/>
        <v>0.7536309998880627</v>
      </c>
      <c r="X4374" s="2">
        <f ca="1"/>
        <v>27.27167748956111</v>
      </c>
      <c r="AG4374" s="2">
        <f ca="1"/>
        <v>4.2801100476395071E-2</v>
      </c>
      <c r="AH4374" s="2" t="str">
        <f ca="1"/>
        <v>Good</v>
      </c>
    </row>
    <row r="4375" spans="2:34" x14ac:dyDescent="0.2">
      <c r="B4375" s="2">
        <f ca="1"/>
        <v>7.6599289701143825E-2</v>
      </c>
      <c r="O4375" s="2">
        <f ca="1"/>
        <v>-1.4243444838571397</v>
      </c>
      <c r="X4375" s="2">
        <f ca="1"/>
        <v>19.804756216768425</v>
      </c>
      <c r="AG4375" s="2">
        <f ca="1"/>
        <v>0.39765312425135435</v>
      </c>
      <c r="AH4375" s="2" t="str">
        <f ca="1"/>
        <v>OK</v>
      </c>
    </row>
    <row r="4376" spans="2:34" x14ac:dyDescent="0.2">
      <c r="B4376" s="2">
        <f ca="1"/>
        <v>0.66329885830903068</v>
      </c>
      <c r="O4376" s="2">
        <f ca="1"/>
        <v>1.5730545656887427</v>
      </c>
      <c r="X4376" s="2">
        <f ca="1"/>
        <v>55.226818309993178</v>
      </c>
      <c r="AG4376" s="2">
        <f ca="1"/>
        <v>5.9626588068887321E-2</v>
      </c>
      <c r="AH4376" s="2" t="str">
        <f ca="1"/>
        <v>OK</v>
      </c>
    </row>
    <row r="4377" spans="2:34" x14ac:dyDescent="0.2">
      <c r="B4377" s="2">
        <f ca="1"/>
        <v>0.4767689060447613</v>
      </c>
      <c r="O4377" s="2">
        <f ca="1"/>
        <v>-0.81675466664238439</v>
      </c>
      <c r="X4377" s="2">
        <f ca="1"/>
        <v>53.577694366142111</v>
      </c>
      <c r="AG4377" s="2">
        <f ca="1"/>
        <v>0.30429113459036139</v>
      </c>
      <c r="AH4377" s="2" t="str">
        <f ca="1"/>
        <v>OK</v>
      </c>
    </row>
    <row r="4378" spans="2:34" x14ac:dyDescent="0.2">
      <c r="B4378" s="2">
        <f ca="1"/>
        <v>0.78210527038095834</v>
      </c>
      <c r="O4378" s="2">
        <f ca="1"/>
        <v>-1.912292089116174E-2</v>
      </c>
      <c r="X4378" s="2">
        <f ca="1"/>
        <v>39.593487610343409</v>
      </c>
      <c r="AG4378" s="2">
        <f ca="1"/>
        <v>0.43506570839039194</v>
      </c>
      <c r="AH4378" s="2" t="str">
        <f ca="1"/>
        <v>Bad</v>
      </c>
    </row>
    <row r="4379" spans="2:34" x14ac:dyDescent="0.2">
      <c r="B4379" s="2">
        <f ca="1"/>
        <v>0.9116330221004656</v>
      </c>
      <c r="O4379" s="2">
        <f ca="1"/>
        <v>0.18537978191628934</v>
      </c>
      <c r="X4379" s="2">
        <f ca="1"/>
        <v>62.948795530302675</v>
      </c>
      <c r="AG4379" s="2">
        <f ca="1"/>
        <v>0.14544405163842944</v>
      </c>
      <c r="AH4379" s="2" t="str">
        <f ca="1"/>
        <v>OK</v>
      </c>
    </row>
    <row r="4380" spans="2:34" x14ac:dyDescent="0.2">
      <c r="B4380" s="2">
        <f ca="1"/>
        <v>0.96596833239722013</v>
      </c>
      <c r="O4380" s="2">
        <f ca="1"/>
        <v>7.8128801694212574E-2</v>
      </c>
      <c r="X4380" s="2">
        <f ca="1"/>
        <v>45.187380678032483</v>
      </c>
      <c r="AG4380" s="2">
        <f ca="1"/>
        <v>0.88358057111741761</v>
      </c>
      <c r="AH4380" s="2" t="str">
        <f ca="1"/>
        <v>Bad</v>
      </c>
    </row>
    <row r="4381" spans="2:34" x14ac:dyDescent="0.2">
      <c r="B4381" s="2">
        <f ca="1"/>
        <v>0.36172632908018354</v>
      </c>
      <c r="O4381" s="2">
        <f ca="1"/>
        <v>-0.4018381462918032</v>
      </c>
      <c r="X4381" s="2">
        <f ca="1"/>
        <v>41.740386265086883</v>
      </c>
      <c r="AG4381" s="2">
        <f ca="1"/>
        <v>0.72854593441649085</v>
      </c>
      <c r="AH4381" s="2" t="str">
        <f ca="1"/>
        <v>Bad</v>
      </c>
    </row>
    <row r="4382" spans="2:34" x14ac:dyDescent="0.2">
      <c r="B4382" s="2">
        <f ca="1"/>
        <v>0.67521856568390537</v>
      </c>
      <c r="O4382" s="2">
        <f ca="1"/>
        <v>-1.2140869376198868</v>
      </c>
      <c r="X4382" s="2">
        <f ca="1"/>
        <v>45.369309978952671</v>
      </c>
      <c r="AG4382" s="2">
        <f ca="1"/>
        <v>7.4904960400148601E-2</v>
      </c>
      <c r="AH4382" s="2" t="str">
        <f ca="1"/>
        <v>OK</v>
      </c>
    </row>
    <row r="4383" spans="2:34" x14ac:dyDescent="0.2">
      <c r="B4383" s="2">
        <f ca="1"/>
        <v>0.81866484017254426</v>
      </c>
      <c r="O4383" s="2">
        <f ca="1"/>
        <v>-1.1301493205727062</v>
      </c>
      <c r="X4383" s="2">
        <f ca="1"/>
        <v>70.898182316273022</v>
      </c>
      <c r="AG4383" s="2">
        <f ca="1"/>
        <v>0.61099375287402347</v>
      </c>
      <c r="AH4383" s="2" t="str">
        <f ca="1"/>
        <v>Bad</v>
      </c>
    </row>
    <row r="4384" spans="2:34" x14ac:dyDescent="0.2">
      <c r="B4384" s="2">
        <f ca="1"/>
        <v>0.25163543834718594</v>
      </c>
      <c r="O4384" s="2">
        <f ca="1"/>
        <v>0.65447420694824909</v>
      </c>
      <c r="X4384" s="2">
        <f ca="1"/>
        <v>70.411433984839817</v>
      </c>
      <c r="AG4384" s="2">
        <f ca="1"/>
        <v>0.43752734340882005</v>
      </c>
      <c r="AH4384" s="2" t="str">
        <f ca="1"/>
        <v>Bad</v>
      </c>
    </row>
    <row r="4385" spans="2:34" x14ac:dyDescent="0.2">
      <c r="B4385" s="2">
        <f ca="1"/>
        <v>0.50204085749668526</v>
      </c>
      <c r="O4385" s="2">
        <f ca="1"/>
        <v>0.63351842753302678</v>
      </c>
      <c r="X4385" s="2">
        <f ca="1"/>
        <v>57.078674608993111</v>
      </c>
      <c r="AG4385" s="2">
        <f ca="1"/>
        <v>0.96348548596209471</v>
      </c>
      <c r="AH4385" s="2" t="str">
        <f ca="1"/>
        <v>Bad</v>
      </c>
    </row>
    <row r="4386" spans="2:34" x14ac:dyDescent="0.2">
      <c r="B4386" s="2">
        <f ca="1"/>
        <v>0.98427067491316222</v>
      </c>
      <c r="O4386" s="2">
        <f ca="1"/>
        <v>-0.24556975434437558</v>
      </c>
      <c r="X4386" s="2">
        <f ca="1"/>
        <v>43.844631498066619</v>
      </c>
      <c r="AG4386" s="2">
        <f ca="1"/>
        <v>0.8642172384484581</v>
      </c>
      <c r="AH4386" s="2" t="str">
        <f ca="1"/>
        <v>Bad</v>
      </c>
    </row>
    <row r="4387" spans="2:34" x14ac:dyDescent="0.2">
      <c r="B4387" s="2">
        <f ca="1"/>
        <v>0.32316828386005048</v>
      </c>
      <c r="O4387" s="2">
        <f ca="1"/>
        <v>-1.7729198811324518</v>
      </c>
      <c r="X4387" s="2">
        <f ca="1"/>
        <v>41.85262344587214</v>
      </c>
      <c r="AG4387" s="2">
        <f ca="1"/>
        <v>0.47475362661929088</v>
      </c>
      <c r="AH4387" s="2" t="str">
        <f ca="1"/>
        <v>Bad</v>
      </c>
    </row>
    <row r="4388" spans="2:34" x14ac:dyDescent="0.2">
      <c r="B4388" s="2">
        <f ca="1"/>
        <v>0.62551660904246043</v>
      </c>
      <c r="O4388" s="2">
        <f ca="1"/>
        <v>-0.79714375068816745</v>
      </c>
      <c r="X4388" s="2">
        <f ca="1"/>
        <v>53.917215978030548</v>
      </c>
      <c r="AG4388" s="2">
        <f ca="1"/>
        <v>0.89017756777881041</v>
      </c>
      <c r="AH4388" s="2" t="str">
        <f ca="1"/>
        <v>Bad</v>
      </c>
    </row>
    <row r="4389" spans="2:34" x14ac:dyDescent="0.2">
      <c r="B4389" s="2">
        <f ca="1"/>
        <v>0.77497678079621757</v>
      </c>
      <c r="O4389" s="2">
        <f ca="1"/>
        <v>1.6118399749788093</v>
      </c>
      <c r="X4389" s="2">
        <f ca="1"/>
        <v>66.010492199264945</v>
      </c>
      <c r="AG4389" s="2">
        <f ca="1"/>
        <v>0.56761412682350021</v>
      </c>
      <c r="AH4389" s="2" t="str">
        <f ca="1"/>
        <v>Bad</v>
      </c>
    </row>
    <row r="4390" spans="2:34" x14ac:dyDescent="0.2">
      <c r="B4390" s="2">
        <f ca="1"/>
        <v>2.7025065414557403E-2</v>
      </c>
      <c r="O4390" s="2">
        <f ca="1"/>
        <v>-0.9844199797027926</v>
      </c>
      <c r="X4390" s="2">
        <f ca="1"/>
        <v>33.691428409122857</v>
      </c>
      <c r="AG4390" s="2">
        <f ca="1"/>
        <v>0.22895556467995748</v>
      </c>
      <c r="AH4390" s="2" t="str">
        <f ca="1"/>
        <v>OK</v>
      </c>
    </row>
    <row r="4391" spans="2:34" x14ac:dyDescent="0.2">
      <c r="B4391" s="2">
        <f ca="1"/>
        <v>0.83980453320236581</v>
      </c>
      <c r="O4391" s="2">
        <f ca="1"/>
        <v>-1.342743725076696</v>
      </c>
      <c r="X4391" s="2">
        <f ca="1"/>
        <v>77.247809260119041</v>
      </c>
      <c r="AG4391" s="2">
        <f ca="1"/>
        <v>3.3546814319783236E-2</v>
      </c>
      <c r="AH4391" s="2" t="str">
        <f ca="1"/>
        <v>Good</v>
      </c>
    </row>
    <row r="4392" spans="2:34" x14ac:dyDescent="0.2">
      <c r="B4392" s="2">
        <f ca="1"/>
        <v>0.20363108287446541</v>
      </c>
      <c r="O4392" s="2">
        <f ca="1"/>
        <v>2.020823463909359</v>
      </c>
      <c r="X4392" s="2">
        <f ca="1"/>
        <v>42.898573158875529</v>
      </c>
      <c r="AG4392" s="2">
        <f ca="1"/>
        <v>1.1104518808049857E-2</v>
      </c>
      <c r="AH4392" s="2" t="str">
        <f ca="1"/>
        <v>Good</v>
      </c>
    </row>
    <row r="4393" spans="2:34" x14ac:dyDescent="0.2">
      <c r="B4393" s="2">
        <f ca="1"/>
        <v>0.87305559341893924</v>
      </c>
      <c r="O4393" s="2">
        <f ca="1"/>
        <v>0.3535739583444576</v>
      </c>
      <c r="X4393" s="2">
        <f ca="1"/>
        <v>51.222654769052795</v>
      </c>
      <c r="AG4393" s="2">
        <f ca="1"/>
        <v>0.83259273208619966</v>
      </c>
      <c r="AH4393" s="2" t="str">
        <f ca="1"/>
        <v>Bad</v>
      </c>
    </row>
    <row r="4394" spans="2:34" x14ac:dyDescent="0.2">
      <c r="B4394" s="2">
        <f ca="1"/>
        <v>0.1630602744858356</v>
      </c>
      <c r="O4394" s="2">
        <f ca="1"/>
        <v>0.32085145800100101</v>
      </c>
      <c r="X4394" s="2">
        <f ca="1"/>
        <v>53.532253866977221</v>
      </c>
      <c r="AG4394" s="2">
        <f ca="1"/>
        <v>0.17469916873695301</v>
      </c>
      <c r="AH4394" s="2" t="str">
        <f ca="1"/>
        <v>OK</v>
      </c>
    </row>
    <row r="4395" spans="2:34" x14ac:dyDescent="0.2">
      <c r="B4395" s="2">
        <f ca="1"/>
        <v>0.70404985705721801</v>
      </c>
      <c r="O4395" s="2">
        <f ca="1"/>
        <v>-0.17373187423819714</v>
      </c>
      <c r="X4395" s="2">
        <f ca="1"/>
        <v>54.97898280060879</v>
      </c>
      <c r="AG4395" s="2">
        <f ca="1"/>
        <v>9.7781619718102064E-2</v>
      </c>
      <c r="AH4395" s="2" t="str">
        <f ca="1"/>
        <v>OK</v>
      </c>
    </row>
    <row r="4396" spans="2:34" x14ac:dyDescent="0.2">
      <c r="B4396" s="2">
        <f ca="1"/>
        <v>0.6015976609539031</v>
      </c>
      <c r="O4396" s="2">
        <f ca="1"/>
        <v>9.5103453150624878E-2</v>
      </c>
      <c r="X4396" s="2">
        <f ca="1"/>
        <v>29.47532256458291</v>
      </c>
      <c r="AG4396" s="2">
        <f ca="1"/>
        <v>0.30381348845195721</v>
      </c>
      <c r="AH4396" s="2" t="str">
        <f ca="1"/>
        <v>OK</v>
      </c>
    </row>
    <row r="4397" spans="2:34" x14ac:dyDescent="0.2">
      <c r="B4397" s="2">
        <f ca="1"/>
        <v>0.50002349166942128</v>
      </c>
      <c r="O4397" s="2">
        <f ca="1"/>
        <v>-0.47039488244676175</v>
      </c>
      <c r="X4397" s="2">
        <f ca="1"/>
        <v>36.802938968813564</v>
      </c>
      <c r="AG4397" s="2">
        <f ca="1"/>
        <v>0.34383879876450374</v>
      </c>
      <c r="AH4397" s="2" t="str">
        <f ca="1"/>
        <v>OK</v>
      </c>
    </row>
    <row r="4398" spans="2:34" x14ac:dyDescent="0.2">
      <c r="B4398" s="2">
        <f ca="1"/>
        <v>5.4871712327074773E-2</v>
      </c>
      <c r="O4398" s="2">
        <f ca="1"/>
        <v>1.810533996344561</v>
      </c>
      <c r="X4398" s="2">
        <f ca="1"/>
        <v>57.570674183386586</v>
      </c>
      <c r="AG4398" s="2">
        <f ca="1"/>
        <v>0.44613173772195691</v>
      </c>
      <c r="AH4398" s="2" t="str">
        <f ca="1"/>
        <v>Bad</v>
      </c>
    </row>
    <row r="4399" spans="2:34" x14ac:dyDescent="0.2">
      <c r="B4399" s="2">
        <f ca="1"/>
        <v>7.2352301994620616E-2</v>
      </c>
      <c r="O4399" s="2">
        <f ca="1"/>
        <v>-0.10585699662859818</v>
      </c>
      <c r="X4399" s="2">
        <f ca="1"/>
        <v>26.933488242911437</v>
      </c>
      <c r="AG4399" s="2">
        <f ca="1"/>
        <v>0.27203928032220381</v>
      </c>
      <c r="AH4399" s="2" t="str">
        <f ca="1"/>
        <v>OK</v>
      </c>
    </row>
    <row r="4400" spans="2:34" x14ac:dyDescent="0.2">
      <c r="B4400" s="2">
        <f ca="1"/>
        <v>0.1540807740475636</v>
      </c>
      <c r="O4400" s="2">
        <f ca="1"/>
        <v>-0.47975068380278629</v>
      </c>
      <c r="X4400" s="2">
        <f ca="1"/>
        <v>47.068144005433638</v>
      </c>
      <c r="AG4400" s="2">
        <f ca="1"/>
        <v>0.93036608519023667</v>
      </c>
      <c r="AH4400" s="2" t="str">
        <f ca="1"/>
        <v>Bad</v>
      </c>
    </row>
    <row r="4401" spans="2:34" x14ac:dyDescent="0.2">
      <c r="B4401" s="2">
        <f ca="1"/>
        <v>0.74557736962838428</v>
      </c>
      <c r="O4401" s="2">
        <f ca="1"/>
        <v>-0.1343138744508221</v>
      </c>
      <c r="X4401" s="2">
        <f ca="1"/>
        <v>35.000045289351725</v>
      </c>
      <c r="AG4401" s="2">
        <f ca="1"/>
        <v>0.54670732117735654</v>
      </c>
      <c r="AH4401" s="2" t="str">
        <f ca="1"/>
        <v>Bad</v>
      </c>
    </row>
    <row r="4402" spans="2:34" x14ac:dyDescent="0.2">
      <c r="B4402" s="2">
        <f ca="1"/>
        <v>0.5836553169727563</v>
      </c>
      <c r="O4402" s="2">
        <f ca="1"/>
        <v>0.18983943634822958</v>
      </c>
      <c r="X4402" s="2">
        <f ca="1"/>
        <v>65.948946874952256</v>
      </c>
      <c r="AG4402" s="2">
        <f ca="1"/>
        <v>0.44863116148913962</v>
      </c>
      <c r="AH4402" s="2" t="str">
        <f ca="1"/>
        <v>Bad</v>
      </c>
    </row>
    <row r="4403" spans="2:34" x14ac:dyDescent="0.2">
      <c r="B4403" s="2">
        <f ca="1"/>
        <v>0.72558516736513434</v>
      </c>
      <c r="O4403" s="2">
        <f ca="1"/>
        <v>-0.30534911981776902</v>
      </c>
      <c r="X4403" s="2">
        <f ca="1"/>
        <v>56.495995903564953</v>
      </c>
      <c r="AG4403" s="2">
        <f ca="1"/>
        <v>0.58376589420965286</v>
      </c>
      <c r="AH4403" s="2" t="str">
        <f ca="1"/>
        <v>Bad</v>
      </c>
    </row>
    <row r="4404" spans="2:34" x14ac:dyDescent="0.2">
      <c r="B4404" s="2">
        <f ca="1"/>
        <v>0.71561150441949262</v>
      </c>
      <c r="O4404" s="2">
        <f ca="1"/>
        <v>0.28593094510527745</v>
      </c>
      <c r="X4404" s="2">
        <f ca="1"/>
        <v>42.572856262876826</v>
      </c>
      <c r="AG4404" s="2">
        <f ca="1"/>
        <v>0.30233479909986771</v>
      </c>
      <c r="AH4404" s="2" t="str">
        <f ca="1"/>
        <v>OK</v>
      </c>
    </row>
    <row r="4405" spans="2:34" x14ac:dyDescent="0.2">
      <c r="B4405" s="2">
        <f ca="1"/>
        <v>0.70126979194512562</v>
      </c>
      <c r="O4405" s="2">
        <f ca="1"/>
        <v>0.33085818766141828</v>
      </c>
      <c r="X4405" s="2">
        <f ca="1"/>
        <v>45.176047910218841</v>
      </c>
      <c r="AG4405" s="2">
        <f ca="1"/>
        <v>0.25170195826746888</v>
      </c>
      <c r="AH4405" s="2" t="str">
        <f ca="1"/>
        <v>OK</v>
      </c>
    </row>
    <row r="4406" spans="2:34" x14ac:dyDescent="0.2">
      <c r="B4406" s="2">
        <f ca="1"/>
        <v>0.12646778986434737</v>
      </c>
      <c r="O4406" s="2">
        <f ca="1"/>
        <v>0.1225069039743405</v>
      </c>
      <c r="X4406" s="2">
        <f ca="1"/>
        <v>56.757548781382276</v>
      </c>
      <c r="AG4406" s="2">
        <f ca="1"/>
        <v>0.52603187677941654</v>
      </c>
      <c r="AH4406" s="2" t="str">
        <f ca="1"/>
        <v>Bad</v>
      </c>
    </row>
    <row r="4407" spans="2:34" x14ac:dyDescent="0.2">
      <c r="B4407" s="2">
        <f ca="1"/>
        <v>0.21787987257282859</v>
      </c>
      <c r="O4407" s="2">
        <f ca="1"/>
        <v>-0.29531634552677222</v>
      </c>
      <c r="X4407" s="2">
        <f ca="1"/>
        <v>62.173291519585888</v>
      </c>
      <c r="AG4407" s="2">
        <f ca="1"/>
        <v>0.21258838338032393</v>
      </c>
      <c r="AH4407" s="2" t="str">
        <f ca="1"/>
        <v>OK</v>
      </c>
    </row>
    <row r="4408" spans="2:34" x14ac:dyDescent="0.2">
      <c r="B4408" s="2">
        <f ca="1"/>
        <v>0.80744419612651774</v>
      </c>
      <c r="O4408" s="2">
        <f ca="1"/>
        <v>-1.0935429028798469</v>
      </c>
      <c r="X4408" s="2">
        <f ca="1"/>
        <v>63.889748400648841</v>
      </c>
      <c r="AG4408" s="2">
        <f ca="1"/>
        <v>7.3171925239015279E-2</v>
      </c>
      <c r="AH4408" s="2" t="str">
        <f ca="1"/>
        <v>OK</v>
      </c>
    </row>
    <row r="4409" spans="2:34" x14ac:dyDescent="0.2">
      <c r="B4409" s="2">
        <f ca="1"/>
        <v>0.66618634879475769</v>
      </c>
      <c r="O4409" s="2">
        <f ca="1"/>
        <v>-0.16092787237233144</v>
      </c>
      <c r="X4409" s="2">
        <f ca="1"/>
        <v>47.126354813747724</v>
      </c>
      <c r="AG4409" s="2">
        <f ca="1"/>
        <v>0.33143046423790024</v>
      </c>
      <c r="AH4409" s="2" t="str">
        <f ca="1"/>
        <v>OK</v>
      </c>
    </row>
    <row r="4410" spans="2:34" x14ac:dyDescent="0.2">
      <c r="B4410" s="2">
        <f ca="1"/>
        <v>0.20775663056434923</v>
      </c>
      <c r="O4410" s="2">
        <f ca="1"/>
        <v>0.20674746981919767</v>
      </c>
      <c r="X4410" s="2">
        <f ca="1"/>
        <v>43.578167316215549</v>
      </c>
      <c r="AG4410" s="2">
        <f ca="1"/>
        <v>0.3032034710937157</v>
      </c>
      <c r="AH4410" s="2" t="str">
        <f ca="1"/>
        <v>OK</v>
      </c>
    </row>
    <row r="4411" spans="2:34" x14ac:dyDescent="0.2">
      <c r="B4411" s="2">
        <f ca="1"/>
        <v>0.55340025937898751</v>
      </c>
      <c r="O4411" s="2">
        <f ca="1"/>
        <v>-0.41923309477410864</v>
      </c>
      <c r="X4411" s="2">
        <f ca="1"/>
        <v>55.817659893649221</v>
      </c>
      <c r="AG4411" s="2">
        <f ca="1"/>
        <v>0.88659925031660558</v>
      </c>
      <c r="AH4411" s="2" t="str">
        <f ca="1"/>
        <v>Bad</v>
      </c>
    </row>
    <row r="4412" spans="2:34" x14ac:dyDescent="0.2">
      <c r="B4412" s="2">
        <f ca="1"/>
        <v>0.72934308677878312</v>
      </c>
      <c r="O4412" s="2">
        <f ca="1"/>
        <v>0.6804198336557149</v>
      </c>
      <c r="X4412" s="2">
        <f ca="1"/>
        <v>34.149088139651802</v>
      </c>
      <c r="AG4412" s="2">
        <f ca="1"/>
        <v>0.67416310976793903</v>
      </c>
      <c r="AH4412" s="2" t="str">
        <f ca="1"/>
        <v>Bad</v>
      </c>
    </row>
    <row r="4413" spans="2:34" x14ac:dyDescent="0.2">
      <c r="B4413" s="2">
        <f ca="1"/>
        <v>0.549746107413845</v>
      </c>
      <c r="O4413" s="2">
        <f ca="1"/>
        <v>1.1149405355003796</v>
      </c>
      <c r="X4413" s="2">
        <f ca="1"/>
        <v>37.244096965172595</v>
      </c>
      <c r="AG4413" s="2">
        <f ca="1"/>
        <v>0.69743307330839266</v>
      </c>
      <c r="AH4413" s="2" t="str">
        <f ca="1"/>
        <v>Bad</v>
      </c>
    </row>
    <row r="4414" spans="2:34" x14ac:dyDescent="0.2">
      <c r="B4414" s="2">
        <f ca="1"/>
        <v>0.38427390384832938</v>
      </c>
      <c r="O4414" s="2">
        <f ca="1"/>
        <v>-0.395317589220466</v>
      </c>
      <c r="X4414" s="2">
        <f ca="1"/>
        <v>41.250262874747364</v>
      </c>
      <c r="AG4414" s="2">
        <f ca="1"/>
        <v>0.59808494980521987</v>
      </c>
      <c r="AH4414" s="2" t="str">
        <f ca="1"/>
        <v>Bad</v>
      </c>
    </row>
    <row r="4415" spans="2:34" x14ac:dyDescent="0.2">
      <c r="B4415" s="2">
        <f ca="1"/>
        <v>0.74719830995194347</v>
      </c>
      <c r="O4415" s="2">
        <f ca="1"/>
        <v>1.8012013893652496</v>
      </c>
      <c r="X4415" s="2">
        <f ca="1"/>
        <v>63.934535489620046</v>
      </c>
      <c r="AG4415" s="2">
        <f ca="1"/>
        <v>0.62666347750274487</v>
      </c>
      <c r="AH4415" s="2" t="str">
        <f ca="1"/>
        <v>Bad</v>
      </c>
    </row>
    <row r="4416" spans="2:34" x14ac:dyDescent="0.2">
      <c r="B4416" s="2">
        <f ca="1"/>
        <v>0.14799753881845579</v>
      </c>
      <c r="O4416" s="2">
        <f ca="1"/>
        <v>0.16218747352256882</v>
      </c>
      <c r="X4416" s="2">
        <f ca="1"/>
        <v>59.069228267536204</v>
      </c>
      <c r="AG4416" s="2">
        <f ca="1"/>
        <v>0.95391421874961613</v>
      </c>
      <c r="AH4416" s="2" t="str">
        <f ca="1"/>
        <v>Bad</v>
      </c>
    </row>
    <row r="4417" spans="2:34" x14ac:dyDescent="0.2">
      <c r="B4417" s="2">
        <f ca="1"/>
        <v>0.23126987260389242</v>
      </c>
      <c r="O4417" s="2">
        <f ca="1"/>
        <v>0.82948221996352389</v>
      </c>
      <c r="X4417" s="2">
        <f ca="1"/>
        <v>34.547733099851456</v>
      </c>
      <c r="AG4417" s="2">
        <f ca="1"/>
        <v>0.62920868292172805</v>
      </c>
      <c r="AH4417" s="2" t="str">
        <f ca="1"/>
        <v>Bad</v>
      </c>
    </row>
    <row r="4418" spans="2:34" x14ac:dyDescent="0.2">
      <c r="B4418" s="2">
        <f ca="1"/>
        <v>0.86190419665544526</v>
      </c>
      <c r="O4418" s="2">
        <f ca="1"/>
        <v>0.78651452311594716</v>
      </c>
      <c r="X4418" s="2">
        <f ca="1"/>
        <v>35.889493773697644</v>
      </c>
      <c r="AG4418" s="2">
        <f ca="1"/>
        <v>0.37466748939245398</v>
      </c>
      <c r="AH4418" s="2" t="str">
        <f ca="1"/>
        <v>OK</v>
      </c>
    </row>
    <row r="4419" spans="2:34" x14ac:dyDescent="0.2">
      <c r="B4419" s="2">
        <f ca="1"/>
        <v>0.89149020864452644</v>
      </c>
      <c r="O4419" s="2">
        <f ca="1"/>
        <v>-1.1533417577105802</v>
      </c>
      <c r="X4419" s="2">
        <f ca="1"/>
        <v>51.681046178337951</v>
      </c>
      <c r="AG4419" s="2">
        <f ca="1"/>
        <v>0.40432562072805212</v>
      </c>
      <c r="AH4419" s="2" t="str">
        <f ca="1"/>
        <v>Bad</v>
      </c>
    </row>
    <row r="4420" spans="2:34" x14ac:dyDescent="0.2">
      <c r="B4420" s="2">
        <f ca="1"/>
        <v>0.61536450813145249</v>
      </c>
      <c r="O4420" s="2">
        <f ca="1"/>
        <v>-1.8093675818858606E-2</v>
      </c>
      <c r="X4420" s="2">
        <f ca="1"/>
        <v>33.980683944321363</v>
      </c>
      <c r="AG4420" s="2">
        <f ca="1"/>
        <v>4.1331851342185866E-2</v>
      </c>
      <c r="AH4420" s="2" t="str">
        <f ca="1"/>
        <v>Good</v>
      </c>
    </row>
    <row r="4421" spans="2:34" x14ac:dyDescent="0.2">
      <c r="B4421" s="2">
        <f ca="1"/>
        <v>0.57821938958458952</v>
      </c>
      <c r="O4421" s="2">
        <f ca="1"/>
        <v>-0.2874984192292051</v>
      </c>
      <c r="X4421" s="2">
        <f ca="1"/>
        <v>46.488363632098185</v>
      </c>
      <c r="AG4421" s="2">
        <f ca="1"/>
        <v>0.88191460529822963</v>
      </c>
      <c r="AH4421" s="2" t="str">
        <f ca="1"/>
        <v>Bad</v>
      </c>
    </row>
    <row r="4422" spans="2:34" x14ac:dyDescent="0.2">
      <c r="B4422" s="2">
        <f ca="1"/>
        <v>0.47613227127597413</v>
      </c>
      <c r="O4422" s="2">
        <f ca="1"/>
        <v>0.77361799896637551</v>
      </c>
      <c r="X4422" s="2">
        <f ca="1"/>
        <v>76.0911284798254</v>
      </c>
      <c r="AG4422" s="2">
        <f ca="1"/>
        <v>6.457475102271637E-2</v>
      </c>
      <c r="AH4422" s="2" t="str">
        <f ca="1"/>
        <v>OK</v>
      </c>
    </row>
    <row r="4423" spans="2:34" x14ac:dyDescent="0.2">
      <c r="B4423" s="2">
        <f ca="1"/>
        <v>0.76078991484780656</v>
      </c>
      <c r="O4423" s="2">
        <f ca="1"/>
        <v>1.0340172414679361</v>
      </c>
      <c r="X4423" s="2">
        <f ca="1"/>
        <v>82.546020829535465</v>
      </c>
      <c r="AG4423" s="2">
        <f ca="1"/>
        <v>0.18479617360029854</v>
      </c>
      <c r="AH4423" s="2" t="str">
        <f ca="1"/>
        <v>OK</v>
      </c>
    </row>
    <row r="4424" spans="2:34" x14ac:dyDescent="0.2">
      <c r="B4424" s="2">
        <f ca="1"/>
        <v>0.37970926916778769</v>
      </c>
      <c r="O4424" s="2">
        <f ca="1"/>
        <v>0.36237449531374233</v>
      </c>
      <c r="X4424" s="2">
        <f ca="1"/>
        <v>52.709074680984564</v>
      </c>
      <c r="AG4424" s="2">
        <f ca="1"/>
        <v>0.67974167962737142</v>
      </c>
      <c r="AH4424" s="2" t="str">
        <f ca="1"/>
        <v>Bad</v>
      </c>
    </row>
    <row r="4425" spans="2:34" x14ac:dyDescent="0.2">
      <c r="B4425" s="2">
        <f ca="1"/>
        <v>0.61491323647245388</v>
      </c>
      <c r="O4425" s="2">
        <f ca="1"/>
        <v>-6.2029997089055947E-2</v>
      </c>
      <c r="X4425" s="2">
        <f ca="1"/>
        <v>48.05575955858373</v>
      </c>
      <c r="AG4425" s="2">
        <f ca="1"/>
        <v>0.78807378353702773</v>
      </c>
      <c r="AH4425" s="2" t="str">
        <f ca="1"/>
        <v>Bad</v>
      </c>
    </row>
    <row r="4426" spans="2:34" x14ac:dyDescent="0.2">
      <c r="B4426" s="2">
        <f ca="1"/>
        <v>0.51194630395025564</v>
      </c>
      <c r="O4426" s="2">
        <f ca="1"/>
        <v>0.21726698856286739</v>
      </c>
      <c r="X4426" s="2">
        <f ca="1"/>
        <v>23.408989925382752</v>
      </c>
      <c r="AG4426" s="2">
        <f ca="1"/>
        <v>0.79352338671941536</v>
      </c>
      <c r="AH4426" s="2" t="str">
        <f ca="1"/>
        <v>Bad</v>
      </c>
    </row>
    <row r="4427" spans="2:34" x14ac:dyDescent="0.2">
      <c r="B4427" s="2">
        <f ca="1"/>
        <v>0.8366925484580281</v>
      </c>
      <c r="O4427" s="2">
        <f ca="1"/>
        <v>5.4866910712864952E-2</v>
      </c>
      <c r="X4427" s="2">
        <f ca="1"/>
        <v>51.238582615951536</v>
      </c>
      <c r="AG4427" s="2">
        <f ca="1"/>
        <v>0.64280106551152616</v>
      </c>
      <c r="AH4427" s="2" t="str">
        <f ca="1"/>
        <v>Bad</v>
      </c>
    </row>
    <row r="4428" spans="2:34" x14ac:dyDescent="0.2">
      <c r="B4428" s="2">
        <f ca="1"/>
        <v>0.78138447154693336</v>
      </c>
      <c r="O4428" s="2">
        <f ca="1"/>
        <v>-0.20028993108795956</v>
      </c>
      <c r="X4428" s="2">
        <f ca="1"/>
        <v>59.085041779880555</v>
      </c>
      <c r="AG4428" s="2">
        <f ca="1"/>
        <v>0.55561608857458022</v>
      </c>
      <c r="AH4428" s="2" t="str">
        <f ca="1"/>
        <v>Bad</v>
      </c>
    </row>
    <row r="4429" spans="2:34" x14ac:dyDescent="0.2">
      <c r="B4429" s="2">
        <f ca="1"/>
        <v>0.53092937336457191</v>
      </c>
      <c r="O4429" s="2">
        <f ca="1"/>
        <v>-0.14359300482687926</v>
      </c>
      <c r="X4429" s="2">
        <f ca="1"/>
        <v>39.257685862351309</v>
      </c>
      <c r="AG4429" s="2">
        <f ca="1"/>
        <v>0.68047863939326936</v>
      </c>
      <c r="AH4429" s="2" t="str">
        <f ca="1"/>
        <v>Bad</v>
      </c>
    </row>
    <row r="4430" spans="2:34" x14ac:dyDescent="0.2">
      <c r="B4430" s="2">
        <f ca="1"/>
        <v>0.74039307628278683</v>
      </c>
      <c r="O4430" s="2">
        <f ca="1"/>
        <v>0.49245598666259499</v>
      </c>
      <c r="X4430" s="2">
        <f ca="1"/>
        <v>45.631531322070757</v>
      </c>
      <c r="AG4430" s="2">
        <f ca="1"/>
        <v>0.98677178370591845</v>
      </c>
      <c r="AH4430" s="2" t="str">
        <f ca="1"/>
        <v>Bad</v>
      </c>
    </row>
    <row r="4431" spans="2:34" x14ac:dyDescent="0.2">
      <c r="B4431" s="2">
        <f ca="1"/>
        <v>0.67606697447862429</v>
      </c>
      <c r="O4431" s="2">
        <f ca="1"/>
        <v>0.1631064843603463</v>
      </c>
      <c r="X4431" s="2">
        <f ca="1"/>
        <v>64.404800489482398</v>
      </c>
      <c r="AG4431" s="2">
        <f ca="1"/>
        <v>6.1361294361489183E-2</v>
      </c>
      <c r="AH4431" s="2" t="str">
        <f ca="1"/>
        <v>OK</v>
      </c>
    </row>
    <row r="4432" spans="2:34" x14ac:dyDescent="0.2">
      <c r="B4432" s="2">
        <f ca="1"/>
        <v>0.54522185425692316</v>
      </c>
      <c r="O4432" s="2">
        <f ca="1"/>
        <v>0.95125492338382045</v>
      </c>
      <c r="X4432" s="2">
        <f ca="1"/>
        <v>39.856119023925508</v>
      </c>
      <c r="AG4432" s="2">
        <f ca="1"/>
        <v>0.49362588956071796</v>
      </c>
      <c r="AH4432" s="2" t="str">
        <f ca="1"/>
        <v>Bad</v>
      </c>
    </row>
    <row r="4433" spans="2:34" x14ac:dyDescent="0.2">
      <c r="B4433" s="2">
        <f ca="1"/>
        <v>0.88512450836506651</v>
      </c>
      <c r="O4433" s="2">
        <f ca="1"/>
        <v>0.97059375177620522</v>
      </c>
      <c r="X4433" s="2">
        <f ca="1"/>
        <v>66.601310650000471</v>
      </c>
      <c r="AG4433" s="2">
        <f ca="1"/>
        <v>0.90081541651268404</v>
      </c>
      <c r="AH4433" s="2" t="str">
        <f ca="1"/>
        <v>Bad</v>
      </c>
    </row>
    <row r="4434" spans="2:34" x14ac:dyDescent="0.2">
      <c r="B4434" s="2">
        <f ca="1"/>
        <v>0.99265576414120327</v>
      </c>
      <c r="O4434" s="2">
        <f ca="1"/>
        <v>0.20201174400767119</v>
      </c>
      <c r="X4434" s="2">
        <f ca="1"/>
        <v>24.899133734374278</v>
      </c>
      <c r="AG4434" s="2">
        <f ca="1"/>
        <v>9.8349062159696521E-2</v>
      </c>
      <c r="AH4434" s="2" t="str">
        <f ca="1"/>
        <v>OK</v>
      </c>
    </row>
    <row r="4435" spans="2:34" x14ac:dyDescent="0.2">
      <c r="B4435" s="2">
        <f ca="1"/>
        <v>0.43511804760281403</v>
      </c>
      <c r="O4435" s="2">
        <f ca="1"/>
        <v>-1.5592511677214618</v>
      </c>
      <c r="X4435" s="2">
        <f ca="1"/>
        <v>46.210499266391835</v>
      </c>
      <c r="AG4435" s="2">
        <f ca="1"/>
        <v>0.58173174082847168</v>
      </c>
      <c r="AH4435" s="2" t="str">
        <f ca="1"/>
        <v>Bad</v>
      </c>
    </row>
    <row r="4436" spans="2:34" x14ac:dyDescent="0.2">
      <c r="B4436" s="2">
        <f ca="1"/>
        <v>0.4796177474887362</v>
      </c>
      <c r="O4436" s="2">
        <f ca="1"/>
        <v>1.040898893885323</v>
      </c>
      <c r="X4436" s="2">
        <f ca="1"/>
        <v>44.96164736032965</v>
      </c>
      <c r="AG4436" s="2">
        <f ca="1"/>
        <v>0.78611526296502876</v>
      </c>
      <c r="AH4436" s="2" t="str">
        <f ca="1"/>
        <v>Bad</v>
      </c>
    </row>
    <row r="4437" spans="2:34" x14ac:dyDescent="0.2">
      <c r="B4437" s="2">
        <f ca="1"/>
        <v>0.6991740188780764</v>
      </c>
      <c r="O4437" s="2">
        <f ca="1"/>
        <v>0.51392722833816373</v>
      </c>
      <c r="X4437" s="2">
        <f ca="1"/>
        <v>38.069207859205051</v>
      </c>
      <c r="AG4437" s="2">
        <f ca="1"/>
        <v>0.57869870301588278</v>
      </c>
      <c r="AH4437" s="2" t="str">
        <f ca="1"/>
        <v>Bad</v>
      </c>
    </row>
    <row r="4438" spans="2:34" x14ac:dyDescent="0.2">
      <c r="B4438" s="2">
        <f ca="1"/>
        <v>1.1298805737316009E-2</v>
      </c>
      <c r="O4438" s="2">
        <f ca="1"/>
        <v>0.59589618272425182</v>
      </c>
      <c r="X4438" s="2">
        <f ca="1"/>
        <v>59.6442495460931</v>
      </c>
      <c r="AG4438" s="2">
        <f ca="1"/>
        <v>0.8407334267215032</v>
      </c>
      <c r="AH4438" s="2" t="str">
        <f ca="1"/>
        <v>Bad</v>
      </c>
    </row>
    <row r="4439" spans="2:34" x14ac:dyDescent="0.2">
      <c r="B4439" s="2">
        <f ca="1"/>
        <v>0.57115979604825418</v>
      </c>
      <c r="O4439" s="2">
        <f ca="1"/>
        <v>-0.41306400192985065</v>
      </c>
      <c r="X4439" s="2">
        <f ca="1"/>
        <v>71.251878763185857</v>
      </c>
      <c r="AG4439" s="2">
        <f ca="1"/>
        <v>0.60043832429483412</v>
      </c>
      <c r="AH4439" s="2" t="str">
        <f ca="1"/>
        <v>Bad</v>
      </c>
    </row>
    <row r="4440" spans="2:34" x14ac:dyDescent="0.2">
      <c r="B4440" s="2">
        <f ca="1"/>
        <v>6.5060827383526476E-2</v>
      </c>
      <c r="O4440" s="2">
        <f ca="1"/>
        <v>2.7630993016380416</v>
      </c>
      <c r="X4440" s="2">
        <f ca="1"/>
        <v>39.419050606124429</v>
      </c>
      <c r="AG4440" s="2">
        <f ca="1"/>
        <v>0.16259211886879599</v>
      </c>
      <c r="AH4440" s="2" t="str">
        <f ca="1"/>
        <v>OK</v>
      </c>
    </row>
    <row r="4441" spans="2:34" x14ac:dyDescent="0.2">
      <c r="B4441" s="2">
        <f ca="1"/>
        <v>0.63752337980114659</v>
      </c>
      <c r="O4441" s="2">
        <f ca="1"/>
        <v>-0.31459360470708853</v>
      </c>
      <c r="X4441" s="2">
        <f ca="1"/>
        <v>80.156117254369207</v>
      </c>
      <c r="AG4441" s="2">
        <f ca="1"/>
        <v>0.21677303141243898</v>
      </c>
      <c r="AH4441" s="2" t="str">
        <f ca="1"/>
        <v>OK</v>
      </c>
    </row>
    <row r="4442" spans="2:34" x14ac:dyDescent="0.2">
      <c r="B4442" s="2">
        <f ca="1"/>
        <v>0.11576436096911658</v>
      </c>
      <c r="O4442" s="2">
        <f ca="1"/>
        <v>0.20791611381867714</v>
      </c>
      <c r="X4442" s="2">
        <f ca="1"/>
        <v>36.700878106435368</v>
      </c>
      <c r="AG4442" s="2">
        <f ca="1"/>
        <v>0.88105009185927763</v>
      </c>
      <c r="AH4442" s="2" t="str">
        <f ca="1"/>
        <v>Bad</v>
      </c>
    </row>
    <row r="4443" spans="2:34" x14ac:dyDescent="0.2">
      <c r="B4443" s="2">
        <f ca="1"/>
        <v>2.5748781985651226E-2</v>
      </c>
      <c r="O4443" s="2">
        <f ca="1"/>
        <v>1.2105134229348566</v>
      </c>
      <c r="X4443" s="2">
        <f ca="1"/>
        <v>41.152190967740225</v>
      </c>
      <c r="AG4443" s="2">
        <f ca="1"/>
        <v>0.93754489398028595</v>
      </c>
      <c r="AH4443" s="2" t="str">
        <f ca="1"/>
        <v>Bad</v>
      </c>
    </row>
    <row r="4444" spans="2:34" x14ac:dyDescent="0.2">
      <c r="B4444" s="2">
        <f ca="1"/>
        <v>0.23811709562391226</v>
      </c>
      <c r="O4444" s="2">
        <f ca="1"/>
        <v>-0.89030932445872502</v>
      </c>
      <c r="X4444" s="2">
        <f ca="1"/>
        <v>49.818138394675401</v>
      </c>
      <c r="AG4444" s="2">
        <f ca="1"/>
        <v>0.82689580251036654</v>
      </c>
      <c r="AH4444" s="2" t="str">
        <f ca="1"/>
        <v>Bad</v>
      </c>
    </row>
    <row r="4445" spans="2:34" x14ac:dyDescent="0.2">
      <c r="B4445" s="2">
        <f ca="1"/>
        <v>0.37728479878235532</v>
      </c>
      <c r="O4445" s="2">
        <f ca="1"/>
        <v>0.21705909662848208</v>
      </c>
      <c r="X4445" s="2">
        <f ca="1"/>
        <v>62.969979867654629</v>
      </c>
      <c r="AG4445" s="2">
        <f ca="1"/>
        <v>0.58929321416206992</v>
      </c>
      <c r="AH4445" s="2" t="str">
        <f ca="1"/>
        <v>Bad</v>
      </c>
    </row>
    <row r="4446" spans="2:34" x14ac:dyDescent="0.2">
      <c r="B4446" s="2">
        <f ca="1"/>
        <v>0.17886105759150372</v>
      </c>
      <c r="O4446" s="2">
        <f ca="1"/>
        <v>1.3738724663856803</v>
      </c>
      <c r="X4446" s="2">
        <f ca="1"/>
        <v>26.375333318034691</v>
      </c>
      <c r="AG4446" s="2">
        <f ca="1"/>
        <v>0.2910578092166487</v>
      </c>
      <c r="AH4446" s="2" t="str">
        <f ca="1"/>
        <v>OK</v>
      </c>
    </row>
    <row r="4447" spans="2:34" x14ac:dyDescent="0.2">
      <c r="B4447" s="2">
        <f ca="1"/>
        <v>0.72780852134665985</v>
      </c>
      <c r="O4447" s="2">
        <f ca="1"/>
        <v>1.3463667750940667</v>
      </c>
      <c r="X4447" s="2">
        <f ca="1"/>
        <v>36.207559423582943</v>
      </c>
      <c r="AG4447" s="2">
        <f ca="1"/>
        <v>0.33739379022598892</v>
      </c>
      <c r="AH4447" s="2" t="str">
        <f ca="1"/>
        <v>OK</v>
      </c>
    </row>
    <row r="4448" spans="2:34" x14ac:dyDescent="0.2">
      <c r="B4448" s="2">
        <f ca="1"/>
        <v>0.76844494964747945</v>
      </c>
      <c r="O4448" s="2">
        <f ca="1"/>
        <v>1.0182770449055714</v>
      </c>
      <c r="X4448" s="2">
        <f ca="1"/>
        <v>39.929790331339404</v>
      </c>
      <c r="AG4448" s="2">
        <f ca="1"/>
        <v>0.3246331191348748</v>
      </c>
      <c r="AH4448" s="2" t="str">
        <f ca="1"/>
        <v>OK</v>
      </c>
    </row>
    <row r="4449" spans="2:34" x14ac:dyDescent="0.2">
      <c r="B4449" s="2">
        <f ca="1"/>
        <v>0.56325570131013114</v>
      </c>
      <c r="O4449" s="2">
        <f ca="1"/>
        <v>-0.37389020437978915</v>
      </c>
      <c r="X4449" s="2">
        <f ca="1"/>
        <v>40.780826974405791</v>
      </c>
      <c r="AG4449" s="2">
        <f ca="1"/>
        <v>0.65057974949385677</v>
      </c>
      <c r="AH4449" s="2" t="str">
        <f ca="1"/>
        <v>Bad</v>
      </c>
    </row>
    <row r="4450" spans="2:34" x14ac:dyDescent="0.2">
      <c r="B4450" s="2">
        <f ca="1"/>
        <v>0.21105640664568703</v>
      </c>
      <c r="O4450" s="2">
        <f ca="1"/>
        <v>-0.53123480421629155</v>
      </c>
      <c r="X4450" s="2">
        <f ca="1"/>
        <v>89.444098637962924</v>
      </c>
      <c r="AG4450" s="2">
        <f ca="1"/>
        <v>0.45260045561861806</v>
      </c>
      <c r="AH4450" s="2" t="str">
        <f ca="1"/>
        <v>Bad</v>
      </c>
    </row>
    <row r="4451" spans="2:34" x14ac:dyDescent="0.2">
      <c r="B4451" s="2">
        <f ca="1"/>
        <v>0.70749091989229629</v>
      </c>
      <c r="O4451" s="2">
        <f ca="1"/>
        <v>-0.46724881045462574</v>
      </c>
      <c r="X4451" s="2">
        <f ca="1"/>
        <v>90.370988170694488</v>
      </c>
      <c r="AG4451" s="2">
        <f ca="1"/>
        <v>0.19043847819004811</v>
      </c>
      <c r="AH4451" s="2" t="str">
        <f ca="1"/>
        <v>OK</v>
      </c>
    </row>
    <row r="4452" spans="2:34" x14ac:dyDescent="0.2">
      <c r="B4452" s="2">
        <f ca="1"/>
        <v>0.34941034530900716</v>
      </c>
      <c r="O4452" s="2">
        <f ca="1"/>
        <v>1.0053406961263307</v>
      </c>
      <c r="X4452" s="2">
        <f ca="1"/>
        <v>83.741911478227436</v>
      </c>
      <c r="AG4452" s="2">
        <f ca="1"/>
        <v>0.19028807757066635</v>
      </c>
      <c r="AH4452" s="2" t="str">
        <f ca="1"/>
        <v>OK</v>
      </c>
    </row>
    <row r="4453" spans="2:34" x14ac:dyDescent="0.2">
      <c r="B4453" s="2">
        <f ca="1"/>
        <v>7.7474965067822588E-2</v>
      </c>
      <c r="O4453" s="2">
        <f ca="1"/>
        <v>-2.8604556337721432</v>
      </c>
      <c r="X4453" s="2">
        <f ca="1"/>
        <v>52.414211008106165</v>
      </c>
      <c r="AG4453" s="2">
        <f ca="1"/>
        <v>0.78876891747338473</v>
      </c>
      <c r="AH4453" s="2" t="str">
        <f ca="1"/>
        <v>Bad</v>
      </c>
    </row>
    <row r="4454" spans="2:34" x14ac:dyDescent="0.2">
      <c r="B4454" s="2">
        <f ca="1"/>
        <v>0.76605112656937746</v>
      </c>
      <c r="O4454" s="2">
        <f ca="1"/>
        <v>0.7191924276899988</v>
      </c>
      <c r="X4454" s="2">
        <f ca="1"/>
        <v>46.660697136729681</v>
      </c>
      <c r="AG4454" s="2">
        <f ca="1"/>
        <v>0.71397816677042747</v>
      </c>
      <c r="AH4454" s="2" t="str">
        <f ca="1"/>
        <v>Bad</v>
      </c>
    </row>
    <row r="4455" spans="2:34" x14ac:dyDescent="0.2">
      <c r="B4455" s="2">
        <f ca="1"/>
        <v>0.60396791782757764</v>
      </c>
      <c r="O4455" s="2">
        <f ca="1"/>
        <v>-1.0594175415249381</v>
      </c>
      <c r="X4455" s="2">
        <f ca="1"/>
        <v>63.569896205632219</v>
      </c>
      <c r="AG4455" s="2">
        <f ca="1"/>
        <v>0.25876634751543626</v>
      </c>
      <c r="AH4455" s="2" t="str">
        <f ca="1"/>
        <v>OK</v>
      </c>
    </row>
    <row r="4456" spans="2:34" x14ac:dyDescent="0.2">
      <c r="B4456" s="2">
        <f ca="1"/>
        <v>0.30645657831121675</v>
      </c>
      <c r="O4456" s="2">
        <f ca="1"/>
        <v>0.34525400102100873</v>
      </c>
      <c r="X4456" s="2">
        <f ca="1"/>
        <v>67.973083573859313</v>
      </c>
      <c r="AG4456" s="2">
        <f ca="1"/>
        <v>0.47359811728985513</v>
      </c>
      <c r="AH4456" s="2" t="str">
        <f ca="1"/>
        <v>Bad</v>
      </c>
    </row>
    <row r="4457" spans="2:34" x14ac:dyDescent="0.2">
      <c r="B4457" s="2">
        <f ca="1"/>
        <v>0.44252803915709937</v>
      </c>
      <c r="O4457" s="2">
        <f ca="1"/>
        <v>1.5328875279911116</v>
      </c>
      <c r="X4457" s="2">
        <f ca="1"/>
        <v>35.700624269979883</v>
      </c>
      <c r="AG4457" s="2">
        <f ca="1"/>
        <v>0.25384256115400361</v>
      </c>
      <c r="AH4457" s="2" t="str">
        <f ca="1"/>
        <v>OK</v>
      </c>
    </row>
    <row r="4458" spans="2:34" x14ac:dyDescent="0.2">
      <c r="B4458" s="2">
        <f ca="1"/>
        <v>0.970151316468294</v>
      </c>
      <c r="O4458" s="2">
        <f ca="1"/>
        <v>0.59509800546863356</v>
      </c>
      <c r="X4458" s="2">
        <f ca="1"/>
        <v>32.005135018575807</v>
      </c>
      <c r="AG4458" s="2">
        <f ca="1"/>
        <v>0.10292665172976934</v>
      </c>
      <c r="AH4458" s="2" t="str">
        <f ca="1"/>
        <v>OK</v>
      </c>
    </row>
    <row r="4459" spans="2:34" x14ac:dyDescent="0.2">
      <c r="B4459" s="2">
        <f ca="1"/>
        <v>0.30889325355504371</v>
      </c>
      <c r="O4459" s="2">
        <f ca="1"/>
        <v>0.80997834505485211</v>
      </c>
      <c r="X4459" s="2">
        <f ca="1"/>
        <v>39.716217972837391</v>
      </c>
      <c r="AG4459" s="2">
        <f ca="1"/>
        <v>0.76902921485123454</v>
      </c>
      <c r="AH4459" s="2" t="str">
        <f ca="1"/>
        <v>Bad</v>
      </c>
    </row>
    <row r="4460" spans="2:34" x14ac:dyDescent="0.2">
      <c r="B4460" s="2">
        <f ca="1"/>
        <v>0.21749458606584304</v>
      </c>
      <c r="O4460" s="2">
        <f ca="1"/>
        <v>0.14341825205507541</v>
      </c>
      <c r="X4460" s="2">
        <f ca="1"/>
        <v>55.751060988240113</v>
      </c>
      <c r="AG4460" s="2">
        <f ca="1"/>
        <v>0.96525085017201473</v>
      </c>
      <c r="AH4460" s="2" t="str">
        <f ca="1"/>
        <v>Bad</v>
      </c>
    </row>
    <row r="4461" spans="2:34" x14ac:dyDescent="0.2">
      <c r="B4461" s="2">
        <f ca="1"/>
        <v>0.44219941990205225</v>
      </c>
      <c r="O4461" s="2">
        <f ca="1"/>
        <v>-2.3956321355556387</v>
      </c>
      <c r="X4461" s="2">
        <f ca="1"/>
        <v>68.595882086640316</v>
      </c>
      <c r="AG4461" s="2">
        <f ca="1"/>
        <v>0.44948468402046093</v>
      </c>
      <c r="AH4461" s="2" t="str">
        <f ca="1"/>
        <v>Bad</v>
      </c>
    </row>
    <row r="4462" spans="2:34" x14ac:dyDescent="0.2">
      <c r="B4462" s="2">
        <f ca="1"/>
        <v>0.83910113611163206</v>
      </c>
      <c r="O4462" s="2">
        <f ca="1"/>
        <v>-1.9299918805547558</v>
      </c>
      <c r="X4462" s="2">
        <f ca="1"/>
        <v>74.971721304242251</v>
      </c>
      <c r="AG4462" s="2">
        <f ca="1"/>
        <v>0.6070161258601301</v>
      </c>
      <c r="AH4462" s="2" t="str">
        <f ca="1"/>
        <v>Bad</v>
      </c>
    </row>
    <row r="4463" spans="2:34" x14ac:dyDescent="0.2">
      <c r="B4463" s="2">
        <f ca="1"/>
        <v>0.3391863167321445</v>
      </c>
      <c r="O4463" s="2">
        <f ca="1"/>
        <v>1.2564590645806217</v>
      </c>
      <c r="X4463" s="2">
        <f ca="1"/>
        <v>73.571103798683893</v>
      </c>
      <c r="AG4463" s="2">
        <f ca="1"/>
        <v>0.58024851718902259</v>
      </c>
      <c r="AH4463" s="2" t="str">
        <f ca="1"/>
        <v>Bad</v>
      </c>
    </row>
    <row r="4464" spans="2:34" x14ac:dyDescent="0.2">
      <c r="B4464" s="2">
        <f ca="1"/>
        <v>0.58882487436841235</v>
      </c>
      <c r="O4464" s="2">
        <f ca="1"/>
        <v>-1.1125950600556447</v>
      </c>
      <c r="X4464" s="2">
        <f ca="1"/>
        <v>47.103232448035868</v>
      </c>
      <c r="AG4464" s="2">
        <f ca="1"/>
        <v>0.45725801781685016</v>
      </c>
      <c r="AH4464" s="2" t="str">
        <f ca="1"/>
        <v>Bad</v>
      </c>
    </row>
    <row r="4465" spans="2:34" x14ac:dyDescent="0.2">
      <c r="B4465" s="2">
        <f ca="1"/>
        <v>0.41748918005186875</v>
      </c>
      <c r="O4465" s="2">
        <f ca="1"/>
        <v>-0.72000900826300962</v>
      </c>
      <c r="X4465" s="2">
        <f ca="1"/>
        <v>28.513450800388931</v>
      </c>
      <c r="AG4465" s="2">
        <f ca="1"/>
        <v>4.7296181642035862E-2</v>
      </c>
      <c r="AH4465" s="2" t="str">
        <f ca="1"/>
        <v>Good</v>
      </c>
    </row>
    <row r="4466" spans="2:34" x14ac:dyDescent="0.2">
      <c r="B4466" s="2">
        <f ca="1"/>
        <v>0.21653848704920864</v>
      </c>
      <c r="O4466" s="2">
        <f ca="1"/>
        <v>-1.0306169397790901</v>
      </c>
      <c r="X4466" s="2">
        <f ca="1"/>
        <v>47.175761508756871</v>
      </c>
      <c r="AG4466" s="2">
        <f ca="1"/>
        <v>0.35011821861144976</v>
      </c>
      <c r="AH4466" s="2" t="str">
        <f ca="1"/>
        <v>OK</v>
      </c>
    </row>
    <row r="4467" spans="2:34" x14ac:dyDescent="0.2">
      <c r="B4467" s="2">
        <f ca="1"/>
        <v>0.57886337365034457</v>
      </c>
      <c r="O4467" s="2">
        <f ca="1"/>
        <v>-0.22309327355928327</v>
      </c>
      <c r="X4467" s="2">
        <f ca="1"/>
        <v>31.292101297529513</v>
      </c>
      <c r="AG4467" s="2">
        <f ca="1"/>
        <v>0.66604219086112026</v>
      </c>
      <c r="AH4467" s="2" t="str">
        <f ca="1"/>
        <v>Bad</v>
      </c>
    </row>
    <row r="4468" spans="2:34" x14ac:dyDescent="0.2">
      <c r="B4468" s="2">
        <f ca="1"/>
        <v>0.54469371955537893</v>
      </c>
      <c r="O4468" s="2">
        <f ca="1"/>
        <v>-1.7601806737016714</v>
      </c>
      <c r="X4468" s="2">
        <f ca="1"/>
        <v>40.638005720997128</v>
      </c>
      <c r="AG4468" s="2">
        <f ca="1"/>
        <v>0.61031253095595317</v>
      </c>
      <c r="AH4468" s="2" t="str">
        <f ca="1"/>
        <v>Bad</v>
      </c>
    </row>
    <row r="4469" spans="2:34" x14ac:dyDescent="0.2">
      <c r="B4469" s="2">
        <f ca="1"/>
        <v>0.25083175704729732</v>
      </c>
      <c r="O4469" s="2">
        <f ca="1"/>
        <v>-0.32517658437614438</v>
      </c>
      <c r="X4469" s="2">
        <f ca="1"/>
        <v>36.316325639677466</v>
      </c>
      <c r="AG4469" s="2">
        <f ca="1"/>
        <v>0.10680823865906719</v>
      </c>
      <c r="AH4469" s="2" t="str">
        <f ca="1"/>
        <v>OK</v>
      </c>
    </row>
    <row r="4470" spans="2:34" x14ac:dyDescent="0.2">
      <c r="B4470" s="2">
        <f ca="1"/>
        <v>0.219473979196811</v>
      </c>
      <c r="O4470" s="2">
        <f ca="1"/>
        <v>0.41865765000361821</v>
      </c>
      <c r="X4470" s="2">
        <f ca="1"/>
        <v>79.42610476778556</v>
      </c>
      <c r="AG4470" s="2">
        <f ca="1"/>
        <v>0.93585175000299192</v>
      </c>
      <c r="AH4470" s="2" t="str">
        <f ca="1"/>
        <v>Bad</v>
      </c>
    </row>
    <row r="4471" spans="2:34" x14ac:dyDescent="0.2">
      <c r="B4471" s="2">
        <f ca="1"/>
        <v>0.29774089594788977</v>
      </c>
      <c r="O4471" s="2">
        <f ca="1"/>
        <v>1.0776890612901437</v>
      </c>
      <c r="X4471" s="2">
        <f ca="1"/>
        <v>45.7897943735544</v>
      </c>
      <c r="AG4471" s="2">
        <f ca="1"/>
        <v>0.7727009384799699</v>
      </c>
      <c r="AH4471" s="2" t="str">
        <f ca="1"/>
        <v>Bad</v>
      </c>
    </row>
    <row r="4472" spans="2:34" x14ac:dyDescent="0.2">
      <c r="B4472" s="2">
        <f ca="1"/>
        <v>0.57260715363525994</v>
      </c>
      <c r="O4472" s="2">
        <f ca="1"/>
        <v>0.58116227048402258</v>
      </c>
      <c r="X4472" s="2">
        <f ca="1"/>
        <v>80.487172133643398</v>
      </c>
      <c r="AG4472" s="2">
        <f ca="1"/>
        <v>0.5620206978316673</v>
      </c>
      <c r="AH4472" s="2" t="str">
        <f ca="1"/>
        <v>Bad</v>
      </c>
    </row>
    <row r="4473" spans="2:34" x14ac:dyDescent="0.2">
      <c r="B4473" s="2">
        <f ca="1"/>
        <v>0.49930977297128964</v>
      </c>
      <c r="O4473" s="2">
        <f ca="1"/>
        <v>-1.1841937414563217</v>
      </c>
      <c r="X4473" s="2">
        <f ca="1"/>
        <v>52.561659871616612</v>
      </c>
      <c r="AG4473" s="2">
        <f ca="1"/>
        <v>0.82878238265821524</v>
      </c>
      <c r="AH4473" s="2" t="str">
        <f ca="1"/>
        <v>Bad</v>
      </c>
    </row>
    <row r="4474" spans="2:34" x14ac:dyDescent="0.2">
      <c r="B4474" s="2">
        <f ca="1"/>
        <v>0.54537255329309464</v>
      </c>
      <c r="O4474" s="2">
        <f ca="1"/>
        <v>-0.21296771874547585</v>
      </c>
      <c r="X4474" s="2">
        <f ca="1"/>
        <v>58.801652817928307</v>
      </c>
      <c r="AG4474" s="2">
        <f ca="1"/>
        <v>0.7643501072340555</v>
      </c>
      <c r="AH4474" s="2" t="str">
        <f ca="1"/>
        <v>Bad</v>
      </c>
    </row>
    <row r="4475" spans="2:34" x14ac:dyDescent="0.2">
      <c r="B4475" s="2">
        <f ca="1"/>
        <v>0.69971517356581026</v>
      </c>
      <c r="O4475" s="2">
        <f ca="1"/>
        <v>1.1682674291144517</v>
      </c>
      <c r="X4475" s="2">
        <f ca="1"/>
        <v>32.193561004039111</v>
      </c>
      <c r="AG4475" s="2">
        <f ca="1"/>
        <v>0.52910369657144551</v>
      </c>
      <c r="AH4475" s="2" t="str">
        <f ca="1"/>
        <v>Bad</v>
      </c>
    </row>
    <row r="4476" spans="2:34" x14ac:dyDescent="0.2">
      <c r="B4476" s="2">
        <f ca="1"/>
        <v>0.51880785502223614</v>
      </c>
      <c r="O4476" s="2">
        <f ca="1"/>
        <v>-1.3101065938185392</v>
      </c>
      <c r="X4476" s="2">
        <f ca="1"/>
        <v>46.433101229465606</v>
      </c>
      <c r="AG4476" s="2">
        <f ca="1"/>
        <v>0.88156551881605516</v>
      </c>
      <c r="AH4476" s="2" t="str">
        <f ca="1"/>
        <v>Bad</v>
      </c>
    </row>
    <row r="4477" spans="2:34" x14ac:dyDescent="0.2">
      <c r="B4477" s="2">
        <f ca="1"/>
        <v>0.29070193040179326</v>
      </c>
      <c r="O4477" s="2">
        <f ca="1"/>
        <v>0.34063828147946229</v>
      </c>
      <c r="X4477" s="2">
        <f ca="1"/>
        <v>44.852351428820477</v>
      </c>
      <c r="AG4477" s="2">
        <f ca="1"/>
        <v>0.96232475733181944</v>
      </c>
      <c r="AH4477" s="2" t="str">
        <f ca="1"/>
        <v>Bad</v>
      </c>
    </row>
    <row r="4478" spans="2:34" x14ac:dyDescent="0.2">
      <c r="B4478" s="2">
        <f ca="1"/>
        <v>0.39402541982236716</v>
      </c>
      <c r="O4478" s="2">
        <f ca="1"/>
        <v>1.0896622974780663</v>
      </c>
      <c r="X4478" s="2">
        <f ca="1"/>
        <v>60.44517419247795</v>
      </c>
      <c r="AG4478" s="2">
        <f ca="1"/>
        <v>0.26430972081990189</v>
      </c>
      <c r="AH4478" s="2" t="str">
        <f ca="1"/>
        <v>OK</v>
      </c>
    </row>
    <row r="4479" spans="2:34" x14ac:dyDescent="0.2">
      <c r="B4479" s="2">
        <f ca="1"/>
        <v>7.3076308774290277E-2</v>
      </c>
      <c r="O4479" s="2">
        <f ca="1"/>
        <v>-1.789632632170219</v>
      </c>
      <c r="X4479" s="2">
        <f ca="1"/>
        <v>22.42402289913575</v>
      </c>
      <c r="AG4479" s="2">
        <f ca="1"/>
        <v>0.5536022003532528</v>
      </c>
      <c r="AH4479" s="2" t="str">
        <f ca="1"/>
        <v>Bad</v>
      </c>
    </row>
    <row r="4480" spans="2:34" x14ac:dyDescent="0.2">
      <c r="B4480" s="2">
        <f ca="1"/>
        <v>0.5883436172473937</v>
      </c>
      <c r="O4480" s="2">
        <f ca="1"/>
        <v>-1.4813066445194216</v>
      </c>
      <c r="X4480" s="2">
        <f ca="1"/>
        <v>59.587885083055376</v>
      </c>
      <c r="AG4480" s="2">
        <f ca="1"/>
        <v>5.9959955206921878E-2</v>
      </c>
      <c r="AH4480" s="2" t="str">
        <f ca="1"/>
        <v>OK</v>
      </c>
    </row>
    <row r="4481" spans="2:34" x14ac:dyDescent="0.2">
      <c r="B4481" s="2">
        <f ca="1"/>
        <v>0.83355368327873669</v>
      </c>
      <c r="O4481" s="2">
        <f ca="1"/>
        <v>6.3561430950321893E-2</v>
      </c>
      <c r="X4481" s="2">
        <f ca="1"/>
        <v>54.221460977083893</v>
      </c>
      <c r="AG4481" s="2">
        <f ca="1"/>
        <v>0.60297224245741599</v>
      </c>
      <c r="AH4481" s="2" t="str">
        <f ca="1"/>
        <v>Bad</v>
      </c>
    </row>
    <row r="4482" spans="2:34" x14ac:dyDescent="0.2">
      <c r="B4482" s="2">
        <f ca="1"/>
        <v>0.48593848657610184</v>
      </c>
      <c r="O4482" s="2">
        <f ca="1"/>
        <v>4.5325574297632579E-2</v>
      </c>
      <c r="X4482" s="2">
        <f ca="1"/>
        <v>45.522927225096488</v>
      </c>
      <c r="AG4482" s="2">
        <f ca="1"/>
        <v>4.0162309042621303E-2</v>
      </c>
      <c r="AH4482" s="2" t="str">
        <f ca="1"/>
        <v>Good</v>
      </c>
    </row>
    <row r="4483" spans="2:34" x14ac:dyDescent="0.2">
      <c r="B4483" s="2">
        <f ca="1"/>
        <v>9.1181655350143664E-2</v>
      </c>
      <c r="O4483" s="2">
        <f ca="1"/>
        <v>-3.0508426816932142E-2</v>
      </c>
      <c r="X4483" s="2">
        <f ca="1"/>
        <v>45.111535627323597</v>
      </c>
      <c r="AG4483" s="2">
        <f ca="1"/>
        <v>0.22305740351785497</v>
      </c>
      <c r="AH4483" s="2" t="str">
        <f ca="1"/>
        <v>OK</v>
      </c>
    </row>
    <row r="4484" spans="2:34" x14ac:dyDescent="0.2">
      <c r="B4484" s="2">
        <f ca="1"/>
        <v>0.66571681263649074</v>
      </c>
      <c r="O4484" s="2">
        <f ca="1"/>
        <v>-0.25047392653418288</v>
      </c>
      <c r="X4484" s="2">
        <f ca="1"/>
        <v>30.032565767376191</v>
      </c>
      <c r="AG4484" s="2">
        <f ca="1"/>
        <v>5.8095625612949453E-2</v>
      </c>
      <c r="AH4484" s="2" t="str">
        <f ca="1"/>
        <v>OK</v>
      </c>
    </row>
    <row r="4485" spans="2:34" x14ac:dyDescent="0.2">
      <c r="B4485" s="2">
        <f ca="1"/>
        <v>6.6928382731704872E-2</v>
      </c>
      <c r="O4485" s="2">
        <f ca="1"/>
        <v>-1.3341492120966561E-2</v>
      </c>
      <c r="X4485" s="2">
        <f ca="1"/>
        <v>62.09186137965731</v>
      </c>
      <c r="AG4485" s="2">
        <f ca="1"/>
        <v>0.27995247798282508</v>
      </c>
      <c r="AH4485" s="2" t="str">
        <f ca="1"/>
        <v>OK</v>
      </c>
    </row>
    <row r="4486" spans="2:34" x14ac:dyDescent="0.2">
      <c r="B4486" s="2">
        <f ca="1"/>
        <v>0.53829243681438999</v>
      </c>
      <c r="O4486" s="2">
        <f ca="1"/>
        <v>-1.0359267336826445E-3</v>
      </c>
      <c r="X4486" s="2">
        <f ca="1"/>
        <v>45.339757996541323</v>
      </c>
      <c r="AG4486" s="2">
        <f ca="1"/>
        <v>0.8600983743896653</v>
      </c>
      <c r="AH4486" s="2" t="str">
        <f ca="1"/>
        <v>Bad</v>
      </c>
    </row>
    <row r="4487" spans="2:34" x14ac:dyDescent="0.2">
      <c r="B4487" s="2">
        <f ca="1"/>
        <v>0.21524297839404793</v>
      </c>
      <c r="O4487" s="2">
        <f ca="1"/>
        <v>0.66871451629523926</v>
      </c>
      <c r="X4487" s="2">
        <f ca="1"/>
        <v>45.922294848583903</v>
      </c>
      <c r="AG4487" s="2">
        <f ca="1"/>
        <v>0.53099475530771678</v>
      </c>
      <c r="AH4487" s="2" t="str">
        <f ca="1"/>
        <v>Bad</v>
      </c>
    </row>
    <row r="4488" spans="2:34" x14ac:dyDescent="0.2">
      <c r="B4488" s="2">
        <f ca="1"/>
        <v>0.39965137156476627</v>
      </c>
      <c r="O4488" s="2">
        <f ca="1"/>
        <v>0.28417673528246434</v>
      </c>
      <c r="X4488" s="2">
        <f ca="1"/>
        <v>55.74805527891013</v>
      </c>
      <c r="AG4488" s="2">
        <f ca="1"/>
        <v>9.0757810146353757E-2</v>
      </c>
      <c r="AH4488" s="2" t="str">
        <f ca="1"/>
        <v>OK</v>
      </c>
    </row>
    <row r="4489" spans="2:34" x14ac:dyDescent="0.2">
      <c r="B4489" s="2">
        <f ca="1"/>
        <v>0.61564663429391819</v>
      </c>
      <c r="O4489" s="2">
        <f ca="1"/>
        <v>-0.19052228260615856</v>
      </c>
      <c r="X4489" s="2">
        <f ca="1"/>
        <v>48.207223221470194</v>
      </c>
      <c r="AG4489" s="2">
        <f ca="1"/>
        <v>9.8924964321245312E-4</v>
      </c>
      <c r="AH4489" s="2" t="str">
        <f ca="1"/>
        <v>Good</v>
      </c>
    </row>
    <row r="4490" spans="2:34" x14ac:dyDescent="0.2">
      <c r="B4490" s="2">
        <f ca="1"/>
        <v>0.27628576056865706</v>
      </c>
      <c r="O4490" s="2">
        <f ca="1"/>
        <v>-1.03171993771989</v>
      </c>
      <c r="X4490" s="2">
        <f ca="1"/>
        <v>54.204055727153843</v>
      </c>
      <c r="AG4490" s="2">
        <f ca="1"/>
        <v>0.59111897412250891</v>
      </c>
      <c r="AH4490" s="2" t="str">
        <f ca="1"/>
        <v>Bad</v>
      </c>
    </row>
    <row r="4491" spans="2:34" x14ac:dyDescent="0.2">
      <c r="B4491" s="2">
        <f ca="1"/>
        <v>0.33693655434610803</v>
      </c>
      <c r="O4491" s="2">
        <f ca="1"/>
        <v>-1.0649990861510661</v>
      </c>
      <c r="X4491" s="2">
        <f ca="1"/>
        <v>32.728441588659734</v>
      </c>
      <c r="AG4491" s="2">
        <f ca="1"/>
        <v>0.78225794530553427</v>
      </c>
      <c r="AH4491" s="2" t="str">
        <f ca="1"/>
        <v>Bad</v>
      </c>
    </row>
    <row r="4492" spans="2:34" x14ac:dyDescent="0.2">
      <c r="B4492" s="2">
        <f ca="1"/>
        <v>7.5233702003753011E-2</v>
      </c>
      <c r="O4492" s="2">
        <f ca="1"/>
        <v>-0.70988167819577186</v>
      </c>
      <c r="X4492" s="2">
        <f ca="1"/>
        <v>40.624664519495219</v>
      </c>
      <c r="AG4492" s="2">
        <f ca="1"/>
        <v>3.6922593981346896E-2</v>
      </c>
      <c r="AH4492" s="2" t="str">
        <f ca="1"/>
        <v>Good</v>
      </c>
    </row>
    <row r="4493" spans="2:34" x14ac:dyDescent="0.2">
      <c r="B4493" s="2">
        <f ca="1"/>
        <v>5.9949729538039565E-2</v>
      </c>
      <c r="O4493" s="2">
        <f ca="1"/>
        <v>-1.2809690536731528</v>
      </c>
      <c r="X4493" s="2">
        <f ca="1"/>
        <v>32.694482691276065</v>
      </c>
      <c r="AG4493" s="2">
        <f ca="1"/>
        <v>0.75575453187139563</v>
      </c>
      <c r="AH4493" s="2" t="str">
        <f ca="1"/>
        <v>Bad</v>
      </c>
    </row>
    <row r="4494" spans="2:34" x14ac:dyDescent="0.2">
      <c r="B4494" s="2">
        <f ca="1"/>
        <v>0.73800090460096834</v>
      </c>
      <c r="O4494" s="2">
        <f ca="1"/>
        <v>-2.6397676032567541E-2</v>
      </c>
      <c r="X4494" s="2">
        <f ca="1"/>
        <v>43.511975009422052</v>
      </c>
      <c r="AG4494" s="2">
        <f ca="1"/>
        <v>0.95649397741096243</v>
      </c>
      <c r="AH4494" s="2" t="str">
        <f ca="1"/>
        <v>Bad</v>
      </c>
    </row>
    <row r="4495" spans="2:34" x14ac:dyDescent="0.2">
      <c r="B4495" s="2">
        <f ca="1"/>
        <v>0.49408434572085524</v>
      </c>
      <c r="O4495" s="2">
        <f ca="1"/>
        <v>-1.6563525065269022</v>
      </c>
      <c r="X4495" s="2">
        <f ca="1"/>
        <v>23.927710930159748</v>
      </c>
      <c r="AG4495" s="2">
        <f ca="1"/>
        <v>0.43931684533358828</v>
      </c>
      <c r="AH4495" s="2" t="str">
        <f ca="1"/>
        <v>Bad</v>
      </c>
    </row>
    <row r="4496" spans="2:34" x14ac:dyDescent="0.2">
      <c r="B4496" s="2">
        <f ca="1"/>
        <v>0.1034555621656279</v>
      </c>
      <c r="O4496" s="2">
        <f ca="1"/>
        <v>-3.0988994579056291E-2</v>
      </c>
      <c r="X4496" s="2">
        <f ca="1"/>
        <v>59.169827027453948</v>
      </c>
      <c r="AG4496" s="2">
        <f ca="1"/>
        <v>0.76396154504249725</v>
      </c>
      <c r="AH4496" s="2" t="str">
        <f ca="1"/>
        <v>Bad</v>
      </c>
    </row>
    <row r="4497" spans="2:34" x14ac:dyDescent="0.2">
      <c r="B4497" s="2">
        <f ca="1"/>
        <v>0.63967019317567275</v>
      </c>
      <c r="O4497" s="2">
        <f ca="1"/>
        <v>-0.56854137952244321</v>
      </c>
      <c r="X4497" s="2">
        <f ca="1"/>
        <v>53.935717176627087</v>
      </c>
      <c r="AG4497" s="2">
        <f ca="1"/>
        <v>0.69032098267490616</v>
      </c>
      <c r="AH4497" s="2" t="str">
        <f ca="1"/>
        <v>Bad</v>
      </c>
    </row>
    <row r="4498" spans="2:34" x14ac:dyDescent="0.2">
      <c r="B4498" s="2">
        <f ca="1"/>
        <v>0.8349011294974662</v>
      </c>
      <c r="O4498" s="2">
        <f ca="1"/>
        <v>0.84559926404023977</v>
      </c>
      <c r="X4498" s="2">
        <f ca="1"/>
        <v>43.226089148375706</v>
      </c>
      <c r="AG4498" s="2">
        <f ca="1"/>
        <v>0.77081739255626269</v>
      </c>
      <c r="AH4498" s="2" t="str">
        <f ca="1"/>
        <v>Bad</v>
      </c>
    </row>
    <row r="4499" spans="2:34" x14ac:dyDescent="0.2">
      <c r="B4499" s="2">
        <f ca="1"/>
        <v>0.96147021100752172</v>
      </c>
      <c r="O4499" s="2">
        <f ca="1"/>
        <v>-0.15758316678931289</v>
      </c>
      <c r="X4499" s="2">
        <f ca="1"/>
        <v>41.985564652189289</v>
      </c>
      <c r="AG4499" s="2">
        <f ca="1"/>
        <v>0.56394898385249359</v>
      </c>
      <c r="AH4499" s="2" t="str">
        <f ca="1"/>
        <v>Bad</v>
      </c>
    </row>
    <row r="4500" spans="2:34" x14ac:dyDescent="0.2">
      <c r="B4500" s="2">
        <f ca="1"/>
        <v>1.0254948298712652E-2</v>
      </c>
      <c r="O4500" s="2">
        <f ca="1"/>
        <v>0.39481663401336903</v>
      </c>
      <c r="X4500" s="2">
        <f ca="1"/>
        <v>101.82719570588441</v>
      </c>
      <c r="AG4500" s="2">
        <f ca="1"/>
        <v>0.49034339844424002</v>
      </c>
      <c r="AH4500" s="2" t="str">
        <f ca="1"/>
        <v>Bad</v>
      </c>
    </row>
    <row r="4501" spans="2:34" x14ac:dyDescent="0.2">
      <c r="B4501" s="2">
        <f ca="1"/>
        <v>0.91841279182367197</v>
      </c>
      <c r="O4501" s="2">
        <f ca="1"/>
        <v>0.44709592125696873</v>
      </c>
      <c r="X4501" s="2">
        <f ca="1"/>
        <v>43.129680659363039</v>
      </c>
      <c r="AG4501" s="2">
        <f ca="1"/>
        <v>2.8743363236864994E-3</v>
      </c>
      <c r="AH4501" s="2" t="str">
        <f ca="1"/>
        <v>Good</v>
      </c>
    </row>
    <row r="4502" spans="2:34" x14ac:dyDescent="0.2">
      <c r="B4502" s="2">
        <f ca="1"/>
        <v>6.8836832797677827E-2</v>
      </c>
      <c r="O4502" s="2">
        <f ca="1"/>
        <v>-0.62396713314635055</v>
      </c>
      <c r="X4502" s="2">
        <f ca="1"/>
        <v>33.632259053159075</v>
      </c>
      <c r="AG4502" s="2">
        <f ca="1"/>
        <v>0.90814878340798999</v>
      </c>
      <c r="AH4502" s="2" t="str">
        <f ca="1"/>
        <v>Bad</v>
      </c>
    </row>
    <row r="4503" spans="2:34" x14ac:dyDescent="0.2">
      <c r="B4503" s="2">
        <f ca="1"/>
        <v>0.75764311011278651</v>
      </c>
      <c r="O4503" s="2">
        <f ca="1"/>
        <v>0.65305415893114938</v>
      </c>
      <c r="X4503" s="2">
        <f ca="1"/>
        <v>64.299019165748831</v>
      </c>
      <c r="AG4503" s="2">
        <f ca="1"/>
        <v>0.99773695299530041</v>
      </c>
      <c r="AH4503" s="2" t="str">
        <f ca="1"/>
        <v>Bad</v>
      </c>
    </row>
    <row r="4504" spans="2:34" x14ac:dyDescent="0.2">
      <c r="B4504" s="2">
        <f ca="1"/>
        <v>0.44407013994597033</v>
      </c>
      <c r="O4504" s="2">
        <f ca="1"/>
        <v>0.67473199693292929</v>
      </c>
      <c r="X4504" s="2">
        <f ca="1"/>
        <v>20.719989762861548</v>
      </c>
      <c r="AG4504" s="2">
        <f ca="1"/>
        <v>0.37426319787167683</v>
      </c>
      <c r="AH4504" s="2" t="str">
        <f ca="1"/>
        <v>OK</v>
      </c>
    </row>
    <row r="4505" spans="2:34" x14ac:dyDescent="0.2">
      <c r="B4505" s="2">
        <f ca="1"/>
        <v>0.77937072391108697</v>
      </c>
      <c r="O4505" s="2">
        <f ca="1"/>
        <v>-1.8213140306340465</v>
      </c>
      <c r="X4505" s="2">
        <f ca="1"/>
        <v>77.780730666839119</v>
      </c>
      <c r="AG4505" s="2">
        <f ca="1"/>
        <v>0.1441287892762404</v>
      </c>
      <c r="AH4505" s="2" t="str">
        <f ca="1"/>
        <v>OK</v>
      </c>
    </row>
    <row r="4506" spans="2:34" x14ac:dyDescent="0.2">
      <c r="B4506" s="2">
        <f ca="1"/>
        <v>0.69139035295918516</v>
      </c>
      <c r="O4506" s="2">
        <f ca="1"/>
        <v>-0.39102814215600035</v>
      </c>
      <c r="X4506" s="2">
        <f ca="1"/>
        <v>53.404767900841527</v>
      </c>
      <c r="AG4506" s="2">
        <f ca="1"/>
        <v>0.4233787143527532</v>
      </c>
      <c r="AH4506" s="2" t="str">
        <f ca="1"/>
        <v>Bad</v>
      </c>
    </row>
    <row r="4507" spans="2:34" x14ac:dyDescent="0.2">
      <c r="B4507" s="2">
        <f ca="1"/>
        <v>0.33572376943488735</v>
      </c>
      <c r="O4507" s="2">
        <f ca="1"/>
        <v>-1.5741107885322079</v>
      </c>
      <c r="X4507" s="2">
        <f ca="1"/>
        <v>60.291463305778677</v>
      </c>
      <c r="AG4507" s="2">
        <f ca="1"/>
        <v>0.84138454285353603</v>
      </c>
      <c r="AH4507" s="2" t="str">
        <f ca="1"/>
        <v>Bad</v>
      </c>
    </row>
    <row r="4508" spans="2:34" x14ac:dyDescent="0.2">
      <c r="B4508" s="2">
        <f ca="1"/>
        <v>0.77110939395716094</v>
      </c>
      <c r="O4508" s="2">
        <f ca="1"/>
        <v>1.0692569768519575</v>
      </c>
      <c r="X4508" s="2">
        <f ca="1"/>
        <v>64.762256105131385</v>
      </c>
      <c r="AG4508" s="2">
        <f ca="1"/>
        <v>0.13162545123032965</v>
      </c>
      <c r="AH4508" s="2" t="str">
        <f ca="1"/>
        <v>OK</v>
      </c>
    </row>
    <row r="4509" spans="2:34" x14ac:dyDescent="0.2">
      <c r="B4509" s="2">
        <f ca="1"/>
        <v>0.44825810343061345</v>
      </c>
      <c r="O4509" s="2">
        <f ca="1"/>
        <v>-1.5599111173579796</v>
      </c>
      <c r="X4509" s="2">
        <f ca="1"/>
        <v>46.966188446305779</v>
      </c>
      <c r="AG4509" s="2">
        <f ca="1"/>
        <v>0.40415692115594415</v>
      </c>
      <c r="AH4509" s="2" t="str">
        <f ca="1"/>
        <v>Bad</v>
      </c>
    </row>
    <row r="4510" spans="2:34" x14ac:dyDescent="0.2">
      <c r="B4510" s="2">
        <f ca="1"/>
        <v>4.2012246197890457E-2</v>
      </c>
      <c r="O4510" s="2">
        <f ca="1"/>
        <v>1.2606301629575243</v>
      </c>
      <c r="X4510" s="2">
        <f ca="1"/>
        <v>45.014630613633187</v>
      </c>
      <c r="AG4510" s="2">
        <f ca="1"/>
        <v>0.8880164895253686</v>
      </c>
      <c r="AH4510" s="2" t="str">
        <f ca="1"/>
        <v>Bad</v>
      </c>
    </row>
    <row r="4511" spans="2:34" x14ac:dyDescent="0.2">
      <c r="B4511" s="2">
        <f ca="1"/>
        <v>0.19864760940738657</v>
      </c>
      <c r="O4511" s="2">
        <f ca="1"/>
        <v>-0.13445328694653644</v>
      </c>
      <c r="X4511" s="2">
        <f ca="1"/>
        <v>82.066098640523265</v>
      </c>
      <c r="AG4511" s="2">
        <f ca="1"/>
        <v>0.62295522248637547</v>
      </c>
      <c r="AH4511" s="2" t="str">
        <f ca="1"/>
        <v>Bad</v>
      </c>
    </row>
    <row r="4512" spans="2:34" x14ac:dyDescent="0.2">
      <c r="B4512" s="2">
        <f ca="1"/>
        <v>5.5639537541836592E-2</v>
      </c>
      <c r="O4512" s="2">
        <f ca="1"/>
        <v>-5.0209599736082793E-2</v>
      </c>
      <c r="X4512" s="2">
        <f ca="1"/>
        <v>47.272031261038236</v>
      </c>
      <c r="AG4512" s="2">
        <f ca="1"/>
        <v>0.40313527575182295</v>
      </c>
      <c r="AH4512" s="2" t="str">
        <f ca="1"/>
        <v>Bad</v>
      </c>
    </row>
    <row r="4513" spans="2:34" x14ac:dyDescent="0.2">
      <c r="B4513" s="2">
        <f ca="1"/>
        <v>0.6529475374792455</v>
      </c>
      <c r="O4513" s="2">
        <f ca="1"/>
        <v>1.9050334220876364</v>
      </c>
      <c r="X4513" s="2">
        <f ca="1"/>
        <v>31.640999571238595</v>
      </c>
      <c r="AG4513" s="2">
        <f ca="1"/>
        <v>0.75574110300836428</v>
      </c>
      <c r="AH4513" s="2" t="str">
        <f ca="1"/>
        <v>Bad</v>
      </c>
    </row>
    <row r="4514" spans="2:34" x14ac:dyDescent="0.2">
      <c r="B4514" s="2">
        <f ca="1"/>
        <v>0.7691229912169506</v>
      </c>
      <c r="O4514" s="2">
        <f ca="1"/>
        <v>0.31318251442686512</v>
      </c>
      <c r="X4514" s="2">
        <f ca="1"/>
        <v>25.198336203042764</v>
      </c>
      <c r="AG4514" s="2">
        <f ca="1"/>
        <v>0.81419752929797995</v>
      </c>
      <c r="AH4514" s="2" t="str">
        <f ca="1"/>
        <v>Bad</v>
      </c>
    </row>
    <row r="4515" spans="2:34" x14ac:dyDescent="0.2">
      <c r="B4515" s="2">
        <f ca="1"/>
        <v>0.18161343066228186</v>
      </c>
      <c r="O4515" s="2">
        <f ca="1"/>
        <v>-0.2749272069826027</v>
      </c>
      <c r="X4515" s="2">
        <f ca="1"/>
        <v>27.187305970005266</v>
      </c>
      <c r="AG4515" s="2">
        <f ca="1"/>
        <v>0.62335456639513831</v>
      </c>
      <c r="AH4515" s="2" t="str">
        <f ca="1"/>
        <v>Bad</v>
      </c>
    </row>
    <row r="4516" spans="2:34" x14ac:dyDescent="0.2">
      <c r="B4516" s="2">
        <f ca="1"/>
        <v>9.8205424399133934E-2</v>
      </c>
      <c r="O4516" s="2">
        <f ca="1"/>
        <v>1.151578423153979</v>
      </c>
      <c r="X4516" s="2">
        <f ca="1"/>
        <v>60.025240301255415</v>
      </c>
      <c r="AG4516" s="2">
        <f ca="1"/>
        <v>0.17067210590383475</v>
      </c>
      <c r="AH4516" s="2" t="str">
        <f ca="1"/>
        <v>OK</v>
      </c>
    </row>
    <row r="4517" spans="2:34" x14ac:dyDescent="0.2">
      <c r="B4517" s="2">
        <f ca="1"/>
        <v>0.41496005921150769</v>
      </c>
      <c r="O4517" s="2">
        <f ca="1"/>
        <v>1.1850004099770721</v>
      </c>
      <c r="X4517" s="2">
        <f ca="1"/>
        <v>77.249939166922388</v>
      </c>
      <c r="AG4517" s="2">
        <f ca="1"/>
        <v>0.75884712964750145</v>
      </c>
      <c r="AH4517" s="2" t="str">
        <f ca="1"/>
        <v>Bad</v>
      </c>
    </row>
    <row r="4518" spans="2:34" x14ac:dyDescent="0.2">
      <c r="B4518" s="2">
        <f ca="1"/>
        <v>0.38301125660814672</v>
      </c>
      <c r="O4518" s="2">
        <f ca="1"/>
        <v>0.18228322620389684</v>
      </c>
      <c r="X4518" s="2">
        <f ca="1"/>
        <v>46.784386426092752</v>
      </c>
      <c r="AG4518" s="2">
        <f ca="1"/>
        <v>0.59482434051659516</v>
      </c>
      <c r="AH4518" s="2" t="str">
        <f ca="1"/>
        <v>Bad</v>
      </c>
    </row>
    <row r="4519" spans="2:34" x14ac:dyDescent="0.2">
      <c r="B4519" s="2">
        <f ca="1"/>
        <v>0.37487805721492196</v>
      </c>
      <c r="O4519" s="2">
        <f ca="1"/>
        <v>1.0038276887104733</v>
      </c>
      <c r="X4519" s="2">
        <f ca="1"/>
        <v>45.52914512228859</v>
      </c>
      <c r="AG4519" s="2">
        <f ca="1"/>
        <v>0.97866368371888313</v>
      </c>
      <c r="AH4519" s="2" t="str">
        <f ca="1"/>
        <v>Bad</v>
      </c>
    </row>
    <row r="4520" spans="2:34" x14ac:dyDescent="0.2">
      <c r="B4520" s="2">
        <f ca="1"/>
        <v>0.8234421365211273</v>
      </c>
      <c r="O4520" s="2">
        <f ca="1"/>
        <v>1.1597031853161077</v>
      </c>
      <c r="X4520" s="2">
        <f ca="1"/>
        <v>32.368243927765711</v>
      </c>
      <c r="AG4520" s="2">
        <f ca="1"/>
        <v>0.73111024403086078</v>
      </c>
      <c r="AH4520" s="2" t="str">
        <f ca="1"/>
        <v>Bad</v>
      </c>
    </row>
    <row r="4521" spans="2:34" x14ac:dyDescent="0.2">
      <c r="B4521" s="2">
        <f ca="1"/>
        <v>0.16629126176163256</v>
      </c>
      <c r="O4521" s="2">
        <f ca="1"/>
        <v>-0.40308846833940409</v>
      </c>
      <c r="X4521" s="2">
        <f ca="1"/>
        <v>41.412352533858083</v>
      </c>
      <c r="AG4521" s="2">
        <f ca="1"/>
        <v>0.94496654807473179</v>
      </c>
      <c r="AH4521" s="2" t="str">
        <f ca="1"/>
        <v>Bad</v>
      </c>
    </row>
    <row r="4522" spans="2:34" x14ac:dyDescent="0.2">
      <c r="B4522" s="2">
        <f ca="1"/>
        <v>0.32908663100271895</v>
      </c>
      <c r="O4522" s="2">
        <f ca="1"/>
        <v>0.12586360747115083</v>
      </c>
      <c r="X4522" s="2">
        <f ca="1"/>
        <v>40.72756306499479</v>
      </c>
      <c r="AG4522" s="2">
        <f ca="1"/>
        <v>0.36113936529237467</v>
      </c>
      <c r="AH4522" s="2" t="str">
        <f ca="1"/>
        <v>OK</v>
      </c>
    </row>
    <row r="4523" spans="2:34" x14ac:dyDescent="0.2">
      <c r="B4523" s="2">
        <f ca="1"/>
        <v>0.91054852859792357</v>
      </c>
      <c r="O4523" s="2">
        <f ca="1"/>
        <v>2.6181273964103702</v>
      </c>
      <c r="X4523" s="2">
        <f ca="1"/>
        <v>56.320112373834846</v>
      </c>
      <c r="AG4523" s="2">
        <f ca="1"/>
        <v>9.1416503881998068E-2</v>
      </c>
      <c r="AH4523" s="2" t="str">
        <f ca="1"/>
        <v>OK</v>
      </c>
    </row>
    <row r="4524" spans="2:34" x14ac:dyDescent="0.2">
      <c r="B4524" s="2">
        <f ca="1"/>
        <v>0.63588088329832404</v>
      </c>
      <c r="O4524" s="2">
        <f ca="1"/>
        <v>-0.43888507831868073</v>
      </c>
      <c r="X4524" s="2">
        <f ca="1"/>
        <v>55.155822092275685</v>
      </c>
      <c r="AG4524" s="2">
        <f ca="1"/>
        <v>0.65782232561798404</v>
      </c>
      <c r="AH4524" s="2" t="str">
        <f ca="1"/>
        <v>Bad</v>
      </c>
    </row>
    <row r="4525" spans="2:34" x14ac:dyDescent="0.2">
      <c r="B4525" s="2">
        <f ca="1"/>
        <v>0.55173013912391178</v>
      </c>
      <c r="O4525" s="2">
        <f ca="1"/>
        <v>2.0115318275343119</v>
      </c>
      <c r="X4525" s="2">
        <f ca="1"/>
        <v>29.102487864210996</v>
      </c>
      <c r="AG4525" s="2">
        <f ca="1"/>
        <v>0.43176358102862777</v>
      </c>
      <c r="AH4525" s="2" t="str">
        <f ca="1"/>
        <v>Bad</v>
      </c>
    </row>
    <row r="4526" spans="2:34" x14ac:dyDescent="0.2">
      <c r="B4526" s="2">
        <f ca="1"/>
        <v>0.58877659939680194</v>
      </c>
      <c r="O4526" s="2">
        <f ca="1"/>
        <v>-0.24700045999588002</v>
      </c>
      <c r="X4526" s="2">
        <f ca="1"/>
        <v>34.593659228594859</v>
      </c>
      <c r="AG4526" s="2">
        <f ca="1"/>
        <v>0.65964532884464067</v>
      </c>
      <c r="AH4526" s="2" t="str">
        <f ca="1"/>
        <v>Bad</v>
      </c>
    </row>
    <row r="4527" spans="2:34" x14ac:dyDescent="0.2">
      <c r="B4527" s="2">
        <f ca="1"/>
        <v>3.298780548059721E-2</v>
      </c>
      <c r="O4527" s="2">
        <f ca="1"/>
        <v>-0.21691199391298049</v>
      </c>
      <c r="X4527" s="2">
        <f ca="1"/>
        <v>40.566968822034838</v>
      </c>
      <c r="AG4527" s="2">
        <f ca="1"/>
        <v>7.9143069475531069E-2</v>
      </c>
      <c r="AH4527" s="2" t="str">
        <f ca="1"/>
        <v>OK</v>
      </c>
    </row>
    <row r="4528" spans="2:34" x14ac:dyDescent="0.2">
      <c r="B4528" s="2">
        <f ca="1"/>
        <v>0.76919956368951081</v>
      </c>
      <c r="O4528" s="2">
        <f ca="1"/>
        <v>-0.27109075713573877</v>
      </c>
      <c r="X4528" s="2">
        <f ca="1"/>
        <v>68.66417717808929</v>
      </c>
      <c r="AG4528" s="2">
        <f ca="1"/>
        <v>0.59655936536330767</v>
      </c>
      <c r="AH4528" s="2" t="str">
        <f ca="1"/>
        <v>Bad</v>
      </c>
    </row>
    <row r="4529" spans="2:34" x14ac:dyDescent="0.2">
      <c r="B4529" s="2">
        <f ca="1"/>
        <v>0.56661496657745314</v>
      </c>
      <c r="O4529" s="2">
        <f ca="1"/>
        <v>0.73690005897698663</v>
      </c>
      <c r="X4529" s="2">
        <f ca="1"/>
        <v>25.081422641645577</v>
      </c>
      <c r="AG4529" s="2">
        <f ca="1"/>
        <v>0.67918634177469217</v>
      </c>
      <c r="AH4529" s="2" t="str">
        <f ca="1"/>
        <v>Bad</v>
      </c>
    </row>
    <row r="4530" spans="2:34" x14ac:dyDescent="0.2">
      <c r="B4530" s="2">
        <f ca="1"/>
        <v>0.46305494443787065</v>
      </c>
      <c r="O4530" s="2">
        <f ca="1"/>
        <v>9.4312308072375964E-2</v>
      </c>
      <c r="X4530" s="2">
        <f ca="1"/>
        <v>34.153701770558548</v>
      </c>
      <c r="AG4530" s="2">
        <f ca="1"/>
        <v>1.0847801293988102E-2</v>
      </c>
      <c r="AH4530" s="2" t="str">
        <f ca="1"/>
        <v>Good</v>
      </c>
    </row>
    <row r="4531" spans="2:34" x14ac:dyDescent="0.2">
      <c r="B4531" s="2">
        <f ca="1"/>
        <v>3.5569701852091962E-2</v>
      </c>
      <c r="O4531" s="2">
        <f ca="1"/>
        <v>-2.7350261591977301</v>
      </c>
      <c r="X4531" s="2">
        <f ca="1"/>
        <v>40.565142222449417</v>
      </c>
      <c r="AG4531" s="2">
        <f ca="1"/>
        <v>0.35297570470199879</v>
      </c>
      <c r="AH4531" s="2" t="str">
        <f ca="1"/>
        <v>OK</v>
      </c>
    </row>
    <row r="4532" spans="2:34" x14ac:dyDescent="0.2">
      <c r="B4532" s="2">
        <f ca="1"/>
        <v>0.73859628858908666</v>
      </c>
      <c r="O4532" s="2">
        <f ca="1"/>
        <v>0.34164343849628392</v>
      </c>
      <c r="X4532" s="2">
        <f ca="1"/>
        <v>42.627760589948942</v>
      </c>
      <c r="AG4532" s="2">
        <f ca="1"/>
        <v>0.67691504934379276</v>
      </c>
      <c r="AH4532" s="2" t="str">
        <f ca="1"/>
        <v>Bad</v>
      </c>
    </row>
    <row r="4533" spans="2:34" x14ac:dyDescent="0.2">
      <c r="B4533" s="2">
        <f ca="1"/>
        <v>0.74988404387092999</v>
      </c>
      <c r="O4533" s="2">
        <f ca="1"/>
        <v>-0.53491226379716983</v>
      </c>
      <c r="X4533" s="2">
        <f ca="1"/>
        <v>62.189824054170955</v>
      </c>
      <c r="AG4533" s="2">
        <f ca="1"/>
        <v>0.55236321386873799</v>
      </c>
      <c r="AH4533" s="2" t="str">
        <f ca="1"/>
        <v>Bad</v>
      </c>
    </row>
    <row r="4534" spans="2:34" x14ac:dyDescent="0.2">
      <c r="B4534" s="2">
        <f ca="1"/>
        <v>0.86006190940921656</v>
      </c>
      <c r="O4534" s="2">
        <f ca="1"/>
        <v>-0.72849822317661517</v>
      </c>
      <c r="X4534" s="2">
        <f ca="1"/>
        <v>47.723431013491833</v>
      </c>
      <c r="AG4534" s="2">
        <f ca="1"/>
        <v>0.33504016502376666</v>
      </c>
      <c r="AH4534" s="2" t="str">
        <f ca="1"/>
        <v>OK</v>
      </c>
    </row>
    <row r="4535" spans="2:34" x14ac:dyDescent="0.2">
      <c r="B4535" s="2">
        <f ca="1"/>
        <v>0.54872895555631196</v>
      </c>
      <c r="O4535" s="2">
        <f ca="1"/>
        <v>1.1525945153476116</v>
      </c>
      <c r="X4535" s="2">
        <f ca="1"/>
        <v>46.609521176455388</v>
      </c>
      <c r="AG4535" s="2">
        <f ca="1"/>
        <v>0.91469398693578507</v>
      </c>
      <c r="AH4535" s="2" t="str">
        <f ca="1"/>
        <v>Bad</v>
      </c>
    </row>
    <row r="4536" spans="2:34" x14ac:dyDescent="0.2">
      <c r="B4536" s="2">
        <f ca="1"/>
        <v>0.66452081082138714</v>
      </c>
      <c r="O4536" s="2">
        <f ca="1"/>
        <v>-1.3145487126207112</v>
      </c>
      <c r="X4536" s="2">
        <f ca="1"/>
        <v>72.765955734781016</v>
      </c>
      <c r="AG4536" s="2">
        <f ca="1"/>
        <v>3.8748461238601761E-2</v>
      </c>
      <c r="AH4536" s="2" t="str">
        <f ca="1"/>
        <v>Good</v>
      </c>
    </row>
    <row r="4537" spans="2:34" x14ac:dyDescent="0.2">
      <c r="B4537" s="2">
        <f ca="1"/>
        <v>4.3423075793474375E-2</v>
      </c>
      <c r="O4537" s="2">
        <f ca="1"/>
        <v>0.70393743143273857</v>
      </c>
      <c r="X4537" s="2">
        <f ca="1"/>
        <v>49.51292782619803</v>
      </c>
      <c r="AG4537" s="2">
        <f ca="1"/>
        <v>0.60045961572650919</v>
      </c>
      <c r="AH4537" s="2" t="str">
        <f ca="1"/>
        <v>Bad</v>
      </c>
    </row>
    <row r="4538" spans="2:34" x14ac:dyDescent="0.2">
      <c r="B4538" s="2">
        <f ca="1"/>
        <v>0.71039334534615994</v>
      </c>
      <c r="O4538" s="2">
        <f ca="1"/>
        <v>-2.0179726602430037</v>
      </c>
      <c r="X4538" s="2">
        <f ca="1"/>
        <v>45.347792352593721</v>
      </c>
      <c r="AG4538" s="2">
        <f ca="1"/>
        <v>0.15453219384943573</v>
      </c>
      <c r="AH4538" s="2" t="str">
        <f ca="1"/>
        <v>OK</v>
      </c>
    </row>
    <row r="4539" spans="2:34" x14ac:dyDescent="0.2">
      <c r="B4539" s="2">
        <f ca="1"/>
        <v>0.26846365248954518</v>
      </c>
      <c r="O4539" s="2">
        <f ca="1"/>
        <v>-0.35000013409662017</v>
      </c>
      <c r="X4539" s="2">
        <f ca="1"/>
        <v>34.714696204223181</v>
      </c>
      <c r="AG4539" s="2">
        <f ca="1"/>
        <v>0.26751115747889775</v>
      </c>
      <c r="AH4539" s="2" t="str">
        <f ca="1"/>
        <v>OK</v>
      </c>
    </row>
    <row r="4540" spans="2:34" x14ac:dyDescent="0.2">
      <c r="B4540" s="2">
        <f ca="1"/>
        <v>0.96313851817353568</v>
      </c>
      <c r="O4540" s="2">
        <f ca="1"/>
        <v>-0.91639535816766693</v>
      </c>
      <c r="X4540" s="2">
        <f ca="1"/>
        <v>33.839760814820011</v>
      </c>
      <c r="AG4540" s="2">
        <f ca="1"/>
        <v>0.11176590777140083</v>
      </c>
      <c r="AH4540" s="2" t="str">
        <f ca="1"/>
        <v>OK</v>
      </c>
    </row>
    <row r="4541" spans="2:34" x14ac:dyDescent="0.2">
      <c r="B4541" s="2">
        <f ca="1"/>
        <v>0.85518144265366169</v>
      </c>
      <c r="O4541" s="2">
        <f ca="1"/>
        <v>-1.7175331371043256</v>
      </c>
      <c r="X4541" s="2">
        <f ca="1"/>
        <v>53.933382624034437</v>
      </c>
      <c r="AG4541" s="2">
        <f ca="1"/>
        <v>1.8433991045341269E-2</v>
      </c>
      <c r="AH4541" s="2" t="str">
        <f ca="1"/>
        <v>Good</v>
      </c>
    </row>
    <row r="4542" spans="2:34" x14ac:dyDescent="0.2">
      <c r="B4542" s="2">
        <f ca="1"/>
        <v>0.69313382016327485</v>
      </c>
      <c r="O4542" s="2">
        <f ca="1"/>
        <v>0.47513682370832505</v>
      </c>
      <c r="X4542" s="2">
        <f ca="1"/>
        <v>29.806561361198082</v>
      </c>
      <c r="AG4542" s="2">
        <f ca="1"/>
        <v>0.14775561470266063</v>
      </c>
      <c r="AH4542" s="2" t="str">
        <f ca="1"/>
        <v>OK</v>
      </c>
    </row>
    <row r="4543" spans="2:34" x14ac:dyDescent="0.2">
      <c r="B4543" s="2">
        <f ca="1"/>
        <v>0.62196859452853093</v>
      </c>
      <c r="O4543" s="2">
        <f ca="1"/>
        <v>-5.7833328614166263E-2</v>
      </c>
      <c r="X4543" s="2">
        <f ca="1"/>
        <v>42.343888135977103</v>
      </c>
      <c r="AG4543" s="2">
        <f ca="1"/>
        <v>0.50910931435997009</v>
      </c>
      <c r="AH4543" s="2" t="str">
        <f ca="1"/>
        <v>Bad</v>
      </c>
    </row>
    <row r="4544" spans="2:34" x14ac:dyDescent="0.2">
      <c r="B4544" s="2">
        <f ca="1"/>
        <v>0.33881964225877259</v>
      </c>
      <c r="O4544" s="2">
        <f ca="1"/>
        <v>-1.2029346175163669</v>
      </c>
      <c r="X4544" s="2">
        <f ca="1"/>
        <v>53.089928410755519</v>
      </c>
      <c r="AG4544" s="2">
        <f ca="1"/>
        <v>0.30637466457972318</v>
      </c>
      <c r="AH4544" s="2" t="str">
        <f ca="1"/>
        <v>OK</v>
      </c>
    </row>
    <row r="4545" spans="2:34" x14ac:dyDescent="0.2">
      <c r="B4545" s="2">
        <f ca="1"/>
        <v>0.22569922935773423</v>
      </c>
      <c r="O4545" s="2">
        <f ca="1"/>
        <v>0.18439662730561765</v>
      </c>
      <c r="X4545" s="2">
        <f ca="1"/>
        <v>45.822854662541374</v>
      </c>
      <c r="AG4545" s="2">
        <f ca="1"/>
        <v>0.68520239118141779</v>
      </c>
      <c r="AH4545" s="2" t="str">
        <f ca="1"/>
        <v>Bad</v>
      </c>
    </row>
    <row r="4546" spans="2:34" x14ac:dyDescent="0.2">
      <c r="B4546" s="2">
        <f ca="1"/>
        <v>1.5936260490672982E-2</v>
      </c>
      <c r="O4546" s="2">
        <f ca="1"/>
        <v>1.7490649399975873</v>
      </c>
      <c r="X4546" s="2">
        <f ca="1"/>
        <v>30.65926423627085</v>
      </c>
      <c r="AG4546" s="2">
        <f ca="1"/>
        <v>0.48234795357328797</v>
      </c>
      <c r="AH4546" s="2" t="str">
        <f ca="1"/>
        <v>Bad</v>
      </c>
    </row>
    <row r="4547" spans="2:34" x14ac:dyDescent="0.2">
      <c r="B4547" s="2">
        <f ca="1"/>
        <v>0.87123321817117372</v>
      </c>
      <c r="O4547" s="2">
        <f ca="1"/>
        <v>0.10777021176664306</v>
      </c>
      <c r="X4547" s="2">
        <f ca="1"/>
        <v>34.031537561536204</v>
      </c>
      <c r="AG4547" s="2">
        <f ca="1"/>
        <v>0.74493418983192061</v>
      </c>
      <c r="AH4547" s="2" t="str">
        <f ca="1"/>
        <v>Bad</v>
      </c>
    </row>
    <row r="4548" spans="2:34" x14ac:dyDescent="0.2">
      <c r="B4548" s="2">
        <f ca="1"/>
        <v>6.4044906952195113E-2</v>
      </c>
      <c r="O4548" s="2">
        <f ca="1"/>
        <v>0.35059610559043902</v>
      </c>
      <c r="X4548" s="2">
        <f ca="1"/>
        <v>50.047605831387273</v>
      </c>
      <c r="AG4548" s="2">
        <f ca="1"/>
        <v>0.73920017999091359</v>
      </c>
      <c r="AH4548" s="2" t="str">
        <f ca="1"/>
        <v>Bad</v>
      </c>
    </row>
    <row r="4549" spans="2:34" x14ac:dyDescent="0.2">
      <c r="B4549" s="2">
        <f ca="1"/>
        <v>0.85832537678567933</v>
      </c>
      <c r="O4549" s="2">
        <f ca="1"/>
        <v>0.66385112522061784</v>
      </c>
      <c r="X4549" s="2">
        <f ca="1"/>
        <v>43.860063426434351</v>
      </c>
      <c r="AG4549" s="2">
        <f ca="1"/>
        <v>0.14529431877073073</v>
      </c>
      <c r="AH4549" s="2" t="str">
        <f ca="1"/>
        <v>OK</v>
      </c>
    </row>
    <row r="4550" spans="2:34" x14ac:dyDescent="0.2">
      <c r="B4550" s="2">
        <f ca="1"/>
        <v>0.99597523800450283</v>
      </c>
      <c r="O4550" s="2">
        <f ca="1"/>
        <v>0.65919138041148762</v>
      </c>
      <c r="X4550" s="2">
        <f ca="1"/>
        <v>64.322899167337241</v>
      </c>
      <c r="AG4550" s="2">
        <f ca="1"/>
        <v>0.34806656421103011</v>
      </c>
      <c r="AH4550" s="2" t="str">
        <f ca="1"/>
        <v>OK</v>
      </c>
    </row>
    <row r="4551" spans="2:34" x14ac:dyDescent="0.2">
      <c r="B4551" s="2">
        <f ca="1"/>
        <v>0.25499254973551189</v>
      </c>
      <c r="O4551" s="2">
        <f ca="1"/>
        <v>-2.1464431492030047</v>
      </c>
      <c r="X4551" s="2">
        <f ca="1"/>
        <v>46.731007697533713</v>
      </c>
      <c r="AG4551" s="2">
        <f ca="1"/>
        <v>0.8770741873213157</v>
      </c>
      <c r="AH4551" s="2" t="str">
        <f ca="1"/>
        <v>Bad</v>
      </c>
    </row>
    <row r="4552" spans="2:34" x14ac:dyDescent="0.2">
      <c r="B4552" s="2">
        <f ca="1"/>
        <v>0.89180057441033345</v>
      </c>
      <c r="O4552" s="2">
        <f ca="1"/>
        <v>-0.16977474835852793</v>
      </c>
      <c r="X4552" s="2">
        <f ca="1"/>
        <v>75.92157216859394</v>
      </c>
      <c r="AG4552" s="2">
        <f ca="1"/>
        <v>0.41707199435345843</v>
      </c>
      <c r="AH4552" s="2" t="str">
        <f ca="1"/>
        <v>Bad</v>
      </c>
    </row>
    <row r="4553" spans="2:34" x14ac:dyDescent="0.2">
      <c r="B4553" s="2">
        <f ca="1"/>
        <v>0.23148654715846373</v>
      </c>
      <c r="O4553" s="2">
        <f ca="1"/>
        <v>0.98689479400995839</v>
      </c>
      <c r="X4553" s="2">
        <f ca="1"/>
        <v>46.792093322024613</v>
      </c>
      <c r="AG4553" s="2">
        <f ca="1"/>
        <v>9.4689841178372092E-2</v>
      </c>
      <c r="AH4553" s="2" t="str">
        <f ca="1"/>
        <v>OK</v>
      </c>
    </row>
    <row r="4554" spans="2:34" x14ac:dyDescent="0.2">
      <c r="B4554" s="2">
        <f ca="1"/>
        <v>1.1903948404921039E-2</v>
      </c>
      <c r="O4554" s="2">
        <f ca="1"/>
        <v>-0.4704720948246659</v>
      </c>
      <c r="X4554" s="2">
        <f ca="1"/>
        <v>65.373549551157296</v>
      </c>
      <c r="AG4554" s="2">
        <f ca="1"/>
        <v>4.3587740628975968E-2</v>
      </c>
      <c r="AH4554" s="2" t="str">
        <f ca="1"/>
        <v>Good</v>
      </c>
    </row>
    <row r="4555" spans="2:34" x14ac:dyDescent="0.2">
      <c r="B4555" s="2">
        <f ca="1"/>
        <v>0.14729989534371901</v>
      </c>
      <c r="O4555" s="2">
        <f ca="1"/>
        <v>0.34194166068915011</v>
      </c>
      <c r="X4555" s="2">
        <f ca="1"/>
        <v>73.525117529734928</v>
      </c>
      <c r="AG4555" s="2">
        <f ca="1"/>
        <v>0.37626407598207234</v>
      </c>
      <c r="AH4555" s="2" t="str">
        <f ca="1"/>
        <v>OK</v>
      </c>
    </row>
    <row r="4556" spans="2:34" x14ac:dyDescent="0.2">
      <c r="B4556" s="2">
        <f ca="1"/>
        <v>0.52756999211567179</v>
      </c>
      <c r="O4556" s="2">
        <f ca="1"/>
        <v>-0.46178196077974393</v>
      </c>
      <c r="X4556" s="2">
        <f ca="1"/>
        <v>86.415942279068418</v>
      </c>
      <c r="AG4556" s="2">
        <f ca="1"/>
        <v>0.81612334193473224</v>
      </c>
      <c r="AH4556" s="2" t="str">
        <f ca="1"/>
        <v>Bad</v>
      </c>
    </row>
    <row r="4557" spans="2:34" x14ac:dyDescent="0.2">
      <c r="B4557" s="2">
        <f ca="1"/>
        <v>0.28957306618511947</v>
      </c>
      <c r="O4557" s="2">
        <f ca="1"/>
        <v>-0.8442277655347612</v>
      </c>
      <c r="X4557" s="2">
        <f ca="1"/>
        <v>31.551897865298105</v>
      </c>
      <c r="AG4557" s="2">
        <f ca="1"/>
        <v>0.619458429028519</v>
      </c>
      <c r="AH4557" s="2" t="str">
        <f ca="1"/>
        <v>Bad</v>
      </c>
    </row>
    <row r="4558" spans="2:34" x14ac:dyDescent="0.2">
      <c r="B4558" s="2">
        <f ca="1"/>
        <v>0.24225351449849852</v>
      </c>
      <c r="O4558" s="2">
        <f ca="1"/>
        <v>-0.73224489450504959</v>
      </c>
      <c r="X4558" s="2">
        <f ca="1"/>
        <v>40.542738767243037</v>
      </c>
      <c r="AG4558" s="2">
        <f ca="1"/>
        <v>0.12345110126496217</v>
      </c>
      <c r="AH4558" s="2" t="str">
        <f ca="1"/>
        <v>OK</v>
      </c>
    </row>
    <row r="4559" spans="2:34" x14ac:dyDescent="0.2">
      <c r="B4559" s="2">
        <f ca="1"/>
        <v>0.47165392226367087</v>
      </c>
      <c r="O4559" s="2">
        <f ca="1"/>
        <v>-0.99299797768805154</v>
      </c>
      <c r="X4559" s="2">
        <f ca="1"/>
        <v>41.052398042212474</v>
      </c>
      <c r="AG4559" s="2">
        <f ca="1"/>
        <v>0.19835055355679865</v>
      </c>
      <c r="AH4559" s="2" t="str">
        <f ca="1"/>
        <v>OK</v>
      </c>
    </row>
    <row r="4560" spans="2:34" x14ac:dyDescent="0.2">
      <c r="B4560" s="2">
        <f ca="1"/>
        <v>0.36469669117802539</v>
      </c>
      <c r="O4560" s="2">
        <f ca="1"/>
        <v>2.0527843766547083</v>
      </c>
      <c r="X4560" s="2">
        <f ca="1"/>
        <v>20.655760177161749</v>
      </c>
      <c r="AG4560" s="2">
        <f ca="1"/>
        <v>0.19338489654155278</v>
      </c>
      <c r="AH4560" s="2" t="str">
        <f ca="1"/>
        <v>OK</v>
      </c>
    </row>
    <row r="4561" spans="2:34" x14ac:dyDescent="0.2">
      <c r="B4561" s="2">
        <f ca="1"/>
        <v>0.50626303461787248</v>
      </c>
      <c r="O4561" s="2">
        <f ca="1"/>
        <v>0.80513851121350422</v>
      </c>
      <c r="X4561" s="2">
        <f ca="1"/>
        <v>36.897289942959659</v>
      </c>
      <c r="AG4561" s="2">
        <f ca="1"/>
        <v>0.908302909952172</v>
      </c>
      <c r="AH4561" s="2" t="str">
        <f ca="1"/>
        <v>Bad</v>
      </c>
    </row>
    <row r="4562" spans="2:34" x14ac:dyDescent="0.2">
      <c r="B4562" s="2">
        <f ca="1"/>
        <v>0.40096826248913886</v>
      </c>
      <c r="O4562" s="2">
        <f ca="1"/>
        <v>-0.69625847378754624</v>
      </c>
      <c r="X4562" s="2">
        <f ca="1"/>
        <v>49.242640102199246</v>
      </c>
      <c r="AG4562" s="2">
        <f ca="1"/>
        <v>0.66855184840335902</v>
      </c>
      <c r="AH4562" s="2" t="str">
        <f ca="1"/>
        <v>Bad</v>
      </c>
    </row>
    <row r="4563" spans="2:34" x14ac:dyDescent="0.2">
      <c r="B4563" s="2">
        <f ca="1"/>
        <v>0.40602400951336826</v>
      </c>
      <c r="O4563" s="2">
        <f ca="1"/>
        <v>1.851193202851481</v>
      </c>
      <c r="X4563" s="2">
        <f ca="1"/>
        <v>29.838245963559284</v>
      </c>
      <c r="AG4563" s="2">
        <f ca="1"/>
        <v>0.78032769840745231</v>
      </c>
      <c r="AH4563" s="2" t="str">
        <f ca="1"/>
        <v>Bad</v>
      </c>
    </row>
    <row r="4564" spans="2:34" x14ac:dyDescent="0.2">
      <c r="B4564" s="2">
        <f ca="1"/>
        <v>0.38373735695474154</v>
      </c>
      <c r="O4564" s="2">
        <f ca="1"/>
        <v>0.54371712340230294</v>
      </c>
      <c r="X4564" s="2">
        <f ca="1"/>
        <v>80.329387819241504</v>
      </c>
      <c r="AG4564" s="2">
        <f ca="1"/>
        <v>7.2963077827588041E-3</v>
      </c>
      <c r="AH4564" s="2" t="str">
        <f ca="1"/>
        <v>Good</v>
      </c>
    </row>
    <row r="4565" spans="2:34" x14ac:dyDescent="0.2">
      <c r="B4565" s="2">
        <f ca="1"/>
        <v>0.28010973096230685</v>
      </c>
      <c r="O4565" s="2">
        <f ca="1"/>
        <v>0.40309531238677682</v>
      </c>
      <c r="X4565" s="2">
        <f ca="1"/>
        <v>45.658198538272991</v>
      </c>
      <c r="AG4565" s="2">
        <f ca="1"/>
        <v>0.52571564670426363</v>
      </c>
      <c r="AH4565" s="2" t="str">
        <f ca="1"/>
        <v>Bad</v>
      </c>
    </row>
    <row r="4566" spans="2:34" x14ac:dyDescent="0.2">
      <c r="B4566" s="2">
        <f ca="1"/>
        <v>0.79622009798776627</v>
      </c>
      <c r="O4566" s="2">
        <f ca="1"/>
        <v>0.604616587624352</v>
      </c>
      <c r="X4566" s="2">
        <f ca="1"/>
        <v>62.215581078493337</v>
      </c>
      <c r="AG4566" s="2">
        <f ca="1"/>
        <v>0.90476714537883329</v>
      </c>
      <c r="AH4566" s="2" t="str">
        <f ca="1"/>
        <v>Bad</v>
      </c>
    </row>
    <row r="4567" spans="2:34" x14ac:dyDescent="0.2">
      <c r="B4567" s="2">
        <f ca="1"/>
        <v>0.10754106343811931</v>
      </c>
      <c r="O4567" s="2">
        <f ca="1"/>
        <v>-0.16300391818668195</v>
      </c>
      <c r="X4567" s="2">
        <f ca="1"/>
        <v>41.464922798828411</v>
      </c>
      <c r="AG4567" s="2">
        <f ca="1"/>
        <v>0.26859047348679232</v>
      </c>
      <c r="AH4567" s="2" t="str">
        <f ca="1"/>
        <v>OK</v>
      </c>
    </row>
    <row r="4568" spans="2:34" x14ac:dyDescent="0.2">
      <c r="B4568" s="2">
        <f ca="1"/>
        <v>0.91887113566462486</v>
      </c>
      <c r="O4568" s="2">
        <f ca="1"/>
        <v>0.14826604000512086</v>
      </c>
      <c r="X4568" s="2">
        <f ca="1"/>
        <v>39.977469145122129</v>
      </c>
      <c r="AG4568" s="2">
        <f ca="1"/>
        <v>0.33696125175763592</v>
      </c>
      <c r="AH4568" s="2" t="str">
        <f ca="1"/>
        <v>OK</v>
      </c>
    </row>
    <row r="4569" spans="2:34" x14ac:dyDescent="0.2">
      <c r="B4569" s="2">
        <f ca="1"/>
        <v>0.81946970081851922</v>
      </c>
      <c r="O4569" s="2">
        <f ca="1"/>
        <v>-0.86051106442330749</v>
      </c>
      <c r="X4569" s="2">
        <f ca="1"/>
        <v>52.208298250015503</v>
      </c>
      <c r="AG4569" s="2">
        <f ca="1"/>
        <v>1.5089806877429668E-2</v>
      </c>
      <c r="AH4569" s="2" t="str">
        <f ca="1"/>
        <v>Good</v>
      </c>
    </row>
    <row r="4570" spans="2:34" x14ac:dyDescent="0.2">
      <c r="B4570" s="2">
        <f ca="1"/>
        <v>0.27913123668189876</v>
      </c>
      <c r="O4570" s="2">
        <f ca="1"/>
        <v>7.2728819416592816E-2</v>
      </c>
      <c r="X4570" s="2">
        <f ca="1"/>
        <v>45.883380855707287</v>
      </c>
      <c r="AG4570" s="2">
        <f ca="1"/>
        <v>0.77284566439707092</v>
      </c>
      <c r="AH4570" s="2" t="str">
        <f ca="1"/>
        <v>Bad</v>
      </c>
    </row>
    <row r="4571" spans="2:34" x14ac:dyDescent="0.2">
      <c r="B4571" s="2">
        <f ca="1"/>
        <v>0.19285482961455558</v>
      </c>
      <c r="O4571" s="2">
        <f ca="1"/>
        <v>0.12141089313979651</v>
      </c>
      <c r="X4571" s="2">
        <f ca="1"/>
        <v>28.332642914840193</v>
      </c>
      <c r="AG4571" s="2">
        <f ca="1"/>
        <v>0.34343743698327223</v>
      </c>
      <c r="AH4571" s="2" t="str">
        <f ca="1"/>
        <v>OK</v>
      </c>
    </row>
    <row r="4572" spans="2:34" x14ac:dyDescent="0.2">
      <c r="B4572" s="2">
        <f ca="1"/>
        <v>0.36768409353096687</v>
      </c>
      <c r="O4572" s="2">
        <f ca="1"/>
        <v>1.0911366178094331</v>
      </c>
      <c r="X4572" s="2">
        <f ca="1"/>
        <v>28.900851561339106</v>
      </c>
      <c r="AG4572" s="2">
        <f ca="1"/>
        <v>0.50209224621611148</v>
      </c>
      <c r="AH4572" s="2" t="str">
        <f ca="1"/>
        <v>Bad</v>
      </c>
    </row>
    <row r="4573" spans="2:34" x14ac:dyDescent="0.2">
      <c r="B4573" s="2">
        <f ca="1"/>
        <v>0.29773554387295986</v>
      </c>
      <c r="O4573" s="2">
        <f ca="1"/>
        <v>-0.1936716301486934</v>
      </c>
      <c r="X4573" s="2">
        <f ca="1"/>
        <v>59.373626747052285</v>
      </c>
      <c r="AG4573" s="2">
        <f ca="1"/>
        <v>0.40693466133001732</v>
      </c>
      <c r="AH4573" s="2" t="str">
        <f ca="1"/>
        <v>Bad</v>
      </c>
    </row>
    <row r="4574" spans="2:34" x14ac:dyDescent="0.2">
      <c r="B4574" s="2">
        <f ca="1"/>
        <v>0.29999342213587776</v>
      </c>
      <c r="O4574" s="2">
        <f ca="1"/>
        <v>-0.59183137956658594</v>
      </c>
      <c r="X4574" s="2">
        <f ca="1"/>
        <v>57.848251121256169</v>
      </c>
      <c r="AG4574" s="2">
        <f ca="1"/>
        <v>0.91498611357228232</v>
      </c>
      <c r="AH4574" s="2" t="str">
        <f ca="1"/>
        <v>Bad</v>
      </c>
    </row>
    <row r="4575" spans="2:34" x14ac:dyDescent="0.2">
      <c r="B4575" s="2">
        <f ca="1"/>
        <v>0.18831657483242581</v>
      </c>
      <c r="O4575" s="2">
        <f ca="1"/>
        <v>0.89323600542774961</v>
      </c>
      <c r="X4575" s="2">
        <f ca="1"/>
        <v>45.512075936178078</v>
      </c>
      <c r="AG4575" s="2">
        <f ca="1"/>
        <v>0.49161182164176176</v>
      </c>
      <c r="AH4575" s="2" t="str">
        <f ca="1"/>
        <v>Bad</v>
      </c>
    </row>
    <row r="4576" spans="2:34" x14ac:dyDescent="0.2">
      <c r="B4576" s="2">
        <f ca="1"/>
        <v>6.2593706580139408E-2</v>
      </c>
      <c r="O4576" s="2">
        <f ca="1"/>
        <v>-1.6102245938856468</v>
      </c>
      <c r="X4576" s="2">
        <f ca="1"/>
        <v>62.00425315309915</v>
      </c>
      <c r="AG4576" s="2">
        <f ca="1"/>
        <v>0.32411420173345395</v>
      </c>
      <c r="AH4576" s="2" t="str">
        <f ca="1"/>
        <v>OK</v>
      </c>
    </row>
    <row r="4577" spans="2:34" x14ac:dyDescent="0.2">
      <c r="B4577" s="2">
        <f ca="1"/>
        <v>0.85044713010470607</v>
      </c>
      <c r="O4577" s="2">
        <f ca="1"/>
        <v>-4.1169631274532742E-2</v>
      </c>
      <c r="X4577" s="2">
        <f ca="1"/>
        <v>51.973067930336143</v>
      </c>
      <c r="AG4577" s="2">
        <f ca="1"/>
        <v>0.54122475291497274</v>
      </c>
      <c r="AH4577" s="2" t="str">
        <f ca="1"/>
        <v>Bad</v>
      </c>
    </row>
    <row r="4578" spans="2:34" x14ac:dyDescent="0.2">
      <c r="B4578" s="2">
        <f ca="1"/>
        <v>0.86158201741118656</v>
      </c>
      <c r="O4578" s="2">
        <f ca="1"/>
        <v>4.2166967033395419</v>
      </c>
      <c r="X4578" s="2">
        <f ca="1"/>
        <v>55.725280116859288</v>
      </c>
      <c r="AG4578" s="2">
        <f ca="1"/>
        <v>0.39739562996097955</v>
      </c>
      <c r="AH4578" s="2" t="str">
        <f ca="1"/>
        <v>OK</v>
      </c>
    </row>
    <row r="4579" spans="2:34" x14ac:dyDescent="0.2">
      <c r="B4579" s="2">
        <f ca="1"/>
        <v>0.80548103223686462</v>
      </c>
      <c r="O4579" s="2">
        <f ca="1"/>
        <v>0.84555223528142343</v>
      </c>
      <c r="X4579" s="2">
        <f ca="1"/>
        <v>28.218218411084376</v>
      </c>
      <c r="AG4579" s="2">
        <f ca="1"/>
        <v>0.6768246153249895</v>
      </c>
      <c r="AH4579" s="2" t="str">
        <f ca="1"/>
        <v>Bad</v>
      </c>
    </row>
    <row r="4580" spans="2:34" x14ac:dyDescent="0.2">
      <c r="B4580" s="2">
        <f ca="1"/>
        <v>0.97736317463437827</v>
      </c>
      <c r="O4580" s="2">
        <f ca="1"/>
        <v>-0.56404509790909674</v>
      </c>
      <c r="X4580" s="2">
        <f ca="1"/>
        <v>32.466390511390074</v>
      </c>
      <c r="AG4580" s="2">
        <f ca="1"/>
        <v>0.96699990076070952</v>
      </c>
      <c r="AH4580" s="2" t="str">
        <f ca="1"/>
        <v>Bad</v>
      </c>
    </row>
    <row r="4581" spans="2:34" x14ac:dyDescent="0.2">
      <c r="B4581" s="2">
        <f ca="1"/>
        <v>3.310478215869872E-2</v>
      </c>
      <c r="O4581" s="2">
        <f ca="1"/>
        <v>0.23795102023400425</v>
      </c>
      <c r="X4581" s="2">
        <f ca="1"/>
        <v>29.353548471018577</v>
      </c>
      <c r="AG4581" s="2">
        <f ca="1"/>
        <v>0.23955425156823207</v>
      </c>
      <c r="AH4581" s="2" t="str">
        <f ca="1"/>
        <v>OK</v>
      </c>
    </row>
    <row r="4582" spans="2:34" x14ac:dyDescent="0.2">
      <c r="B4582" s="2">
        <f ca="1"/>
        <v>0.85658592356585306</v>
      </c>
      <c r="O4582" s="2">
        <f ca="1"/>
        <v>0.28943763663685151</v>
      </c>
      <c r="X4582" s="2">
        <f ca="1"/>
        <v>55.788499299223091</v>
      </c>
      <c r="AG4582" s="2">
        <f ca="1"/>
        <v>0.9305879721688104</v>
      </c>
      <c r="AH4582" s="2" t="str">
        <f ca="1"/>
        <v>Bad</v>
      </c>
    </row>
    <row r="4583" spans="2:34" x14ac:dyDescent="0.2">
      <c r="B4583" s="2">
        <f ca="1"/>
        <v>0.50350461471351804</v>
      </c>
      <c r="O4583" s="2">
        <f ca="1"/>
        <v>-1.3199331961228853</v>
      </c>
      <c r="X4583" s="2">
        <f ca="1"/>
        <v>65.765630355561882</v>
      </c>
      <c r="AG4583" s="2">
        <f ca="1"/>
        <v>0.76863986583607669</v>
      </c>
      <c r="AH4583" s="2" t="str">
        <f ca="1"/>
        <v>Bad</v>
      </c>
    </row>
    <row r="4584" spans="2:34" x14ac:dyDescent="0.2">
      <c r="B4584" s="2">
        <f ca="1"/>
        <v>0.39799740371506886</v>
      </c>
      <c r="O4584" s="2">
        <f ca="1"/>
        <v>1.3586421689783186</v>
      </c>
      <c r="X4584" s="2">
        <f ca="1"/>
        <v>32.074113177806801</v>
      </c>
      <c r="AG4584" s="2">
        <f ca="1"/>
        <v>0.91801957563872638</v>
      </c>
      <c r="AH4584" s="2" t="str">
        <f ca="1"/>
        <v>Bad</v>
      </c>
    </row>
    <row r="4585" spans="2:34" x14ac:dyDescent="0.2">
      <c r="B4585" s="2">
        <f ca="1"/>
        <v>0.98490211701923824</v>
      </c>
      <c r="O4585" s="2">
        <f ca="1"/>
        <v>-0.69156952673327754</v>
      </c>
      <c r="X4585" s="2">
        <f ca="1"/>
        <v>48.536889887341715</v>
      </c>
      <c r="AG4585" s="2">
        <f ca="1"/>
        <v>0.56462022334638151</v>
      </c>
      <c r="AH4585" s="2" t="str">
        <f ca="1"/>
        <v>Bad</v>
      </c>
    </row>
    <row r="4586" spans="2:34" x14ac:dyDescent="0.2">
      <c r="B4586" s="2">
        <f ca="1"/>
        <v>0.45872184801542204</v>
      </c>
      <c r="O4586" s="2">
        <f ca="1"/>
        <v>0.24216406493916562</v>
      </c>
      <c r="X4586" s="2">
        <f ca="1"/>
        <v>50.346697223553051</v>
      </c>
      <c r="AG4586" s="2">
        <f ca="1"/>
        <v>0.91454671295811152</v>
      </c>
      <c r="AH4586" s="2" t="str">
        <f ca="1"/>
        <v>Bad</v>
      </c>
    </row>
    <row r="4587" spans="2:34" x14ac:dyDescent="0.2">
      <c r="B4587" s="2">
        <f ca="1"/>
        <v>0.21162898510867301</v>
      </c>
      <c r="O4587" s="2">
        <f ca="1"/>
        <v>0.12287503964899864</v>
      </c>
      <c r="X4587" s="2">
        <f ca="1"/>
        <v>82.102445626591631</v>
      </c>
      <c r="AG4587" s="2">
        <f ca="1"/>
        <v>0.31870651466313871</v>
      </c>
      <c r="AH4587" s="2" t="str">
        <f ca="1"/>
        <v>OK</v>
      </c>
    </row>
    <row r="4588" spans="2:34" x14ac:dyDescent="0.2">
      <c r="B4588" s="2">
        <f ca="1"/>
        <v>0.50288157273007439</v>
      </c>
      <c r="O4588" s="2">
        <f ca="1"/>
        <v>-1.0110768768496692</v>
      </c>
      <c r="X4588" s="2">
        <f ca="1"/>
        <v>75.295424656445405</v>
      </c>
      <c r="AG4588" s="2">
        <f ca="1"/>
        <v>2.0000762752067081E-2</v>
      </c>
      <c r="AH4588" s="2" t="str">
        <f ca="1"/>
        <v>Good</v>
      </c>
    </row>
    <row r="4589" spans="2:34" x14ac:dyDescent="0.2">
      <c r="B4589" s="2">
        <f ca="1"/>
        <v>0.37245256954503358</v>
      </c>
      <c r="O4589" s="2">
        <f ca="1"/>
        <v>-0.55098433937066871</v>
      </c>
      <c r="X4589" s="2">
        <f ca="1"/>
        <v>40.910510594995095</v>
      </c>
      <c r="AG4589" s="2">
        <f ca="1"/>
        <v>0.9125287514854461</v>
      </c>
      <c r="AH4589" s="2" t="str">
        <f ca="1"/>
        <v>Bad</v>
      </c>
    </row>
    <row r="4590" spans="2:34" x14ac:dyDescent="0.2">
      <c r="B4590" s="2">
        <f ca="1"/>
        <v>0.4966606822128945</v>
      </c>
      <c r="O4590" s="2">
        <f ca="1"/>
        <v>-0.94306233607793377</v>
      </c>
      <c r="X4590" s="2">
        <f ca="1"/>
        <v>51.291985193049271</v>
      </c>
      <c r="AG4590" s="2">
        <f ca="1"/>
        <v>0.89611501274048422</v>
      </c>
      <c r="AH4590" s="2" t="str">
        <f ca="1"/>
        <v>Bad</v>
      </c>
    </row>
    <row r="4591" spans="2:34" x14ac:dyDescent="0.2">
      <c r="B4591" s="2">
        <f ca="1"/>
        <v>0.20613094401753185</v>
      </c>
      <c r="O4591" s="2">
        <f ca="1"/>
        <v>-0.582387320890288</v>
      </c>
      <c r="X4591" s="2">
        <f ca="1"/>
        <v>50.808481326636596</v>
      </c>
      <c r="AG4591" s="2">
        <f ca="1"/>
        <v>0.3323746271981789</v>
      </c>
      <c r="AH4591" s="2" t="str">
        <f ca="1"/>
        <v>OK</v>
      </c>
    </row>
    <row r="4592" spans="2:34" x14ac:dyDescent="0.2">
      <c r="B4592" s="2">
        <f ca="1"/>
        <v>0.64571189654767558</v>
      </c>
      <c r="O4592" s="2">
        <f ca="1"/>
        <v>-0.69476066255071001</v>
      </c>
      <c r="X4592" s="2">
        <f ca="1"/>
        <v>35.002627168536634</v>
      </c>
      <c r="AG4592" s="2">
        <f ca="1"/>
        <v>0.24436695414752441</v>
      </c>
      <c r="AH4592" s="2" t="str">
        <f ca="1"/>
        <v>OK</v>
      </c>
    </row>
    <row r="4593" spans="2:34" x14ac:dyDescent="0.2">
      <c r="B4593" s="2">
        <f ca="1"/>
        <v>4.7370974523195386E-3</v>
      </c>
      <c r="O4593" s="2">
        <f ca="1"/>
        <v>2.9037330715075904</v>
      </c>
      <c r="X4593" s="2">
        <f ca="1"/>
        <v>49.022689176019185</v>
      </c>
      <c r="AG4593" s="2">
        <f ca="1"/>
        <v>0.54074605719477109</v>
      </c>
      <c r="AH4593" s="2" t="str">
        <f ca="1"/>
        <v>Bad</v>
      </c>
    </row>
    <row r="4594" spans="2:34" x14ac:dyDescent="0.2">
      <c r="B4594" s="2">
        <f ca="1"/>
        <v>0.88139532308567081</v>
      </c>
      <c r="O4594" s="2">
        <f ca="1"/>
        <v>1.7890591394855679</v>
      </c>
      <c r="X4594" s="2">
        <f ca="1"/>
        <v>31.250653449031532</v>
      </c>
      <c r="AG4594" s="2">
        <f ca="1"/>
        <v>5.1680159749598387E-2</v>
      </c>
      <c r="AH4594" s="2" t="str">
        <f ca="1"/>
        <v>OK</v>
      </c>
    </row>
    <row r="4595" spans="2:34" x14ac:dyDescent="0.2">
      <c r="B4595" s="2">
        <f ca="1"/>
        <v>0.84877139602362761</v>
      </c>
      <c r="O4595" s="2">
        <f ca="1"/>
        <v>-1.1683962568804487</v>
      </c>
      <c r="X4595" s="2">
        <f ca="1"/>
        <v>32.943223634024562</v>
      </c>
      <c r="AG4595" s="2">
        <f ca="1"/>
        <v>9.1725081876420145E-2</v>
      </c>
      <c r="AH4595" s="2" t="str">
        <f ca="1"/>
        <v>OK</v>
      </c>
    </row>
    <row r="4596" spans="2:34" x14ac:dyDescent="0.2">
      <c r="B4596" s="2">
        <f ca="1"/>
        <v>0.75625038215203144</v>
      </c>
      <c r="O4596" s="2">
        <f ca="1"/>
        <v>-0.21224881543834642</v>
      </c>
      <c r="X4596" s="2">
        <f ca="1"/>
        <v>47.218076122795466</v>
      </c>
      <c r="AG4596" s="2">
        <f ca="1"/>
        <v>0.97509916033148825</v>
      </c>
      <c r="AH4596" s="2" t="str">
        <f ca="1"/>
        <v>Bad</v>
      </c>
    </row>
    <row r="4597" spans="2:34" x14ac:dyDescent="0.2">
      <c r="B4597" s="2">
        <f ca="1"/>
        <v>0.47312981326307257</v>
      </c>
      <c r="O4597" s="2">
        <f ca="1"/>
        <v>1.0944499637033434</v>
      </c>
      <c r="X4597" s="2">
        <f ca="1"/>
        <v>45.025825783585709</v>
      </c>
      <c r="AG4597" s="2">
        <f ca="1"/>
        <v>6.8969787166396568E-2</v>
      </c>
      <c r="AH4597" s="2" t="str">
        <f ca="1"/>
        <v>OK</v>
      </c>
    </row>
    <row r="4598" spans="2:34" x14ac:dyDescent="0.2">
      <c r="B4598" s="2">
        <f ca="1"/>
        <v>0.44094704173852506</v>
      </c>
      <c r="O4598" s="2">
        <f ca="1"/>
        <v>1.3450327861624338</v>
      </c>
      <c r="X4598" s="2">
        <f ca="1"/>
        <v>39.493228074668785</v>
      </c>
      <c r="AG4598" s="2">
        <f ca="1"/>
        <v>0.15869086980394753</v>
      </c>
      <c r="AH4598" s="2" t="str">
        <f ca="1"/>
        <v>OK</v>
      </c>
    </row>
    <row r="4599" spans="2:34" x14ac:dyDescent="0.2">
      <c r="B4599" s="2">
        <f ca="1"/>
        <v>0.15858975725573088</v>
      </c>
      <c r="O4599" s="2">
        <f ca="1"/>
        <v>-0.99784064353808244</v>
      </c>
      <c r="X4599" s="2">
        <f ca="1"/>
        <v>48.540287803175246</v>
      </c>
      <c r="AG4599" s="2">
        <f ca="1"/>
        <v>0.69671957248001615</v>
      </c>
      <c r="AH4599" s="2" t="str">
        <f ca="1"/>
        <v>Bad</v>
      </c>
    </row>
    <row r="4600" spans="2:34" x14ac:dyDescent="0.2">
      <c r="B4600" s="2">
        <f ca="1"/>
        <v>0.11136342712336522</v>
      </c>
      <c r="O4600" s="2">
        <f ca="1"/>
        <v>-0.68341084725005408</v>
      </c>
      <c r="X4600" s="2">
        <f ca="1"/>
        <v>26.743402566435698</v>
      </c>
      <c r="AG4600" s="2">
        <f ca="1"/>
        <v>0.65009424305801145</v>
      </c>
      <c r="AH4600" s="2" t="str">
        <f ca="1"/>
        <v>Bad</v>
      </c>
    </row>
    <row r="4601" spans="2:34" x14ac:dyDescent="0.2">
      <c r="B4601" s="2">
        <f ca="1"/>
        <v>0.42555105151181705</v>
      </c>
      <c r="O4601" s="2">
        <f ca="1"/>
        <v>0.78815298764348241</v>
      </c>
      <c r="X4601" s="2">
        <f ca="1"/>
        <v>42.492546743434602</v>
      </c>
      <c r="AG4601" s="2">
        <f ca="1"/>
        <v>0.88394490016228655</v>
      </c>
      <c r="AH4601" s="2" t="str">
        <f ca="1"/>
        <v>Bad</v>
      </c>
    </row>
    <row r="4602" spans="2:34" x14ac:dyDescent="0.2">
      <c r="B4602" s="2">
        <f ca="1"/>
        <v>5.4909552762988589E-2</v>
      </c>
      <c r="O4602" s="2">
        <f ca="1"/>
        <v>-0.3349450183849717</v>
      </c>
      <c r="X4602" s="2">
        <f ca="1"/>
        <v>30.507109905710976</v>
      </c>
      <c r="AG4602" s="2">
        <f ca="1"/>
        <v>0.33372736749901399</v>
      </c>
      <c r="AH4602" s="2" t="str">
        <f ca="1"/>
        <v>OK</v>
      </c>
    </row>
    <row r="4603" spans="2:34" x14ac:dyDescent="0.2">
      <c r="B4603" s="2">
        <f ca="1"/>
        <v>0.2855109947254808</v>
      </c>
      <c r="O4603" s="2">
        <f ca="1"/>
        <v>-3.1233611199561109E-2</v>
      </c>
      <c r="X4603" s="2">
        <f ca="1"/>
        <v>74.856443454791162</v>
      </c>
      <c r="AG4603" s="2">
        <f ca="1"/>
        <v>0.39179887645042455</v>
      </c>
      <c r="AH4603" s="2" t="str">
        <f ca="1"/>
        <v>OK</v>
      </c>
    </row>
    <row r="4604" spans="2:34" x14ac:dyDescent="0.2">
      <c r="B4604" s="2">
        <f ca="1"/>
        <v>0.34451675049735964</v>
      </c>
      <c r="O4604" s="2">
        <f ca="1"/>
        <v>-1.8128870159862183</v>
      </c>
      <c r="X4604" s="2">
        <f ca="1"/>
        <v>42.012083136410837</v>
      </c>
      <c r="AG4604" s="2">
        <f ca="1"/>
        <v>0.35469850217555066</v>
      </c>
      <c r="AH4604" s="2" t="str">
        <f ca="1"/>
        <v>OK</v>
      </c>
    </row>
    <row r="4605" spans="2:34" x14ac:dyDescent="0.2">
      <c r="B4605" s="2">
        <f ca="1"/>
        <v>0.77391528945661547</v>
      </c>
      <c r="O4605" s="2">
        <f ca="1"/>
        <v>1.9242247526652254</v>
      </c>
      <c r="X4605" s="2">
        <f ca="1"/>
        <v>57.675032538167585</v>
      </c>
      <c r="AG4605" s="2">
        <f ca="1"/>
        <v>0.52841210849666065</v>
      </c>
      <c r="AH4605" s="2" t="str">
        <f ca="1"/>
        <v>Bad</v>
      </c>
    </row>
    <row r="4606" spans="2:34" x14ac:dyDescent="0.2">
      <c r="B4606" s="2">
        <f ca="1"/>
        <v>6.5167042835503342E-3</v>
      </c>
      <c r="O4606" s="2">
        <f ca="1"/>
        <v>-2.5523184671783703</v>
      </c>
      <c r="X4606" s="2">
        <f ca="1"/>
        <v>39.073645992219951</v>
      </c>
      <c r="AG4606" s="2">
        <f ca="1"/>
        <v>5.7117413134697204E-2</v>
      </c>
      <c r="AH4606" s="2" t="str">
        <f ca="1"/>
        <v>OK</v>
      </c>
    </row>
    <row r="4607" spans="2:34" x14ac:dyDescent="0.2">
      <c r="B4607" s="2">
        <f ca="1"/>
        <v>0.65321354075026106</v>
      </c>
      <c r="O4607" s="2">
        <f ca="1"/>
        <v>0.4913591401718011</v>
      </c>
      <c r="X4607" s="2">
        <f ca="1"/>
        <v>22.008828647054631</v>
      </c>
      <c r="AG4607" s="2">
        <f ca="1"/>
        <v>2.0725653987212045E-2</v>
      </c>
      <c r="AH4607" s="2" t="str">
        <f ca="1"/>
        <v>Good</v>
      </c>
    </row>
    <row r="4608" spans="2:34" x14ac:dyDescent="0.2">
      <c r="B4608" s="2">
        <f ca="1"/>
        <v>6.548741458599916E-2</v>
      </c>
      <c r="O4608" s="2">
        <f ca="1"/>
        <v>0.27147995761853921</v>
      </c>
      <c r="X4608" s="2">
        <f ca="1"/>
        <v>73.694023519774106</v>
      </c>
      <c r="AG4608" s="2">
        <f ca="1"/>
        <v>0.88023148997506251</v>
      </c>
      <c r="AH4608" s="2" t="str">
        <f ca="1"/>
        <v>Bad</v>
      </c>
    </row>
    <row r="4609" spans="2:34" x14ac:dyDescent="0.2">
      <c r="B4609" s="2">
        <f ca="1"/>
        <v>0.54293207900497209</v>
      </c>
      <c r="O4609" s="2">
        <f ca="1"/>
        <v>-1.563640528518643</v>
      </c>
      <c r="X4609" s="2">
        <f ca="1"/>
        <v>35.530508734869798</v>
      </c>
      <c r="AG4609" s="2">
        <f ca="1"/>
        <v>0.26390120445088194</v>
      </c>
      <c r="AH4609" s="2" t="str">
        <f ca="1"/>
        <v>OK</v>
      </c>
    </row>
    <row r="4610" spans="2:34" x14ac:dyDescent="0.2">
      <c r="B4610" s="2">
        <f ca="1"/>
        <v>0.17195739683075528</v>
      </c>
      <c r="O4610" s="2">
        <f ca="1"/>
        <v>-0.35327618214401918</v>
      </c>
      <c r="X4610" s="2">
        <f ca="1"/>
        <v>50.390970029271422</v>
      </c>
      <c r="AG4610" s="2">
        <f ca="1"/>
        <v>0.78631722556386019</v>
      </c>
      <c r="AH4610" s="2" t="str">
        <f ca="1"/>
        <v>Bad</v>
      </c>
    </row>
    <row r="4611" spans="2:34" x14ac:dyDescent="0.2">
      <c r="B4611" s="2">
        <f ca="1"/>
        <v>4.5391606980493826E-2</v>
      </c>
      <c r="O4611" s="2">
        <f ca="1"/>
        <v>0.40098830830209009</v>
      </c>
      <c r="X4611" s="2">
        <f ca="1"/>
        <v>48.269650957560955</v>
      </c>
      <c r="AG4611" s="2">
        <f ca="1"/>
        <v>0.66820644690382336</v>
      </c>
      <c r="AH4611" s="2" t="str">
        <f ca="1"/>
        <v>Bad</v>
      </c>
    </row>
    <row r="4612" spans="2:34" x14ac:dyDescent="0.2">
      <c r="B4612" s="2">
        <f ca="1"/>
        <v>0.777529437704511</v>
      </c>
      <c r="O4612" s="2">
        <f ca="1"/>
        <v>-9.3983739739153152E-2</v>
      </c>
      <c r="X4612" s="2">
        <f ca="1"/>
        <v>42.305173498175094</v>
      </c>
      <c r="AG4612" s="2">
        <f ca="1"/>
        <v>0.49257157537203144</v>
      </c>
      <c r="AH4612" s="2" t="str">
        <f ca="1"/>
        <v>Bad</v>
      </c>
    </row>
    <row r="4613" spans="2:34" x14ac:dyDescent="0.2">
      <c r="B4613" s="2">
        <f ca="1"/>
        <v>0.90424687567319317</v>
      </c>
      <c r="O4613" s="2">
        <f ca="1"/>
        <v>3.0772591222027315E-2</v>
      </c>
      <c r="X4613" s="2">
        <f ca="1"/>
        <v>67.843097897331688</v>
      </c>
      <c r="AG4613" s="2">
        <f ca="1"/>
        <v>4.5514493511511267E-2</v>
      </c>
      <c r="AH4613" s="2" t="str">
        <f ca="1"/>
        <v>Good</v>
      </c>
    </row>
    <row r="4614" spans="2:34" x14ac:dyDescent="0.2">
      <c r="B4614" s="2">
        <f ca="1"/>
        <v>0.9921993556478903</v>
      </c>
      <c r="O4614" s="2">
        <f ca="1"/>
        <v>0.29039347095011475</v>
      </c>
      <c r="X4614" s="2">
        <f ca="1"/>
        <v>58.76610471444063</v>
      </c>
      <c r="AG4614" s="2">
        <f ca="1"/>
        <v>0.2620313186996166</v>
      </c>
      <c r="AH4614" s="2" t="str">
        <f ca="1"/>
        <v>OK</v>
      </c>
    </row>
    <row r="4615" spans="2:34" x14ac:dyDescent="0.2">
      <c r="B4615" s="2">
        <f ca="1"/>
        <v>0.32110792491848161</v>
      </c>
      <c r="O4615" s="2">
        <f ca="1"/>
        <v>-3.1353270054235972E-2</v>
      </c>
      <c r="X4615" s="2">
        <f ca="1"/>
        <v>83.997604123692966</v>
      </c>
      <c r="AG4615" s="2">
        <f ca="1"/>
        <v>0.93431139299480304</v>
      </c>
      <c r="AH4615" s="2" t="str">
        <f ca="1"/>
        <v>Bad</v>
      </c>
    </row>
    <row r="4616" spans="2:34" x14ac:dyDescent="0.2">
      <c r="B4616" s="2">
        <f ca="1"/>
        <v>7.60929922450444E-2</v>
      </c>
      <c r="O4616" s="2">
        <f ca="1"/>
        <v>0.53854884813230652</v>
      </c>
      <c r="X4616" s="2">
        <f ca="1"/>
        <v>112.17365361150728</v>
      </c>
      <c r="AG4616" s="2">
        <f ca="1"/>
        <v>0.10643992732677043</v>
      </c>
      <c r="AH4616" s="2" t="str">
        <f ca="1"/>
        <v>OK</v>
      </c>
    </row>
    <row r="4617" spans="2:34" x14ac:dyDescent="0.2">
      <c r="B4617" s="2">
        <f ca="1"/>
        <v>0.81798813493476397</v>
      </c>
      <c r="O4617" s="2">
        <f ca="1"/>
        <v>-2.4569072961642124</v>
      </c>
      <c r="X4617" s="2">
        <f ca="1"/>
        <v>32.539781505109843</v>
      </c>
      <c r="AG4617" s="2">
        <f ca="1"/>
        <v>0.14956317243265049</v>
      </c>
      <c r="AH4617" s="2" t="str">
        <f ca="1"/>
        <v>OK</v>
      </c>
    </row>
    <row r="4618" spans="2:34" x14ac:dyDescent="0.2">
      <c r="B4618" s="2">
        <f ca="1"/>
        <v>0.13786595434768745</v>
      </c>
      <c r="O4618" s="2">
        <f ca="1"/>
        <v>8.767730864802005E-2</v>
      </c>
      <c r="X4618" s="2">
        <f ca="1"/>
        <v>65.205316893414761</v>
      </c>
      <c r="AG4618" s="2">
        <f ca="1"/>
        <v>0.28132716439534522</v>
      </c>
      <c r="AH4618" s="2" t="str">
        <f ca="1"/>
        <v>OK</v>
      </c>
    </row>
    <row r="4619" spans="2:34" x14ac:dyDescent="0.2">
      <c r="B4619" s="2">
        <f ca="1"/>
        <v>0.26543757563342596</v>
      </c>
      <c r="O4619" s="2">
        <f ca="1"/>
        <v>-0.52202030617678297</v>
      </c>
      <c r="X4619" s="2">
        <f ca="1"/>
        <v>16.388675546890543</v>
      </c>
      <c r="AG4619" s="2">
        <f ca="1"/>
        <v>0.49288730728223951</v>
      </c>
      <c r="AH4619" s="2" t="str">
        <f ca="1"/>
        <v>Bad</v>
      </c>
    </row>
    <row r="4620" spans="2:34" x14ac:dyDescent="0.2">
      <c r="B4620" s="2">
        <f ca="1"/>
        <v>0.92307112348078224</v>
      </c>
      <c r="O4620" s="2">
        <f ca="1"/>
        <v>-1.0808451569810884</v>
      </c>
      <c r="X4620" s="2">
        <f ca="1"/>
        <v>55.718291923645886</v>
      </c>
      <c r="AG4620" s="2">
        <f ca="1"/>
        <v>0.8365011055360736</v>
      </c>
      <c r="AH4620" s="2" t="str">
        <f ca="1"/>
        <v>Bad</v>
      </c>
    </row>
    <row r="4621" spans="2:34" x14ac:dyDescent="0.2">
      <c r="B4621" s="2">
        <f ca="1"/>
        <v>0.48972698332649545</v>
      </c>
      <c r="O4621" s="2">
        <f ca="1"/>
        <v>7.5870397173438922E-2</v>
      </c>
      <c r="X4621" s="2">
        <f ca="1"/>
        <v>44.47710717219212</v>
      </c>
      <c r="AG4621" s="2">
        <f ca="1"/>
        <v>0.77642672114144973</v>
      </c>
      <c r="AH4621" s="2" t="str">
        <f ca="1"/>
        <v>Bad</v>
      </c>
    </row>
    <row r="4622" spans="2:34" x14ac:dyDescent="0.2">
      <c r="B4622" s="2">
        <f ca="1"/>
        <v>0.70876295257348265</v>
      </c>
      <c r="O4622" s="2">
        <f ca="1"/>
        <v>0.86770840648110459</v>
      </c>
      <c r="X4622" s="2">
        <f ca="1"/>
        <v>74.980568017388705</v>
      </c>
      <c r="AG4622" s="2">
        <f ca="1"/>
        <v>0.13345021581262251</v>
      </c>
      <c r="AH4622" s="2" t="str">
        <f ca="1"/>
        <v>OK</v>
      </c>
    </row>
    <row r="4623" spans="2:34" x14ac:dyDescent="0.2">
      <c r="B4623" s="2">
        <f ca="1"/>
        <v>0.71327398709219492</v>
      </c>
      <c r="O4623" s="2">
        <f ca="1"/>
        <v>0.35133651350801975</v>
      </c>
      <c r="X4623" s="2">
        <f ca="1"/>
        <v>40.767801442428421</v>
      </c>
      <c r="AG4623" s="2">
        <f ca="1"/>
        <v>0.29824240239676536</v>
      </c>
      <c r="AH4623" s="2" t="str">
        <f ca="1"/>
        <v>OK</v>
      </c>
    </row>
    <row r="4624" spans="2:34" x14ac:dyDescent="0.2">
      <c r="B4624" s="2">
        <f ca="1"/>
        <v>0.85840191369312668</v>
      </c>
      <c r="O4624" s="2">
        <f ca="1"/>
        <v>-1.2570731945222693</v>
      </c>
      <c r="X4624" s="2">
        <f ca="1"/>
        <v>60.572697874832926</v>
      </c>
      <c r="AG4624" s="2">
        <f ca="1"/>
        <v>0.11570476894895099</v>
      </c>
      <c r="AH4624" s="2" t="str">
        <f ca="1"/>
        <v>OK</v>
      </c>
    </row>
    <row r="4625" spans="2:34" x14ac:dyDescent="0.2">
      <c r="B4625" s="2">
        <f ca="1"/>
        <v>0.2798426709714894</v>
      </c>
      <c r="O4625" s="2">
        <f ca="1"/>
        <v>0.82273821423344073</v>
      </c>
      <c r="X4625" s="2">
        <f ca="1"/>
        <v>46.484768746501643</v>
      </c>
      <c r="AG4625" s="2">
        <f ca="1"/>
        <v>0.569294082077761</v>
      </c>
      <c r="AH4625" s="2" t="str">
        <f ca="1"/>
        <v>Bad</v>
      </c>
    </row>
    <row r="4626" spans="2:34" x14ac:dyDescent="0.2">
      <c r="B4626" s="2">
        <f ca="1"/>
        <v>0.92941478004097222</v>
      </c>
      <c r="O4626" s="2">
        <f ca="1"/>
        <v>-1.3869123805309795</v>
      </c>
      <c r="X4626" s="2">
        <f ca="1"/>
        <v>51.203049726942247</v>
      </c>
      <c r="AG4626" s="2">
        <f ca="1"/>
        <v>0.86305208616816698</v>
      </c>
      <c r="AH4626" s="2" t="str">
        <f ca="1"/>
        <v>Bad</v>
      </c>
    </row>
    <row r="4627" spans="2:34" x14ac:dyDescent="0.2">
      <c r="B4627" s="2">
        <f ca="1"/>
        <v>0.76287295749977813</v>
      </c>
      <c r="O4627" s="2">
        <f ca="1"/>
        <v>0.96093908149683516</v>
      </c>
      <c r="X4627" s="2">
        <f ca="1"/>
        <v>42.249820922678801</v>
      </c>
      <c r="AG4627" s="2">
        <f ca="1"/>
        <v>0.19628295919221617</v>
      </c>
      <c r="AH4627" s="2" t="str">
        <f ca="1"/>
        <v>OK</v>
      </c>
    </row>
    <row r="4628" spans="2:34" x14ac:dyDescent="0.2">
      <c r="B4628" s="2">
        <f ca="1"/>
        <v>0.41253302702319883</v>
      </c>
      <c r="O4628" s="2">
        <f ca="1"/>
        <v>-0.3464309170053157</v>
      </c>
      <c r="X4628" s="2">
        <f ca="1"/>
        <v>59.400233015384806</v>
      </c>
      <c r="AG4628" s="2">
        <f ca="1"/>
        <v>5.1991411130120735E-2</v>
      </c>
      <c r="AH4628" s="2" t="str">
        <f ca="1"/>
        <v>OK</v>
      </c>
    </row>
    <row r="4629" spans="2:34" x14ac:dyDescent="0.2">
      <c r="B4629" s="2">
        <f ca="1"/>
        <v>0.27639367956406335</v>
      </c>
      <c r="O4629" s="2">
        <f ca="1"/>
        <v>1.981146802795859</v>
      </c>
      <c r="X4629" s="2">
        <f ca="1"/>
        <v>99.856897079934782</v>
      </c>
      <c r="AG4629" s="2">
        <f ca="1"/>
        <v>0.64730911096667954</v>
      </c>
      <c r="AH4629" s="2" t="str">
        <f ca="1"/>
        <v>Bad</v>
      </c>
    </row>
    <row r="4630" spans="2:34" x14ac:dyDescent="0.2">
      <c r="B4630" s="2">
        <f ca="1"/>
        <v>0.24674382851336918</v>
      </c>
      <c r="O4630" s="2">
        <f ca="1"/>
        <v>0.12469803287488931</v>
      </c>
      <c r="X4630" s="2">
        <f ca="1"/>
        <v>43.303297295465811</v>
      </c>
      <c r="AG4630" s="2">
        <f ca="1"/>
        <v>0.22858005058597675</v>
      </c>
      <c r="AH4630" s="2" t="str">
        <f ca="1"/>
        <v>OK</v>
      </c>
    </row>
    <row r="4631" spans="2:34" x14ac:dyDescent="0.2">
      <c r="B4631" s="2">
        <f ca="1"/>
        <v>5.5030454909285265E-2</v>
      </c>
      <c r="O4631" s="2">
        <f ca="1"/>
        <v>0.13365814560514017</v>
      </c>
      <c r="X4631" s="2">
        <f ca="1"/>
        <v>52.374761368438818</v>
      </c>
      <c r="AG4631" s="2">
        <f ca="1"/>
        <v>2.8269949666768213E-2</v>
      </c>
      <c r="AH4631" s="2" t="str">
        <f ca="1"/>
        <v>Good</v>
      </c>
    </row>
    <row r="4632" spans="2:34" x14ac:dyDescent="0.2">
      <c r="B4632" s="2">
        <f ca="1"/>
        <v>0.35564170637376735</v>
      </c>
      <c r="O4632" s="2">
        <f ca="1"/>
        <v>-2.6125294998472861</v>
      </c>
      <c r="X4632" s="2">
        <f ca="1"/>
        <v>19.254043385653222</v>
      </c>
      <c r="AG4632" s="2">
        <f ca="1"/>
        <v>0.63396132532978156</v>
      </c>
      <c r="AH4632" s="2" t="str">
        <f ca="1"/>
        <v>Bad</v>
      </c>
    </row>
    <row r="4633" spans="2:34" x14ac:dyDescent="0.2">
      <c r="B4633" s="2">
        <f ca="1"/>
        <v>0.41749421062819803</v>
      </c>
      <c r="O4633" s="2">
        <f ca="1"/>
        <v>8.6498371423060813E-2</v>
      </c>
      <c r="X4633" s="2">
        <f ca="1"/>
        <v>25.134382989679992</v>
      </c>
      <c r="AG4633" s="2">
        <f ca="1"/>
        <v>0.69184080268376258</v>
      </c>
      <c r="AH4633" s="2" t="str">
        <f ca="1"/>
        <v>Bad</v>
      </c>
    </row>
    <row r="4634" spans="2:34" x14ac:dyDescent="0.2">
      <c r="B4634" s="2">
        <f ca="1"/>
        <v>3.5824390245467574E-2</v>
      </c>
      <c r="O4634" s="2">
        <f ca="1"/>
        <v>1.3199242765102017</v>
      </c>
      <c r="X4634" s="2">
        <f ca="1"/>
        <v>40.52641406834163</v>
      </c>
      <c r="AG4634" s="2">
        <f ca="1"/>
        <v>0.37865998922907473</v>
      </c>
      <c r="AH4634" s="2" t="str">
        <f ca="1"/>
        <v>OK</v>
      </c>
    </row>
    <row r="4635" spans="2:34" x14ac:dyDescent="0.2">
      <c r="B4635" s="2">
        <f ca="1"/>
        <v>0.61067731195375252</v>
      </c>
      <c r="O4635" s="2">
        <f ca="1"/>
        <v>1.6877431562336445</v>
      </c>
      <c r="X4635" s="2">
        <f ca="1"/>
        <v>77.747181614838127</v>
      </c>
      <c r="AG4635" s="2">
        <f ca="1"/>
        <v>0.48064613362871822</v>
      </c>
      <c r="AH4635" s="2" t="str">
        <f ca="1"/>
        <v>Bad</v>
      </c>
    </row>
    <row r="4636" spans="2:34" x14ac:dyDescent="0.2">
      <c r="B4636" s="2">
        <f ca="1"/>
        <v>0.26657238746555323</v>
      </c>
      <c r="O4636" s="2">
        <f ca="1"/>
        <v>-1.2660705671588275</v>
      </c>
      <c r="X4636" s="2">
        <f ca="1"/>
        <v>55.574761808154207</v>
      </c>
      <c r="AG4636" s="2">
        <f ca="1"/>
        <v>3.5545179415827466E-2</v>
      </c>
      <c r="AH4636" s="2" t="str">
        <f ca="1"/>
        <v>Good</v>
      </c>
    </row>
    <row r="4637" spans="2:34" x14ac:dyDescent="0.2">
      <c r="B4637" s="2">
        <f ca="1"/>
        <v>0.5061546341101566</v>
      </c>
      <c r="O4637" s="2">
        <f ca="1"/>
        <v>-1.1406505759804604</v>
      </c>
      <c r="X4637" s="2">
        <f ca="1"/>
        <v>38.793374518208765</v>
      </c>
      <c r="AG4637" s="2">
        <f ca="1"/>
        <v>0.63888291292783372</v>
      </c>
      <c r="AH4637" s="2" t="str">
        <f ca="1"/>
        <v>Bad</v>
      </c>
    </row>
    <row r="4638" spans="2:34" x14ac:dyDescent="0.2">
      <c r="B4638" s="2">
        <f ca="1"/>
        <v>5.7708160421768184E-2</v>
      </c>
      <c r="O4638" s="2">
        <f ca="1"/>
        <v>-1.0050186884363446</v>
      </c>
      <c r="X4638" s="2">
        <f ca="1"/>
        <v>57.689170930314823</v>
      </c>
      <c r="AG4638" s="2">
        <f ca="1"/>
        <v>0.52601081188461452</v>
      </c>
      <c r="AH4638" s="2" t="str">
        <f ca="1"/>
        <v>Bad</v>
      </c>
    </row>
    <row r="4639" spans="2:34" x14ac:dyDescent="0.2">
      <c r="B4639" s="2">
        <f ca="1"/>
        <v>0.44369811789440239</v>
      </c>
      <c r="O4639" s="2">
        <f ca="1"/>
        <v>-0.7658413327936916</v>
      </c>
      <c r="X4639" s="2">
        <f ca="1"/>
        <v>22.864716553487341</v>
      </c>
      <c r="AG4639" s="2">
        <f ca="1"/>
        <v>0.41948633952725545</v>
      </c>
      <c r="AH4639" s="2" t="str">
        <f ca="1"/>
        <v>Bad</v>
      </c>
    </row>
    <row r="4640" spans="2:34" x14ac:dyDescent="0.2">
      <c r="B4640" s="2">
        <f ca="1"/>
        <v>1.0341352578210561E-2</v>
      </c>
      <c r="O4640" s="2">
        <f ca="1"/>
        <v>2.2449412406344887E-2</v>
      </c>
      <c r="X4640" s="2">
        <f ca="1"/>
        <v>28.770857205336142</v>
      </c>
      <c r="AG4640" s="2">
        <f ca="1"/>
        <v>5.730448275710609E-2</v>
      </c>
      <c r="AH4640" s="2" t="str">
        <f ca="1"/>
        <v>OK</v>
      </c>
    </row>
    <row r="4641" spans="2:34" x14ac:dyDescent="0.2">
      <c r="B4641" s="2">
        <f ca="1"/>
        <v>0.28659426751232409</v>
      </c>
      <c r="O4641" s="2">
        <f ca="1"/>
        <v>-0.16209528060016623</v>
      </c>
      <c r="X4641" s="2">
        <f ca="1"/>
        <v>79.957750180442446</v>
      </c>
      <c r="AG4641" s="2">
        <f ca="1"/>
        <v>1.0436764125281828E-2</v>
      </c>
      <c r="AH4641" s="2" t="str">
        <f ca="1"/>
        <v>Good</v>
      </c>
    </row>
    <row r="4642" spans="2:34" x14ac:dyDescent="0.2">
      <c r="B4642" s="2">
        <f ca="1"/>
        <v>1.633634218638802E-2</v>
      </c>
      <c r="O4642" s="2">
        <f ca="1"/>
        <v>0.4111132579250652</v>
      </c>
      <c r="X4642" s="2">
        <f ca="1"/>
        <v>47.278691326061228</v>
      </c>
      <c r="AG4642" s="2">
        <f ca="1"/>
        <v>0.23697686745356306</v>
      </c>
      <c r="AH4642" s="2" t="str">
        <f ca="1"/>
        <v>OK</v>
      </c>
    </row>
    <row r="4643" spans="2:34" x14ac:dyDescent="0.2">
      <c r="B4643" s="2">
        <f ca="1"/>
        <v>0.50024601408145863</v>
      </c>
      <c r="O4643" s="2">
        <f ca="1"/>
        <v>1.1635519111095862</v>
      </c>
      <c r="X4643" s="2">
        <f ca="1"/>
        <v>56.482452508161657</v>
      </c>
      <c r="AG4643" s="2">
        <f ca="1"/>
        <v>0.2291624300554933</v>
      </c>
      <c r="AH4643" s="2" t="str">
        <f ca="1"/>
        <v>OK</v>
      </c>
    </row>
    <row r="4644" spans="2:34" x14ac:dyDescent="0.2">
      <c r="B4644" s="2">
        <f ca="1"/>
        <v>0.48478249254659511</v>
      </c>
      <c r="O4644" s="2">
        <f ca="1"/>
        <v>-2.4656181612687074</v>
      </c>
      <c r="X4644" s="2">
        <f ca="1"/>
        <v>43.965075860594631</v>
      </c>
      <c r="AG4644" s="2">
        <f ca="1"/>
        <v>6.8466746516190335E-2</v>
      </c>
      <c r="AH4644" s="2" t="str">
        <f ca="1"/>
        <v>OK</v>
      </c>
    </row>
    <row r="4645" spans="2:34" x14ac:dyDescent="0.2">
      <c r="B4645" s="2">
        <f ca="1"/>
        <v>0.35692768467330116</v>
      </c>
      <c r="O4645" s="2">
        <f ca="1"/>
        <v>-8.6711227911706462E-2</v>
      </c>
      <c r="X4645" s="2">
        <f ca="1"/>
        <v>68.261375058012618</v>
      </c>
      <c r="AG4645" s="2">
        <f ca="1"/>
        <v>0.5676886643007748</v>
      </c>
      <c r="AH4645" s="2" t="str">
        <f ca="1"/>
        <v>Bad</v>
      </c>
    </row>
    <row r="4646" spans="2:34" x14ac:dyDescent="0.2">
      <c r="B4646" s="2">
        <f ca="1"/>
        <v>0.71943508406429824</v>
      </c>
      <c r="O4646" s="2">
        <f ca="1"/>
        <v>-2.2931193361764111</v>
      </c>
      <c r="X4646" s="2">
        <f ca="1"/>
        <v>50.229981800420596</v>
      </c>
      <c r="AG4646" s="2">
        <f ca="1"/>
        <v>0.93248828944754836</v>
      </c>
      <c r="AH4646" s="2" t="str">
        <f ca="1"/>
        <v>Bad</v>
      </c>
    </row>
    <row r="4647" spans="2:34" x14ac:dyDescent="0.2">
      <c r="B4647" s="2">
        <f ca="1"/>
        <v>0.11098654627821913</v>
      </c>
      <c r="O4647" s="2">
        <f ca="1"/>
        <v>-0.39797113382291538</v>
      </c>
      <c r="X4647" s="2">
        <f ca="1"/>
        <v>49.695586807339971</v>
      </c>
      <c r="AG4647" s="2">
        <f ca="1"/>
        <v>0.32960732932144809</v>
      </c>
      <c r="AH4647" s="2" t="str">
        <f ca="1"/>
        <v>OK</v>
      </c>
    </row>
    <row r="4648" spans="2:34" x14ac:dyDescent="0.2">
      <c r="B4648" s="2">
        <f ca="1"/>
        <v>0.54461500920124672</v>
      </c>
      <c r="O4648" s="2">
        <f ca="1"/>
        <v>-1.0916647518088485</v>
      </c>
      <c r="X4648" s="2">
        <f ca="1"/>
        <v>32.589871919112113</v>
      </c>
      <c r="AG4648" s="2">
        <f ca="1"/>
        <v>0.35452762907901003</v>
      </c>
      <c r="AH4648" s="2" t="str">
        <f ca="1"/>
        <v>OK</v>
      </c>
    </row>
    <row r="4649" spans="2:34" x14ac:dyDescent="0.2">
      <c r="B4649" s="2">
        <f ca="1"/>
        <v>0.18471292674927353</v>
      </c>
      <c r="O4649" s="2">
        <f ca="1"/>
        <v>-0.18292117426181059</v>
      </c>
      <c r="X4649" s="2">
        <f ca="1"/>
        <v>51.24357465841527</v>
      </c>
      <c r="AG4649" s="2">
        <f ca="1"/>
        <v>0.39942824568915625</v>
      </c>
      <c r="AH4649" s="2" t="str">
        <f ca="1"/>
        <v>OK</v>
      </c>
    </row>
    <row r="4650" spans="2:34" x14ac:dyDescent="0.2">
      <c r="B4650" s="2">
        <f ca="1"/>
        <v>0.61955191003940802</v>
      </c>
      <c r="O4650" s="2">
        <f ca="1"/>
        <v>-1.0532087966479644</v>
      </c>
      <c r="X4650" s="2">
        <f ca="1"/>
        <v>39.855221973472638</v>
      </c>
      <c r="AG4650" s="2">
        <f ca="1"/>
        <v>0.90631896704789394</v>
      </c>
      <c r="AH4650" s="2" t="str">
        <f ca="1"/>
        <v>Bad</v>
      </c>
    </row>
    <row r="4651" spans="2:34" x14ac:dyDescent="0.2">
      <c r="B4651" s="2">
        <f ca="1"/>
        <v>0.72340092013572321</v>
      </c>
      <c r="O4651" s="2">
        <f ca="1"/>
        <v>0.34547554941813619</v>
      </c>
      <c r="X4651" s="2">
        <f ca="1"/>
        <v>30.934110778318402</v>
      </c>
      <c r="AG4651" s="2">
        <f ca="1"/>
        <v>0.81316637171224859</v>
      </c>
      <c r="AH4651" s="2" t="str">
        <f ca="1"/>
        <v>Bad</v>
      </c>
    </row>
    <row r="4652" spans="2:34" x14ac:dyDescent="0.2">
      <c r="B4652" s="2">
        <f ca="1"/>
        <v>0.49371520407177716</v>
      </c>
      <c r="O4652" s="2">
        <f ca="1"/>
        <v>0.37372521563906191</v>
      </c>
      <c r="X4652" s="2">
        <f ca="1"/>
        <v>46.607341198660201</v>
      </c>
      <c r="AG4652" s="2">
        <f ca="1"/>
        <v>0.85241316174717685</v>
      </c>
      <c r="AH4652" s="2" t="str">
        <f ca="1"/>
        <v>Bad</v>
      </c>
    </row>
    <row r="4653" spans="2:34" x14ac:dyDescent="0.2">
      <c r="B4653" s="2">
        <f ca="1"/>
        <v>0.83361371851861765</v>
      </c>
      <c r="O4653" s="2">
        <f ca="1"/>
        <v>-2.2468376816648292E-2</v>
      </c>
      <c r="X4653" s="2">
        <f ca="1"/>
        <v>47.59735256334114</v>
      </c>
      <c r="AG4653" s="2">
        <f ca="1"/>
        <v>6.3452444820981224E-2</v>
      </c>
      <c r="AH4653" s="2" t="str">
        <f ca="1"/>
        <v>OK</v>
      </c>
    </row>
    <row r="4654" spans="2:34" x14ac:dyDescent="0.2">
      <c r="B4654" s="2">
        <f ca="1"/>
        <v>0.13827853968760828</v>
      </c>
      <c r="O4654" s="2">
        <f ca="1"/>
        <v>4.6102557783676931E-2</v>
      </c>
      <c r="X4654" s="2">
        <f ca="1"/>
        <v>51.786294930205528</v>
      </c>
      <c r="AG4654" s="2">
        <f ca="1"/>
        <v>0.21409370916922299</v>
      </c>
      <c r="AH4654" s="2" t="str">
        <f ca="1"/>
        <v>OK</v>
      </c>
    </row>
    <row r="4655" spans="2:34" x14ac:dyDescent="0.2">
      <c r="B4655" s="2">
        <f ca="1"/>
        <v>0.25979168634385474</v>
      </c>
      <c r="O4655" s="2">
        <f ca="1"/>
        <v>-0.12446334488142446</v>
      </c>
      <c r="X4655" s="2">
        <f ca="1"/>
        <v>66.739813155183072</v>
      </c>
      <c r="AG4655" s="2">
        <f ca="1"/>
        <v>0.80315666904963656</v>
      </c>
      <c r="AH4655" s="2" t="str">
        <f ca="1"/>
        <v>Bad</v>
      </c>
    </row>
    <row r="4656" spans="2:34" x14ac:dyDescent="0.2">
      <c r="B4656" s="2">
        <f ca="1"/>
        <v>0.16838543544280338</v>
      </c>
      <c r="O4656" s="2">
        <f ca="1"/>
        <v>1.1043119526658742</v>
      </c>
      <c r="X4656" s="2">
        <f ca="1"/>
        <v>61.038076427640284</v>
      </c>
      <c r="AG4656" s="2">
        <f ca="1"/>
        <v>0.62579840749169469</v>
      </c>
      <c r="AH4656" s="2" t="str">
        <f ca="1"/>
        <v>Bad</v>
      </c>
    </row>
    <row r="4657" spans="2:34" x14ac:dyDescent="0.2">
      <c r="B4657" s="2">
        <f ca="1"/>
        <v>0.11893364422496022</v>
      </c>
      <c r="O4657" s="2">
        <f ca="1"/>
        <v>-0.59578459403328254</v>
      </c>
      <c r="X4657" s="2">
        <f ca="1"/>
        <v>59.839401541117212</v>
      </c>
      <c r="AG4657" s="2">
        <f ca="1"/>
        <v>6.3145282368531008E-2</v>
      </c>
      <c r="AH4657" s="2" t="str">
        <f ca="1"/>
        <v>OK</v>
      </c>
    </row>
    <row r="4658" spans="2:34" x14ac:dyDescent="0.2">
      <c r="B4658" s="2">
        <f ca="1"/>
        <v>9.0470049443668099E-2</v>
      </c>
      <c r="O4658" s="2">
        <f ca="1"/>
        <v>-1.6037493650659691</v>
      </c>
      <c r="X4658" s="2">
        <f ca="1"/>
        <v>52.75433515909814</v>
      </c>
      <c r="AG4658" s="2">
        <f ca="1"/>
        <v>0.46328480762410296</v>
      </c>
      <c r="AH4658" s="2" t="str">
        <f ca="1"/>
        <v>Bad</v>
      </c>
    </row>
    <row r="4659" spans="2:34" x14ac:dyDescent="0.2">
      <c r="B4659" s="2">
        <f ca="1"/>
        <v>0.55630182978879228</v>
      </c>
      <c r="O4659" s="2">
        <f ca="1"/>
        <v>1.5770110116990816</v>
      </c>
      <c r="X4659" s="2">
        <f ca="1"/>
        <v>63.723734294595886</v>
      </c>
      <c r="AG4659" s="2">
        <f ca="1"/>
        <v>0.29299159560853405</v>
      </c>
      <c r="AH4659" s="2" t="str">
        <f ca="1"/>
        <v>OK</v>
      </c>
    </row>
    <row r="4660" spans="2:34" x14ac:dyDescent="0.2">
      <c r="B4660" s="2">
        <f ca="1"/>
        <v>0.18644340549840166</v>
      </c>
      <c r="O4660" s="2">
        <f ca="1"/>
        <v>-1.0634804185330176</v>
      </c>
      <c r="X4660" s="2">
        <f ca="1"/>
        <v>74.805035181840239</v>
      </c>
      <c r="AG4660" s="2">
        <f ca="1"/>
        <v>8.04813580705388E-2</v>
      </c>
      <c r="AH4660" s="2" t="str">
        <f ca="1"/>
        <v>OK</v>
      </c>
    </row>
    <row r="4661" spans="2:34" x14ac:dyDescent="0.2">
      <c r="B4661" s="2">
        <f ca="1"/>
        <v>0.87762181115056825</v>
      </c>
      <c r="O4661" s="2">
        <f ca="1"/>
        <v>0.99984661181829371</v>
      </c>
      <c r="X4661" s="2">
        <f ca="1"/>
        <v>41.685752720629459</v>
      </c>
      <c r="AG4661" s="2">
        <f ca="1"/>
        <v>0.47141509042722718</v>
      </c>
      <c r="AH4661" s="2" t="str">
        <f ca="1"/>
        <v>Bad</v>
      </c>
    </row>
    <row r="4662" spans="2:34" x14ac:dyDescent="0.2">
      <c r="B4662" s="2">
        <f ca="1"/>
        <v>0.16331771753193336</v>
      </c>
      <c r="O4662" s="2">
        <f ca="1"/>
        <v>-0.79749274944324133</v>
      </c>
      <c r="X4662" s="2">
        <f ca="1"/>
        <v>69.594470714817504</v>
      </c>
      <c r="AG4662" s="2">
        <f ca="1"/>
        <v>0.49799822833999396</v>
      </c>
      <c r="AH4662" s="2" t="str">
        <f ca="1"/>
        <v>Bad</v>
      </c>
    </row>
    <row r="4663" spans="2:34" x14ac:dyDescent="0.2">
      <c r="B4663" s="2">
        <f ca="1"/>
        <v>0.37480813065735075</v>
      </c>
      <c r="O4663" s="2">
        <f ca="1"/>
        <v>0.73912762544528898</v>
      </c>
      <c r="X4663" s="2">
        <f ca="1"/>
        <v>51.364851705225412</v>
      </c>
      <c r="AG4663" s="2">
        <f ca="1"/>
        <v>0.7333401986042356</v>
      </c>
      <c r="AH4663" s="2" t="str">
        <f ca="1"/>
        <v>Bad</v>
      </c>
    </row>
    <row r="4664" spans="2:34" x14ac:dyDescent="0.2">
      <c r="B4664" s="2">
        <f ca="1"/>
        <v>0.16231391108491322</v>
      </c>
      <c r="O4664" s="2">
        <f ca="1"/>
        <v>0.3707842902249503</v>
      </c>
      <c r="X4664" s="2">
        <f ca="1"/>
        <v>73.382726121922829</v>
      </c>
      <c r="AG4664" s="2">
        <f ca="1"/>
        <v>1.219205373511878E-2</v>
      </c>
      <c r="AH4664" s="2" t="str">
        <f ca="1"/>
        <v>Good</v>
      </c>
    </row>
    <row r="4665" spans="2:34" x14ac:dyDescent="0.2">
      <c r="B4665" s="2">
        <f ca="1"/>
        <v>0.79688657282454023</v>
      </c>
      <c r="O4665" s="2">
        <f ca="1"/>
        <v>-0.55797881576356845</v>
      </c>
      <c r="X4665" s="2">
        <f ca="1"/>
        <v>67.445746197260988</v>
      </c>
      <c r="AG4665" s="2">
        <f ca="1"/>
        <v>0.61957939027000331</v>
      </c>
      <c r="AH4665" s="2" t="str">
        <f ca="1"/>
        <v>Bad</v>
      </c>
    </row>
    <row r="4666" spans="2:34" x14ac:dyDescent="0.2">
      <c r="B4666" s="2">
        <f ca="1"/>
        <v>0.70089496195621126</v>
      </c>
      <c r="O4666" s="2">
        <f ca="1"/>
        <v>0.31696293347325882</v>
      </c>
      <c r="X4666" s="2">
        <f ca="1"/>
        <v>62.57454151547396</v>
      </c>
      <c r="AG4666" s="2">
        <f ca="1"/>
        <v>8.6371255561896731E-3</v>
      </c>
      <c r="AH4666" s="2" t="str">
        <f ca="1"/>
        <v>Good</v>
      </c>
    </row>
    <row r="4667" spans="2:34" x14ac:dyDescent="0.2">
      <c r="B4667" s="2">
        <f ca="1"/>
        <v>0.18717362568470475</v>
      </c>
      <c r="O4667" s="2">
        <f ca="1"/>
        <v>2.4116971320490768</v>
      </c>
      <c r="X4667" s="2">
        <f ca="1"/>
        <v>36.792227138682719</v>
      </c>
      <c r="AG4667" s="2">
        <f ca="1"/>
        <v>0.27202244949610366</v>
      </c>
      <c r="AH4667" s="2" t="str">
        <f ca="1"/>
        <v>OK</v>
      </c>
    </row>
    <row r="4668" spans="2:34" x14ac:dyDescent="0.2">
      <c r="B4668" s="2">
        <f ca="1"/>
        <v>0.1731511505510237</v>
      </c>
      <c r="O4668" s="2">
        <f ca="1"/>
        <v>-0.65392897026715535</v>
      </c>
      <c r="X4668" s="2">
        <f ca="1"/>
        <v>74.295605313963932</v>
      </c>
      <c r="AG4668" s="2">
        <f ca="1"/>
        <v>0.67577802269833676</v>
      </c>
      <c r="AH4668" s="2" t="str">
        <f ca="1"/>
        <v>Bad</v>
      </c>
    </row>
    <row r="4669" spans="2:34" x14ac:dyDescent="0.2">
      <c r="B4669" s="2">
        <f ca="1"/>
        <v>0.63299544704230448</v>
      </c>
      <c r="O4669" s="2">
        <f ca="1"/>
        <v>0.23123734276088712</v>
      </c>
      <c r="X4669" s="2">
        <f ca="1"/>
        <v>47.534706698859857</v>
      </c>
      <c r="AG4669" s="2">
        <f ca="1"/>
        <v>0.46494936876280635</v>
      </c>
      <c r="AH4669" s="2" t="str">
        <f ca="1"/>
        <v>Bad</v>
      </c>
    </row>
    <row r="4670" spans="2:34" x14ac:dyDescent="0.2">
      <c r="B4670" s="2">
        <f ca="1"/>
        <v>0.44706144817440041</v>
      </c>
      <c r="O4670" s="2">
        <f ca="1"/>
        <v>-0.10626601588616336</v>
      </c>
      <c r="X4670" s="2">
        <f ca="1"/>
        <v>52.085367570402148</v>
      </c>
      <c r="AG4670" s="2">
        <f ca="1"/>
        <v>0.97446143910573602</v>
      </c>
      <c r="AH4670" s="2" t="str">
        <f ca="1"/>
        <v>Bad</v>
      </c>
    </row>
    <row r="4671" spans="2:34" x14ac:dyDescent="0.2">
      <c r="B4671" s="2">
        <f ca="1"/>
        <v>3.0030215648537695E-2</v>
      </c>
      <c r="O4671" s="2">
        <f ca="1"/>
        <v>0.30079460051112622</v>
      </c>
      <c r="X4671" s="2">
        <f ca="1"/>
        <v>32.165350924639959</v>
      </c>
      <c r="AG4671" s="2">
        <f ca="1"/>
        <v>0.96522770038237993</v>
      </c>
      <c r="AH4671" s="2" t="str">
        <f ca="1"/>
        <v>Bad</v>
      </c>
    </row>
    <row r="4672" spans="2:34" x14ac:dyDescent="0.2">
      <c r="B4672" s="2">
        <f ca="1"/>
        <v>7.4067137105449987E-2</v>
      </c>
      <c r="O4672" s="2">
        <f ca="1"/>
        <v>-0.2321278737500107</v>
      </c>
      <c r="X4672" s="2">
        <f ca="1"/>
        <v>51.256820531320557</v>
      </c>
      <c r="AG4672" s="2">
        <f ca="1"/>
        <v>0.72968455840481861</v>
      </c>
      <c r="AH4672" s="2" t="str">
        <f ca="1"/>
        <v>Bad</v>
      </c>
    </row>
    <row r="4673" spans="2:34" x14ac:dyDescent="0.2">
      <c r="B4673" s="2">
        <f ca="1"/>
        <v>0.69805468201579557</v>
      </c>
      <c r="O4673" s="2">
        <f ca="1"/>
        <v>0.98273266092766687</v>
      </c>
      <c r="X4673" s="2">
        <f ca="1"/>
        <v>61.484906781637115</v>
      </c>
      <c r="AG4673" s="2">
        <f ca="1"/>
        <v>0.35852473618817227</v>
      </c>
      <c r="AH4673" s="2" t="str">
        <f ca="1"/>
        <v>OK</v>
      </c>
    </row>
    <row r="4674" spans="2:34" x14ac:dyDescent="0.2">
      <c r="B4674" s="2">
        <f ca="1"/>
        <v>3.0750363941016268E-2</v>
      </c>
      <c r="O4674" s="2">
        <f ca="1"/>
        <v>-0.29945414623690692</v>
      </c>
      <c r="X4674" s="2">
        <f ca="1"/>
        <v>53.136079752395545</v>
      </c>
      <c r="AG4674" s="2">
        <f ca="1"/>
        <v>0.47006755774909359</v>
      </c>
      <c r="AH4674" s="2" t="str">
        <f ca="1"/>
        <v>Bad</v>
      </c>
    </row>
    <row r="4675" spans="2:34" x14ac:dyDescent="0.2">
      <c r="B4675" s="2">
        <f ca="1"/>
        <v>3.0783858135368769E-2</v>
      </c>
      <c r="O4675" s="2">
        <f ca="1"/>
        <v>-0.41486158022521202</v>
      </c>
      <c r="X4675" s="2">
        <f ca="1"/>
        <v>95.783395821110105</v>
      </c>
      <c r="AG4675" s="2">
        <f ca="1"/>
        <v>0.13713465107836242</v>
      </c>
      <c r="AH4675" s="2" t="str">
        <f ca="1"/>
        <v>OK</v>
      </c>
    </row>
    <row r="4676" spans="2:34" x14ac:dyDescent="0.2">
      <c r="B4676" s="2">
        <f ca="1"/>
        <v>4.8185799032826271E-2</v>
      </c>
      <c r="O4676" s="2">
        <f ca="1"/>
        <v>0.26460773364094414</v>
      </c>
      <c r="X4676" s="2">
        <f ca="1"/>
        <v>27.799662323250129</v>
      </c>
      <c r="AG4676" s="2">
        <f ca="1"/>
        <v>0.43117884612444546</v>
      </c>
      <c r="AH4676" s="2" t="str">
        <f ca="1"/>
        <v>Bad</v>
      </c>
    </row>
    <row r="4677" spans="2:34" x14ac:dyDescent="0.2">
      <c r="B4677" s="2">
        <f ca="1"/>
        <v>8.7302551851832E-2</v>
      </c>
      <c r="O4677" s="2">
        <f ca="1"/>
        <v>0.30638510014160525</v>
      </c>
      <c r="X4677" s="2">
        <f ca="1"/>
        <v>44.826520729133001</v>
      </c>
      <c r="AG4677" s="2">
        <f ca="1"/>
        <v>0.51267256851015253</v>
      </c>
      <c r="AH4677" s="2" t="str">
        <f ca="1"/>
        <v>Bad</v>
      </c>
    </row>
    <row r="4678" spans="2:34" x14ac:dyDescent="0.2">
      <c r="B4678" s="2">
        <f ca="1"/>
        <v>0.16780196743186249</v>
      </c>
      <c r="O4678" s="2">
        <f ca="1"/>
        <v>0.88768580196775593</v>
      </c>
      <c r="X4678" s="2">
        <f ca="1"/>
        <v>38.699912080913172</v>
      </c>
      <c r="AG4678" s="2">
        <f ca="1"/>
        <v>0.16404304567124695</v>
      </c>
      <c r="AH4678" s="2" t="str">
        <f ca="1"/>
        <v>OK</v>
      </c>
    </row>
    <row r="4679" spans="2:34" x14ac:dyDescent="0.2">
      <c r="B4679" s="2">
        <f ca="1"/>
        <v>0.30137579035955131</v>
      </c>
      <c r="O4679" s="2">
        <f ca="1"/>
        <v>-0.48915649117195792</v>
      </c>
      <c r="X4679" s="2">
        <f ca="1"/>
        <v>40.782344008376811</v>
      </c>
      <c r="AG4679" s="2">
        <f ca="1"/>
        <v>0.893637918009623</v>
      </c>
      <c r="AH4679" s="2" t="str">
        <f ca="1"/>
        <v>Bad</v>
      </c>
    </row>
    <row r="4680" spans="2:34" x14ac:dyDescent="0.2">
      <c r="B4680" s="2">
        <f ca="1"/>
        <v>8.1490942400820776E-2</v>
      </c>
      <c r="O4680" s="2">
        <f ca="1"/>
        <v>-0.96950567086767181</v>
      </c>
      <c r="X4680" s="2">
        <f ca="1"/>
        <v>58.271641700669896</v>
      </c>
      <c r="AG4680" s="2">
        <f ca="1"/>
        <v>0.99163742176859726</v>
      </c>
      <c r="AH4680" s="2" t="str">
        <f ca="1"/>
        <v>Bad</v>
      </c>
    </row>
    <row r="4681" spans="2:34" x14ac:dyDescent="0.2">
      <c r="B4681" s="2">
        <f ca="1"/>
        <v>0.31801931961685703</v>
      </c>
      <c r="O4681" s="2">
        <f ca="1"/>
        <v>-0.59449898859124928</v>
      </c>
      <c r="X4681" s="2">
        <f ca="1"/>
        <v>48.87959110828649</v>
      </c>
      <c r="AG4681" s="2">
        <f ca="1"/>
        <v>0.22277419728765913</v>
      </c>
      <c r="AH4681" s="2" t="str">
        <f ca="1"/>
        <v>OK</v>
      </c>
    </row>
    <row r="4682" spans="2:34" x14ac:dyDescent="0.2">
      <c r="B4682" s="2">
        <f ca="1"/>
        <v>0.4007429367855857</v>
      </c>
      <c r="O4682" s="2">
        <f ca="1"/>
        <v>-1.4068383955595423</v>
      </c>
      <c r="X4682" s="2">
        <f ca="1"/>
        <v>52.000014426659298</v>
      </c>
      <c r="AG4682" s="2">
        <f ca="1"/>
        <v>0.13331723428275688</v>
      </c>
      <c r="AH4682" s="2" t="str">
        <f ca="1"/>
        <v>OK</v>
      </c>
    </row>
    <row r="4683" spans="2:34" x14ac:dyDescent="0.2">
      <c r="B4683" s="2">
        <f ca="1"/>
        <v>0.57857405875247947</v>
      </c>
      <c r="O4683" s="2">
        <f ca="1"/>
        <v>0.92687969316217578</v>
      </c>
      <c r="X4683" s="2">
        <f ca="1"/>
        <v>57.072413953309038</v>
      </c>
      <c r="AG4683" s="2">
        <f ca="1"/>
        <v>0.26706213295403414</v>
      </c>
      <c r="AH4683" s="2" t="str">
        <f ca="1"/>
        <v>OK</v>
      </c>
    </row>
    <row r="4684" spans="2:34" x14ac:dyDescent="0.2">
      <c r="B4684" s="2">
        <f ca="1"/>
        <v>0.94195471764152061</v>
      </c>
      <c r="O4684" s="2">
        <f ca="1"/>
        <v>-0.82834796108365139</v>
      </c>
      <c r="X4684" s="2">
        <f ca="1"/>
        <v>56.878108326061025</v>
      </c>
      <c r="AG4684" s="2">
        <f ca="1"/>
        <v>2.2551689226134153E-2</v>
      </c>
      <c r="AH4684" s="2" t="str">
        <f ca="1"/>
        <v>Good</v>
      </c>
    </row>
    <row r="4685" spans="2:34" x14ac:dyDescent="0.2">
      <c r="B4685" s="2">
        <f ca="1"/>
        <v>0.32883858864260418</v>
      </c>
      <c r="O4685" s="2">
        <f ca="1"/>
        <v>0.28980422734230343</v>
      </c>
      <c r="X4685" s="2">
        <f ca="1"/>
        <v>45.45756072100108</v>
      </c>
      <c r="AG4685" s="2">
        <f ca="1"/>
        <v>0.23182459408416856</v>
      </c>
      <c r="AH4685" s="2" t="str">
        <f ca="1"/>
        <v>OK</v>
      </c>
    </row>
    <row r="4686" spans="2:34" x14ac:dyDescent="0.2">
      <c r="B4686" s="2">
        <f ca="1"/>
        <v>3.9440000883102178E-2</v>
      </c>
      <c r="O4686" s="2">
        <f ca="1"/>
        <v>-0.82398627078544262</v>
      </c>
      <c r="X4686" s="2">
        <f ca="1"/>
        <v>77.841534068099023</v>
      </c>
      <c r="AG4686" s="2">
        <f ca="1"/>
        <v>0.9281999715353626</v>
      </c>
      <c r="AH4686" s="2" t="str">
        <f ca="1"/>
        <v>Bad</v>
      </c>
    </row>
    <row r="4687" spans="2:34" x14ac:dyDescent="0.2">
      <c r="B4687" s="2">
        <f ca="1"/>
        <v>0.5335602166818938</v>
      </c>
      <c r="O4687" s="2">
        <f ca="1"/>
        <v>0.76918942001973634</v>
      </c>
      <c r="X4687" s="2">
        <f ca="1"/>
        <v>88.53994512253999</v>
      </c>
      <c r="AG4687" s="2">
        <f ca="1"/>
        <v>0.81100314150913588</v>
      </c>
      <c r="AH4687" s="2" t="str">
        <f ca="1"/>
        <v>Bad</v>
      </c>
    </row>
    <row r="4688" spans="2:34" x14ac:dyDescent="0.2">
      <c r="B4688" s="2">
        <f ca="1"/>
        <v>0.61988887685701322</v>
      </c>
      <c r="O4688" s="2">
        <f ca="1"/>
        <v>0.33708006665518553</v>
      </c>
      <c r="X4688" s="2">
        <f ca="1"/>
        <v>28.375189489507342</v>
      </c>
      <c r="AG4688" s="2">
        <f ca="1"/>
        <v>0.28652144206450458</v>
      </c>
      <c r="AH4688" s="2" t="str">
        <f ca="1"/>
        <v>OK</v>
      </c>
    </row>
    <row r="4689" spans="2:34" x14ac:dyDescent="0.2">
      <c r="B4689" s="2">
        <f ca="1"/>
        <v>0.23007972126690124</v>
      </c>
      <c r="O4689" s="2">
        <f ca="1"/>
        <v>-0.28376564889376371</v>
      </c>
      <c r="X4689" s="2">
        <f ca="1"/>
        <v>54.766631088534808</v>
      </c>
      <c r="AG4689" s="2">
        <f ca="1"/>
        <v>0.62997724630617502</v>
      </c>
      <c r="AH4689" s="2" t="str">
        <f ca="1"/>
        <v>Bad</v>
      </c>
    </row>
    <row r="4690" spans="2:34" x14ac:dyDescent="0.2">
      <c r="B4690" s="2">
        <f ca="1"/>
        <v>0.84759208043635592</v>
      </c>
      <c r="O4690" s="2">
        <f ca="1"/>
        <v>0.11277555973298198</v>
      </c>
      <c r="X4690" s="2">
        <f ca="1"/>
        <v>43.871874396415592</v>
      </c>
      <c r="AG4690" s="2">
        <f ca="1"/>
        <v>8.9101475866537605E-4</v>
      </c>
      <c r="AH4690" s="2" t="str">
        <f ca="1"/>
        <v>Good</v>
      </c>
    </row>
    <row r="4691" spans="2:34" x14ac:dyDescent="0.2">
      <c r="B4691" s="2">
        <f ca="1"/>
        <v>0.62728076134901078</v>
      </c>
      <c r="O4691" s="2">
        <f ca="1"/>
        <v>-1.0704093497155329</v>
      </c>
      <c r="X4691" s="2">
        <f ca="1"/>
        <v>91.324746214249885</v>
      </c>
      <c r="AG4691" s="2">
        <f ca="1"/>
        <v>0.22412536747423095</v>
      </c>
      <c r="AH4691" s="2" t="str">
        <f ca="1"/>
        <v>OK</v>
      </c>
    </row>
    <row r="4692" spans="2:34" x14ac:dyDescent="0.2">
      <c r="B4692" s="2">
        <f ca="1"/>
        <v>2.8175027413016585E-2</v>
      </c>
      <c r="O4692" s="2">
        <f ca="1"/>
        <v>1.858408615085976</v>
      </c>
      <c r="X4692" s="2">
        <f ca="1"/>
        <v>37.650702290854184</v>
      </c>
      <c r="AG4692" s="2">
        <f ca="1"/>
        <v>0.81790475069905555</v>
      </c>
      <c r="AH4692" s="2" t="str">
        <f ca="1"/>
        <v>Bad</v>
      </c>
    </row>
    <row r="4693" spans="2:34" x14ac:dyDescent="0.2">
      <c r="B4693" s="2">
        <f ca="1"/>
        <v>0.74242402271353924</v>
      </c>
      <c r="O4693" s="2">
        <f ca="1"/>
        <v>0.14636894868382316</v>
      </c>
      <c r="X4693" s="2">
        <f ca="1"/>
        <v>110.06702685020383</v>
      </c>
      <c r="AG4693" s="2">
        <f ca="1"/>
        <v>0.59863777531202955</v>
      </c>
      <c r="AH4693" s="2" t="str">
        <f ca="1"/>
        <v>Bad</v>
      </c>
    </row>
    <row r="4694" spans="2:34" x14ac:dyDescent="0.2">
      <c r="B4694" s="2">
        <f ca="1"/>
        <v>0.56614896629902001</v>
      </c>
      <c r="O4694" s="2">
        <f ca="1"/>
        <v>0.72563235996633402</v>
      </c>
      <c r="X4694" s="2">
        <f ca="1"/>
        <v>55.114524878757322</v>
      </c>
      <c r="AG4694" s="2">
        <f ca="1"/>
        <v>0.92413181945698941</v>
      </c>
      <c r="AH4694" s="2" t="str">
        <f ca="1"/>
        <v>Bad</v>
      </c>
    </row>
    <row r="4695" spans="2:34" x14ac:dyDescent="0.2">
      <c r="B4695" s="2">
        <f ca="1"/>
        <v>0.50084165278105131</v>
      </c>
      <c r="O4695" s="2">
        <f ca="1"/>
        <v>-1.1578974496050782</v>
      </c>
      <c r="X4695" s="2">
        <f ca="1"/>
        <v>51.182706800855946</v>
      </c>
      <c r="AG4695" s="2">
        <f ca="1"/>
        <v>0.72708299027200884</v>
      </c>
      <c r="AH4695" s="2" t="str">
        <f ca="1"/>
        <v>Bad</v>
      </c>
    </row>
    <row r="4696" spans="2:34" x14ac:dyDescent="0.2">
      <c r="B4696" s="2">
        <f ca="1"/>
        <v>5.3300153779687331E-3</v>
      </c>
      <c r="O4696" s="2">
        <f ca="1"/>
        <v>-0.36124901625303857</v>
      </c>
      <c r="X4696" s="2">
        <f ca="1"/>
        <v>33.90012306231322</v>
      </c>
      <c r="AG4696" s="2">
        <f ca="1"/>
        <v>0.25622071230430299</v>
      </c>
      <c r="AH4696" s="2" t="str">
        <f ca="1"/>
        <v>OK</v>
      </c>
    </row>
    <row r="4697" spans="2:34" x14ac:dyDescent="0.2">
      <c r="B4697" s="2">
        <f ca="1"/>
        <v>0.28060947355340149</v>
      </c>
      <c r="O4697" s="2">
        <f ca="1"/>
        <v>1.3436532635908465</v>
      </c>
      <c r="X4697" s="2">
        <f ca="1"/>
        <v>51.893630228577337</v>
      </c>
      <c r="AG4697" s="2">
        <f ca="1"/>
        <v>3.5695948463778659E-3</v>
      </c>
      <c r="AH4697" s="2" t="str">
        <f ca="1"/>
        <v>Good</v>
      </c>
    </row>
    <row r="4698" spans="2:34" x14ac:dyDescent="0.2">
      <c r="B4698" s="2">
        <f ca="1"/>
        <v>0.69694883627430793</v>
      </c>
      <c r="O4698" s="2">
        <f ca="1"/>
        <v>1.1760913654196572</v>
      </c>
      <c r="X4698" s="2">
        <f ca="1"/>
        <v>44.52819232263451</v>
      </c>
      <c r="AG4698" s="2">
        <f ca="1"/>
        <v>0.71277933729210097</v>
      </c>
      <c r="AH4698" s="2" t="str">
        <f ca="1"/>
        <v>Bad</v>
      </c>
    </row>
    <row r="4699" spans="2:34" x14ac:dyDescent="0.2">
      <c r="B4699" s="2">
        <f ca="1"/>
        <v>0.28128561432714694</v>
      </c>
      <c r="O4699" s="2">
        <f ca="1"/>
        <v>5.7081541772385821E-2</v>
      </c>
      <c r="X4699" s="2">
        <f ca="1"/>
        <v>35.480106941318461</v>
      </c>
      <c r="AG4699" s="2">
        <f ca="1"/>
        <v>0.15441067199519831</v>
      </c>
      <c r="AH4699" s="2" t="str">
        <f ca="1"/>
        <v>OK</v>
      </c>
    </row>
    <row r="4700" spans="2:34" x14ac:dyDescent="0.2">
      <c r="B4700" s="2">
        <f ca="1"/>
        <v>9.664808208964093E-2</v>
      </c>
      <c r="O4700" s="2">
        <f ca="1"/>
        <v>0.62438078685779175</v>
      </c>
      <c r="X4700" s="2">
        <f ca="1"/>
        <v>44.749013840734165</v>
      </c>
      <c r="AG4700" s="2">
        <f ca="1"/>
        <v>0.91689925455524834</v>
      </c>
      <c r="AH4700" s="2" t="str">
        <f ca="1"/>
        <v>Bad</v>
      </c>
    </row>
    <row r="4701" spans="2:34" x14ac:dyDescent="0.2">
      <c r="B4701" s="2">
        <f ca="1"/>
        <v>0.32627461906999522</v>
      </c>
      <c r="O4701" s="2">
        <f ca="1"/>
        <v>0.68474992804243806</v>
      </c>
      <c r="X4701" s="2">
        <f ca="1"/>
        <v>51.068992903393791</v>
      </c>
      <c r="AG4701" s="2">
        <f ca="1"/>
        <v>0.70432990227115999</v>
      </c>
      <c r="AH4701" s="2" t="str">
        <f ca="1"/>
        <v>Bad</v>
      </c>
    </row>
    <row r="4702" spans="2:34" x14ac:dyDescent="0.2">
      <c r="B4702" s="2">
        <f ca="1"/>
        <v>8.9923746233699697E-2</v>
      </c>
      <c r="O4702" s="2">
        <f ca="1"/>
        <v>0.34813339508857644</v>
      </c>
      <c r="X4702" s="2">
        <f ca="1"/>
        <v>60.183208604313506</v>
      </c>
      <c r="AG4702" s="2">
        <f ca="1"/>
        <v>0.63116528898317803</v>
      </c>
      <c r="AH4702" s="2" t="str">
        <f ca="1"/>
        <v>Bad</v>
      </c>
    </row>
    <row r="4703" spans="2:34" x14ac:dyDescent="0.2">
      <c r="B4703" s="2">
        <f ca="1"/>
        <v>0.5170969272203636</v>
      </c>
      <c r="O4703" s="2">
        <f ca="1"/>
        <v>0.35993831796769005</v>
      </c>
      <c r="X4703" s="2">
        <f ca="1"/>
        <v>39.812398596384988</v>
      </c>
      <c r="AG4703" s="2">
        <f ca="1"/>
        <v>0.47151748277800709</v>
      </c>
      <c r="AH4703" s="2" t="str">
        <f ca="1"/>
        <v>Bad</v>
      </c>
    </row>
    <row r="4704" spans="2:34" x14ac:dyDescent="0.2">
      <c r="B4704" s="2">
        <f ca="1"/>
        <v>0.9215841153059714</v>
      </c>
      <c r="O4704" s="2">
        <f ca="1"/>
        <v>-1.0490128286998297</v>
      </c>
      <c r="X4704" s="2">
        <f ca="1"/>
        <v>52.881445518573287</v>
      </c>
      <c r="AG4704" s="2">
        <f ca="1"/>
        <v>2.2902295480382584E-2</v>
      </c>
      <c r="AH4704" s="2" t="str">
        <f ca="1"/>
        <v>Good</v>
      </c>
    </row>
    <row r="4705" spans="2:34" x14ac:dyDescent="0.2">
      <c r="B4705" s="2">
        <f ca="1"/>
        <v>0.62967819870601538</v>
      </c>
      <c r="O4705" s="2">
        <f ca="1"/>
        <v>-2.9039533300106259E-2</v>
      </c>
      <c r="X4705" s="2">
        <f ca="1"/>
        <v>81.116031373668434</v>
      </c>
      <c r="AG4705" s="2">
        <f ca="1"/>
        <v>5.0243416198092694E-2</v>
      </c>
      <c r="AH4705" s="2" t="str">
        <f ca="1"/>
        <v>OK</v>
      </c>
    </row>
    <row r="4706" spans="2:34" x14ac:dyDescent="0.2">
      <c r="B4706" s="2">
        <f ca="1"/>
        <v>0.30626287908857197</v>
      </c>
      <c r="O4706" s="2">
        <f ca="1"/>
        <v>1.6547054664843148</v>
      </c>
      <c r="X4706" s="2">
        <f ca="1"/>
        <v>68.463253344243839</v>
      </c>
      <c r="AG4706" s="2">
        <f ca="1"/>
        <v>0.25584563115090497</v>
      </c>
      <c r="AH4706" s="2" t="str">
        <f ca="1"/>
        <v>OK</v>
      </c>
    </row>
    <row r="4707" spans="2:34" x14ac:dyDescent="0.2">
      <c r="B4707" s="2">
        <f ca="1"/>
        <v>0.65018764875601631</v>
      </c>
      <c r="O4707" s="2">
        <f ca="1"/>
        <v>-1.1760139796188243</v>
      </c>
      <c r="X4707" s="2">
        <f ca="1"/>
        <v>50.320648445807734</v>
      </c>
      <c r="AG4707" s="2">
        <f ca="1"/>
        <v>7.368458714489412E-2</v>
      </c>
      <c r="AH4707" s="2" t="str">
        <f ca="1"/>
        <v>OK</v>
      </c>
    </row>
    <row r="4708" spans="2:34" x14ac:dyDescent="0.2">
      <c r="B4708" s="2">
        <f ca="1"/>
        <v>0.21807010863674336</v>
      </c>
      <c r="O4708" s="2">
        <f ca="1"/>
        <v>-0.32456516415098907</v>
      </c>
      <c r="X4708" s="2">
        <f ca="1"/>
        <v>47.500555001763082</v>
      </c>
      <c r="AG4708" s="2">
        <f ca="1"/>
        <v>8.4735600900374353E-2</v>
      </c>
      <c r="AH4708" s="2" t="str">
        <f ca="1"/>
        <v>OK</v>
      </c>
    </row>
    <row r="4709" spans="2:34" x14ac:dyDescent="0.2">
      <c r="B4709" s="2">
        <f ca="1"/>
        <v>0.69848511375583233</v>
      </c>
      <c r="O4709" s="2">
        <f ca="1"/>
        <v>-1.332389789312171</v>
      </c>
      <c r="X4709" s="2">
        <f ca="1"/>
        <v>32.786417313282634</v>
      </c>
      <c r="AG4709" s="2">
        <f ca="1"/>
        <v>0.63374665917233486</v>
      </c>
      <c r="AH4709" s="2" t="str">
        <f ca="1"/>
        <v>Bad</v>
      </c>
    </row>
    <row r="4710" spans="2:34" x14ac:dyDescent="0.2">
      <c r="B4710" s="2">
        <f ca="1"/>
        <v>0.94118047721496989</v>
      </c>
      <c r="O4710" s="2">
        <f ca="1"/>
        <v>-0.42770398629204875</v>
      </c>
      <c r="X4710" s="2">
        <f ca="1"/>
        <v>64.765373890726025</v>
      </c>
      <c r="AG4710" s="2">
        <f ca="1"/>
        <v>0.25077198851624805</v>
      </c>
      <c r="AH4710" s="2" t="str">
        <f ca="1"/>
        <v>OK</v>
      </c>
    </row>
    <row r="4711" spans="2:34" x14ac:dyDescent="0.2">
      <c r="B4711" s="2">
        <f ca="1"/>
        <v>0.42325451575766238</v>
      </c>
      <c r="O4711" s="2">
        <f ca="1"/>
        <v>0.24674720544523099</v>
      </c>
      <c r="X4711" s="2">
        <f ca="1"/>
        <v>47.072543378219258</v>
      </c>
      <c r="AG4711" s="2">
        <f ca="1"/>
        <v>0.30369098706542519</v>
      </c>
      <c r="AH4711" s="2" t="str">
        <f ca="1"/>
        <v>OK</v>
      </c>
    </row>
    <row r="4712" spans="2:34" x14ac:dyDescent="0.2">
      <c r="B4712" s="2">
        <f ca="1"/>
        <v>0.31974403791239037</v>
      </c>
      <c r="O4712" s="2">
        <f ca="1"/>
        <v>-0.53758717368186015</v>
      </c>
      <c r="X4712" s="2">
        <f ca="1"/>
        <v>55.802419260454322</v>
      </c>
      <c r="AG4712" s="2">
        <f ca="1"/>
        <v>0.95457805292980846</v>
      </c>
      <c r="AH4712" s="2" t="str">
        <f ca="1"/>
        <v>Bad</v>
      </c>
    </row>
    <row r="4713" spans="2:34" x14ac:dyDescent="0.2">
      <c r="B4713" s="2">
        <f ca="1"/>
        <v>0.45004457860582048</v>
      </c>
      <c r="O4713" s="2">
        <f ca="1"/>
        <v>0.49851330830459512</v>
      </c>
      <c r="X4713" s="2">
        <f ca="1"/>
        <v>42.118550474143497</v>
      </c>
      <c r="AG4713" s="2">
        <f ca="1"/>
        <v>0.59949784046956434</v>
      </c>
      <c r="AH4713" s="2" t="str">
        <f ca="1"/>
        <v>Bad</v>
      </c>
    </row>
    <row r="4714" spans="2:34" x14ac:dyDescent="0.2">
      <c r="B4714" s="2">
        <f ca="1"/>
        <v>0.3903715862476429</v>
      </c>
      <c r="O4714" s="2">
        <f ca="1"/>
        <v>-0.97361608515058973</v>
      </c>
      <c r="X4714" s="2">
        <f ca="1"/>
        <v>32.236590087158504</v>
      </c>
      <c r="AG4714" s="2">
        <f ca="1"/>
        <v>7.3648282700772505E-2</v>
      </c>
      <c r="AH4714" s="2" t="str">
        <f ca="1"/>
        <v>OK</v>
      </c>
    </row>
    <row r="4715" spans="2:34" x14ac:dyDescent="0.2">
      <c r="B4715" s="2">
        <f ca="1"/>
        <v>0.45242822728200238</v>
      </c>
      <c r="O4715" s="2">
        <f ca="1"/>
        <v>0.27272305603245073</v>
      </c>
      <c r="X4715" s="2">
        <f ca="1"/>
        <v>58.185596196319842</v>
      </c>
      <c r="AG4715" s="2">
        <f ca="1"/>
        <v>0.34822651055167797</v>
      </c>
      <c r="AH4715" s="2" t="str">
        <f ca="1"/>
        <v>OK</v>
      </c>
    </row>
    <row r="4716" spans="2:34" x14ac:dyDescent="0.2">
      <c r="B4716" s="2">
        <f ca="1"/>
        <v>0.85413785422570587</v>
      </c>
      <c r="O4716" s="2">
        <f ca="1"/>
        <v>-5.1509642102251417E-2</v>
      </c>
      <c r="X4716" s="2">
        <f ca="1"/>
        <v>74.282430669008349</v>
      </c>
      <c r="AG4716" s="2">
        <f ca="1"/>
        <v>0.38823351028032671</v>
      </c>
      <c r="AH4716" s="2" t="str">
        <f ca="1"/>
        <v>OK</v>
      </c>
    </row>
    <row r="4717" spans="2:34" x14ac:dyDescent="0.2">
      <c r="B4717" s="2">
        <f ca="1"/>
        <v>0.32881125908233932</v>
      </c>
      <c r="O4717" s="2">
        <f ca="1"/>
        <v>1.4438212556594663</v>
      </c>
      <c r="X4717" s="2">
        <f ca="1"/>
        <v>39.850858046371329</v>
      </c>
      <c r="AG4717" s="2">
        <f ca="1"/>
        <v>0.98166489827945203</v>
      </c>
      <c r="AH4717" s="2" t="str">
        <f ca="1"/>
        <v>Bad</v>
      </c>
    </row>
    <row r="4718" spans="2:34" x14ac:dyDescent="0.2">
      <c r="B4718" s="2">
        <f ca="1"/>
        <v>0.42319928574958032</v>
      </c>
      <c r="O4718" s="2">
        <f ca="1"/>
        <v>0.81966329676717231</v>
      </c>
      <c r="X4718" s="2">
        <f ca="1"/>
        <v>54.436500536498741</v>
      </c>
      <c r="AG4718" s="2">
        <f ca="1"/>
        <v>0.51430000510208984</v>
      </c>
      <c r="AH4718" s="2" t="str">
        <f ca="1"/>
        <v>Bad</v>
      </c>
    </row>
    <row r="4719" spans="2:34" x14ac:dyDescent="0.2">
      <c r="B4719" s="2">
        <f ca="1"/>
        <v>0.10559675040973526</v>
      </c>
      <c r="O4719" s="2">
        <f ca="1"/>
        <v>-0.89209611734551253</v>
      </c>
      <c r="X4719" s="2">
        <f ca="1"/>
        <v>37.721134176553079</v>
      </c>
      <c r="AG4719" s="2">
        <f ca="1"/>
        <v>0.32374937331492459</v>
      </c>
      <c r="AH4719" s="2" t="str">
        <f ca="1"/>
        <v>OK</v>
      </c>
    </row>
    <row r="4720" spans="2:34" x14ac:dyDescent="0.2">
      <c r="B4720" s="2">
        <f ca="1"/>
        <v>0.36073793771122498</v>
      </c>
      <c r="O4720" s="2">
        <f ca="1"/>
        <v>-0.96834316394814735</v>
      </c>
      <c r="X4720" s="2">
        <f ca="1"/>
        <v>33.834406161051874</v>
      </c>
      <c r="AG4720" s="2">
        <f ca="1"/>
        <v>1.3662735264341475E-3</v>
      </c>
      <c r="AH4720" s="2" t="str">
        <f ca="1"/>
        <v>Good</v>
      </c>
    </row>
    <row r="4721" spans="2:34" x14ac:dyDescent="0.2">
      <c r="B4721" s="2">
        <f ca="1"/>
        <v>0.72906908677491544</v>
      </c>
      <c r="O4721" s="2">
        <f ca="1"/>
        <v>1.2868585635813661</v>
      </c>
      <c r="X4721" s="2">
        <f ca="1"/>
        <v>69.664562761945461</v>
      </c>
      <c r="AG4721" s="2">
        <f ca="1"/>
        <v>0.32756105828660464</v>
      </c>
      <c r="AH4721" s="2" t="str">
        <f ca="1"/>
        <v>OK</v>
      </c>
    </row>
    <row r="4722" spans="2:34" x14ac:dyDescent="0.2">
      <c r="B4722" s="2">
        <f ca="1"/>
        <v>0.85974682443205186</v>
      </c>
      <c r="O4722" s="2">
        <f ca="1"/>
        <v>-0.30368547252664035</v>
      </c>
      <c r="X4722" s="2">
        <f ca="1"/>
        <v>51.05412615632774</v>
      </c>
      <c r="AG4722" s="2">
        <f ca="1"/>
        <v>0.85451081095726678</v>
      </c>
      <c r="AH4722" s="2" t="str">
        <f ca="1"/>
        <v>Bad</v>
      </c>
    </row>
    <row r="4723" spans="2:34" x14ac:dyDescent="0.2">
      <c r="B4723" s="2">
        <f ca="1"/>
        <v>0.95220421021587009</v>
      </c>
      <c r="O4723" s="2">
        <f ca="1"/>
        <v>1.8591587701972585</v>
      </c>
      <c r="X4723" s="2">
        <f ca="1"/>
        <v>37.014021831518889</v>
      </c>
      <c r="AG4723" s="2">
        <f ca="1"/>
        <v>0.88515560321165632</v>
      </c>
      <c r="AH4723" s="2" t="str">
        <f ca="1"/>
        <v>Bad</v>
      </c>
    </row>
    <row r="4724" spans="2:34" x14ac:dyDescent="0.2">
      <c r="B4724" s="2">
        <f ca="1"/>
        <v>0.57704289218461002</v>
      </c>
      <c r="O4724" s="2">
        <f ca="1"/>
        <v>0.36497235399133393</v>
      </c>
      <c r="X4724" s="2">
        <f ca="1"/>
        <v>108.92943779807635</v>
      </c>
      <c r="AG4724" s="2">
        <f ca="1"/>
        <v>0.76907335549916089</v>
      </c>
      <c r="AH4724" s="2" t="str">
        <f ca="1"/>
        <v>Bad</v>
      </c>
    </row>
    <row r="4725" spans="2:34" x14ac:dyDescent="0.2">
      <c r="B4725" s="2">
        <f ca="1"/>
        <v>0.1280225911874171</v>
      </c>
      <c r="O4725" s="2">
        <f ca="1"/>
        <v>-1.0019586316998035</v>
      </c>
      <c r="X4725" s="2">
        <f ca="1"/>
        <v>62.211908767870227</v>
      </c>
      <c r="AG4725" s="2">
        <f ca="1"/>
        <v>0.19879154490593165</v>
      </c>
      <c r="AH4725" s="2" t="str">
        <f ca="1"/>
        <v>OK</v>
      </c>
    </row>
    <row r="4726" spans="2:34" x14ac:dyDescent="0.2">
      <c r="B4726" s="2">
        <f ca="1"/>
        <v>0.98419474112082272</v>
      </c>
      <c r="O4726" s="2">
        <f ca="1"/>
        <v>1.1659852161181818</v>
      </c>
      <c r="X4726" s="2">
        <f ca="1"/>
        <v>52.471026436667941</v>
      </c>
      <c r="AG4726" s="2">
        <f ca="1"/>
        <v>0.75492226860821887</v>
      </c>
      <c r="AH4726" s="2" t="str">
        <f ca="1"/>
        <v>Bad</v>
      </c>
    </row>
    <row r="4727" spans="2:34" x14ac:dyDescent="0.2">
      <c r="B4727" s="2">
        <f ca="1"/>
        <v>0.21738721727510457</v>
      </c>
      <c r="O4727" s="2">
        <f ca="1"/>
        <v>-1.967017583875357</v>
      </c>
      <c r="X4727" s="2">
        <f ca="1"/>
        <v>30.625339446239366</v>
      </c>
      <c r="AG4727" s="2">
        <f ca="1"/>
        <v>0.62489484808312046</v>
      </c>
      <c r="AH4727" s="2" t="str">
        <f ca="1"/>
        <v>Bad</v>
      </c>
    </row>
    <row r="4728" spans="2:34" x14ac:dyDescent="0.2">
      <c r="B4728" s="2">
        <f ca="1"/>
        <v>0.1120077417141756</v>
      </c>
      <c r="O4728" s="2">
        <f ca="1"/>
        <v>-1.7999665104518345</v>
      </c>
      <c r="X4728" s="2">
        <f ca="1"/>
        <v>60.214785313406843</v>
      </c>
      <c r="AG4728" s="2">
        <f ca="1"/>
        <v>0.78609661664361785</v>
      </c>
      <c r="AH4728" s="2" t="str">
        <f ca="1"/>
        <v>Bad</v>
      </c>
    </row>
    <row r="4729" spans="2:34" x14ac:dyDescent="0.2">
      <c r="B4729" s="2">
        <f ca="1"/>
        <v>0.94667009510403233</v>
      </c>
      <c r="O4729" s="2">
        <f ca="1"/>
        <v>-0.12949088145677959</v>
      </c>
      <c r="X4729" s="2">
        <f ca="1"/>
        <v>32.00170952591791</v>
      </c>
      <c r="AG4729" s="2">
        <f ca="1"/>
        <v>0.16984191225177359</v>
      </c>
      <c r="AH4729" s="2" t="str">
        <f ca="1"/>
        <v>OK</v>
      </c>
    </row>
    <row r="4730" spans="2:34" x14ac:dyDescent="0.2">
      <c r="B4730" s="2">
        <f ca="1"/>
        <v>9.0924127579787184E-2</v>
      </c>
      <c r="O4730" s="2">
        <f ca="1"/>
        <v>0.26986483487936397</v>
      </c>
      <c r="X4730" s="2">
        <f ca="1"/>
        <v>35.49456657800868</v>
      </c>
      <c r="AG4730" s="2">
        <f ca="1"/>
        <v>0.75898677430062134</v>
      </c>
      <c r="AH4730" s="2" t="str">
        <f ca="1"/>
        <v>Bad</v>
      </c>
    </row>
    <row r="4731" spans="2:34" x14ac:dyDescent="0.2">
      <c r="B4731" s="2">
        <f ca="1"/>
        <v>4.1420421304654287E-3</v>
      </c>
      <c r="O4731" s="2">
        <f ca="1"/>
        <v>-0.52650843256247393</v>
      </c>
      <c r="X4731" s="2">
        <f ca="1"/>
        <v>44.576024329020015</v>
      </c>
      <c r="AG4731" s="2">
        <f ca="1"/>
        <v>0.77579517888291227</v>
      </c>
      <c r="AH4731" s="2" t="str">
        <f ca="1"/>
        <v>Bad</v>
      </c>
    </row>
    <row r="4732" spans="2:34" x14ac:dyDescent="0.2">
      <c r="B4732" s="2">
        <f ca="1"/>
        <v>0.92492655123929679</v>
      </c>
      <c r="O4732" s="2">
        <f ca="1"/>
        <v>-0.76978970865761032</v>
      </c>
      <c r="X4732" s="2">
        <f ca="1"/>
        <v>29.290090871148525</v>
      </c>
      <c r="AG4732" s="2">
        <f ca="1"/>
        <v>0.75604777801341161</v>
      </c>
      <c r="AH4732" s="2" t="str">
        <f ca="1"/>
        <v>Bad</v>
      </c>
    </row>
    <row r="4733" spans="2:34" x14ac:dyDescent="0.2">
      <c r="B4733" s="2">
        <f ca="1"/>
        <v>0.80565412566061267</v>
      </c>
      <c r="O4733" s="2">
        <f ca="1"/>
        <v>-2.1834705250992998</v>
      </c>
      <c r="X4733" s="2">
        <f ca="1"/>
        <v>37.600551837085426</v>
      </c>
      <c r="AG4733" s="2">
        <f ca="1"/>
        <v>0.59046260330219957</v>
      </c>
      <c r="AH4733" s="2" t="str">
        <f ca="1"/>
        <v>Bad</v>
      </c>
    </row>
    <row r="4734" spans="2:34" x14ac:dyDescent="0.2">
      <c r="B4734" s="2">
        <f ca="1"/>
        <v>0.78276917409730218</v>
      </c>
      <c r="O4734" s="2">
        <f ca="1"/>
        <v>0.59562632495068435</v>
      </c>
      <c r="X4734" s="2">
        <f ca="1"/>
        <v>49.038882057157373</v>
      </c>
      <c r="AG4734" s="2">
        <f ca="1"/>
        <v>0.90164196943207275</v>
      </c>
      <c r="AH4734" s="2" t="str">
        <f ca="1"/>
        <v>Bad</v>
      </c>
    </row>
    <row r="4735" spans="2:34" x14ac:dyDescent="0.2">
      <c r="B4735" s="2">
        <f ca="1"/>
        <v>0.59810808578437302</v>
      </c>
      <c r="O4735" s="2">
        <f ca="1"/>
        <v>-0.81080225320537513</v>
      </c>
      <c r="X4735" s="2">
        <f ca="1"/>
        <v>75.330260875537277</v>
      </c>
      <c r="AG4735" s="2">
        <f ca="1"/>
        <v>0.23286046470847488</v>
      </c>
      <c r="AH4735" s="2" t="str">
        <f ca="1"/>
        <v>OK</v>
      </c>
    </row>
    <row r="4736" spans="2:34" x14ac:dyDescent="0.2">
      <c r="B4736" s="2">
        <f ca="1"/>
        <v>0.74951743934600912</v>
      </c>
      <c r="O4736" s="2">
        <f ca="1"/>
        <v>1.3017288671762384</v>
      </c>
      <c r="X4736" s="2">
        <f ca="1"/>
        <v>31.041180215071599</v>
      </c>
      <c r="AG4736" s="2">
        <f ca="1"/>
        <v>0.50313510565385355</v>
      </c>
      <c r="AH4736" s="2" t="str">
        <f ca="1"/>
        <v>Bad</v>
      </c>
    </row>
    <row r="4737" spans="2:34" x14ac:dyDescent="0.2">
      <c r="B4737" s="2">
        <f ca="1"/>
        <v>0.76281537140147315</v>
      </c>
      <c r="O4737" s="2">
        <f ca="1"/>
        <v>0.13402681593223448</v>
      </c>
      <c r="X4737" s="2">
        <f ca="1"/>
        <v>77.70744230666422</v>
      </c>
      <c r="AG4737" s="2">
        <f ca="1"/>
        <v>1.6454484818575033E-2</v>
      </c>
      <c r="AH4737" s="2" t="str">
        <f ca="1"/>
        <v>Good</v>
      </c>
    </row>
    <row r="4738" spans="2:34" x14ac:dyDescent="0.2">
      <c r="B4738" s="2">
        <f ca="1"/>
        <v>0.87621890712923367</v>
      </c>
      <c r="O4738" s="2">
        <f ca="1"/>
        <v>-0.98900421859221255</v>
      </c>
      <c r="X4738" s="2">
        <f ca="1"/>
        <v>43.066352911839225</v>
      </c>
      <c r="AG4738" s="2">
        <f ca="1"/>
        <v>0.32510141062290443</v>
      </c>
      <c r="AH4738" s="2" t="str">
        <f ca="1"/>
        <v>OK</v>
      </c>
    </row>
    <row r="4739" spans="2:34" x14ac:dyDescent="0.2">
      <c r="B4739" s="2">
        <f ca="1"/>
        <v>0.16716236357331105</v>
      </c>
      <c r="O4739" s="2">
        <f ca="1"/>
        <v>-1.9173609128946822</v>
      </c>
      <c r="X4739" s="2">
        <f ca="1"/>
        <v>36.376068987207674</v>
      </c>
      <c r="AG4739" s="2">
        <f ca="1"/>
        <v>0.56068790748610975</v>
      </c>
      <c r="AH4739" s="2" t="str">
        <f ca="1"/>
        <v>Bad</v>
      </c>
    </row>
    <row r="4740" spans="2:34" x14ac:dyDescent="0.2">
      <c r="B4740" s="2">
        <f ca="1"/>
        <v>0.83531578363897507</v>
      </c>
      <c r="O4740" s="2">
        <f ca="1"/>
        <v>0.15725354644435946</v>
      </c>
      <c r="X4740" s="2">
        <f ca="1"/>
        <v>31.119165944390801</v>
      </c>
      <c r="AG4740" s="2">
        <f ca="1"/>
        <v>0.57367390902865312</v>
      </c>
      <c r="AH4740" s="2" t="str">
        <f ca="1"/>
        <v>Bad</v>
      </c>
    </row>
    <row r="4741" spans="2:34" x14ac:dyDescent="0.2">
      <c r="B4741" s="2">
        <f ca="1"/>
        <v>0.56628258760996952</v>
      </c>
      <c r="O4741" s="2">
        <f ca="1"/>
        <v>-0.24441049406749374</v>
      </c>
      <c r="X4741" s="2">
        <f ca="1"/>
        <v>20.997361001154815</v>
      </c>
      <c r="AG4741" s="2">
        <f ca="1"/>
        <v>7.0024672826068723E-2</v>
      </c>
      <c r="AH4741" s="2" t="str">
        <f ca="1"/>
        <v>OK</v>
      </c>
    </row>
    <row r="4742" spans="2:34" x14ac:dyDescent="0.2">
      <c r="B4742" s="2">
        <f ca="1"/>
        <v>0.55775624342947383</v>
      </c>
      <c r="O4742" s="2">
        <f ca="1"/>
        <v>0.4124055037182911</v>
      </c>
      <c r="X4742" s="2">
        <f ca="1"/>
        <v>50.234168510956643</v>
      </c>
      <c r="AG4742" s="2">
        <f ca="1"/>
        <v>0.41815521588429783</v>
      </c>
      <c r="AH4742" s="2" t="str">
        <f ca="1"/>
        <v>Bad</v>
      </c>
    </row>
    <row r="4743" spans="2:34" x14ac:dyDescent="0.2">
      <c r="B4743" s="2">
        <f ca="1"/>
        <v>0.92115788302639845</v>
      </c>
      <c r="O4743" s="2">
        <f ca="1"/>
        <v>-0.90019827690968113</v>
      </c>
      <c r="X4743" s="2">
        <f ca="1"/>
        <v>50.659618650650494</v>
      </c>
      <c r="AG4743" s="2">
        <f ca="1"/>
        <v>0.1708407612831413</v>
      </c>
      <c r="AH4743" s="2" t="str">
        <f ca="1"/>
        <v>OK</v>
      </c>
    </row>
    <row r="4744" spans="2:34" x14ac:dyDescent="0.2">
      <c r="B4744" s="2">
        <f ca="1"/>
        <v>0.23278439119238881</v>
      </c>
      <c r="O4744" s="2">
        <f ca="1"/>
        <v>-0.1345436163639854</v>
      </c>
      <c r="X4744" s="2">
        <f ca="1"/>
        <v>71.966634908248153</v>
      </c>
      <c r="AG4744" s="2">
        <f ca="1"/>
        <v>0.26963298173153749</v>
      </c>
      <c r="AH4744" s="2" t="str">
        <f ca="1"/>
        <v>OK</v>
      </c>
    </row>
    <row r="4745" spans="2:34" x14ac:dyDescent="0.2">
      <c r="B4745" s="2">
        <f ca="1"/>
        <v>0.22537429481096516</v>
      </c>
      <c r="O4745" s="2">
        <f ca="1"/>
        <v>0.37930623062540719</v>
      </c>
      <c r="X4745" s="2">
        <f ca="1"/>
        <v>58.963383245703312</v>
      </c>
      <c r="AG4745" s="2">
        <f ca="1"/>
        <v>0.32217387369193062</v>
      </c>
      <c r="AH4745" s="2" t="str">
        <f ca="1"/>
        <v>OK</v>
      </c>
    </row>
    <row r="4746" spans="2:34" x14ac:dyDescent="0.2">
      <c r="B4746" s="2">
        <f ca="1"/>
        <v>0.76682084006248652</v>
      </c>
      <c r="O4746" s="2">
        <f ca="1"/>
        <v>-0.44604278795242613</v>
      </c>
      <c r="X4746" s="2">
        <f ca="1"/>
        <v>86.637471219238634</v>
      </c>
      <c r="AG4746" s="2">
        <f ca="1"/>
        <v>0.99283883570538589</v>
      </c>
      <c r="AH4746" s="2" t="str">
        <f ca="1"/>
        <v>Bad</v>
      </c>
    </row>
    <row r="4747" spans="2:34" x14ac:dyDescent="0.2">
      <c r="B4747" s="2">
        <f ca="1"/>
        <v>0.42416706603268239</v>
      </c>
      <c r="O4747" s="2">
        <f ca="1"/>
        <v>-1.2811593503620646</v>
      </c>
      <c r="X4747" s="2">
        <f ca="1"/>
        <v>32.957909323995771</v>
      </c>
      <c r="AG4747" s="2">
        <f ca="1"/>
        <v>0.29147933645311386</v>
      </c>
      <c r="AH4747" s="2" t="str">
        <f ca="1"/>
        <v>OK</v>
      </c>
    </row>
    <row r="4748" spans="2:34" x14ac:dyDescent="0.2">
      <c r="B4748" s="2">
        <f ca="1"/>
        <v>0.87965675422148792</v>
      </c>
      <c r="O4748" s="2">
        <f ca="1"/>
        <v>-4.6543454062876799E-2</v>
      </c>
      <c r="X4748" s="2">
        <f ca="1"/>
        <v>27.678438248017031</v>
      </c>
      <c r="AG4748" s="2">
        <f ca="1"/>
        <v>0.10963652980152361</v>
      </c>
      <c r="AH4748" s="2" t="str">
        <f ca="1"/>
        <v>OK</v>
      </c>
    </row>
    <row r="4749" spans="2:34" x14ac:dyDescent="0.2">
      <c r="B4749" s="2">
        <f ca="1"/>
        <v>0.86829957863356322</v>
      </c>
      <c r="O4749" s="2">
        <f ca="1"/>
        <v>-1.3289123297654213</v>
      </c>
      <c r="X4749" s="2">
        <f ca="1"/>
        <v>37.4777139953732</v>
      </c>
      <c r="AG4749" s="2">
        <f ca="1"/>
        <v>0.94006074781250448</v>
      </c>
      <c r="AH4749" s="2" t="str">
        <f ca="1"/>
        <v>Bad</v>
      </c>
    </row>
    <row r="4750" spans="2:34" x14ac:dyDescent="0.2">
      <c r="B4750" s="2">
        <f ca="1"/>
        <v>0.87992694666618676</v>
      </c>
      <c r="O4750" s="2">
        <f ca="1"/>
        <v>-9.2058116644574098E-2</v>
      </c>
      <c r="X4750" s="2">
        <f ca="1"/>
        <v>42.710814031759611</v>
      </c>
      <c r="AG4750" s="2">
        <f ca="1"/>
        <v>0.39524632570772167</v>
      </c>
      <c r="AH4750" s="2" t="str">
        <f ca="1"/>
        <v>OK</v>
      </c>
    </row>
    <row r="4751" spans="2:34" x14ac:dyDescent="0.2">
      <c r="B4751" s="2">
        <f ca="1"/>
        <v>0.47863024887256711</v>
      </c>
      <c r="O4751" s="2">
        <f ca="1"/>
        <v>0.1522019467169575</v>
      </c>
      <c r="X4751" s="2">
        <f ca="1"/>
        <v>34.322307377173168</v>
      </c>
      <c r="AG4751" s="2">
        <f ca="1"/>
        <v>0.40467458537208167</v>
      </c>
      <c r="AH4751" s="2" t="str">
        <f ca="1"/>
        <v>Bad</v>
      </c>
    </row>
    <row r="4752" spans="2:34" x14ac:dyDescent="0.2">
      <c r="B4752" s="2">
        <f ca="1"/>
        <v>0.77116984271577382</v>
      </c>
      <c r="O4752" s="2">
        <f ca="1"/>
        <v>-1.103740380824175</v>
      </c>
      <c r="X4752" s="2">
        <f ca="1"/>
        <v>54.292508633904752</v>
      </c>
      <c r="AG4752" s="2">
        <f ca="1"/>
        <v>3.2601389427612038E-2</v>
      </c>
      <c r="AH4752" s="2" t="str">
        <f ca="1"/>
        <v>Good</v>
      </c>
    </row>
    <row r="4753" spans="2:34" x14ac:dyDescent="0.2">
      <c r="B4753" s="2">
        <f ca="1"/>
        <v>0.16833119562004839</v>
      </c>
      <c r="O4753" s="2">
        <f ca="1"/>
        <v>0.69363391075693936</v>
      </c>
      <c r="X4753" s="2">
        <f ca="1"/>
        <v>51.83376129909157</v>
      </c>
      <c r="AG4753" s="2">
        <f ca="1"/>
        <v>0.93283557977871046</v>
      </c>
      <c r="AH4753" s="2" t="str">
        <f ca="1"/>
        <v>Bad</v>
      </c>
    </row>
    <row r="4754" spans="2:34" x14ac:dyDescent="0.2">
      <c r="B4754" s="2">
        <f ca="1"/>
        <v>0.50448087873144809</v>
      </c>
      <c r="O4754" s="2">
        <f ca="1"/>
        <v>-1.0757665910404448</v>
      </c>
      <c r="X4754" s="2">
        <f ca="1"/>
        <v>41.183096060805333</v>
      </c>
      <c r="AG4754" s="2">
        <f ca="1"/>
        <v>0.34720793230129243</v>
      </c>
      <c r="AH4754" s="2" t="str">
        <f ca="1"/>
        <v>OK</v>
      </c>
    </row>
    <row r="4755" spans="2:34" x14ac:dyDescent="0.2">
      <c r="B4755" s="2">
        <f ca="1"/>
        <v>0.20422851199706682</v>
      </c>
      <c r="O4755" s="2">
        <f ca="1"/>
        <v>1.4271062131972574</v>
      </c>
      <c r="X4755" s="2">
        <f ca="1"/>
        <v>35.770874379602212</v>
      </c>
      <c r="AG4755" s="2">
        <f ca="1"/>
        <v>0.86278412540105154</v>
      </c>
      <c r="AH4755" s="2" t="str">
        <f ca="1"/>
        <v>Bad</v>
      </c>
    </row>
    <row r="4756" spans="2:34" x14ac:dyDescent="0.2">
      <c r="B4756" s="2">
        <f ca="1"/>
        <v>0.43352991654903295</v>
      </c>
      <c r="O4756" s="2">
        <f ca="1"/>
        <v>1.9153793452597412</v>
      </c>
      <c r="X4756" s="2">
        <f ca="1"/>
        <v>34.373282947843187</v>
      </c>
      <c r="AG4756" s="2">
        <f ca="1"/>
        <v>0.81760012124282322</v>
      </c>
      <c r="AH4756" s="2" t="str">
        <f ca="1"/>
        <v>Bad</v>
      </c>
    </row>
    <row r="4757" spans="2:34" x14ac:dyDescent="0.2">
      <c r="B4757" s="2">
        <f ca="1"/>
        <v>0.66486665022594504</v>
      </c>
      <c r="O4757" s="2">
        <f ca="1"/>
        <v>-1.8677002279644217</v>
      </c>
      <c r="X4757" s="2">
        <f ca="1"/>
        <v>55.531160271401355</v>
      </c>
      <c r="AG4757" s="2">
        <f ca="1"/>
        <v>0.28225072485343761</v>
      </c>
      <c r="AH4757" s="2" t="str">
        <f ca="1"/>
        <v>OK</v>
      </c>
    </row>
    <row r="4758" spans="2:34" x14ac:dyDescent="0.2">
      <c r="B4758" s="2">
        <f ca="1"/>
        <v>1.0939301320352035E-2</v>
      </c>
      <c r="O4758" s="2">
        <f ca="1"/>
        <v>1.3475582171391669</v>
      </c>
      <c r="X4758" s="2">
        <f ca="1"/>
        <v>54.167916671958587</v>
      </c>
      <c r="AG4758" s="2">
        <f ca="1"/>
        <v>0.57626932461481539</v>
      </c>
      <c r="AH4758" s="2" t="str">
        <f ca="1"/>
        <v>Bad</v>
      </c>
    </row>
    <row r="4759" spans="2:34" x14ac:dyDescent="0.2">
      <c r="B4759" s="2">
        <f ca="1"/>
        <v>0.18449314070480161</v>
      </c>
      <c r="O4759" s="2">
        <f ca="1"/>
        <v>0.32496237427847841</v>
      </c>
      <c r="X4759" s="2">
        <f ca="1"/>
        <v>31.721951975898492</v>
      </c>
      <c r="AG4759" s="2">
        <f ca="1"/>
        <v>0.20497300842330213</v>
      </c>
      <c r="AH4759" s="2" t="str">
        <f ca="1"/>
        <v>OK</v>
      </c>
    </row>
    <row r="4760" spans="2:34" x14ac:dyDescent="0.2">
      <c r="B4760" s="2">
        <f ca="1"/>
        <v>0.93658873074571591</v>
      </c>
      <c r="O4760" s="2">
        <f ca="1"/>
        <v>-0.65800603293376503</v>
      </c>
      <c r="X4760" s="2">
        <f ca="1"/>
        <v>65.648326341226365</v>
      </c>
      <c r="AG4760" s="2">
        <f ca="1"/>
        <v>0.53449564457998844</v>
      </c>
      <c r="AH4760" s="2" t="str">
        <f ca="1"/>
        <v>Bad</v>
      </c>
    </row>
    <row r="4761" spans="2:34" x14ac:dyDescent="0.2">
      <c r="B4761" s="2">
        <f ca="1"/>
        <v>0.52863719244854357</v>
      </c>
      <c r="O4761" s="2">
        <f ca="1"/>
        <v>-0.44997940352741678</v>
      </c>
      <c r="X4761" s="2">
        <f ca="1"/>
        <v>47.000014336962963</v>
      </c>
      <c r="AG4761" s="2">
        <f ca="1"/>
        <v>0.29119815804093196</v>
      </c>
      <c r="AH4761" s="2" t="str">
        <f ca="1"/>
        <v>OK</v>
      </c>
    </row>
    <row r="4762" spans="2:34" x14ac:dyDescent="0.2">
      <c r="B4762" s="2">
        <f ca="1"/>
        <v>0.56068928665058126</v>
      </c>
      <c r="O4762" s="2">
        <f ca="1"/>
        <v>-1.5744304510796516</v>
      </c>
      <c r="X4762" s="2">
        <f ca="1"/>
        <v>51.651844282088902</v>
      </c>
      <c r="AG4762" s="2">
        <f ca="1"/>
        <v>0.88760703450423661</v>
      </c>
      <c r="AH4762" s="2" t="str">
        <f ca="1"/>
        <v>Bad</v>
      </c>
    </row>
    <row r="4763" spans="2:34" x14ac:dyDescent="0.2">
      <c r="B4763" s="2">
        <f ca="1"/>
        <v>0.14822894595413505</v>
      </c>
      <c r="O4763" s="2">
        <f ca="1"/>
        <v>0.20879135108840449</v>
      </c>
      <c r="X4763" s="2">
        <f ca="1"/>
        <v>50.041327012081027</v>
      </c>
      <c r="AG4763" s="2">
        <f ca="1"/>
        <v>0.55675805087289643</v>
      </c>
      <c r="AH4763" s="2" t="str">
        <f ca="1"/>
        <v>Bad</v>
      </c>
    </row>
    <row r="4764" spans="2:34" x14ac:dyDescent="0.2">
      <c r="B4764" s="2">
        <f ca="1"/>
        <v>0.4756080063995185</v>
      </c>
      <c r="O4764" s="2">
        <f ca="1"/>
        <v>9.3083549740051383E-2</v>
      </c>
      <c r="X4764" s="2">
        <f ca="1"/>
        <v>27.661375992005397</v>
      </c>
      <c r="AG4764" s="2">
        <f ca="1"/>
        <v>0.33547775246552303</v>
      </c>
      <c r="AH4764" s="2" t="str">
        <f ca="1"/>
        <v>OK</v>
      </c>
    </row>
    <row r="4765" spans="2:34" x14ac:dyDescent="0.2">
      <c r="B4765" s="2">
        <f ca="1"/>
        <v>0.54807482286396425</v>
      </c>
      <c r="O4765" s="2">
        <f ca="1"/>
        <v>0.5437257460021051</v>
      </c>
      <c r="X4765" s="2">
        <f ca="1"/>
        <v>87.717689331238631</v>
      </c>
      <c r="AG4765" s="2">
        <f ca="1"/>
        <v>0.62075130081944252</v>
      </c>
      <c r="AH4765" s="2" t="str">
        <f ca="1"/>
        <v>Bad</v>
      </c>
    </row>
    <row r="4766" spans="2:34" x14ac:dyDescent="0.2">
      <c r="B4766" s="2">
        <f ca="1"/>
        <v>0.18351100131847087</v>
      </c>
      <c r="O4766" s="2">
        <f ca="1"/>
        <v>1.353363733959261</v>
      </c>
      <c r="X4766" s="2">
        <f ca="1"/>
        <v>81.906508462416681</v>
      </c>
      <c r="AG4766" s="2">
        <f ca="1"/>
        <v>0.28304571100532039</v>
      </c>
      <c r="AH4766" s="2" t="str">
        <f ca="1"/>
        <v>OK</v>
      </c>
    </row>
    <row r="4767" spans="2:34" x14ac:dyDescent="0.2">
      <c r="B4767" s="2">
        <f ca="1"/>
        <v>0.75972739691059532</v>
      </c>
      <c r="O4767" s="2">
        <f ca="1"/>
        <v>-0.12128858097585542</v>
      </c>
      <c r="X4767" s="2">
        <f ca="1"/>
        <v>43.308917623243694</v>
      </c>
      <c r="AG4767" s="2">
        <f ca="1"/>
        <v>0.85344005263662726</v>
      </c>
      <c r="AH4767" s="2" t="str">
        <f ca="1"/>
        <v>Bad</v>
      </c>
    </row>
    <row r="4768" spans="2:34" x14ac:dyDescent="0.2">
      <c r="B4768" s="2">
        <f ca="1"/>
        <v>0.48061181051726076</v>
      </c>
      <c r="O4768" s="2">
        <f ca="1"/>
        <v>-0.37891861102837832</v>
      </c>
      <c r="X4768" s="2">
        <f ca="1"/>
        <v>33.883577581994444</v>
      </c>
      <c r="AG4768" s="2">
        <f ca="1"/>
        <v>0.16515668253749127</v>
      </c>
      <c r="AH4768" s="2" t="str">
        <f ca="1"/>
        <v>OK</v>
      </c>
    </row>
    <row r="4769" spans="2:34" x14ac:dyDescent="0.2">
      <c r="B4769" s="2">
        <f ca="1"/>
        <v>0.11762908047950993</v>
      </c>
      <c r="O4769" s="2">
        <f ca="1"/>
        <v>-0.6917694524952015</v>
      </c>
      <c r="X4769" s="2">
        <f ca="1"/>
        <v>27.690947781023795</v>
      </c>
      <c r="AG4769" s="2">
        <f ca="1"/>
        <v>0.54132370476573222</v>
      </c>
      <c r="AH4769" s="2" t="str">
        <f ca="1"/>
        <v>Bad</v>
      </c>
    </row>
    <row r="4770" spans="2:34" x14ac:dyDescent="0.2">
      <c r="B4770" s="2">
        <f ca="1"/>
        <v>2.3682334401939009E-2</v>
      </c>
      <c r="O4770" s="2">
        <f ca="1"/>
        <v>0.52415943693908051</v>
      </c>
      <c r="X4770" s="2">
        <f ca="1"/>
        <v>50.049410419957773</v>
      </c>
      <c r="AG4770" s="2">
        <f ca="1"/>
        <v>7.2696553736333769E-2</v>
      </c>
      <c r="AH4770" s="2" t="str">
        <f ca="1"/>
        <v>OK</v>
      </c>
    </row>
    <row r="4771" spans="2:34" x14ac:dyDescent="0.2">
      <c r="B4771" s="2">
        <f ca="1"/>
        <v>0.19631850408732987</v>
      </c>
      <c r="O4771" s="2">
        <f ca="1"/>
        <v>-0.42801977902456717</v>
      </c>
      <c r="X4771" s="2">
        <f ca="1"/>
        <v>73.422497043064226</v>
      </c>
      <c r="AG4771" s="2">
        <f ca="1"/>
        <v>0.55398570392867663</v>
      </c>
      <c r="AH4771" s="2" t="str">
        <f ca="1"/>
        <v>Bad</v>
      </c>
    </row>
    <row r="4772" spans="2:34" x14ac:dyDescent="0.2">
      <c r="B4772" s="2">
        <f ca="1"/>
        <v>0.54542967333027614</v>
      </c>
      <c r="O4772" s="2">
        <f ca="1"/>
        <v>-0.5835966050210557</v>
      </c>
      <c r="X4772" s="2">
        <f ca="1"/>
        <v>36.217505404022731</v>
      </c>
      <c r="AG4772" s="2">
        <f ca="1"/>
        <v>0.71030665946468607</v>
      </c>
      <c r="AH4772" s="2" t="str">
        <f ca="1"/>
        <v>Bad</v>
      </c>
    </row>
    <row r="4773" spans="2:34" x14ac:dyDescent="0.2">
      <c r="B4773" s="2">
        <f ca="1"/>
        <v>0.78603489700513696</v>
      </c>
      <c r="O4773" s="2">
        <f ca="1"/>
        <v>-0.14438477097212077</v>
      </c>
      <c r="X4773" s="2">
        <f ca="1"/>
        <v>33.509034128613273</v>
      </c>
      <c r="AG4773" s="2">
        <f ca="1"/>
        <v>0.18837250148850271</v>
      </c>
      <c r="AH4773" s="2" t="str">
        <f ca="1"/>
        <v>OK</v>
      </c>
    </row>
    <row r="4774" spans="2:34" x14ac:dyDescent="0.2">
      <c r="B4774" s="2">
        <f ca="1"/>
        <v>0.26572060209716186</v>
      </c>
      <c r="O4774" s="2">
        <f ca="1"/>
        <v>-0.20690520269343637</v>
      </c>
      <c r="X4774" s="2">
        <f ca="1"/>
        <v>75.794126196827861</v>
      </c>
      <c r="AG4774" s="2">
        <f ca="1"/>
        <v>0.24571121776947691</v>
      </c>
      <c r="AH4774" s="2" t="str">
        <f ca="1"/>
        <v>OK</v>
      </c>
    </row>
    <row r="4775" spans="2:34" x14ac:dyDescent="0.2">
      <c r="B4775" s="2">
        <f ca="1"/>
        <v>0.72822622492425015</v>
      </c>
      <c r="O4775" s="2">
        <f ca="1"/>
        <v>-0.23470724374373536</v>
      </c>
      <c r="X4775" s="2">
        <f ca="1"/>
        <v>53.611650818157116</v>
      </c>
      <c r="AG4775" s="2">
        <f ca="1"/>
        <v>5.6399069493529019E-3</v>
      </c>
      <c r="AH4775" s="2" t="str">
        <f ca="1"/>
        <v>Good</v>
      </c>
    </row>
    <row r="4776" spans="2:34" x14ac:dyDescent="0.2">
      <c r="B4776" s="2">
        <f ca="1"/>
        <v>0.66616040661214737</v>
      </c>
      <c r="O4776" s="2">
        <f ca="1"/>
        <v>0.78142851978494021</v>
      </c>
      <c r="X4776" s="2">
        <f ca="1"/>
        <v>35.919562283125529</v>
      </c>
      <c r="AG4776" s="2">
        <f ca="1"/>
        <v>0.28073150156773585</v>
      </c>
      <c r="AH4776" s="2" t="str">
        <f ca="1"/>
        <v>OK</v>
      </c>
    </row>
    <row r="4777" spans="2:34" x14ac:dyDescent="0.2">
      <c r="B4777" s="2">
        <f ca="1"/>
        <v>3.7235353083735268E-2</v>
      </c>
      <c r="O4777" s="2">
        <f ca="1"/>
        <v>7.9616320772485608E-2</v>
      </c>
      <c r="X4777" s="2">
        <f ca="1"/>
        <v>37.027701908598154</v>
      </c>
      <c r="AG4777" s="2">
        <f ca="1"/>
        <v>0.61966426291849563</v>
      </c>
      <c r="AH4777" s="2" t="str">
        <f ca="1"/>
        <v>Bad</v>
      </c>
    </row>
    <row r="4778" spans="2:34" x14ac:dyDescent="0.2">
      <c r="B4778" s="2">
        <f ca="1"/>
        <v>0.93270398298934776</v>
      </c>
      <c r="O4778" s="2">
        <f ca="1"/>
        <v>0.82959218364253484</v>
      </c>
      <c r="X4778" s="2">
        <f ca="1"/>
        <v>67.772871245104611</v>
      </c>
      <c r="AG4778" s="2">
        <f ca="1"/>
        <v>0.84331858255854475</v>
      </c>
      <c r="AH4778" s="2" t="str">
        <f ca="1"/>
        <v>Bad</v>
      </c>
    </row>
    <row r="4779" spans="2:34" x14ac:dyDescent="0.2">
      <c r="B4779" s="2">
        <f ca="1"/>
        <v>2.4983642164977837E-2</v>
      </c>
      <c r="O4779" s="2">
        <f ca="1"/>
        <v>-1.0073955231041904</v>
      </c>
      <c r="X4779" s="2">
        <f ca="1"/>
        <v>40.890023115557881</v>
      </c>
      <c r="AG4779" s="2">
        <f ca="1"/>
        <v>0.73082293003188048</v>
      </c>
      <c r="AH4779" s="2" t="str">
        <f ca="1"/>
        <v>Bad</v>
      </c>
    </row>
    <row r="4780" spans="2:34" x14ac:dyDescent="0.2">
      <c r="B4780" s="2">
        <f ca="1"/>
        <v>0.1808188326349367</v>
      </c>
      <c r="O4780" s="2">
        <f ca="1"/>
        <v>1.1444341170579686</v>
      </c>
      <c r="X4780" s="2">
        <f ca="1"/>
        <v>51.230868595408758</v>
      </c>
      <c r="AG4780" s="2">
        <f ca="1"/>
        <v>0.83844195177030212</v>
      </c>
      <c r="AH4780" s="2" t="str">
        <f ca="1"/>
        <v>Bad</v>
      </c>
    </row>
    <row r="4781" spans="2:34" x14ac:dyDescent="0.2">
      <c r="B4781" s="2">
        <f ca="1"/>
        <v>0.58881907444319825</v>
      </c>
      <c r="O4781" s="2">
        <f ca="1"/>
        <v>-0.31335978228119332</v>
      </c>
      <c r="X4781" s="2">
        <f ca="1"/>
        <v>53.838784446702341</v>
      </c>
      <c r="AG4781" s="2">
        <f ca="1"/>
        <v>0.10251008617567958</v>
      </c>
      <c r="AH4781" s="2" t="str">
        <f ca="1"/>
        <v>OK</v>
      </c>
    </row>
    <row r="4782" spans="2:34" x14ac:dyDescent="0.2">
      <c r="B4782" s="2">
        <f ca="1"/>
        <v>0.33820810494058762</v>
      </c>
      <c r="O4782" s="2">
        <f ca="1"/>
        <v>-0.99588335082351809</v>
      </c>
      <c r="X4782" s="2">
        <f ca="1"/>
        <v>46.348577376702295</v>
      </c>
      <c r="AG4782" s="2">
        <f ca="1"/>
        <v>0.68270961330327462</v>
      </c>
      <c r="AH4782" s="2" t="str">
        <f ca="1"/>
        <v>Bad</v>
      </c>
    </row>
    <row r="4783" spans="2:34" x14ac:dyDescent="0.2">
      <c r="B4783" s="2">
        <f ca="1"/>
        <v>0.66220559462474604</v>
      </c>
      <c r="O4783" s="2">
        <f ca="1"/>
        <v>1.3284942937311797</v>
      </c>
      <c r="X4783" s="2">
        <f ca="1"/>
        <v>73.366909247705237</v>
      </c>
      <c r="AG4783" s="2">
        <f ca="1"/>
        <v>0.2737265350024729</v>
      </c>
      <c r="AH4783" s="2" t="str">
        <f ca="1"/>
        <v>OK</v>
      </c>
    </row>
    <row r="4784" spans="2:34" x14ac:dyDescent="0.2">
      <c r="B4784" s="2">
        <f ca="1"/>
        <v>0.57091508050503581</v>
      </c>
      <c r="O4784" s="2">
        <f ca="1"/>
        <v>2.0155492834200208</v>
      </c>
      <c r="X4784" s="2">
        <f ca="1"/>
        <v>55.591992234361953</v>
      </c>
      <c r="AG4784" s="2">
        <f ca="1"/>
        <v>0.62055443695854118</v>
      </c>
      <c r="AH4784" s="2" t="str">
        <f ca="1"/>
        <v>Bad</v>
      </c>
    </row>
    <row r="4785" spans="2:34" x14ac:dyDescent="0.2">
      <c r="B4785" s="2">
        <f ca="1"/>
        <v>0.11262177931770601</v>
      </c>
      <c r="O4785" s="2">
        <f ca="1"/>
        <v>-0.46705412868734958</v>
      </c>
      <c r="X4785" s="2">
        <f ca="1"/>
        <v>58.524483790670615</v>
      </c>
      <c r="AG4785" s="2">
        <f ca="1"/>
        <v>0.20697235639202605</v>
      </c>
      <c r="AH4785" s="2" t="str">
        <f ca="1"/>
        <v>OK</v>
      </c>
    </row>
    <row r="4786" spans="2:34" x14ac:dyDescent="0.2">
      <c r="B4786" s="2">
        <f ca="1"/>
        <v>5.1202934158765201E-2</v>
      </c>
      <c r="O4786" s="2">
        <f ca="1"/>
        <v>0.4998618810856626</v>
      </c>
      <c r="X4786" s="2">
        <f ca="1"/>
        <v>37.360229822555063</v>
      </c>
      <c r="AG4786" s="2">
        <f ca="1"/>
        <v>0.99963275673378349</v>
      </c>
      <c r="AH4786" s="2" t="str">
        <f ca="1"/>
        <v>Bad</v>
      </c>
    </row>
    <row r="4787" spans="2:34" x14ac:dyDescent="0.2">
      <c r="B4787" s="2">
        <f ca="1"/>
        <v>0.10167984669846009</v>
      </c>
      <c r="O4787" s="2">
        <f ca="1"/>
        <v>0.7664222921757281</v>
      </c>
      <c r="X4787" s="2">
        <f ca="1"/>
        <v>46.00199261318938</v>
      </c>
      <c r="AG4787" s="2">
        <f ca="1"/>
        <v>0.25121792340660742</v>
      </c>
      <c r="AH4787" s="2" t="str">
        <f ca="1"/>
        <v>OK</v>
      </c>
    </row>
    <row r="4788" spans="2:34" x14ac:dyDescent="0.2">
      <c r="B4788" s="2">
        <f ca="1"/>
        <v>0.37627823719714826</v>
      </c>
      <c r="O4788" s="2">
        <f ca="1"/>
        <v>0.74577298716477114</v>
      </c>
      <c r="X4788" s="2">
        <f ca="1"/>
        <v>36.134077025704883</v>
      </c>
      <c r="AG4788" s="2">
        <f ca="1"/>
        <v>0.56216152771304029</v>
      </c>
      <c r="AH4788" s="2" t="str">
        <f ca="1"/>
        <v>Bad</v>
      </c>
    </row>
    <row r="4789" spans="2:34" x14ac:dyDescent="0.2">
      <c r="B4789" s="2">
        <f ca="1"/>
        <v>0.19283825262804055</v>
      </c>
      <c r="O4789" s="2">
        <f ca="1"/>
        <v>-1.3229937731779049</v>
      </c>
      <c r="X4789" s="2">
        <f ca="1"/>
        <v>85.365570361263451</v>
      </c>
      <c r="AG4789" s="2">
        <f ca="1"/>
        <v>0.42393914932766896</v>
      </c>
      <c r="AH4789" s="2" t="str">
        <f ca="1"/>
        <v>Bad</v>
      </c>
    </row>
    <row r="4790" spans="2:34" x14ac:dyDescent="0.2">
      <c r="B4790" s="2">
        <f ca="1"/>
        <v>0.42070516860896157</v>
      </c>
      <c r="O4790" s="2">
        <f ca="1"/>
        <v>-1.0802440264490829</v>
      </c>
      <c r="X4790" s="2">
        <f ca="1"/>
        <v>53.040333692425463</v>
      </c>
      <c r="AG4790" s="2">
        <f ca="1"/>
        <v>0.69487913476179775</v>
      </c>
      <c r="AH4790" s="2" t="str">
        <f ca="1"/>
        <v>Bad</v>
      </c>
    </row>
    <row r="4791" spans="2:34" x14ac:dyDescent="0.2">
      <c r="B4791" s="2">
        <f ca="1"/>
        <v>0.84143189495445658</v>
      </c>
      <c r="O4791" s="2">
        <f ca="1"/>
        <v>-0.32074234672639335</v>
      </c>
      <c r="X4791" s="2">
        <f ca="1"/>
        <v>19.579529035748131</v>
      </c>
      <c r="AG4791" s="2">
        <f ca="1"/>
        <v>8.5481817901444268E-2</v>
      </c>
      <c r="AH4791" s="2" t="str">
        <f ca="1"/>
        <v>OK</v>
      </c>
    </row>
    <row r="4792" spans="2:34" x14ac:dyDescent="0.2">
      <c r="B4792" s="2">
        <f ca="1"/>
        <v>6.8734051270622931E-2</v>
      </c>
      <c r="O4792" s="2">
        <f ca="1"/>
        <v>-0.92619534328187691</v>
      </c>
      <c r="X4792" s="2">
        <f ca="1"/>
        <v>59.608347388124372</v>
      </c>
      <c r="AG4792" s="2">
        <f ca="1"/>
        <v>0.9755760166635683</v>
      </c>
      <c r="AH4792" s="2" t="str">
        <f ca="1"/>
        <v>Bad</v>
      </c>
    </row>
    <row r="4793" spans="2:34" x14ac:dyDescent="0.2">
      <c r="B4793" s="2">
        <f ca="1"/>
        <v>0.14489313008306537</v>
      </c>
      <c r="O4793" s="2">
        <f ca="1"/>
        <v>-0.50414891722267186</v>
      </c>
      <c r="X4793" s="2">
        <f ca="1"/>
        <v>52.398883922292384</v>
      </c>
      <c r="AG4793" s="2">
        <f ca="1"/>
        <v>0.51828791892604165</v>
      </c>
      <c r="AH4793" s="2" t="str">
        <f ca="1"/>
        <v>Bad</v>
      </c>
    </row>
    <row r="4794" spans="2:34" x14ac:dyDescent="0.2">
      <c r="B4794" s="2">
        <f ca="1"/>
        <v>0.24924507457197564</v>
      </c>
      <c r="O4794" s="2">
        <f ca="1"/>
        <v>-1.2051413594076315</v>
      </c>
      <c r="X4794" s="2">
        <f ca="1"/>
        <v>69.379503910341242</v>
      </c>
      <c r="AG4794" s="2">
        <f ca="1"/>
        <v>0.42677125282113737</v>
      </c>
      <c r="AH4794" s="2" t="str">
        <f ca="1"/>
        <v>Bad</v>
      </c>
    </row>
    <row r="4795" spans="2:34" x14ac:dyDescent="0.2">
      <c r="B4795" s="2">
        <f ca="1"/>
        <v>0.15021049458929459</v>
      </c>
      <c r="O4795" s="2">
        <f ca="1"/>
        <v>0.31113851824022903</v>
      </c>
      <c r="X4795" s="2">
        <f ca="1"/>
        <v>47.472052131416305</v>
      </c>
      <c r="AG4795" s="2">
        <f ca="1"/>
        <v>0.54157320988722568</v>
      </c>
      <c r="AH4795" s="2" t="str">
        <f ca="1"/>
        <v>Bad</v>
      </c>
    </row>
    <row r="4796" spans="2:34" x14ac:dyDescent="0.2">
      <c r="B4796" s="2">
        <f ca="1"/>
        <v>0.44249661970750398</v>
      </c>
      <c r="O4796" s="2">
        <f ca="1"/>
        <v>1.4199946012769666</v>
      </c>
      <c r="X4796" s="2">
        <f ca="1"/>
        <v>48.086927598377038</v>
      </c>
      <c r="AG4796" s="2">
        <f ca="1"/>
        <v>0.69895469650393305</v>
      </c>
      <c r="AH4796" s="2" t="str">
        <f ca="1"/>
        <v>Bad</v>
      </c>
    </row>
    <row r="4797" spans="2:34" x14ac:dyDescent="0.2">
      <c r="B4797" s="2">
        <f ca="1"/>
        <v>0.39289938085786891</v>
      </c>
      <c r="O4797" s="2">
        <f ca="1"/>
        <v>-2.5772936172936509</v>
      </c>
      <c r="X4797" s="2">
        <f ca="1"/>
        <v>40.482468777760857</v>
      </c>
      <c r="AG4797" s="2">
        <f ca="1"/>
        <v>7.417424905830261E-2</v>
      </c>
      <c r="AH4797" s="2" t="str">
        <f ca="1"/>
        <v>OK</v>
      </c>
    </row>
    <row r="4798" spans="2:34" x14ac:dyDescent="0.2">
      <c r="B4798" s="2">
        <f ca="1"/>
        <v>0.52311298097898828</v>
      </c>
      <c r="O4798" s="2">
        <f ca="1"/>
        <v>1.251011254947892</v>
      </c>
      <c r="X4798" s="2">
        <f ca="1"/>
        <v>31.459260714634894</v>
      </c>
      <c r="AG4798" s="2">
        <f ca="1"/>
        <v>0.17957860005867654</v>
      </c>
      <c r="AH4798" s="2" t="str">
        <f ca="1"/>
        <v>OK</v>
      </c>
    </row>
    <row r="4799" spans="2:34" x14ac:dyDescent="0.2">
      <c r="B4799" s="2">
        <f ca="1"/>
        <v>0.21092564504712885</v>
      </c>
      <c r="O4799" s="2">
        <f ca="1"/>
        <v>1.7828076256704029</v>
      </c>
      <c r="X4799" s="2">
        <f ca="1"/>
        <v>34.114476246042301</v>
      </c>
      <c r="AG4799" s="2">
        <f ca="1"/>
        <v>0.20554341419227096</v>
      </c>
      <c r="AH4799" s="2" t="str">
        <f ca="1"/>
        <v>OK</v>
      </c>
    </row>
    <row r="4800" spans="2:34" x14ac:dyDescent="0.2">
      <c r="B4800" s="2">
        <f ca="1"/>
        <v>9.9950118497564633E-2</v>
      </c>
      <c r="O4800" s="2">
        <f ca="1"/>
        <v>-0.53633665330700853</v>
      </c>
      <c r="X4800" s="2">
        <f ca="1"/>
        <v>34.679782617956086</v>
      </c>
      <c r="AG4800" s="2">
        <f ca="1"/>
        <v>0.75823293517076706</v>
      </c>
      <c r="AH4800" s="2" t="str">
        <f ca="1"/>
        <v>Bad</v>
      </c>
    </row>
    <row r="4801" spans="2:34" x14ac:dyDescent="0.2">
      <c r="B4801" s="2">
        <f ca="1"/>
        <v>0.33637558153657898</v>
      </c>
      <c r="O4801" s="2">
        <f ca="1"/>
        <v>1.432096591560956</v>
      </c>
      <c r="X4801" s="2">
        <f ca="1"/>
        <v>48.461224899246965</v>
      </c>
      <c r="AG4801" s="2">
        <f ca="1"/>
        <v>0.62181958871870058</v>
      </c>
      <c r="AH4801" s="2" t="str">
        <f ca="1"/>
        <v>Bad</v>
      </c>
    </row>
    <row r="4802" spans="2:34" x14ac:dyDescent="0.2">
      <c r="B4802" s="2">
        <f ca="1"/>
        <v>0.19474060210963162</v>
      </c>
      <c r="O4802" s="2">
        <f ca="1"/>
        <v>0.27259973504072299</v>
      </c>
      <c r="X4802" s="2">
        <f ca="1"/>
        <v>52.776866843061399</v>
      </c>
      <c r="AG4802" s="2">
        <f ca="1"/>
        <v>0.75672313316490247</v>
      </c>
      <c r="AH4802" s="2" t="str">
        <f ca="1"/>
        <v>Bad</v>
      </c>
    </row>
    <row r="4803" spans="2:34" x14ac:dyDescent="0.2">
      <c r="B4803" s="2">
        <f ca="1"/>
        <v>0.64381873752409757</v>
      </c>
      <c r="O4803" s="2">
        <f ca="1"/>
        <v>-0.23278354190964234</v>
      </c>
      <c r="X4803" s="2">
        <f ca="1"/>
        <v>74.2572954644899</v>
      </c>
      <c r="AG4803" s="2">
        <f ca="1"/>
        <v>0.10175102766255151</v>
      </c>
      <c r="AH4803" s="2" t="str">
        <f ca="1"/>
        <v>OK</v>
      </c>
    </row>
    <row r="4804" spans="2:34" x14ac:dyDescent="0.2">
      <c r="B4804" s="2">
        <f ca="1"/>
        <v>0.50601232563122611</v>
      </c>
      <c r="O4804" s="2">
        <f ca="1"/>
        <v>4.5715530338213857E-2</v>
      </c>
      <c r="X4804" s="2">
        <f ca="1"/>
        <v>64.847233748208481</v>
      </c>
      <c r="AG4804" s="2">
        <f ca="1"/>
        <v>3.3979637534869545E-2</v>
      </c>
      <c r="AH4804" s="2" t="str">
        <f ca="1"/>
        <v>Good</v>
      </c>
    </row>
    <row r="4805" spans="2:34" x14ac:dyDescent="0.2">
      <c r="B4805" s="2">
        <f ca="1"/>
        <v>6.4397743276826125E-2</v>
      </c>
      <c r="O4805" s="2">
        <f ca="1"/>
        <v>0.99779558280702074</v>
      </c>
      <c r="X4805" s="2">
        <f ca="1"/>
        <v>44.255232751107734</v>
      </c>
      <c r="AG4805" s="2">
        <f ca="1"/>
        <v>0.25307119678338319</v>
      </c>
      <c r="AH4805" s="2" t="str">
        <f ca="1"/>
        <v>OK</v>
      </c>
    </row>
    <row r="4806" spans="2:34" x14ac:dyDescent="0.2">
      <c r="B4806" s="2">
        <f ca="1"/>
        <v>4.9654429601597938E-2</v>
      </c>
      <c r="O4806" s="2">
        <f ca="1"/>
        <v>-2.3983490535211112</v>
      </c>
      <c r="X4806" s="2">
        <f ca="1"/>
        <v>50.135580576550467</v>
      </c>
      <c r="AG4806" s="2">
        <f ca="1"/>
        <v>0.832460499486122</v>
      </c>
      <c r="AH4806" s="2" t="str">
        <f ca="1"/>
        <v>Bad</v>
      </c>
    </row>
    <row r="4807" spans="2:34" x14ac:dyDescent="0.2">
      <c r="B4807" s="2">
        <f ca="1"/>
        <v>0.80565656804813512</v>
      </c>
      <c r="O4807" s="2">
        <f ca="1"/>
        <v>1.593895312181578</v>
      </c>
      <c r="X4807" s="2">
        <f ca="1"/>
        <v>55.600635398329089</v>
      </c>
      <c r="AG4807" s="2">
        <f ca="1"/>
        <v>0.74141168455879747</v>
      </c>
      <c r="AH4807" s="2" t="str">
        <f ca="1"/>
        <v>Bad</v>
      </c>
    </row>
    <row r="4808" spans="2:34" x14ac:dyDescent="0.2">
      <c r="B4808" s="2">
        <f ca="1"/>
        <v>0.63906897499763882</v>
      </c>
      <c r="O4808" s="2">
        <f ca="1"/>
        <v>-0.12629363128879811</v>
      </c>
      <c r="X4808" s="2">
        <f ca="1"/>
        <v>44.301742651347396</v>
      </c>
      <c r="AG4808" s="2">
        <f ca="1"/>
        <v>0.93533616258557295</v>
      </c>
      <c r="AH4808" s="2" t="str">
        <f ca="1"/>
        <v>Bad</v>
      </c>
    </row>
    <row r="4809" spans="2:34" x14ac:dyDescent="0.2">
      <c r="B4809" s="2">
        <f ca="1"/>
        <v>0.65844986514040271</v>
      </c>
      <c r="O4809" s="2">
        <f ca="1"/>
        <v>-0.88838302685569015</v>
      </c>
      <c r="X4809" s="2">
        <f ca="1"/>
        <v>42.499982531856865</v>
      </c>
      <c r="AG4809" s="2">
        <f ca="1"/>
        <v>0.38438849891922411</v>
      </c>
      <c r="AH4809" s="2" t="str">
        <f ca="1"/>
        <v>OK</v>
      </c>
    </row>
    <row r="4810" spans="2:34" x14ac:dyDescent="0.2">
      <c r="B4810" s="2">
        <f ca="1"/>
        <v>0.78795485045884583</v>
      </c>
      <c r="O4810" s="2">
        <f ca="1"/>
        <v>-1.1142178989852762</v>
      </c>
      <c r="X4810" s="2">
        <f ca="1"/>
        <v>25.296928346631805</v>
      </c>
      <c r="AG4810" s="2">
        <f ca="1"/>
        <v>8.547009052149912E-2</v>
      </c>
      <c r="AH4810" s="2" t="str">
        <f ca="1"/>
        <v>OK</v>
      </c>
    </row>
    <row r="4811" spans="2:34" x14ac:dyDescent="0.2">
      <c r="B4811" s="2">
        <f ca="1"/>
        <v>3.6101200669014455E-2</v>
      </c>
      <c r="O4811" s="2">
        <f ca="1"/>
        <v>0.66820846841976311</v>
      </c>
      <c r="X4811" s="2">
        <f ca="1"/>
        <v>69.857238855096583</v>
      </c>
      <c r="AG4811" s="2">
        <f ca="1"/>
        <v>5.0414152679908897E-2</v>
      </c>
      <c r="AH4811" s="2" t="str">
        <f ca="1"/>
        <v>OK</v>
      </c>
    </row>
    <row r="4812" spans="2:34" x14ac:dyDescent="0.2">
      <c r="B4812" s="2">
        <f ca="1"/>
        <v>0.74963147784458561</v>
      </c>
      <c r="O4812" s="2">
        <f ca="1"/>
        <v>-9.6591403190452757E-2</v>
      </c>
      <c r="X4812" s="2">
        <f ca="1"/>
        <v>75.867508639172826</v>
      </c>
      <c r="AG4812" s="2">
        <f ca="1"/>
        <v>9.2437960058988855E-2</v>
      </c>
      <c r="AH4812" s="2" t="str">
        <f ca="1"/>
        <v>OK</v>
      </c>
    </row>
    <row r="4813" spans="2:34" x14ac:dyDescent="0.2">
      <c r="B4813" s="2">
        <f ca="1"/>
        <v>8.1906292495004029E-2</v>
      </c>
      <c r="O4813" s="2">
        <f ca="1"/>
        <v>-0.77931749531978745</v>
      </c>
      <c r="X4813" s="2">
        <f ca="1"/>
        <v>82.6874384101082</v>
      </c>
      <c r="AG4813" s="2">
        <f ca="1"/>
        <v>0.76889917850733625</v>
      </c>
      <c r="AH4813" s="2" t="str">
        <f ca="1"/>
        <v>Bad</v>
      </c>
    </row>
    <row r="4814" spans="2:34" x14ac:dyDescent="0.2">
      <c r="B4814" s="2">
        <f ca="1"/>
        <v>0.60291305320203858</v>
      </c>
      <c r="O4814" s="2">
        <f ca="1"/>
        <v>-0.49363978411594717</v>
      </c>
      <c r="X4814" s="2">
        <f ca="1"/>
        <v>62.282658889358089</v>
      </c>
      <c r="AG4814" s="2">
        <f ca="1"/>
        <v>0.36724374574458674</v>
      </c>
      <c r="AH4814" s="2" t="str">
        <f ca="1"/>
        <v>OK</v>
      </c>
    </row>
    <row r="4815" spans="2:34" x14ac:dyDescent="0.2">
      <c r="B4815" s="2">
        <f ca="1"/>
        <v>0.34524021834169605</v>
      </c>
      <c r="O4815" s="2">
        <f ca="1"/>
        <v>-1.125262603243363</v>
      </c>
      <c r="X4815" s="2">
        <f ca="1"/>
        <v>47.557602508037753</v>
      </c>
      <c r="AG4815" s="2">
        <f ca="1"/>
        <v>0.1546106164651031</v>
      </c>
      <c r="AH4815" s="2" t="str">
        <f ca="1"/>
        <v>OK</v>
      </c>
    </row>
    <row r="4816" spans="2:34" x14ac:dyDescent="0.2">
      <c r="B4816" s="2">
        <f ca="1"/>
        <v>0.36117965344311154</v>
      </c>
      <c r="O4816" s="2">
        <f ca="1"/>
        <v>-0.76545078123709587</v>
      </c>
      <c r="X4816" s="2">
        <f ca="1"/>
        <v>48.196644347288611</v>
      </c>
      <c r="AG4816" s="2">
        <f ca="1"/>
        <v>0.50135311997236709</v>
      </c>
      <c r="AH4816" s="2" t="str">
        <f ca="1"/>
        <v>Bad</v>
      </c>
    </row>
    <row r="4817" spans="2:34" x14ac:dyDescent="0.2">
      <c r="B4817" s="2">
        <f ca="1"/>
        <v>0.33901646070252189</v>
      </c>
      <c r="O4817" s="2">
        <f ca="1"/>
        <v>1.0325915660432448</v>
      </c>
      <c r="X4817" s="2">
        <f ca="1"/>
        <v>67.607112216294027</v>
      </c>
      <c r="AG4817" s="2">
        <f ca="1"/>
        <v>0.84401830110844034</v>
      </c>
      <c r="AH4817" s="2" t="str">
        <f ca="1"/>
        <v>Bad</v>
      </c>
    </row>
    <row r="4818" spans="2:34" x14ac:dyDescent="0.2">
      <c r="B4818" s="2">
        <f ca="1"/>
        <v>0.69132812188887627</v>
      </c>
      <c r="O4818" s="2">
        <f ca="1"/>
        <v>-1.5949763863683262</v>
      </c>
      <c r="X4818" s="2">
        <f ca="1"/>
        <v>47.743842117821245</v>
      </c>
      <c r="AG4818" s="2">
        <f ca="1"/>
        <v>0.73175585034691149</v>
      </c>
      <c r="AH4818" s="2" t="str">
        <f ca="1"/>
        <v>Bad</v>
      </c>
    </row>
    <row r="4819" spans="2:34" x14ac:dyDescent="0.2">
      <c r="B4819" s="2">
        <f ca="1"/>
        <v>0.43251133056936109</v>
      </c>
      <c r="O4819" s="2">
        <f ca="1"/>
        <v>-2.0754307784432484</v>
      </c>
      <c r="X4819" s="2">
        <f ca="1"/>
        <v>64.011727860165948</v>
      </c>
      <c r="AG4819" s="2">
        <f ca="1"/>
        <v>0.18909298229441207</v>
      </c>
      <c r="AH4819" s="2" t="str">
        <f ca="1"/>
        <v>OK</v>
      </c>
    </row>
    <row r="4820" spans="2:34" x14ac:dyDescent="0.2">
      <c r="B4820" s="2">
        <f ca="1"/>
        <v>0.79325224554820384</v>
      </c>
      <c r="O4820" s="2">
        <f ca="1"/>
        <v>-2.0575022518699195</v>
      </c>
      <c r="X4820" s="2">
        <f ca="1"/>
        <v>44.482348521265529</v>
      </c>
      <c r="AG4820" s="2">
        <f ca="1"/>
        <v>0.35845256267479741</v>
      </c>
      <c r="AH4820" s="2" t="str">
        <f ca="1"/>
        <v>OK</v>
      </c>
    </row>
    <row r="4821" spans="2:34" x14ac:dyDescent="0.2">
      <c r="B4821" s="2">
        <f ca="1"/>
        <v>0.84490119528661123</v>
      </c>
      <c r="O4821" s="2">
        <f ca="1"/>
        <v>-0.51984916324857733</v>
      </c>
      <c r="X4821" s="2">
        <f ca="1"/>
        <v>41.329673989190809</v>
      </c>
      <c r="AG4821" s="2">
        <f ca="1"/>
        <v>0.89781207071025126</v>
      </c>
      <c r="AH4821" s="2" t="str">
        <f ca="1"/>
        <v>Bad</v>
      </c>
    </row>
    <row r="4822" spans="2:34" x14ac:dyDescent="0.2">
      <c r="B4822" s="2">
        <f ca="1"/>
        <v>9.3047822392659407E-2</v>
      </c>
      <c r="O4822" s="2">
        <f ca="1"/>
        <v>1.6185856797806326</v>
      </c>
      <c r="X4822" s="2">
        <f ca="1"/>
        <v>35.879272392243692</v>
      </c>
      <c r="AG4822" s="2">
        <f ca="1"/>
        <v>0.28561627075201823</v>
      </c>
      <c r="AH4822" s="2" t="str">
        <f ca="1"/>
        <v>OK</v>
      </c>
    </row>
    <row r="4823" spans="2:34" x14ac:dyDescent="0.2">
      <c r="B4823" s="2">
        <f ca="1"/>
        <v>0.30933124252589339</v>
      </c>
      <c r="O4823" s="2">
        <f ca="1"/>
        <v>1.7172754410310991</v>
      </c>
      <c r="X4823" s="2">
        <f ca="1"/>
        <v>64.100162670244401</v>
      </c>
      <c r="AG4823" s="2">
        <f ca="1"/>
        <v>0.9513809708894434</v>
      </c>
      <c r="AH4823" s="2" t="str">
        <f ca="1"/>
        <v>Bad</v>
      </c>
    </row>
    <row r="4824" spans="2:34" x14ac:dyDescent="0.2">
      <c r="B4824" s="2">
        <f ca="1"/>
        <v>8.7662955691339306E-2</v>
      </c>
      <c r="O4824" s="2">
        <f ca="1"/>
        <v>-1.1735864790232031</v>
      </c>
      <c r="X4824" s="2">
        <f ca="1"/>
        <v>40.599279778287283</v>
      </c>
      <c r="AG4824" s="2">
        <f ca="1"/>
        <v>0.85043267415935708</v>
      </c>
      <c r="AH4824" s="2" t="str">
        <f ca="1"/>
        <v>Bad</v>
      </c>
    </row>
    <row r="4825" spans="2:34" x14ac:dyDescent="0.2">
      <c r="B4825" s="2">
        <f ca="1"/>
        <v>0.12122857568896861</v>
      </c>
      <c r="O4825" s="2">
        <f ca="1"/>
        <v>0.81465495363406315</v>
      </c>
      <c r="X4825" s="2">
        <f ca="1"/>
        <v>41.010557927929256</v>
      </c>
      <c r="AG4825" s="2">
        <f ca="1"/>
        <v>0.27541123607100948</v>
      </c>
      <c r="AH4825" s="2" t="str">
        <f ca="1"/>
        <v>OK</v>
      </c>
    </row>
    <row r="4826" spans="2:34" x14ac:dyDescent="0.2">
      <c r="B4826" s="2">
        <f ca="1"/>
        <v>0.44540026845735037</v>
      </c>
      <c r="O4826" s="2">
        <f ca="1"/>
        <v>-0.78619631920531075</v>
      </c>
      <c r="X4826" s="2">
        <f ca="1"/>
        <v>31.309629749672048</v>
      </c>
      <c r="AG4826" s="2">
        <f ca="1"/>
        <v>0.1720065777213986</v>
      </c>
      <c r="AH4826" s="2" t="str">
        <f ca="1"/>
        <v>OK</v>
      </c>
    </row>
    <row r="4827" spans="2:34" x14ac:dyDescent="0.2">
      <c r="B4827" s="2">
        <f ca="1"/>
        <v>0.74885487121718564</v>
      </c>
      <c r="O4827" s="2">
        <f ca="1"/>
        <v>0.43078379001034328</v>
      </c>
      <c r="X4827" s="2">
        <f ca="1"/>
        <v>39.592363531443468</v>
      </c>
      <c r="AG4827" s="2">
        <f ca="1"/>
        <v>0.71199677137825534</v>
      </c>
      <c r="AH4827" s="2" t="str">
        <f ca="1"/>
        <v>Bad</v>
      </c>
    </row>
    <row r="4828" spans="2:34" x14ac:dyDescent="0.2">
      <c r="B4828" s="2">
        <f ca="1"/>
        <v>0.37708452699145845</v>
      </c>
      <c r="O4828" s="2">
        <f ca="1"/>
        <v>0.56953557058933557</v>
      </c>
      <c r="X4828" s="2">
        <f ca="1"/>
        <v>62.35010475471833</v>
      </c>
      <c r="AG4828" s="2">
        <f ca="1"/>
        <v>0.56955711882102134</v>
      </c>
      <c r="AH4828" s="2" t="str">
        <f ca="1"/>
        <v>Bad</v>
      </c>
    </row>
    <row r="4829" spans="2:34" x14ac:dyDescent="0.2">
      <c r="B4829" s="2">
        <f ca="1"/>
        <v>0.17287818795000254</v>
      </c>
      <c r="O4829" s="2">
        <f ca="1"/>
        <v>0.77579752965612392</v>
      </c>
      <c r="X4829" s="2">
        <f ca="1"/>
        <v>56.613279196439485</v>
      </c>
      <c r="AG4829" s="2">
        <f ca="1"/>
        <v>0.65966766157596535</v>
      </c>
      <c r="AH4829" s="2" t="str">
        <f ca="1"/>
        <v>Bad</v>
      </c>
    </row>
    <row r="4830" spans="2:34" x14ac:dyDescent="0.2">
      <c r="B4830" s="2">
        <f ca="1"/>
        <v>0.37578253820264296</v>
      </c>
      <c r="O4830" s="2">
        <f ca="1"/>
        <v>-0.58556211702659378</v>
      </c>
      <c r="X4830" s="2">
        <f ca="1"/>
        <v>45.048165193158525</v>
      </c>
      <c r="AG4830" s="2">
        <f ca="1"/>
        <v>0.8131758746295219</v>
      </c>
      <c r="AH4830" s="2" t="str">
        <f ca="1"/>
        <v>Bad</v>
      </c>
    </row>
    <row r="4831" spans="2:34" x14ac:dyDescent="0.2">
      <c r="B4831" s="2">
        <f ca="1"/>
        <v>0.27580397762951736</v>
      </c>
      <c r="O4831" s="2">
        <f ca="1"/>
        <v>-1.7927560202697275</v>
      </c>
      <c r="X4831" s="2">
        <f ca="1"/>
        <v>85.257086593721837</v>
      </c>
      <c r="AG4831" s="2">
        <f ca="1"/>
        <v>0.49537105457146469</v>
      </c>
      <c r="AH4831" s="2" t="str">
        <f ca="1"/>
        <v>Bad</v>
      </c>
    </row>
    <row r="4832" spans="2:34" x14ac:dyDescent="0.2">
      <c r="B4832" s="2">
        <f ca="1"/>
        <v>0.63026777352719954</v>
      </c>
      <c r="O4832" s="2">
        <f ca="1"/>
        <v>-0.18007647357723974</v>
      </c>
      <c r="X4832" s="2">
        <f ca="1"/>
        <v>34.698086632515363</v>
      </c>
      <c r="AG4832" s="2">
        <f ca="1"/>
        <v>0.56234670515564589</v>
      </c>
      <c r="AH4832" s="2" t="str">
        <f ca="1"/>
        <v>Bad</v>
      </c>
    </row>
    <row r="4833" spans="2:34" x14ac:dyDescent="0.2">
      <c r="B4833" s="2">
        <f ca="1"/>
        <v>0.92836538398322421</v>
      </c>
      <c r="O4833" s="2">
        <f ca="1"/>
        <v>1.2843208772579935</v>
      </c>
      <c r="X4833" s="2">
        <f ca="1"/>
        <v>45.875136289257519</v>
      </c>
      <c r="AG4833" s="2">
        <f ca="1"/>
        <v>0.34538560799124807</v>
      </c>
      <c r="AH4833" s="2" t="str">
        <f ca="1"/>
        <v>OK</v>
      </c>
    </row>
    <row r="4834" spans="2:34" x14ac:dyDescent="0.2">
      <c r="B4834" s="2">
        <f ca="1"/>
        <v>0.40947277906053681</v>
      </c>
      <c r="O4834" s="2">
        <f ca="1"/>
        <v>-0.43251509358381746</v>
      </c>
      <c r="X4834" s="2">
        <f ca="1"/>
        <v>61.360522904070109</v>
      </c>
      <c r="AG4834" s="2">
        <f ca="1"/>
        <v>6.1321680478683582E-2</v>
      </c>
      <c r="AH4834" s="2" t="str">
        <f ca="1"/>
        <v>OK</v>
      </c>
    </row>
    <row r="4835" spans="2:34" x14ac:dyDescent="0.2">
      <c r="B4835" s="2">
        <f ca="1"/>
        <v>0.12730573027177883</v>
      </c>
      <c r="O4835" s="2">
        <f ca="1"/>
        <v>1.0277624937813514</v>
      </c>
      <c r="X4835" s="2">
        <f ca="1"/>
        <v>40.51788932250507</v>
      </c>
      <c r="AG4835" s="2">
        <f ca="1"/>
        <v>0.27906495216392901</v>
      </c>
      <c r="AH4835" s="2" t="str">
        <f ca="1"/>
        <v>OK</v>
      </c>
    </row>
    <row r="4836" spans="2:34" x14ac:dyDescent="0.2">
      <c r="B4836" s="2">
        <f ca="1"/>
        <v>8.9305539112065846E-2</v>
      </c>
      <c r="O4836" s="2">
        <f ca="1"/>
        <v>-0.44508040026887169</v>
      </c>
      <c r="X4836" s="2">
        <f ca="1"/>
        <v>55.04312560690736</v>
      </c>
      <c r="AG4836" s="2">
        <f ca="1"/>
        <v>0.82540596747118045</v>
      </c>
      <c r="AH4836" s="2" t="str">
        <f ca="1"/>
        <v>Bad</v>
      </c>
    </row>
    <row r="4837" spans="2:34" x14ac:dyDescent="0.2">
      <c r="B4837" s="2">
        <f ca="1"/>
        <v>0.99583642828822283</v>
      </c>
      <c r="O4837" s="2">
        <f ca="1"/>
        <v>0.44579630783311508</v>
      </c>
      <c r="X4837" s="2">
        <f ca="1"/>
        <v>49.721169123446522</v>
      </c>
      <c r="AG4837" s="2">
        <f ca="1"/>
        <v>0.52062416842384751</v>
      </c>
      <c r="AH4837" s="2" t="str">
        <f ca="1"/>
        <v>Bad</v>
      </c>
    </row>
    <row r="4838" spans="2:34" x14ac:dyDescent="0.2">
      <c r="B4838" s="2">
        <f ca="1"/>
        <v>0.93701529483670409</v>
      </c>
      <c r="O4838" s="2">
        <f ca="1"/>
        <v>0.15143480677279356</v>
      </c>
      <c r="X4838" s="2">
        <f ca="1"/>
        <v>47.77280725526002</v>
      </c>
      <c r="AG4838" s="2">
        <f ca="1"/>
        <v>0.64634512834010827</v>
      </c>
      <c r="AH4838" s="2" t="str">
        <f ca="1"/>
        <v>Bad</v>
      </c>
    </row>
    <row r="4839" spans="2:34" x14ac:dyDescent="0.2">
      <c r="B4839" s="2">
        <f ca="1"/>
        <v>0.77710941888433416</v>
      </c>
      <c r="O4839" s="2">
        <f ca="1"/>
        <v>0.26836349499804696</v>
      </c>
      <c r="X4839" s="2">
        <f ca="1"/>
        <v>60.127335572311225</v>
      </c>
      <c r="AG4839" s="2">
        <f ca="1"/>
        <v>0.57813233592078572</v>
      </c>
      <c r="AH4839" s="2" t="str">
        <f ca="1"/>
        <v>Bad</v>
      </c>
    </row>
    <row r="4840" spans="2:34" x14ac:dyDescent="0.2">
      <c r="B4840" s="2">
        <f ca="1"/>
        <v>9.9333176108686638E-2</v>
      </c>
      <c r="O4840" s="2">
        <f ca="1"/>
        <v>1.8944707490826913</v>
      </c>
      <c r="X4840" s="2">
        <f ca="1"/>
        <v>52.161261328610706</v>
      </c>
      <c r="AG4840" s="2">
        <f ca="1"/>
        <v>0.51660890656910241</v>
      </c>
      <c r="AH4840" s="2" t="str">
        <f ca="1"/>
        <v>Bad</v>
      </c>
    </row>
    <row r="4841" spans="2:34" x14ac:dyDescent="0.2">
      <c r="B4841" s="2">
        <f ca="1"/>
        <v>0.18789798828301385</v>
      </c>
      <c r="O4841" s="2">
        <f ca="1"/>
        <v>-0.28403331175775887</v>
      </c>
      <c r="X4841" s="2">
        <f ca="1"/>
        <v>56.369461920517608</v>
      </c>
      <c r="AG4841" s="2">
        <f ca="1"/>
        <v>0.54331488332208489</v>
      </c>
      <c r="AH4841" s="2" t="str">
        <f ca="1"/>
        <v>Bad</v>
      </c>
    </row>
    <row r="4842" spans="2:34" x14ac:dyDescent="0.2">
      <c r="B4842" s="2">
        <f ca="1"/>
        <v>0.14861888264212508</v>
      </c>
      <c r="O4842" s="2">
        <f ca="1"/>
        <v>-0.21687869252008005</v>
      </c>
      <c r="X4842" s="2">
        <f ca="1"/>
        <v>63.875252738013224</v>
      </c>
      <c r="AG4842" s="2">
        <f ca="1"/>
        <v>0.45033304764188808</v>
      </c>
      <c r="AH4842" s="2" t="str">
        <f ca="1"/>
        <v>Bad</v>
      </c>
    </row>
    <row r="4843" spans="2:34" x14ac:dyDescent="0.2">
      <c r="B4843" s="2">
        <f ca="1"/>
        <v>0.70190329025892439</v>
      </c>
      <c r="O4843" s="2">
        <f ca="1"/>
        <v>-2.0325410373215882</v>
      </c>
      <c r="X4843" s="2">
        <f ca="1"/>
        <v>76.546193167011054</v>
      </c>
      <c r="AG4843" s="2">
        <f ca="1"/>
        <v>0.41531877686874497</v>
      </c>
      <c r="AH4843" s="2" t="str">
        <f ca="1"/>
        <v>Bad</v>
      </c>
    </row>
    <row r="4844" spans="2:34" x14ac:dyDescent="0.2">
      <c r="B4844" s="2">
        <f ca="1"/>
        <v>0.1413275953376234</v>
      </c>
      <c r="O4844" s="2">
        <f ca="1"/>
        <v>0.36758456817893237</v>
      </c>
      <c r="X4844" s="2">
        <f ca="1"/>
        <v>53.840638916314973</v>
      </c>
      <c r="AG4844" s="2">
        <f ca="1"/>
        <v>0.32792155901685338</v>
      </c>
      <c r="AH4844" s="2" t="str">
        <f ca="1"/>
        <v>OK</v>
      </c>
    </row>
    <row r="4845" spans="2:34" x14ac:dyDescent="0.2">
      <c r="B4845" s="2">
        <f ca="1"/>
        <v>0.78293753287442502</v>
      </c>
      <c r="O4845" s="2">
        <f ca="1"/>
        <v>-0.34972958964306183</v>
      </c>
      <c r="X4845" s="2">
        <f ca="1"/>
        <v>53.02278776492885</v>
      </c>
      <c r="AG4845" s="2">
        <f ca="1"/>
        <v>0.26416831581086075</v>
      </c>
      <c r="AH4845" s="2" t="str">
        <f ca="1"/>
        <v>OK</v>
      </c>
    </row>
    <row r="4846" spans="2:34" x14ac:dyDescent="0.2">
      <c r="B4846" s="2">
        <f ca="1"/>
        <v>0.96925619650394501</v>
      </c>
      <c r="O4846" s="2">
        <f ca="1"/>
        <v>-0.95934567621252831</v>
      </c>
      <c r="X4846" s="2">
        <f ca="1"/>
        <v>37.582087347662345</v>
      </c>
      <c r="AG4846" s="2">
        <f ca="1"/>
        <v>0.50605435298318269</v>
      </c>
      <c r="AH4846" s="2" t="str">
        <f ca="1"/>
        <v>Bad</v>
      </c>
    </row>
    <row r="4847" spans="2:34" x14ac:dyDescent="0.2">
      <c r="B4847" s="2">
        <f ca="1"/>
        <v>0.24462437484540245</v>
      </c>
      <c r="O4847" s="2">
        <f ca="1"/>
        <v>1.3388424800445584</v>
      </c>
      <c r="X4847" s="2">
        <f ca="1"/>
        <v>53.501225891305296</v>
      </c>
      <c r="AG4847" s="2">
        <f ca="1"/>
        <v>0.72718294426345476</v>
      </c>
      <c r="AH4847" s="2" t="str">
        <f ca="1"/>
        <v>Bad</v>
      </c>
    </row>
    <row r="4848" spans="2:34" x14ac:dyDescent="0.2">
      <c r="B4848" s="2">
        <f ca="1"/>
        <v>5.0684543563453088E-2</v>
      </c>
      <c r="O4848" s="2">
        <f ca="1"/>
        <v>1.4590106385674038</v>
      </c>
      <c r="X4848" s="2">
        <f ca="1"/>
        <v>63.562759672851172</v>
      </c>
      <c r="AG4848" s="2">
        <f ca="1"/>
        <v>0.74911353412013004</v>
      </c>
      <c r="AH4848" s="2" t="str">
        <f ca="1"/>
        <v>Bad</v>
      </c>
    </row>
    <row r="4849" spans="2:34" x14ac:dyDescent="0.2">
      <c r="B4849" s="2">
        <f ca="1"/>
        <v>0.23545939543827354</v>
      </c>
      <c r="O4849" s="2">
        <f ca="1"/>
        <v>-0.62868338368301457</v>
      </c>
      <c r="X4849" s="2">
        <f ca="1"/>
        <v>50.627198227364872</v>
      </c>
      <c r="AG4849" s="2">
        <f ca="1"/>
        <v>0.25711358128909612</v>
      </c>
      <c r="AH4849" s="2" t="str">
        <f ca="1"/>
        <v>OK</v>
      </c>
    </row>
    <row r="4850" spans="2:34" x14ac:dyDescent="0.2">
      <c r="B4850" s="2">
        <f ca="1"/>
        <v>0.46933528880857711</v>
      </c>
      <c r="O4850" s="2">
        <f ca="1"/>
        <v>-0.3438920636043592</v>
      </c>
      <c r="X4850" s="2">
        <f ca="1"/>
        <v>56.050948481428151</v>
      </c>
      <c r="AG4850" s="2">
        <f ca="1"/>
        <v>0.45252824397797098</v>
      </c>
      <c r="AH4850" s="2" t="str">
        <f ca="1"/>
        <v>Bad</v>
      </c>
    </row>
    <row r="4851" spans="2:34" x14ac:dyDescent="0.2">
      <c r="B4851" s="2">
        <f ca="1"/>
        <v>0.35649428168321173</v>
      </c>
      <c r="O4851" s="2">
        <f ca="1"/>
        <v>0.16665043383429176</v>
      </c>
      <c r="X4851" s="2">
        <f ca="1"/>
        <v>40.498164299484792</v>
      </c>
      <c r="AG4851" s="2">
        <f ca="1"/>
        <v>0.84783289146092922</v>
      </c>
      <c r="AH4851" s="2" t="str">
        <f ca="1"/>
        <v>Bad</v>
      </c>
    </row>
    <row r="4852" spans="2:34" x14ac:dyDescent="0.2">
      <c r="B4852" s="2">
        <f ca="1"/>
        <v>0.48788850440547415</v>
      </c>
      <c r="O4852" s="2">
        <f ca="1"/>
        <v>-0.82451824538869889</v>
      </c>
      <c r="X4852" s="2">
        <f ca="1"/>
        <v>50.312049298756151</v>
      </c>
      <c r="AG4852" s="2">
        <f ca="1"/>
        <v>0.6771971844703828</v>
      </c>
      <c r="AH4852" s="2" t="str">
        <f ca="1"/>
        <v>Bad</v>
      </c>
    </row>
    <row r="4853" spans="2:34" x14ac:dyDescent="0.2">
      <c r="B4853" s="2">
        <f ca="1"/>
        <v>0.73873125406414641</v>
      </c>
      <c r="O4853" s="2">
        <f ca="1"/>
        <v>0.89557887579041662</v>
      </c>
      <c r="X4853" s="2">
        <f ca="1"/>
        <v>51.095719796935541</v>
      </c>
      <c r="AG4853" s="2">
        <f ca="1"/>
        <v>9.9439225672394826E-2</v>
      </c>
      <c r="AH4853" s="2" t="str">
        <f ca="1"/>
        <v>OK</v>
      </c>
    </row>
    <row r="4854" spans="2:34" x14ac:dyDescent="0.2">
      <c r="B4854" s="2">
        <f ca="1"/>
        <v>0.60620579054282864</v>
      </c>
      <c r="O4854" s="2">
        <f ca="1"/>
        <v>-0.33614510142020926</v>
      </c>
      <c r="X4854" s="2">
        <f ca="1"/>
        <v>51.933866682601952</v>
      </c>
      <c r="AG4854" s="2">
        <f ca="1"/>
        <v>0.6142565062699874</v>
      </c>
      <c r="AH4854" s="2" t="str">
        <f ca="1"/>
        <v>Bad</v>
      </c>
    </row>
    <row r="4855" spans="2:34" x14ac:dyDescent="0.2">
      <c r="B4855" s="2">
        <f ca="1"/>
        <v>0.73983441747790879</v>
      </c>
      <c r="O4855" s="2">
        <f ca="1"/>
        <v>-1.5528797110618329</v>
      </c>
      <c r="X4855" s="2">
        <f ca="1"/>
        <v>47.708523154603228</v>
      </c>
      <c r="AG4855" s="2">
        <f ca="1"/>
        <v>0.25413055077575919</v>
      </c>
      <c r="AH4855" s="2" t="str">
        <f ca="1"/>
        <v>OK</v>
      </c>
    </row>
    <row r="4856" spans="2:34" x14ac:dyDescent="0.2">
      <c r="B4856" s="2">
        <f ca="1"/>
        <v>8.4309497800634237E-2</v>
      </c>
      <c r="O4856" s="2">
        <f ca="1"/>
        <v>-1.0542062006235322</v>
      </c>
      <c r="X4856" s="2">
        <f ca="1"/>
        <v>80.352505696794822</v>
      </c>
      <c r="AG4856" s="2">
        <f ca="1"/>
        <v>0.4663204985078524</v>
      </c>
      <c r="AH4856" s="2" t="str">
        <f ca="1"/>
        <v>Bad</v>
      </c>
    </row>
    <row r="4857" spans="2:34" x14ac:dyDescent="0.2">
      <c r="B4857" s="2">
        <f ca="1"/>
        <v>5.4635118297693186E-2</v>
      </c>
      <c r="O4857" s="2">
        <f ca="1"/>
        <v>-0.24342593920782801</v>
      </c>
      <c r="X4857" s="2">
        <f ca="1"/>
        <v>37.105472882209767</v>
      </c>
      <c r="AG4857" s="2">
        <f ca="1"/>
        <v>0.50565238959091552</v>
      </c>
      <c r="AH4857" s="2" t="str">
        <f ca="1"/>
        <v>Bad</v>
      </c>
    </row>
    <row r="4858" spans="2:34" x14ac:dyDescent="0.2">
      <c r="B4858" s="2">
        <f ca="1"/>
        <v>0.34538120792002958</v>
      </c>
      <c r="O4858" s="2">
        <f ca="1"/>
        <v>1.1546890465515804</v>
      </c>
      <c r="X4858" s="2">
        <f ca="1"/>
        <v>57.14001278540163</v>
      </c>
      <c r="AG4858" s="2">
        <f ca="1"/>
        <v>0.86394360671979609</v>
      </c>
      <c r="AH4858" s="2" t="str">
        <f ca="1"/>
        <v>Bad</v>
      </c>
    </row>
    <row r="4859" spans="2:34" x14ac:dyDescent="0.2">
      <c r="B4859" s="2">
        <f ca="1"/>
        <v>0.44164424889881371</v>
      </c>
      <c r="O4859" s="2">
        <f ca="1"/>
        <v>0.94836655607845999</v>
      </c>
      <c r="X4859" s="2">
        <f ca="1"/>
        <v>22.829238463828545</v>
      </c>
      <c r="AG4859" s="2">
        <f ca="1"/>
        <v>0.8324662376697447</v>
      </c>
      <c r="AH4859" s="2" t="str">
        <f ca="1"/>
        <v>Bad</v>
      </c>
    </row>
    <row r="4860" spans="2:34" x14ac:dyDescent="0.2">
      <c r="B4860" s="2">
        <f ca="1"/>
        <v>0.94591316500447431</v>
      </c>
      <c r="O4860" s="2">
        <f ca="1"/>
        <v>-0.95161205403486793</v>
      </c>
      <c r="X4860" s="2">
        <f ca="1"/>
        <v>32.526287824692687</v>
      </c>
      <c r="AG4860" s="2">
        <f ca="1"/>
        <v>2.5344087033651874E-2</v>
      </c>
      <c r="AH4860" s="2" t="str">
        <f ca="1"/>
        <v>Good</v>
      </c>
    </row>
    <row r="4861" spans="2:34" x14ac:dyDescent="0.2">
      <c r="B4861" s="2">
        <f ca="1"/>
        <v>0.76566129902739677</v>
      </c>
      <c r="O4861" s="2">
        <f ca="1"/>
        <v>-1.9146715325955095</v>
      </c>
      <c r="X4861" s="2">
        <f ca="1"/>
        <v>64.39910574019396</v>
      </c>
      <c r="AG4861" s="2">
        <f ca="1"/>
        <v>0.18949946687434926</v>
      </c>
      <c r="AH4861" s="2" t="str">
        <f ca="1"/>
        <v>OK</v>
      </c>
    </row>
    <row r="4862" spans="2:34" x14ac:dyDescent="0.2">
      <c r="B4862" s="2">
        <f ca="1"/>
        <v>0.88651618620053729</v>
      </c>
      <c r="O4862" s="2">
        <f ca="1"/>
        <v>-0.29412317535873689</v>
      </c>
      <c r="X4862" s="2">
        <f ca="1"/>
        <v>73.246354396389876</v>
      </c>
      <c r="AG4862" s="2">
        <f ca="1"/>
        <v>9.3146527663022116E-2</v>
      </c>
      <c r="AH4862" s="2" t="str">
        <f ca="1"/>
        <v>OK</v>
      </c>
    </row>
    <row r="4863" spans="2:34" x14ac:dyDescent="0.2">
      <c r="B4863" s="2">
        <f ca="1"/>
        <v>0.51543871863199309</v>
      </c>
      <c r="O4863" s="2">
        <f ca="1"/>
        <v>-0.89637971430558316</v>
      </c>
      <c r="X4863" s="2">
        <f ca="1"/>
        <v>21.031119582994954</v>
      </c>
      <c r="AG4863" s="2">
        <f ca="1"/>
        <v>0.36274775465518316</v>
      </c>
      <c r="AH4863" s="2" t="str">
        <f ca="1"/>
        <v>OK</v>
      </c>
    </row>
    <row r="4864" spans="2:34" x14ac:dyDescent="0.2">
      <c r="B4864" s="2">
        <f ca="1"/>
        <v>0.4090139154794179</v>
      </c>
      <c r="O4864" s="2">
        <f ca="1"/>
        <v>-2.1065783840117427</v>
      </c>
      <c r="X4864" s="2">
        <f ca="1"/>
        <v>56.875876171311134</v>
      </c>
      <c r="AG4864" s="2">
        <f ca="1"/>
        <v>0.83158802708808754</v>
      </c>
      <c r="AH4864" s="2" t="str">
        <f ca="1"/>
        <v>Bad</v>
      </c>
    </row>
    <row r="4865" spans="2:34" x14ac:dyDescent="0.2">
      <c r="B4865" s="2">
        <f ca="1"/>
        <v>0.9702473953252515</v>
      </c>
      <c r="O4865" s="2">
        <f ca="1"/>
        <v>5.9328594665005639E-2</v>
      </c>
      <c r="X4865" s="2">
        <f ca="1"/>
        <v>46.01545902502</v>
      </c>
      <c r="AG4865" s="2">
        <f ca="1"/>
        <v>0.88692515712875064</v>
      </c>
      <c r="AH4865" s="2" t="str">
        <f ca="1"/>
        <v>Bad</v>
      </c>
    </row>
    <row r="4866" spans="2:34" x14ac:dyDescent="0.2">
      <c r="B4866" s="2">
        <f ca="1"/>
        <v>0.79054081022315859</v>
      </c>
      <c r="O4866" s="2">
        <f ca="1"/>
        <v>-0.38731005005414654</v>
      </c>
      <c r="X4866" s="2">
        <f ca="1"/>
        <v>51.004332322698758</v>
      </c>
      <c r="AG4866" s="2">
        <f ca="1"/>
        <v>0.44788569148442359</v>
      </c>
      <c r="AH4866" s="2" t="str">
        <f ca="1"/>
        <v>Bad</v>
      </c>
    </row>
    <row r="4867" spans="2:34" x14ac:dyDescent="0.2">
      <c r="B4867" s="2">
        <f ca="1"/>
        <v>0.86803341991474614</v>
      </c>
      <c r="O4867" s="2">
        <f ca="1"/>
        <v>3.1229820290522795E-2</v>
      </c>
      <c r="X4867" s="2">
        <f ca="1"/>
        <v>67.074456009866907</v>
      </c>
      <c r="AG4867" s="2">
        <f ca="1"/>
        <v>0.10173731014885257</v>
      </c>
      <c r="AH4867" s="2" t="str">
        <f ca="1"/>
        <v>OK</v>
      </c>
    </row>
    <row r="4868" spans="2:34" x14ac:dyDescent="0.2">
      <c r="B4868" s="2">
        <f ca="1"/>
        <v>0.24711111335800617</v>
      </c>
      <c r="O4868" s="2">
        <f ca="1"/>
        <v>-1.7422741577873666</v>
      </c>
      <c r="X4868" s="2">
        <f ca="1"/>
        <v>67.29410922496254</v>
      </c>
      <c r="AG4868" s="2">
        <f ca="1"/>
        <v>6.3326041812573397E-2</v>
      </c>
      <c r="AH4868" s="2" t="str">
        <f ca="1"/>
        <v>OK</v>
      </c>
    </row>
    <row r="4869" spans="2:34" x14ac:dyDescent="0.2">
      <c r="B4869" s="2">
        <f ca="1"/>
        <v>0.30098462106036394</v>
      </c>
      <c r="O4869" s="2">
        <f ca="1"/>
        <v>-1.1069486378648585</v>
      </c>
      <c r="X4869" s="2">
        <f ca="1"/>
        <v>40.457889696916425</v>
      </c>
      <c r="AG4869" s="2">
        <f ca="1"/>
        <v>0.60232855192948254</v>
      </c>
      <c r="AH4869" s="2" t="str">
        <f ca="1"/>
        <v>Bad</v>
      </c>
    </row>
    <row r="4870" spans="2:34" x14ac:dyDescent="0.2">
      <c r="B4870" s="2">
        <f ca="1"/>
        <v>0.63256457753936735</v>
      </c>
      <c r="O4870" s="2">
        <f ca="1"/>
        <v>-0.3026744748692955</v>
      </c>
      <c r="X4870" s="2">
        <f ca="1"/>
        <v>35.696691328691905</v>
      </c>
      <c r="AG4870" s="2">
        <f ca="1"/>
        <v>0.67394556635363911</v>
      </c>
      <c r="AH4870" s="2" t="str">
        <f ca="1"/>
        <v>Bad</v>
      </c>
    </row>
    <row r="4871" spans="2:34" x14ac:dyDescent="0.2">
      <c r="B4871" s="2">
        <f ca="1"/>
        <v>0.1997042898712611</v>
      </c>
      <c r="O4871" s="2">
        <f ca="1"/>
        <v>1.0919725853925515</v>
      </c>
      <c r="X4871" s="2">
        <f ca="1"/>
        <v>59.758934534940465</v>
      </c>
      <c r="AG4871" s="2">
        <f ca="1"/>
        <v>0.60844316298450929</v>
      </c>
      <c r="AH4871" s="2" t="str">
        <f ca="1"/>
        <v>Bad</v>
      </c>
    </row>
    <row r="4872" spans="2:34" x14ac:dyDescent="0.2">
      <c r="B4872" s="2">
        <f ca="1"/>
        <v>0.36859868838649845</v>
      </c>
      <c r="O4872" s="2">
        <f ca="1"/>
        <v>-1.7363401974188093</v>
      </c>
      <c r="X4872" s="2">
        <f ca="1"/>
        <v>66.369357475517404</v>
      </c>
      <c r="AG4872" s="2">
        <f ca="1"/>
        <v>0.22932962174594507</v>
      </c>
      <c r="AH4872" s="2" t="str">
        <f ca="1"/>
        <v>OK</v>
      </c>
    </row>
    <row r="4873" spans="2:34" x14ac:dyDescent="0.2">
      <c r="B4873" s="2">
        <f ca="1"/>
        <v>0.42447781560206521</v>
      </c>
      <c r="O4873" s="2">
        <f ca="1"/>
        <v>1.3153504051441918</v>
      </c>
      <c r="X4873" s="2">
        <f ca="1"/>
        <v>56.814804908432706</v>
      </c>
      <c r="AG4873" s="2">
        <f ca="1"/>
        <v>0.38013264983251616</v>
      </c>
      <c r="AH4873" s="2" t="str">
        <f ca="1"/>
        <v>OK</v>
      </c>
    </row>
    <row r="4874" spans="2:34" x14ac:dyDescent="0.2">
      <c r="B4874" s="2">
        <f ca="1"/>
        <v>0.6444023779515009</v>
      </c>
      <c r="O4874" s="2">
        <f ca="1"/>
        <v>-1.2649165648084482</v>
      </c>
      <c r="X4874" s="2">
        <f ca="1"/>
        <v>64.059083315106193</v>
      </c>
      <c r="AG4874" s="2">
        <f ca="1"/>
        <v>0.19546360720833666</v>
      </c>
      <c r="AH4874" s="2" t="str">
        <f ca="1"/>
        <v>OK</v>
      </c>
    </row>
    <row r="4875" spans="2:34" x14ac:dyDescent="0.2">
      <c r="B4875" s="2">
        <f ca="1"/>
        <v>0.1726708380647719</v>
      </c>
      <c r="O4875" s="2">
        <f ca="1"/>
        <v>-1.472884631547235</v>
      </c>
      <c r="X4875" s="2">
        <f ca="1"/>
        <v>44.896195101439453</v>
      </c>
      <c r="AG4875" s="2">
        <f ca="1"/>
        <v>1.7185352949361521E-2</v>
      </c>
      <c r="AH4875" s="2" t="str">
        <f ca="1"/>
        <v>Good</v>
      </c>
    </row>
    <row r="4876" spans="2:34" x14ac:dyDescent="0.2">
      <c r="B4876" s="2">
        <f ca="1"/>
        <v>0.33960472838538802</v>
      </c>
      <c r="O4876" s="2">
        <f ca="1"/>
        <v>8.0558825546453369E-2</v>
      </c>
      <c r="X4876" s="2">
        <f ca="1"/>
        <v>39.413010761688916</v>
      </c>
      <c r="AG4876" s="2">
        <f ca="1"/>
        <v>0.32026648973271032</v>
      </c>
      <c r="AH4876" s="2" t="str">
        <f ca="1"/>
        <v>OK</v>
      </c>
    </row>
    <row r="4877" spans="2:34" x14ac:dyDescent="0.2">
      <c r="B4877" s="2">
        <f ca="1"/>
        <v>9.2430167491296622E-2</v>
      </c>
      <c r="O4877" s="2">
        <f ca="1"/>
        <v>-0.14750068944289652</v>
      </c>
      <c r="X4877" s="2">
        <f ca="1"/>
        <v>36.595856035230995</v>
      </c>
      <c r="AG4877" s="2">
        <f ca="1"/>
        <v>0.44017077676881744</v>
      </c>
      <c r="AH4877" s="2" t="str">
        <f ca="1"/>
        <v>Bad</v>
      </c>
    </row>
    <row r="4878" spans="2:34" x14ac:dyDescent="0.2">
      <c r="B4878" s="2">
        <f ca="1"/>
        <v>0.1454819105427585</v>
      </c>
      <c r="O4878" s="2">
        <f ca="1"/>
        <v>-2.2928009035607113</v>
      </c>
      <c r="X4878" s="2">
        <f ca="1"/>
        <v>55.504984260964243</v>
      </c>
      <c r="AG4878" s="2">
        <f ca="1"/>
        <v>0.95497666161908157</v>
      </c>
      <c r="AH4878" s="2" t="str">
        <f ca="1"/>
        <v>Bad</v>
      </c>
    </row>
    <row r="4879" spans="2:34" x14ac:dyDescent="0.2">
      <c r="B4879" s="2">
        <f ca="1"/>
        <v>0.2395284386906904</v>
      </c>
      <c r="O4879" s="2">
        <f ca="1"/>
        <v>0.94837496740696092</v>
      </c>
      <c r="X4879" s="2">
        <f ca="1"/>
        <v>50.417449056860121</v>
      </c>
      <c r="AG4879" s="2">
        <f ca="1"/>
        <v>0.77301886692314814</v>
      </c>
      <c r="AH4879" s="2" t="str">
        <f ca="1"/>
        <v>Bad</v>
      </c>
    </row>
    <row r="4880" spans="2:34" x14ac:dyDescent="0.2">
      <c r="B4880" s="2">
        <f ca="1"/>
        <v>0.66290877595786357</v>
      </c>
      <c r="O4880" s="2">
        <f ca="1"/>
        <v>-0.11909487952953751</v>
      </c>
      <c r="X4880" s="2">
        <f ca="1"/>
        <v>110.78838378108651</v>
      </c>
      <c r="AG4880" s="2">
        <f ca="1"/>
        <v>0.46773113660482046</v>
      </c>
      <c r="AH4880" s="2" t="str">
        <f ca="1"/>
        <v>Bad</v>
      </c>
    </row>
    <row r="4881" spans="2:34" x14ac:dyDescent="0.2">
      <c r="B4881" s="2">
        <f ca="1"/>
        <v>6.3333921660766235E-2</v>
      </c>
      <c r="O4881" s="2">
        <f ca="1"/>
        <v>-1.0027254137354531</v>
      </c>
      <c r="X4881" s="2">
        <f ca="1"/>
        <v>55.46865080563407</v>
      </c>
      <c r="AG4881" s="2">
        <f ca="1"/>
        <v>9.4840449704741925E-2</v>
      </c>
      <c r="AH4881" s="2" t="str">
        <f ca="1"/>
        <v>OK</v>
      </c>
    </row>
    <row r="4882" spans="2:34" x14ac:dyDescent="0.2">
      <c r="B4882" s="2">
        <f ca="1"/>
        <v>0.22445842467935084</v>
      </c>
      <c r="O4882" s="2">
        <f ca="1"/>
        <v>0.11803221439934332</v>
      </c>
      <c r="X4882" s="2">
        <f ca="1"/>
        <v>70.10282556046451</v>
      </c>
      <c r="AG4882" s="2">
        <f ca="1"/>
        <v>0.96901187793798615</v>
      </c>
      <c r="AH4882" s="2" t="str">
        <f ca="1"/>
        <v>Bad</v>
      </c>
    </row>
    <row r="4883" spans="2:34" x14ac:dyDescent="0.2">
      <c r="B4883" s="2">
        <f ca="1"/>
        <v>0.26009257222472204</v>
      </c>
      <c r="O4883" s="2">
        <f ca="1"/>
        <v>1.3132325198101049</v>
      </c>
      <c r="X4883" s="2">
        <f ca="1"/>
        <v>53.264483642268516</v>
      </c>
      <c r="AG4883" s="2">
        <f ca="1"/>
        <v>0.37235232419802267</v>
      </c>
      <c r="AH4883" s="2" t="str">
        <f ca="1"/>
        <v>OK</v>
      </c>
    </row>
    <row r="4884" spans="2:34" x14ac:dyDescent="0.2">
      <c r="B4884" s="2">
        <f ca="1"/>
        <v>0.11618026845575979</v>
      </c>
      <c r="O4884" s="2">
        <f ca="1"/>
        <v>1.8347976356421034</v>
      </c>
      <c r="X4884" s="2">
        <f ca="1"/>
        <v>71.41318334478629</v>
      </c>
      <c r="AG4884" s="2">
        <f ca="1"/>
        <v>0.90327115301186889</v>
      </c>
      <c r="AH4884" s="2" t="str">
        <f ca="1"/>
        <v>Bad</v>
      </c>
    </row>
    <row r="4885" spans="2:34" x14ac:dyDescent="0.2">
      <c r="B4885" s="2">
        <f ca="1"/>
        <v>0.1384698464189229</v>
      </c>
      <c r="O4885" s="2">
        <f ca="1"/>
        <v>0.63693430690549613</v>
      </c>
      <c r="X4885" s="2">
        <f ca="1"/>
        <v>32.369791439219718</v>
      </c>
      <c r="AG4885" s="2">
        <f ca="1"/>
        <v>0.93804276670890685</v>
      </c>
      <c r="AH4885" s="2" t="str">
        <f ca="1"/>
        <v>Bad</v>
      </c>
    </row>
    <row r="4886" spans="2:34" x14ac:dyDescent="0.2">
      <c r="B4886" s="2">
        <f ca="1"/>
        <v>0.85938144569901964</v>
      </c>
      <c r="O4886" s="2">
        <f ca="1"/>
        <v>1.2381876841530994</v>
      </c>
      <c r="X4886" s="2">
        <f ca="1"/>
        <v>51.256195981176731</v>
      </c>
      <c r="AG4886" s="2">
        <f ca="1"/>
        <v>0.53062817983744237</v>
      </c>
      <c r="AH4886" s="2" t="str">
        <f ca="1"/>
        <v>Bad</v>
      </c>
    </row>
    <row r="4887" spans="2:34" x14ac:dyDescent="0.2">
      <c r="B4887" s="2">
        <f ca="1"/>
        <v>0.31499044760204686</v>
      </c>
      <c r="O4887" s="2">
        <f ca="1"/>
        <v>0.51542709006962728</v>
      </c>
      <c r="X4887" s="2">
        <f ca="1"/>
        <v>39.336226015277894</v>
      </c>
      <c r="AG4887" s="2">
        <f ca="1"/>
        <v>0.80910257215558246</v>
      </c>
      <c r="AH4887" s="2" t="str">
        <f ca="1"/>
        <v>Bad</v>
      </c>
    </row>
    <row r="4888" spans="2:34" x14ac:dyDescent="0.2">
      <c r="B4888" s="2">
        <f ca="1"/>
        <v>0.66085216145628545</v>
      </c>
      <c r="O4888" s="2">
        <f ca="1"/>
        <v>0.45673709620532377</v>
      </c>
      <c r="X4888" s="2">
        <f ca="1"/>
        <v>43.482742766121717</v>
      </c>
      <c r="AG4888" s="2">
        <f ca="1"/>
        <v>3.2016312789244994E-2</v>
      </c>
      <c r="AH4888" s="2" t="str">
        <f ca="1"/>
        <v>Good</v>
      </c>
    </row>
    <row r="4889" spans="2:34" x14ac:dyDescent="0.2">
      <c r="B4889" s="2">
        <f ca="1"/>
        <v>0.89271397911562866</v>
      </c>
      <c r="O4889" s="2">
        <f ca="1"/>
        <v>0.56643319484900656</v>
      </c>
      <c r="X4889" s="2">
        <f ca="1"/>
        <v>21.506176416334107</v>
      </c>
      <c r="AG4889" s="2">
        <f ca="1"/>
        <v>0.32775044621030824</v>
      </c>
      <c r="AH4889" s="2" t="str">
        <f ca="1"/>
        <v>OK</v>
      </c>
    </row>
    <row r="4890" spans="2:34" x14ac:dyDescent="0.2">
      <c r="B4890" s="2">
        <f ca="1"/>
        <v>0.67494272341793282</v>
      </c>
      <c r="O4890" s="2">
        <f ca="1"/>
        <v>-0.71019381972303619</v>
      </c>
      <c r="X4890" s="2">
        <f ca="1"/>
        <v>56.860408443922296</v>
      </c>
      <c r="AG4890" s="2">
        <f ca="1"/>
        <v>3.7250217588104206E-2</v>
      </c>
      <c r="AH4890" s="2" t="str">
        <f ca="1"/>
        <v>Good</v>
      </c>
    </row>
    <row r="4891" spans="2:34" x14ac:dyDescent="0.2">
      <c r="B4891" s="2">
        <f ca="1"/>
        <v>1.634826400402023E-3</v>
      </c>
      <c r="O4891" s="2">
        <f ca="1"/>
        <v>0.44736759617257188</v>
      </c>
      <c r="X4891" s="2">
        <f ca="1"/>
        <v>73.768177924047194</v>
      </c>
      <c r="AG4891" s="2">
        <f ca="1"/>
        <v>0.69692466617305504</v>
      </c>
      <c r="AH4891" s="2" t="str">
        <f ca="1"/>
        <v>Bad</v>
      </c>
    </row>
    <row r="4892" spans="2:34" x14ac:dyDescent="0.2">
      <c r="B4892" s="2">
        <f ca="1"/>
        <v>0.46815130851584907</v>
      </c>
      <c r="O4892" s="2">
        <f ca="1"/>
        <v>-2.0947635312564481</v>
      </c>
      <c r="X4892" s="2">
        <f ca="1"/>
        <v>51.567698690246729</v>
      </c>
      <c r="AG4892" s="2">
        <f ca="1"/>
        <v>0.47311271740688055</v>
      </c>
      <c r="AH4892" s="2" t="str">
        <f ca="1"/>
        <v>Bad</v>
      </c>
    </row>
    <row r="4893" spans="2:34" x14ac:dyDescent="0.2">
      <c r="B4893" s="2">
        <f ca="1"/>
        <v>0.61111869899059834</v>
      </c>
      <c r="O4893" s="2">
        <f ca="1"/>
        <v>0.77749617589592734</v>
      </c>
      <c r="X4893" s="2">
        <f ca="1"/>
        <v>39.992577028285361</v>
      </c>
      <c r="AG4893" s="2">
        <f ca="1"/>
        <v>0.93666311999058283</v>
      </c>
      <c r="AH4893" s="2" t="str">
        <f ca="1"/>
        <v>Bad</v>
      </c>
    </row>
    <row r="4894" spans="2:34" x14ac:dyDescent="0.2">
      <c r="B4894" s="2">
        <f ca="1"/>
        <v>0.78289492452758247</v>
      </c>
      <c r="O4894" s="2">
        <f ca="1"/>
        <v>-0.77210463242089344</v>
      </c>
      <c r="X4894" s="2">
        <f ca="1"/>
        <v>39.354270449813832</v>
      </c>
      <c r="AG4894" s="2">
        <f ca="1"/>
        <v>0.99723048417153448</v>
      </c>
      <c r="AH4894" s="2" t="str">
        <f ca="1"/>
        <v>Bad</v>
      </c>
    </row>
    <row r="4895" spans="2:34" x14ac:dyDescent="0.2">
      <c r="B4895" s="2">
        <f ca="1"/>
        <v>0.38740350599474072</v>
      </c>
      <c r="O4895" s="2">
        <f ca="1"/>
        <v>-1.0943373893968076</v>
      </c>
      <c r="X4895" s="2">
        <f ca="1"/>
        <v>51.464082627021668</v>
      </c>
      <c r="AG4895" s="2">
        <f ca="1"/>
        <v>0.47909816297314922</v>
      </c>
      <c r="AH4895" s="2" t="str">
        <f ca="1"/>
        <v>Bad</v>
      </c>
    </row>
    <row r="4896" spans="2:34" x14ac:dyDescent="0.2">
      <c r="B4896" s="2">
        <f ca="1"/>
        <v>0.87648910021724435</v>
      </c>
      <c r="O4896" s="2">
        <f ca="1"/>
        <v>-0.57299641465948714</v>
      </c>
      <c r="X4896" s="2">
        <f ca="1"/>
        <v>34.468264916501766</v>
      </c>
      <c r="AG4896" s="2">
        <f ca="1"/>
        <v>0.52486912774695638</v>
      </c>
      <c r="AH4896" s="2" t="str">
        <f ca="1"/>
        <v>Bad</v>
      </c>
    </row>
    <row r="4897" spans="2:34" x14ac:dyDescent="0.2">
      <c r="B4897" s="2">
        <f ca="1"/>
        <v>0.30893499062126195</v>
      </c>
      <c r="O4897" s="2">
        <f ca="1"/>
        <v>-0.49459785921317945</v>
      </c>
      <c r="X4897" s="2">
        <f ca="1"/>
        <v>74.349655525275693</v>
      </c>
      <c r="AG4897" s="2">
        <f ca="1"/>
        <v>0.89488175108777246</v>
      </c>
      <c r="AH4897" s="2" t="str">
        <f ca="1"/>
        <v>Bad</v>
      </c>
    </row>
    <row r="4898" spans="2:34" x14ac:dyDescent="0.2">
      <c r="B4898" s="2">
        <f ca="1"/>
        <v>0.14488842900767485</v>
      </c>
      <c r="O4898" s="2">
        <f ca="1"/>
        <v>-0.83729812992137176</v>
      </c>
      <c r="X4898" s="2">
        <f ca="1"/>
        <v>49.786588394462896</v>
      </c>
      <c r="AG4898" s="2">
        <f ca="1"/>
        <v>0.6014747364329549</v>
      </c>
      <c r="AH4898" s="2" t="str">
        <f ca="1"/>
        <v>Bad</v>
      </c>
    </row>
    <row r="4899" spans="2:34" x14ac:dyDescent="0.2">
      <c r="B4899" s="2">
        <f ca="1"/>
        <v>0.70979865946926668</v>
      </c>
      <c r="O4899" s="2">
        <f ca="1"/>
        <v>-0.12857520699214825</v>
      </c>
      <c r="X4899" s="2">
        <f ca="1"/>
        <v>45.17949376123763</v>
      </c>
      <c r="AG4899" s="2">
        <f ca="1"/>
        <v>0.85632901298738018</v>
      </c>
      <c r="AH4899" s="2" t="str">
        <f ca="1"/>
        <v>Bad</v>
      </c>
    </row>
    <row r="4900" spans="2:34" x14ac:dyDescent="0.2">
      <c r="B4900" s="2">
        <f ca="1"/>
        <v>0.11452815980847353</v>
      </c>
      <c r="O4900" s="2">
        <f ca="1"/>
        <v>-1.0063883496663306</v>
      </c>
      <c r="X4900" s="2">
        <f ca="1"/>
        <v>39.376069868556705</v>
      </c>
      <c r="AG4900" s="2">
        <f ca="1"/>
        <v>0.12343765505874682</v>
      </c>
      <c r="AH4900" s="2" t="str">
        <f ca="1"/>
        <v>OK</v>
      </c>
    </row>
    <row r="4901" spans="2:34" x14ac:dyDescent="0.2">
      <c r="B4901" s="2">
        <f ca="1"/>
        <v>0.83927896838490823</v>
      </c>
      <c r="O4901" s="2">
        <f ca="1"/>
        <v>-0.60316023063590241</v>
      </c>
      <c r="X4901" s="2">
        <f ca="1"/>
        <v>39.983594293747082</v>
      </c>
      <c r="AG4901" s="2">
        <f ca="1"/>
        <v>0.86600757331264622</v>
      </c>
      <c r="AH4901" s="2" t="str">
        <f ca="1"/>
        <v>Bad</v>
      </c>
    </row>
    <row r="4902" spans="2:34" x14ac:dyDescent="0.2">
      <c r="B4902" s="2">
        <f ca="1"/>
        <v>0.32949500600986448</v>
      </c>
      <c r="O4902" s="2">
        <f ca="1"/>
        <v>-1.2672169611361395</v>
      </c>
      <c r="X4902" s="2">
        <f ca="1"/>
        <v>53.79736598914063</v>
      </c>
      <c r="AG4902" s="2">
        <f ca="1"/>
        <v>0.30999755926329087</v>
      </c>
      <c r="AH4902" s="2" t="str">
        <f ca="1"/>
        <v>OK</v>
      </c>
    </row>
    <row r="4903" spans="2:34" x14ac:dyDescent="0.2">
      <c r="B4903" s="2">
        <f ca="1"/>
        <v>0.66496552080328675</v>
      </c>
      <c r="O4903" s="2">
        <f ca="1"/>
        <v>-1.092580484400175</v>
      </c>
      <c r="X4903" s="2">
        <f ca="1"/>
        <v>34.85844066279688</v>
      </c>
      <c r="AG4903" s="2">
        <f ca="1"/>
        <v>0.55725239330419263</v>
      </c>
      <c r="AH4903" s="2" t="str">
        <f ca="1"/>
        <v>Bad</v>
      </c>
    </row>
    <row r="4904" spans="2:34" x14ac:dyDescent="0.2">
      <c r="B4904" s="2">
        <f ca="1"/>
        <v>0.89640797510197245</v>
      </c>
      <c r="O4904" s="2">
        <f ca="1"/>
        <v>1.2365744853778233</v>
      </c>
      <c r="X4904" s="2">
        <f ca="1"/>
        <v>89.045773131140407</v>
      </c>
      <c r="AG4904" s="2">
        <f ca="1"/>
        <v>0.39561990866796859</v>
      </c>
      <c r="AH4904" s="2" t="str">
        <f ca="1"/>
        <v>OK</v>
      </c>
    </row>
    <row r="4905" spans="2:34" x14ac:dyDescent="0.2">
      <c r="B4905" s="2">
        <f ca="1"/>
        <v>0.44086033627830701</v>
      </c>
      <c r="O4905" s="2">
        <f ca="1"/>
        <v>-0.4884066640692134</v>
      </c>
      <c r="X4905" s="2">
        <f ca="1"/>
        <v>34.850900036310122</v>
      </c>
      <c r="AG4905" s="2">
        <f ca="1"/>
        <v>1.7339688926093499E-2</v>
      </c>
      <c r="AH4905" s="2" t="str">
        <f ca="1"/>
        <v>Good</v>
      </c>
    </row>
    <row r="4906" spans="2:34" x14ac:dyDescent="0.2">
      <c r="B4906" s="2">
        <f ca="1"/>
        <v>0.21144649734815868</v>
      </c>
      <c r="O4906" s="2">
        <f ca="1"/>
        <v>-0.29530730548280154</v>
      </c>
      <c r="X4906" s="2">
        <f ca="1"/>
        <v>37.325488213849212</v>
      </c>
      <c r="AG4906" s="2">
        <f ca="1"/>
        <v>0.17119443347554797</v>
      </c>
      <c r="AH4906" s="2" t="str">
        <f ca="1"/>
        <v>OK</v>
      </c>
    </row>
    <row r="4907" spans="2:34" x14ac:dyDescent="0.2">
      <c r="B4907" s="2">
        <f ca="1"/>
        <v>0.64959966258122481</v>
      </c>
      <c r="O4907" s="2">
        <f ca="1"/>
        <v>0.33876078038188173</v>
      </c>
      <c r="X4907" s="2">
        <f ca="1"/>
        <v>45.745289700884811</v>
      </c>
      <c r="AG4907" s="2">
        <f ca="1"/>
        <v>2.6485762219605746E-2</v>
      </c>
      <c r="AH4907" s="2" t="str">
        <f ca="1"/>
        <v>Good</v>
      </c>
    </row>
    <row r="4908" spans="2:34" x14ac:dyDescent="0.2">
      <c r="B4908" s="2">
        <f ca="1"/>
        <v>0.94347218625657803</v>
      </c>
      <c r="O4908" s="2">
        <f ca="1"/>
        <v>1.4829849904290466</v>
      </c>
      <c r="X4908" s="2">
        <f ca="1"/>
        <v>35.662617760983913</v>
      </c>
      <c r="AG4908" s="2">
        <f ca="1"/>
        <v>0.46766785828744761</v>
      </c>
      <c r="AH4908" s="2" t="str">
        <f ca="1"/>
        <v>Bad</v>
      </c>
    </row>
    <row r="4909" spans="2:34" x14ac:dyDescent="0.2">
      <c r="B4909" s="2">
        <f ca="1"/>
        <v>0.92425840381118451</v>
      </c>
      <c r="O4909" s="2">
        <f ca="1"/>
        <v>0.28401141658367202</v>
      </c>
      <c r="X4909" s="2">
        <f ca="1"/>
        <v>51.458397517656557</v>
      </c>
      <c r="AG4909" s="2">
        <f ca="1"/>
        <v>2.4086251690480509E-4</v>
      </c>
      <c r="AH4909" s="2" t="str">
        <f ca="1"/>
        <v>Good</v>
      </c>
    </row>
    <row r="4910" spans="2:34" x14ac:dyDescent="0.2">
      <c r="B4910" s="2">
        <f ca="1"/>
        <v>8.2235109094663805E-4</v>
      </c>
      <c r="O4910" s="2">
        <f ca="1"/>
        <v>0.11370121030836829</v>
      </c>
      <c r="X4910" s="2">
        <f ca="1"/>
        <v>33.594765517613283</v>
      </c>
      <c r="AG4910" s="2">
        <f ca="1"/>
        <v>0.64778572313827887</v>
      </c>
      <c r="AH4910" s="2" t="str">
        <f ca="1"/>
        <v>Bad</v>
      </c>
    </row>
    <row r="4911" spans="2:34" x14ac:dyDescent="0.2">
      <c r="B4911" s="2">
        <f ca="1"/>
        <v>0.4775106082853402</v>
      </c>
      <c r="O4911" s="2">
        <f ca="1"/>
        <v>0.62578360696439905</v>
      </c>
      <c r="X4911" s="2">
        <f ca="1"/>
        <v>116.92835261050189</v>
      </c>
      <c r="AG4911" s="2">
        <f ca="1"/>
        <v>0.69907402961478371</v>
      </c>
      <c r="AH4911" s="2" t="str">
        <f ca="1"/>
        <v>Bad</v>
      </c>
    </row>
    <row r="4912" spans="2:34" x14ac:dyDescent="0.2">
      <c r="B4912" s="2">
        <f ca="1"/>
        <v>0.26847813319838942</v>
      </c>
      <c r="O4912" s="2">
        <f ca="1"/>
        <v>-0.46482555510452533</v>
      </c>
      <c r="X4912" s="2">
        <f ca="1"/>
        <v>48.603159523235306</v>
      </c>
      <c r="AG4912" s="2">
        <f ca="1"/>
        <v>0.29937810082267058</v>
      </c>
      <c r="AH4912" s="2" t="str">
        <f ca="1"/>
        <v>OK</v>
      </c>
    </row>
    <row r="4913" spans="2:34" x14ac:dyDescent="0.2">
      <c r="B4913" s="2">
        <f ca="1"/>
        <v>0.90271273648078942</v>
      </c>
      <c r="O4913" s="2">
        <f ca="1"/>
        <v>-1.7111699746519</v>
      </c>
      <c r="X4913" s="2">
        <f ca="1"/>
        <v>56.820047448195623</v>
      </c>
      <c r="AG4913" s="2">
        <f ca="1"/>
        <v>9.3033872965819775E-4</v>
      </c>
      <c r="AH4913" s="2" t="str">
        <f ca="1"/>
        <v>Good</v>
      </c>
    </row>
    <row r="4914" spans="2:34" x14ac:dyDescent="0.2">
      <c r="B4914" s="2">
        <f ca="1"/>
        <v>0.69061750215144357</v>
      </c>
      <c r="O4914" s="2">
        <f ca="1"/>
        <v>-0.88894871842196233</v>
      </c>
      <c r="X4914" s="2">
        <f ca="1"/>
        <v>31.509803210735399</v>
      </c>
      <c r="AG4914" s="2">
        <f ca="1"/>
        <v>0.59682549400519447</v>
      </c>
      <c r="AH4914" s="2" t="str">
        <f ca="1"/>
        <v>Bad</v>
      </c>
    </row>
    <row r="4915" spans="2:34" x14ac:dyDescent="0.2">
      <c r="B4915" s="2">
        <f ca="1"/>
        <v>0.52324087391778717</v>
      </c>
      <c r="O4915" s="2">
        <f ca="1"/>
        <v>0.43272096788721343</v>
      </c>
      <c r="X4915" s="2">
        <f ca="1"/>
        <v>66.215206137849265</v>
      </c>
      <c r="AG4915" s="2">
        <f ca="1"/>
        <v>0.42144885958026634</v>
      </c>
      <c r="AH4915" s="2" t="str">
        <f ca="1"/>
        <v>Bad</v>
      </c>
    </row>
    <row r="4916" spans="2:34" x14ac:dyDescent="0.2">
      <c r="B4916" s="2">
        <f ca="1"/>
        <v>0.28254647468811833</v>
      </c>
      <c r="O4916" s="2">
        <f ca="1"/>
        <v>1.060150607765868</v>
      </c>
      <c r="X4916" s="2">
        <f ca="1"/>
        <v>63.39713857647034</v>
      </c>
      <c r="AG4916" s="2">
        <f ca="1"/>
        <v>0.65115181856911364</v>
      </c>
      <c r="AH4916" s="2" t="str">
        <f ca="1"/>
        <v>Bad</v>
      </c>
    </row>
    <row r="4917" spans="2:34" x14ac:dyDescent="0.2">
      <c r="B4917" s="2">
        <f ca="1"/>
        <v>0.39938922413342648</v>
      </c>
      <c r="O4917" s="2">
        <f ca="1"/>
        <v>0.21108809428046654</v>
      </c>
      <c r="X4917" s="2">
        <f ca="1"/>
        <v>59.927530007190406</v>
      </c>
      <c r="AG4917" s="2">
        <f ca="1"/>
        <v>7.2770192306311321E-2</v>
      </c>
      <c r="AH4917" s="2" t="str">
        <f ca="1"/>
        <v>OK</v>
      </c>
    </row>
    <row r="4918" spans="2:34" x14ac:dyDescent="0.2">
      <c r="B4918" s="2">
        <f ca="1"/>
        <v>0.90953717125598321</v>
      </c>
      <c r="O4918" s="2">
        <f ca="1"/>
        <v>-0.87665701114681849</v>
      </c>
      <c r="X4918" s="2">
        <f ca="1"/>
        <v>53.419448749512391</v>
      </c>
      <c r="AG4918" s="2">
        <f ca="1"/>
        <v>9.1069297287514228E-2</v>
      </c>
      <c r="AH4918" s="2" t="str">
        <f ca="1"/>
        <v>OK</v>
      </c>
    </row>
    <row r="4919" spans="2:34" x14ac:dyDescent="0.2">
      <c r="B4919" s="2">
        <f ca="1"/>
        <v>0.1871917916204624</v>
      </c>
      <c r="O4919" s="2">
        <f ca="1"/>
        <v>0.71665900556070061</v>
      </c>
      <c r="X4919" s="2">
        <f ca="1"/>
        <v>23.71673257708785</v>
      </c>
      <c r="AG4919" s="2">
        <f ca="1"/>
        <v>0.52474888324392333</v>
      </c>
      <c r="AH4919" s="2" t="str">
        <f ca="1"/>
        <v>Bad</v>
      </c>
    </row>
    <row r="4920" spans="2:34" x14ac:dyDescent="0.2">
      <c r="B4920" s="2">
        <f ca="1"/>
        <v>0.99073844189304316</v>
      </c>
      <c r="O4920" s="2">
        <f ca="1"/>
        <v>-7.5490757038299772E-2</v>
      </c>
      <c r="X4920" s="2">
        <f ca="1"/>
        <v>46.339577201624671</v>
      </c>
      <c r="AG4920" s="2">
        <f ca="1"/>
        <v>0.2068176698866202</v>
      </c>
      <c r="AH4920" s="2" t="str">
        <f ca="1"/>
        <v>OK</v>
      </c>
    </row>
    <row r="4921" spans="2:34" x14ac:dyDescent="0.2">
      <c r="B4921" s="2">
        <f ca="1"/>
        <v>0.87585449120028036</v>
      </c>
      <c r="O4921" s="2">
        <f ca="1"/>
        <v>0.64964296852087411</v>
      </c>
      <c r="X4921" s="2">
        <f ca="1"/>
        <v>49.960990496612482</v>
      </c>
      <c r="AG4921" s="2">
        <f ca="1"/>
        <v>0.86521809293498442</v>
      </c>
      <c r="AH4921" s="2" t="str">
        <f ca="1"/>
        <v>Bad</v>
      </c>
    </row>
    <row r="4922" spans="2:34" x14ac:dyDescent="0.2">
      <c r="B4922" s="2">
        <f ca="1"/>
        <v>0.1665923039483399</v>
      </c>
      <c r="O4922" s="2">
        <f ca="1"/>
        <v>-0.1743365123563109</v>
      </c>
      <c r="X4922" s="2">
        <f ca="1"/>
        <v>52.915318766134462</v>
      </c>
      <c r="AG4922" s="2">
        <f ca="1"/>
        <v>0.55170975954057755</v>
      </c>
      <c r="AH4922" s="2" t="str">
        <f ca="1"/>
        <v>Bad</v>
      </c>
    </row>
    <row r="4923" spans="2:34" x14ac:dyDescent="0.2">
      <c r="B4923" s="2">
        <f ca="1"/>
        <v>0.87576139860632596</v>
      </c>
      <c r="O4923" s="2">
        <f ca="1"/>
        <v>1.4832535132450744</v>
      </c>
      <c r="X4923" s="2">
        <f ca="1"/>
        <v>43.757638375407808</v>
      </c>
      <c r="AG4923" s="2">
        <f ca="1"/>
        <v>0.3028480866107488</v>
      </c>
      <c r="AH4923" s="2" t="str">
        <f ca="1"/>
        <v>OK</v>
      </c>
    </row>
    <row r="4924" spans="2:34" x14ac:dyDescent="0.2">
      <c r="B4924" s="2">
        <f ca="1"/>
        <v>0.8463323882733873</v>
      </c>
      <c r="O4924" s="2">
        <f ca="1"/>
        <v>0.13116968667588591</v>
      </c>
      <c r="X4924" s="2">
        <f ca="1"/>
        <v>46.99057823740938</v>
      </c>
      <c r="AG4924" s="2">
        <f ca="1"/>
        <v>0.28307379452817227</v>
      </c>
      <c r="AH4924" s="2" t="str">
        <f ca="1"/>
        <v>OK</v>
      </c>
    </row>
    <row r="4925" spans="2:34" x14ac:dyDescent="0.2">
      <c r="B4925" s="2">
        <f ca="1"/>
        <v>0.83859320569890583</v>
      </c>
      <c r="O4925" s="2">
        <f ca="1"/>
        <v>1.0212596812719055</v>
      </c>
      <c r="X4925" s="2">
        <f ca="1"/>
        <v>72.346660183982735</v>
      </c>
      <c r="AG4925" s="2">
        <f ca="1"/>
        <v>0.42780120384836895</v>
      </c>
      <c r="AH4925" s="2" t="str">
        <f ca="1"/>
        <v>Bad</v>
      </c>
    </row>
    <row r="4926" spans="2:34" x14ac:dyDescent="0.2">
      <c r="B4926" s="2">
        <f ca="1"/>
        <v>2.9763357240185639E-2</v>
      </c>
      <c r="O4926" s="2">
        <f ca="1"/>
        <v>-0.38424304262763459</v>
      </c>
      <c r="X4926" s="2">
        <f ca="1"/>
        <v>21.661133349456282</v>
      </c>
      <c r="AG4926" s="2">
        <f ca="1"/>
        <v>0.72893712756636475</v>
      </c>
      <c r="AH4926" s="2" t="str">
        <f ca="1"/>
        <v>Bad</v>
      </c>
    </row>
    <row r="4927" spans="2:34" x14ac:dyDescent="0.2">
      <c r="B4927" s="2">
        <f ca="1"/>
        <v>5.2914693203178764E-2</v>
      </c>
      <c r="O4927" s="2">
        <f ca="1"/>
        <v>1.0973805579442373</v>
      </c>
      <c r="X4927" s="2">
        <f ca="1"/>
        <v>45.111535450743546</v>
      </c>
      <c r="AG4927" s="2">
        <f ca="1"/>
        <v>5.9112700438264998E-2</v>
      </c>
      <c r="AH4927" s="2" t="str">
        <f ca="1"/>
        <v>OK</v>
      </c>
    </row>
    <row r="4928" spans="2:34" x14ac:dyDescent="0.2">
      <c r="B4928" s="2">
        <f ca="1"/>
        <v>0.70990864681674126</v>
      </c>
      <c r="O4928" s="2">
        <f ca="1"/>
        <v>-0.73874217244858909</v>
      </c>
      <c r="X4928" s="2">
        <f ca="1"/>
        <v>61.045907458371246</v>
      </c>
      <c r="AG4928" s="2">
        <f ca="1"/>
        <v>7.4036659143968064E-2</v>
      </c>
      <c r="AH4928" s="2" t="str">
        <f ca="1"/>
        <v>OK</v>
      </c>
    </row>
    <row r="4929" spans="2:34" x14ac:dyDescent="0.2">
      <c r="B4929" s="2">
        <f ca="1"/>
        <v>0.47791271990370676</v>
      </c>
      <c r="O4929" s="2">
        <f ca="1"/>
        <v>1.1875637888298345</v>
      </c>
      <c r="X4929" s="2">
        <f ca="1"/>
        <v>45.239229688356339</v>
      </c>
      <c r="AG4929" s="2">
        <f ca="1"/>
        <v>0.76074171240967559</v>
      </c>
      <c r="AH4929" s="2" t="str">
        <f ca="1"/>
        <v>Bad</v>
      </c>
    </row>
    <row r="4930" spans="2:34" x14ac:dyDescent="0.2">
      <c r="B4930" s="2">
        <f ca="1"/>
        <v>4.8230684923238343E-3</v>
      </c>
      <c r="O4930" s="2">
        <f ca="1"/>
        <v>-0.10656374983410397</v>
      </c>
      <c r="X4930" s="2">
        <f ca="1"/>
        <v>42.462273407269684</v>
      </c>
      <c r="AG4930" s="2">
        <f ca="1"/>
        <v>0.78168968594122012</v>
      </c>
      <c r="AH4930" s="2" t="str">
        <f ca="1"/>
        <v>Bad</v>
      </c>
    </row>
    <row r="4931" spans="2:34" x14ac:dyDescent="0.2">
      <c r="B4931" s="2">
        <f ca="1"/>
        <v>0.68126974003889695</v>
      </c>
      <c r="O4931" s="2">
        <f ca="1"/>
        <v>2.2162037925576925</v>
      </c>
      <c r="X4931" s="2">
        <f ca="1"/>
        <v>45.150426855916336</v>
      </c>
      <c r="AG4931" s="2">
        <f ca="1"/>
        <v>0.9074321703250281</v>
      </c>
      <c r="AH4931" s="2" t="str">
        <f ca="1"/>
        <v>Bad</v>
      </c>
    </row>
    <row r="4932" spans="2:34" x14ac:dyDescent="0.2">
      <c r="B4932" s="2">
        <f ca="1"/>
        <v>0.33362634460033114</v>
      </c>
      <c r="O4932" s="2">
        <f ca="1"/>
        <v>-1.5819708417813767</v>
      </c>
      <c r="X4932" s="2">
        <f ca="1"/>
        <v>57.568182212395627</v>
      </c>
      <c r="AG4932" s="2">
        <f ca="1"/>
        <v>0.83447774934982566</v>
      </c>
      <c r="AH4932" s="2" t="str">
        <f ca="1"/>
        <v>Bad</v>
      </c>
    </row>
    <row r="4933" spans="2:34" x14ac:dyDescent="0.2">
      <c r="B4933" s="2">
        <f ca="1"/>
        <v>0.67757414702245922</v>
      </c>
      <c r="O4933" s="2">
        <f ca="1"/>
        <v>-1.2454032441520386</v>
      </c>
      <c r="X4933" s="2">
        <f ca="1"/>
        <v>28.973220128004652</v>
      </c>
      <c r="AG4933" s="2">
        <f ca="1"/>
        <v>0.91686984696899065</v>
      </c>
      <c r="AH4933" s="2" t="str">
        <f ca="1"/>
        <v>Bad</v>
      </c>
    </row>
    <row r="4934" spans="2:34" x14ac:dyDescent="0.2">
      <c r="B4934" s="2">
        <f ca="1"/>
        <v>0.16780875875899026</v>
      </c>
      <c r="O4934" s="2">
        <f ca="1"/>
        <v>-0.62780080478229572</v>
      </c>
      <c r="X4934" s="2">
        <f ca="1"/>
        <v>33.441730996337611</v>
      </c>
      <c r="AG4934" s="2">
        <f ca="1"/>
        <v>0.91038220894235056</v>
      </c>
      <c r="AH4934" s="2" t="str">
        <f ca="1"/>
        <v>Bad</v>
      </c>
    </row>
    <row r="4935" spans="2:34" x14ac:dyDescent="0.2">
      <c r="B4935" s="2">
        <f ca="1"/>
        <v>0.89809578791478417</v>
      </c>
      <c r="O4935" s="2">
        <f ca="1"/>
        <v>0.57103769835545515</v>
      </c>
      <c r="X4935" s="2">
        <f ca="1"/>
        <v>32.476649974847575</v>
      </c>
      <c r="AG4935" s="2">
        <f ca="1"/>
        <v>0.68636014653043209</v>
      </c>
      <c r="AH4935" s="2" t="str">
        <f ca="1"/>
        <v>Bad</v>
      </c>
    </row>
    <row r="4936" spans="2:34" x14ac:dyDescent="0.2">
      <c r="B4936" s="2">
        <f ca="1"/>
        <v>0.18667867846850794</v>
      </c>
      <c r="O4936" s="2">
        <f ca="1"/>
        <v>-0.39241661506297387</v>
      </c>
      <c r="X4936" s="2">
        <f ca="1"/>
        <v>38.522477138821692</v>
      </c>
      <c r="AG4936" s="2">
        <f ca="1"/>
        <v>0.96847193739925475</v>
      </c>
      <c r="AH4936" s="2" t="str">
        <f ca="1"/>
        <v>Bad</v>
      </c>
    </row>
    <row r="4937" spans="2:34" x14ac:dyDescent="0.2">
      <c r="B4937" s="2">
        <f ca="1"/>
        <v>2.7117085757643933E-2</v>
      </c>
      <c r="O4937" s="2">
        <f ca="1"/>
        <v>0.41566268713515958</v>
      </c>
      <c r="X4937" s="2">
        <f ca="1"/>
        <v>35.414261954634071</v>
      </c>
      <c r="AG4937" s="2">
        <f ca="1"/>
        <v>0.67585437619683186</v>
      </c>
      <c r="AH4937" s="2" t="str">
        <f ca="1"/>
        <v>Bad</v>
      </c>
    </row>
    <row r="4938" spans="2:34" x14ac:dyDescent="0.2">
      <c r="B4938" s="2">
        <f ca="1"/>
        <v>0.79640813941766608</v>
      </c>
      <c r="O4938" s="2">
        <f ca="1"/>
        <v>1.2269483246532766</v>
      </c>
      <c r="X4938" s="2">
        <f ca="1"/>
        <v>55.444691320800274</v>
      </c>
      <c r="AG4938" s="2">
        <f ca="1"/>
        <v>0.89981695178074705</v>
      </c>
      <c r="AH4938" s="2" t="str">
        <f ca="1"/>
        <v>Bad</v>
      </c>
    </row>
    <row r="4939" spans="2:34" x14ac:dyDescent="0.2">
      <c r="B4939" s="2">
        <f ca="1"/>
        <v>0.17677101218380509</v>
      </c>
      <c r="O4939" s="2">
        <f ca="1"/>
        <v>-0.89205951562944508</v>
      </c>
      <c r="X4939" s="2">
        <f ca="1"/>
        <v>73.422933834376096</v>
      </c>
      <c r="AG4939" s="2">
        <f ca="1"/>
        <v>4.913215021057793E-2</v>
      </c>
      <c r="AH4939" s="2" t="str">
        <f ca="1"/>
        <v>Good</v>
      </c>
    </row>
    <row r="4940" spans="2:34" x14ac:dyDescent="0.2">
      <c r="B4940" s="2">
        <f ca="1"/>
        <v>0.4725349308283413</v>
      </c>
      <c r="O4940" s="2">
        <f ca="1"/>
        <v>0.71374991492083739</v>
      </c>
      <c r="X4940" s="2">
        <f ca="1"/>
        <v>36.572108231743613</v>
      </c>
      <c r="AG4940" s="2">
        <f ca="1"/>
        <v>0.93582530917632023</v>
      </c>
      <c r="AH4940" s="2" t="str">
        <f ca="1"/>
        <v>Bad</v>
      </c>
    </row>
    <row r="4941" spans="2:34" x14ac:dyDescent="0.2">
      <c r="B4941" s="2">
        <f ca="1"/>
        <v>4.3311573278157933E-2</v>
      </c>
      <c r="O4941" s="2">
        <f ca="1"/>
        <v>-0.15324613586758368</v>
      </c>
      <c r="X4941" s="2">
        <f ca="1"/>
        <v>51.56973558804534</v>
      </c>
      <c r="AG4941" s="2">
        <f ca="1"/>
        <v>0.78356215846887189</v>
      </c>
      <c r="AH4941" s="2" t="str">
        <f ca="1"/>
        <v>Bad</v>
      </c>
    </row>
    <row r="4942" spans="2:34" x14ac:dyDescent="0.2">
      <c r="B4942" s="2">
        <f ca="1"/>
        <v>0.16197741506109331</v>
      </c>
      <c r="O4942" s="2">
        <f ca="1"/>
        <v>-8.3427815703873115E-2</v>
      </c>
      <c r="X4942" s="2">
        <f ca="1"/>
        <v>29.630873215770016</v>
      </c>
      <c r="AG4942" s="2">
        <f ca="1"/>
        <v>0.37172713590576301</v>
      </c>
      <c r="AH4942" s="2" t="str">
        <f ca="1"/>
        <v>OK</v>
      </c>
    </row>
    <row r="4943" spans="2:34" x14ac:dyDescent="0.2">
      <c r="B4943" s="2">
        <f ca="1"/>
        <v>0.92711053388340692</v>
      </c>
      <c r="O4943" s="2">
        <f ca="1"/>
        <v>-0.86586088023295149</v>
      </c>
      <c r="X4943" s="2">
        <f ca="1"/>
        <v>55.393166322037942</v>
      </c>
      <c r="AG4943" s="2">
        <f ca="1"/>
        <v>7.0858801841526375E-2</v>
      </c>
      <c r="AH4943" s="2" t="str">
        <f ca="1"/>
        <v>OK</v>
      </c>
    </row>
    <row r="4944" spans="2:34" x14ac:dyDescent="0.2">
      <c r="B4944" s="2">
        <f ca="1"/>
        <v>0.60647158289951708</v>
      </c>
      <c r="O4944" s="2">
        <f ca="1"/>
        <v>-1.6495700256521242</v>
      </c>
      <c r="X4944" s="2">
        <f ca="1"/>
        <v>22.637444561018043</v>
      </c>
      <c r="AG4944" s="2">
        <f ca="1"/>
        <v>0.61166490897252457</v>
      </c>
      <c r="AH4944" s="2" t="str">
        <f ca="1"/>
        <v>Bad</v>
      </c>
    </row>
    <row r="4945" spans="2:34" x14ac:dyDescent="0.2">
      <c r="B4945" s="2">
        <f ca="1"/>
        <v>0.45858683632389008</v>
      </c>
      <c r="O4945" s="2">
        <f ca="1"/>
        <v>-0.12178455242209006</v>
      </c>
      <c r="X4945" s="2">
        <f ca="1"/>
        <v>39.495693565072003</v>
      </c>
      <c r="AG4945" s="2">
        <f ca="1"/>
        <v>0.5389422833760551</v>
      </c>
      <c r="AH4945" s="2" t="str">
        <f ca="1"/>
        <v>Bad</v>
      </c>
    </row>
    <row r="4946" spans="2:34" x14ac:dyDescent="0.2">
      <c r="B4946" s="2">
        <f ca="1"/>
        <v>0.75615885513813996</v>
      </c>
      <c r="O4946" s="2">
        <f ca="1"/>
        <v>0.16890172932158135</v>
      </c>
      <c r="X4946" s="2">
        <f ca="1"/>
        <v>28.923862624196396</v>
      </c>
      <c r="AG4946" s="2">
        <f ca="1"/>
        <v>0.80518271222794247</v>
      </c>
      <c r="AH4946" s="2" t="str">
        <f ca="1"/>
        <v>Bad</v>
      </c>
    </row>
    <row r="4947" spans="2:34" x14ac:dyDescent="0.2">
      <c r="B4947" s="2">
        <f ca="1"/>
        <v>0.12776234373932982</v>
      </c>
      <c r="O4947" s="2">
        <f ca="1"/>
        <v>0.27113598567383579</v>
      </c>
      <c r="X4947" s="2">
        <f ca="1"/>
        <v>35.162679107534473</v>
      </c>
      <c r="AG4947" s="2">
        <f ca="1"/>
        <v>0.42049980336646464</v>
      </c>
      <c r="AH4947" s="2" t="str">
        <f ca="1"/>
        <v>Bad</v>
      </c>
    </row>
    <row r="4948" spans="2:34" x14ac:dyDescent="0.2">
      <c r="B4948" s="2">
        <f ca="1"/>
        <v>0.78891926083723463</v>
      </c>
      <c r="O4948" s="2">
        <f ca="1"/>
        <v>-0.62251851107219192</v>
      </c>
      <c r="X4948" s="2">
        <f ca="1"/>
        <v>31.737579513809941</v>
      </c>
      <c r="AG4948" s="2">
        <f ca="1"/>
        <v>0.6261657481883538</v>
      </c>
      <c r="AH4948" s="2" t="str">
        <f ca="1"/>
        <v>Bad</v>
      </c>
    </row>
    <row r="4949" spans="2:34" x14ac:dyDescent="0.2">
      <c r="B4949" s="2">
        <f ca="1"/>
        <v>0.50150923510358991</v>
      </c>
      <c r="O4949" s="2">
        <f ca="1"/>
        <v>0.94893446641259915</v>
      </c>
      <c r="X4949" s="2">
        <f ca="1"/>
        <v>40.932851480575678</v>
      </c>
      <c r="AG4949" s="2">
        <f ca="1"/>
        <v>0.73317213956598537</v>
      </c>
      <c r="AH4949" s="2" t="str">
        <f ca="1"/>
        <v>Bad</v>
      </c>
    </row>
    <row r="4950" spans="2:34" x14ac:dyDescent="0.2">
      <c r="B4950" s="2">
        <f ca="1"/>
        <v>0.86805968689093471</v>
      </c>
      <c r="O4950" s="2">
        <f ca="1"/>
        <v>0.45924603316795054</v>
      </c>
      <c r="X4950" s="2">
        <f ca="1"/>
        <v>49.077172372739746</v>
      </c>
      <c r="AG4950" s="2">
        <f ca="1"/>
        <v>0.47295737488308709</v>
      </c>
      <c r="AH4950" s="2" t="str">
        <f ca="1"/>
        <v>Bad</v>
      </c>
    </row>
    <row r="4951" spans="2:34" x14ac:dyDescent="0.2">
      <c r="B4951" s="2">
        <f ca="1"/>
        <v>0.31069028435472656</v>
      </c>
      <c r="O4951" s="2">
        <f ca="1"/>
        <v>0.78573438195021506</v>
      </c>
      <c r="X4951" s="2">
        <f ca="1"/>
        <v>46.337751812932702</v>
      </c>
      <c r="AG4951" s="2">
        <f ca="1"/>
        <v>0.1506096103100818</v>
      </c>
      <c r="AH4951" s="2" t="str">
        <f ca="1"/>
        <v>OK</v>
      </c>
    </row>
    <row r="4952" spans="2:34" x14ac:dyDescent="0.2">
      <c r="B4952" s="2">
        <f ca="1"/>
        <v>0.62331026110913723</v>
      </c>
      <c r="O4952" s="2">
        <f ca="1"/>
        <v>0.33728987375240371</v>
      </c>
      <c r="X4952" s="2">
        <f ca="1"/>
        <v>45.58210887028018</v>
      </c>
      <c r="AG4952" s="2">
        <f ca="1"/>
        <v>3.4280481027209042E-2</v>
      </c>
      <c r="AH4952" s="2" t="str">
        <f ca="1"/>
        <v>Good</v>
      </c>
    </row>
    <row r="4953" spans="2:34" x14ac:dyDescent="0.2">
      <c r="B4953" s="2">
        <f ca="1"/>
        <v>0.39520634560724965</v>
      </c>
      <c r="O4953" s="2">
        <f ca="1"/>
        <v>1.5790084962073472</v>
      </c>
      <c r="X4953" s="2">
        <f ca="1"/>
        <v>54.955383653803139</v>
      </c>
      <c r="AG4953" s="2">
        <f ca="1"/>
        <v>0.25269160799807389</v>
      </c>
      <c r="AH4953" s="2" t="str">
        <f ca="1"/>
        <v>OK</v>
      </c>
    </row>
    <row r="4954" spans="2:34" x14ac:dyDescent="0.2">
      <c r="B4954" s="2">
        <f ca="1"/>
        <v>0.72433853049933283</v>
      </c>
      <c r="O4954" s="2">
        <f ca="1"/>
        <v>0.35170478919065173</v>
      </c>
      <c r="X4954" s="2">
        <f ca="1"/>
        <v>57.066438097006426</v>
      </c>
      <c r="AG4954" s="2">
        <f ca="1"/>
        <v>0.71906129306893196</v>
      </c>
      <c r="AH4954" s="2" t="str">
        <f ca="1"/>
        <v>Bad</v>
      </c>
    </row>
    <row r="4955" spans="2:34" x14ac:dyDescent="0.2">
      <c r="B4955" s="2">
        <f ca="1"/>
        <v>0.72744413256114493</v>
      </c>
      <c r="O4955" s="2">
        <f ca="1"/>
        <v>1.1162766729383544</v>
      </c>
      <c r="X4955" s="2">
        <f ca="1"/>
        <v>28.843957972471923</v>
      </c>
      <c r="AG4955" s="2">
        <f ca="1"/>
        <v>0.7070061776255232</v>
      </c>
      <c r="AH4955" s="2" t="str">
        <f ca="1"/>
        <v>Bad</v>
      </c>
    </row>
    <row r="4956" spans="2:34" x14ac:dyDescent="0.2">
      <c r="B4956" s="2">
        <f ca="1"/>
        <v>0.33975711691164734</v>
      </c>
      <c r="O4956" s="2">
        <f ca="1"/>
        <v>0.66161076281660225</v>
      </c>
      <c r="X4956" s="2">
        <f ca="1"/>
        <v>64.193740436127911</v>
      </c>
      <c r="AG4956" s="2">
        <f ca="1"/>
        <v>0.62869589240460844</v>
      </c>
      <c r="AH4956" s="2" t="str">
        <f ca="1"/>
        <v>Bad</v>
      </c>
    </row>
    <row r="4957" spans="2:34" x14ac:dyDescent="0.2">
      <c r="B4957" s="2">
        <f ca="1"/>
        <v>0.88506951915217646</v>
      </c>
      <c r="O4957" s="2">
        <f ca="1"/>
        <v>0.8521391494050633</v>
      </c>
      <c r="X4957" s="2">
        <f ca="1"/>
        <v>47.910620630168061</v>
      </c>
      <c r="AG4957" s="2">
        <f ca="1"/>
        <v>0.38814184120491069</v>
      </c>
      <c r="AH4957" s="2" t="str">
        <f ca="1"/>
        <v>OK</v>
      </c>
    </row>
    <row r="4958" spans="2:34" x14ac:dyDescent="0.2">
      <c r="B4958" s="2">
        <f ca="1"/>
        <v>0.70788076669718314</v>
      </c>
      <c r="O4958" s="2">
        <f ca="1"/>
        <v>7.7013042197745948E-2</v>
      </c>
      <c r="X4958" s="2">
        <f ca="1"/>
        <v>65.344931709524843</v>
      </c>
      <c r="AG4958" s="2">
        <f ca="1"/>
        <v>0.11040793646718638</v>
      </c>
      <c r="AH4958" s="2" t="str">
        <f ca="1"/>
        <v>OK</v>
      </c>
    </row>
    <row r="4959" spans="2:34" x14ac:dyDescent="0.2">
      <c r="B4959" s="2">
        <f ca="1"/>
        <v>0.31565625255355245</v>
      </c>
      <c r="O4959" s="2">
        <f ca="1"/>
        <v>1.5567905841116683E-2</v>
      </c>
      <c r="X4959" s="2">
        <f ca="1"/>
        <v>36.582923269880318</v>
      </c>
      <c r="AG4959" s="2">
        <f ca="1"/>
        <v>0.19402463629287037</v>
      </c>
      <c r="AH4959" s="2" t="str">
        <f ca="1"/>
        <v>OK</v>
      </c>
    </row>
    <row r="4960" spans="2:34" x14ac:dyDescent="0.2">
      <c r="B4960" s="2">
        <f ca="1"/>
        <v>9.0717046251305167E-3</v>
      </c>
      <c r="O4960" s="2">
        <f ca="1"/>
        <v>1.0265034984142127</v>
      </c>
      <c r="X4960" s="2">
        <f ca="1"/>
        <v>22.868881527458175</v>
      </c>
      <c r="AG4960" s="2">
        <f ca="1"/>
        <v>0.93483009461813293</v>
      </c>
      <c r="AH4960" s="2" t="str">
        <f ca="1"/>
        <v>Bad</v>
      </c>
    </row>
    <row r="4961" spans="2:34" x14ac:dyDescent="0.2">
      <c r="B4961" s="2">
        <f ca="1"/>
        <v>0.36227620907894686</v>
      </c>
      <c r="O4961" s="2">
        <f ca="1"/>
        <v>-0.20165034530786771</v>
      </c>
      <c r="X4961" s="2">
        <f ca="1"/>
        <v>68.794265737879726</v>
      </c>
      <c r="AG4961" s="2">
        <f ca="1"/>
        <v>0.33907024916349027</v>
      </c>
      <c r="AH4961" s="2" t="str">
        <f ca="1"/>
        <v>OK</v>
      </c>
    </row>
    <row r="4962" spans="2:34" x14ac:dyDescent="0.2">
      <c r="B4962" s="2">
        <f ca="1"/>
        <v>1.4056333221668105E-3</v>
      </c>
      <c r="O4962" s="2">
        <f ca="1"/>
        <v>0.79289480046084548</v>
      </c>
      <c r="X4962" s="2">
        <f ca="1"/>
        <v>39.066275527935744</v>
      </c>
      <c r="AG4962" s="2">
        <f ca="1"/>
        <v>0.57065683017251945</v>
      </c>
      <c r="AH4962" s="2" t="str">
        <f ca="1"/>
        <v>Bad</v>
      </c>
    </row>
    <row r="4963" spans="2:34" x14ac:dyDescent="0.2">
      <c r="B4963" s="2">
        <f ca="1"/>
        <v>0.56158446165829967</v>
      </c>
      <c r="O4963" s="2">
        <f ca="1"/>
        <v>0.83660317868714085</v>
      </c>
      <c r="X4963" s="2">
        <f ca="1"/>
        <v>40.225223389416549</v>
      </c>
      <c r="AG4963" s="2">
        <f ca="1"/>
        <v>0.88016467319903069</v>
      </c>
      <c r="AH4963" s="2" t="str">
        <f ca="1"/>
        <v>Bad</v>
      </c>
    </row>
    <row r="4964" spans="2:34" x14ac:dyDescent="0.2">
      <c r="B4964" s="2">
        <f ca="1"/>
        <v>0.77125262836167496</v>
      </c>
      <c r="O4964" s="2">
        <f ca="1"/>
        <v>0.59741800969676884</v>
      </c>
      <c r="X4964" s="2">
        <f ca="1"/>
        <v>31.643816181769576</v>
      </c>
      <c r="AG4964" s="2">
        <f ca="1"/>
        <v>0.25668185301937818</v>
      </c>
      <c r="AH4964" s="2" t="str">
        <f ca="1"/>
        <v>OK</v>
      </c>
    </row>
    <row r="4965" spans="2:34" x14ac:dyDescent="0.2">
      <c r="B4965" s="2">
        <f ca="1"/>
        <v>0.79059219808844827</v>
      </c>
      <c r="O4965" s="2">
        <f ca="1"/>
        <v>1.488558870590786</v>
      </c>
      <c r="X4965" s="2">
        <f ca="1"/>
        <v>48.850397506803048</v>
      </c>
      <c r="AG4965" s="2">
        <f ca="1"/>
        <v>0.73956441885646562</v>
      </c>
      <c r="AH4965" s="2" t="str">
        <f ca="1"/>
        <v>Bad</v>
      </c>
    </row>
    <row r="4966" spans="2:34" x14ac:dyDescent="0.2">
      <c r="B4966" s="2">
        <f ca="1"/>
        <v>0.41487748360311705</v>
      </c>
      <c r="O4966" s="2">
        <f ca="1"/>
        <v>-0.4141549961902975</v>
      </c>
      <c r="X4966" s="2">
        <f ca="1"/>
        <v>38.077076908656302</v>
      </c>
      <c r="AG4966" s="2">
        <f ca="1"/>
        <v>0.41105150924706413</v>
      </c>
      <c r="AH4966" s="2" t="str">
        <f ca="1"/>
        <v>Bad</v>
      </c>
    </row>
    <row r="4967" spans="2:34" x14ac:dyDescent="0.2">
      <c r="B4967" s="2">
        <f ca="1"/>
        <v>0.89305152349013062</v>
      </c>
      <c r="O4967" s="2">
        <f ca="1"/>
        <v>0.87680221269916847</v>
      </c>
      <c r="X4967" s="2">
        <f ca="1"/>
        <v>46.245255423566633</v>
      </c>
      <c r="AG4967" s="2">
        <f ca="1"/>
        <v>0.91301424148787769</v>
      </c>
      <c r="AH4967" s="2" t="str">
        <f ca="1"/>
        <v>Bad</v>
      </c>
    </row>
    <row r="4968" spans="2:34" x14ac:dyDescent="0.2">
      <c r="B4968" s="2">
        <f ca="1"/>
        <v>0.5527682120367583</v>
      </c>
      <c r="O4968" s="2">
        <f ca="1"/>
        <v>-0.15995069949881827</v>
      </c>
      <c r="X4968" s="2">
        <f ca="1"/>
        <v>39.633301902113402</v>
      </c>
      <c r="AG4968" s="2">
        <f ca="1"/>
        <v>0.53365957988776969</v>
      </c>
      <c r="AH4968" s="2" t="str">
        <f ca="1"/>
        <v>Bad</v>
      </c>
    </row>
    <row r="4969" spans="2:34" x14ac:dyDescent="0.2">
      <c r="B4969" s="2">
        <f ca="1"/>
        <v>0.85684866792985925</v>
      </c>
      <c r="O4969" s="2">
        <f ca="1"/>
        <v>0.12251902883073269</v>
      </c>
      <c r="X4969" s="2">
        <f ca="1"/>
        <v>51.699442822652145</v>
      </c>
      <c r="AG4969" s="2">
        <f ca="1"/>
        <v>0.24601771638919545</v>
      </c>
      <c r="AH4969" s="2" t="str">
        <f ca="1"/>
        <v>OK</v>
      </c>
    </row>
    <row r="4970" spans="2:34" x14ac:dyDescent="0.2">
      <c r="B4970" s="2">
        <f ca="1"/>
        <v>5.9545118405621933E-2</v>
      </c>
      <c r="O4970" s="2">
        <f ca="1"/>
        <v>-0.59310323153628686</v>
      </c>
      <c r="X4970" s="2">
        <f ca="1"/>
        <v>52.715249957201522</v>
      </c>
      <c r="AG4970" s="2">
        <f ca="1"/>
        <v>0.69323040259345192</v>
      </c>
      <c r="AH4970" s="2" t="str">
        <f ca="1"/>
        <v>Bad</v>
      </c>
    </row>
    <row r="4971" spans="2:34" x14ac:dyDescent="0.2">
      <c r="B4971" s="2">
        <f ca="1"/>
        <v>0.46716050765041661</v>
      </c>
      <c r="O4971" s="2">
        <f ca="1"/>
        <v>1.9653530991985277</v>
      </c>
      <c r="X4971" s="2">
        <f ca="1"/>
        <v>67.269278432526121</v>
      </c>
      <c r="AG4971" s="2">
        <f ca="1"/>
        <v>0.81459544883690249</v>
      </c>
      <c r="AH4971" s="2" t="str">
        <f ca="1"/>
        <v>Bad</v>
      </c>
    </row>
    <row r="4972" spans="2:34" x14ac:dyDescent="0.2">
      <c r="B4972" s="2">
        <f ca="1"/>
        <v>0.67675592370215054</v>
      </c>
      <c r="O4972" s="2">
        <f ca="1"/>
        <v>0.58223772717105393</v>
      </c>
      <c r="X4972" s="2">
        <f ca="1"/>
        <v>66.158664457515243</v>
      </c>
      <c r="AG4972" s="2">
        <f ca="1"/>
        <v>0.41301254147543132</v>
      </c>
      <c r="AH4972" s="2" t="str">
        <f ca="1"/>
        <v>Bad</v>
      </c>
    </row>
    <row r="4973" spans="2:34" x14ac:dyDescent="0.2">
      <c r="B4973" s="2">
        <f ca="1"/>
        <v>0.11490945678800424</v>
      </c>
      <c r="O4973" s="2">
        <f ca="1"/>
        <v>-8.0335515900105917E-2</v>
      </c>
      <c r="X4973" s="2">
        <f ca="1"/>
        <v>52.972833061239129</v>
      </c>
      <c r="AG4973" s="2">
        <f ca="1"/>
        <v>0.78654793167693593</v>
      </c>
      <c r="AH4973" s="2" t="str">
        <f ca="1"/>
        <v>Bad</v>
      </c>
    </row>
    <row r="4974" spans="2:34" x14ac:dyDescent="0.2">
      <c r="B4974" s="2">
        <f ca="1"/>
        <v>0.47806096075566673</v>
      </c>
      <c r="O4974" s="2">
        <f ca="1"/>
        <v>2.1554073927264206</v>
      </c>
      <c r="X4974" s="2">
        <f ca="1"/>
        <v>44.428750664405115</v>
      </c>
      <c r="AG4974" s="2">
        <f ca="1"/>
        <v>0.43413038977426388</v>
      </c>
      <c r="AH4974" s="2" t="str">
        <f ca="1"/>
        <v>Bad</v>
      </c>
    </row>
    <row r="4975" spans="2:34" x14ac:dyDescent="0.2">
      <c r="B4975" s="2">
        <f ca="1"/>
        <v>0.25338519052530106</v>
      </c>
      <c r="O4975" s="2">
        <f ca="1"/>
        <v>-0.9498274520167721</v>
      </c>
      <c r="X4975" s="2">
        <f ca="1"/>
        <v>28.499663324539778</v>
      </c>
      <c r="AG4975" s="2">
        <f ca="1"/>
        <v>0.76396639219565277</v>
      </c>
      <c r="AH4975" s="2" t="str">
        <f ca="1"/>
        <v>Bad</v>
      </c>
    </row>
    <row r="4976" spans="2:34" x14ac:dyDescent="0.2">
      <c r="B4976" s="2">
        <f ca="1"/>
        <v>0.11918454495551423</v>
      </c>
      <c r="O4976" s="2">
        <f ca="1"/>
        <v>-1.2673405927366252</v>
      </c>
      <c r="X4976" s="2">
        <f ca="1"/>
        <v>54.091236630831489</v>
      </c>
      <c r="AG4976" s="2">
        <f ca="1"/>
        <v>5.7935141404020118E-2</v>
      </c>
      <c r="AH4976" s="2" t="str">
        <f ca="1"/>
        <v>OK</v>
      </c>
    </row>
    <row r="4977" spans="2:34" x14ac:dyDescent="0.2">
      <c r="B4977" s="2">
        <f ca="1"/>
        <v>0.90557605884738801</v>
      </c>
      <c r="O4977" s="2">
        <f ca="1"/>
        <v>0.15922821848485247</v>
      </c>
      <c r="X4977" s="2">
        <f ca="1"/>
        <v>42.465942155285468</v>
      </c>
      <c r="AG4977" s="2">
        <f ca="1"/>
        <v>0.63423219969455968</v>
      </c>
      <c r="AH4977" s="2" t="str">
        <f ca="1"/>
        <v>Bad</v>
      </c>
    </row>
    <row r="4978" spans="2:34" x14ac:dyDescent="0.2">
      <c r="B4978" s="2">
        <f ca="1"/>
        <v>0.87053924635343938</v>
      </c>
      <c r="O4978" s="2">
        <f ca="1"/>
        <v>0.22064467881412647</v>
      </c>
      <c r="X4978" s="2">
        <f ca="1"/>
        <v>68.116102778407225</v>
      </c>
      <c r="AG4978" s="2">
        <f ca="1"/>
        <v>0.25895488598927252</v>
      </c>
      <c r="AH4978" s="2" t="str">
        <f ca="1"/>
        <v>OK</v>
      </c>
    </row>
    <row r="4979" spans="2:34" x14ac:dyDescent="0.2">
      <c r="B4979" s="2">
        <f ca="1"/>
        <v>0.47123552500447752</v>
      </c>
      <c r="O4979" s="2">
        <f ca="1"/>
        <v>0.51164791398149612</v>
      </c>
      <c r="X4979" s="2">
        <f ca="1"/>
        <v>49.735009882675541</v>
      </c>
      <c r="AG4979" s="2">
        <f ca="1"/>
        <v>0.92264972244261001</v>
      </c>
      <c r="AH4979" s="2" t="str">
        <f ca="1"/>
        <v>Bad</v>
      </c>
    </row>
    <row r="4980" spans="2:34" x14ac:dyDescent="0.2">
      <c r="B4980" s="2">
        <f ca="1"/>
        <v>0.5630186314634007</v>
      </c>
      <c r="O4980" s="2">
        <f ca="1"/>
        <v>-1.3062630628355059</v>
      </c>
      <c r="X4980" s="2">
        <f ca="1"/>
        <v>31.317292730327733</v>
      </c>
      <c r="AG4980" s="2">
        <f ca="1"/>
        <v>0.37161664732658517</v>
      </c>
      <c r="AH4980" s="2" t="str">
        <f ca="1"/>
        <v>OK</v>
      </c>
    </row>
    <row r="4981" spans="2:34" x14ac:dyDescent="0.2">
      <c r="B4981" s="2">
        <f ca="1"/>
        <v>0.21343072957587927</v>
      </c>
      <c r="O4981" s="2">
        <f ca="1"/>
        <v>0.10417380050067296</v>
      </c>
      <c r="X4981" s="2">
        <f ca="1"/>
        <v>37.552082410148564</v>
      </c>
      <c r="AG4981" s="2">
        <f ca="1"/>
        <v>0.19690621906740069</v>
      </c>
      <c r="AH4981" s="2" t="str">
        <f ca="1"/>
        <v>OK</v>
      </c>
    </row>
    <row r="4982" spans="2:34" x14ac:dyDescent="0.2">
      <c r="B4982" s="2">
        <f ca="1"/>
        <v>0.63401624388838584</v>
      </c>
      <c r="O4982" s="2">
        <f ca="1"/>
        <v>1.7951165798562767</v>
      </c>
      <c r="X4982" s="2">
        <f ca="1"/>
        <v>26.961688719432019</v>
      </c>
      <c r="AG4982" s="2">
        <f ca="1"/>
        <v>0.36993466013363019</v>
      </c>
      <c r="AH4982" s="2" t="str">
        <f ca="1"/>
        <v>OK</v>
      </c>
    </row>
    <row r="4983" spans="2:34" x14ac:dyDescent="0.2">
      <c r="B4983" s="2">
        <f ca="1"/>
        <v>0.38571703548180292</v>
      </c>
      <c r="O4983" s="2">
        <f ca="1"/>
        <v>-4.4261158251054721E-2</v>
      </c>
      <c r="X4983" s="2">
        <f ca="1"/>
        <v>38.825200941837259</v>
      </c>
      <c r="AG4983" s="2">
        <f ca="1"/>
        <v>0.6425243966872658</v>
      </c>
      <c r="AH4983" s="2" t="str">
        <f ca="1"/>
        <v>Bad</v>
      </c>
    </row>
    <row r="4984" spans="2:34" x14ac:dyDescent="0.2">
      <c r="B4984" s="2">
        <f ca="1"/>
        <v>1.1567909127615295E-2</v>
      </c>
      <c r="O4984" s="2">
        <f ca="1"/>
        <v>0.66162053467919446</v>
      </c>
      <c r="X4984" s="2">
        <f ca="1"/>
        <v>34.689503536140904</v>
      </c>
      <c r="AG4984" s="2">
        <f ca="1"/>
        <v>0.81468832630733656</v>
      </c>
      <c r="AH4984" s="2" t="str">
        <f ca="1"/>
        <v>Bad</v>
      </c>
    </row>
    <row r="4985" spans="2:34" x14ac:dyDescent="0.2">
      <c r="B4985" s="2">
        <f ca="1"/>
        <v>0.81245058060437891</v>
      </c>
      <c r="O4985" s="2">
        <f ca="1"/>
        <v>7.7100990364773025E-2</v>
      </c>
      <c r="X4985" s="2">
        <f ca="1"/>
        <v>58.602305593395762</v>
      </c>
      <c r="AG4985" s="2">
        <f ca="1"/>
        <v>0.46310064716440569</v>
      </c>
      <c r="AH4985" s="2" t="str">
        <f ca="1"/>
        <v>Bad</v>
      </c>
    </row>
    <row r="4986" spans="2:34" x14ac:dyDescent="0.2">
      <c r="B4986" s="2">
        <f ca="1"/>
        <v>1.5334145269127575E-2</v>
      </c>
      <c r="O4986" s="2">
        <f ca="1"/>
        <v>0.30247137986177719</v>
      </c>
      <c r="X4986" s="2">
        <f ca="1"/>
        <v>70.585765556556808</v>
      </c>
      <c r="AG4986" s="2">
        <f ca="1"/>
        <v>0.63748118991120895</v>
      </c>
      <c r="AH4986" s="2" t="str">
        <f ca="1"/>
        <v>Bad</v>
      </c>
    </row>
    <row r="4987" spans="2:34" x14ac:dyDescent="0.2">
      <c r="B4987" s="2">
        <f ca="1"/>
        <v>0.90393872773906003</v>
      </c>
      <c r="O4987" s="2">
        <f ca="1"/>
        <v>0.68275769841105871</v>
      </c>
      <c r="X4987" s="2">
        <f ca="1"/>
        <v>36.72861671226579</v>
      </c>
      <c r="AG4987" s="2">
        <f ca="1"/>
        <v>0.90176519912620678</v>
      </c>
      <c r="AH4987" s="2" t="str">
        <f ca="1"/>
        <v>Bad</v>
      </c>
    </row>
    <row r="4988" spans="2:34" x14ac:dyDescent="0.2">
      <c r="B4988" s="2">
        <f ca="1"/>
        <v>0.68561177773261273</v>
      </c>
      <c r="O4988" s="2">
        <f ca="1"/>
        <v>0.85570462049640772</v>
      </c>
      <c r="X4988" s="2">
        <f ca="1"/>
        <v>52.304869937069896</v>
      </c>
      <c r="AG4988" s="2">
        <f ca="1"/>
        <v>0.52925400771281561</v>
      </c>
      <c r="AH4988" s="2" t="str">
        <f ca="1"/>
        <v>Bad</v>
      </c>
    </row>
    <row r="4989" spans="2:34" x14ac:dyDescent="0.2">
      <c r="B4989" s="2">
        <f ca="1"/>
        <v>0.48128663450051867</v>
      </c>
      <c r="O4989" s="2">
        <f ca="1"/>
        <v>-0.39311984871779754</v>
      </c>
      <c r="X4989" s="2">
        <f ca="1"/>
        <v>46.768411607546803</v>
      </c>
      <c r="AG4989" s="2">
        <f ca="1"/>
        <v>0.14803875599363447</v>
      </c>
      <c r="AH4989" s="2" t="str">
        <f ca="1"/>
        <v>OK</v>
      </c>
    </row>
    <row r="4990" spans="2:34" x14ac:dyDescent="0.2">
      <c r="B4990" s="2">
        <f ca="1"/>
        <v>0.72938602544499864</v>
      </c>
      <c r="O4990" s="2">
        <f ca="1"/>
        <v>1.3743800961601065</v>
      </c>
      <c r="X4990" s="2">
        <f ca="1"/>
        <v>82.244335124106712</v>
      </c>
      <c r="AG4990" s="2">
        <f ca="1"/>
        <v>0.89401569425859995</v>
      </c>
      <c r="AH4990" s="2" t="str">
        <f ca="1"/>
        <v>Bad</v>
      </c>
    </row>
    <row r="4991" spans="2:34" x14ac:dyDescent="0.2">
      <c r="B4991" s="2">
        <f ca="1"/>
        <v>0.77582727417463793</v>
      </c>
      <c r="O4991" s="2">
        <f ca="1"/>
        <v>1.0833534734420374</v>
      </c>
      <c r="X4991" s="2">
        <f ca="1"/>
        <v>82.13323766877167</v>
      </c>
      <c r="AG4991" s="2">
        <f ca="1"/>
        <v>0.52508823730528986</v>
      </c>
      <c r="AH4991" s="2" t="str">
        <f ca="1"/>
        <v>Bad</v>
      </c>
    </row>
    <row r="4992" spans="2:34" x14ac:dyDescent="0.2">
      <c r="B4992" s="2">
        <f ca="1"/>
        <v>0.46758198428898634</v>
      </c>
      <c r="O4992" s="2">
        <f ca="1"/>
        <v>0.22520435781690637</v>
      </c>
      <c r="X4992" s="2">
        <f ca="1"/>
        <v>50.142504732276898</v>
      </c>
      <c r="AG4992" s="2">
        <f ca="1"/>
        <v>0.13710281993864815</v>
      </c>
      <c r="AH4992" s="2" t="str">
        <f ca="1"/>
        <v>OK</v>
      </c>
    </row>
    <row r="4993" spans="2:34" x14ac:dyDescent="0.2">
      <c r="B4993" s="2">
        <f ca="1"/>
        <v>0.39978255210362423</v>
      </c>
      <c r="O4993" s="2">
        <f ca="1"/>
        <v>0.40321264863896522</v>
      </c>
      <c r="X4993" s="2">
        <f ca="1"/>
        <v>34.319886128199656</v>
      </c>
      <c r="AG4993" s="2">
        <f ca="1"/>
        <v>0.14053549470029014</v>
      </c>
      <c r="AH4993" s="2" t="str">
        <f ca="1"/>
        <v>OK</v>
      </c>
    </row>
    <row r="4994" spans="2:34" x14ac:dyDescent="0.2">
      <c r="B4994" s="2">
        <f ca="1"/>
        <v>0.85798899194866474</v>
      </c>
      <c r="O4994" s="2">
        <f ca="1"/>
        <v>-0.45556448395068705</v>
      </c>
      <c r="X4994" s="2">
        <f ca="1"/>
        <v>57.902103022508278</v>
      </c>
      <c r="AG4994" s="2">
        <f ca="1"/>
        <v>0.56409285524712161</v>
      </c>
      <c r="AH4994" s="2" t="str">
        <f ca="1"/>
        <v>Bad</v>
      </c>
    </row>
    <row r="4995" spans="2:34" x14ac:dyDescent="0.2">
      <c r="B4995" s="2">
        <f ca="1"/>
        <v>0.75367593806691424</v>
      </c>
      <c r="O4995" s="2">
        <f ca="1"/>
        <v>-0.67409628843300895</v>
      </c>
      <c r="X4995" s="2">
        <f ca="1"/>
        <v>44.251948553136074</v>
      </c>
      <c r="AG4995" s="2">
        <f ca="1"/>
        <v>0.97592387822705606</v>
      </c>
      <c r="AH4995" s="2" t="str">
        <f ca="1"/>
        <v>Bad</v>
      </c>
    </row>
    <row r="4996" spans="2:34" x14ac:dyDescent="0.2">
      <c r="B4996" s="2">
        <f ca="1"/>
        <v>0.6437521462313891</v>
      </c>
      <c r="O4996" s="2">
        <f ca="1"/>
        <v>1.105004632971949</v>
      </c>
      <c r="X4996" s="2">
        <f ca="1"/>
        <v>58.07117977255264</v>
      </c>
      <c r="AG4996" s="2">
        <f ca="1"/>
        <v>0.91766403480804182</v>
      </c>
      <c r="AH4996" s="2" t="str">
        <f ca="1"/>
        <v>Bad</v>
      </c>
    </row>
    <row r="4997" spans="2:34" x14ac:dyDescent="0.2">
      <c r="B4997" s="2">
        <f ca="1"/>
        <v>0.18977777456158429</v>
      </c>
      <c r="O4997" s="2">
        <f ca="1"/>
        <v>2.0171201471993907</v>
      </c>
      <c r="X4997" s="2">
        <f ca="1"/>
        <v>31.869659189803343</v>
      </c>
      <c r="AG4997" s="2">
        <f ca="1"/>
        <v>4.3362150456441872E-2</v>
      </c>
      <c r="AH4997" s="2" t="str">
        <f ca="1"/>
        <v>Good</v>
      </c>
    </row>
    <row r="4998" spans="2:34" x14ac:dyDescent="0.2">
      <c r="B4998" s="2">
        <f ca="1"/>
        <v>0.39333204877938699</v>
      </c>
      <c r="O4998" s="2">
        <f ca="1"/>
        <v>-0.50277125559733582</v>
      </c>
      <c r="X4998" s="2">
        <f ca="1"/>
        <v>24.862136887853342</v>
      </c>
      <c r="AG4998" s="2">
        <f ca="1"/>
        <v>0.77692592262894355</v>
      </c>
      <c r="AH4998" s="2" t="str">
        <f ca="1"/>
        <v>Bad</v>
      </c>
    </row>
    <row r="4999" spans="2:34" x14ac:dyDescent="0.2">
      <c r="B4999" s="2">
        <f ca="1"/>
        <v>0.11624538164681653</v>
      </c>
      <c r="O4999" s="2">
        <f ca="1"/>
        <v>-0.81008009048557328</v>
      </c>
      <c r="X4999" s="2">
        <f ca="1"/>
        <v>55.023356734244835</v>
      </c>
      <c r="AG4999" s="2">
        <f ca="1"/>
        <v>0.79584999674372559</v>
      </c>
      <c r="AH4999" s="2" t="str">
        <f ca="1"/>
        <v>Bad</v>
      </c>
    </row>
    <row r="5000" spans="2:34" x14ac:dyDescent="0.2">
      <c r="B5000" s="2">
        <f ca="1"/>
        <v>0.22925807983887547</v>
      </c>
      <c r="O5000" s="2">
        <f ca="1"/>
        <v>1.628983246410906</v>
      </c>
      <c r="X5000" s="2">
        <f ca="1"/>
        <v>45.562906726965615</v>
      </c>
      <c r="AG5000" s="2">
        <f ca="1"/>
        <v>0.7679224652930432</v>
      </c>
      <c r="AH5000" s="2" t="str">
        <f ca="1"/>
        <v>Bad</v>
      </c>
    </row>
    <row r="5001" spans="2:34" x14ac:dyDescent="0.2">
      <c r="B5001" s="2">
        <f ca="1"/>
        <v>0.15079991696304562</v>
      </c>
      <c r="O5001" s="2">
        <f ca="1"/>
        <v>-0.93670892880283207</v>
      </c>
      <c r="X5001" s="2">
        <f ca="1"/>
        <v>59.167819381241898</v>
      </c>
      <c r="AG5001" s="2">
        <f ca="1"/>
        <v>0.8117465798033221</v>
      </c>
      <c r="AH5001" s="2" t="str">
        <f ca="1"/>
        <v>Bad</v>
      </c>
    </row>
    <row r="5002" spans="2:34" x14ac:dyDescent="0.2">
      <c r="B5002" s="2">
        <f ca="1"/>
        <v>5.1068295913252459E-2</v>
      </c>
      <c r="O5002" s="2">
        <f ca="1"/>
        <v>1.7950661652343913</v>
      </c>
      <c r="X5002" s="2">
        <f ca="1"/>
        <v>71.231453554140074</v>
      </c>
      <c r="AG5002" s="2">
        <f ca="1"/>
        <v>0.12733976498893895</v>
      </c>
      <c r="AH5002" s="2" t="str">
        <f ca="1"/>
        <v>OK</v>
      </c>
    </row>
    <row r="5003" spans="2:34" x14ac:dyDescent="0.2">
      <c r="B5003" s="2">
        <f ca="1"/>
        <v>0.3511359493072419</v>
      </c>
      <c r="O5003" s="2">
        <f ca="1"/>
        <v>0.53921834545998981</v>
      </c>
      <c r="X5003" s="2">
        <f ca="1"/>
        <v>77.630533125447172</v>
      </c>
      <c r="AG5003" s="2">
        <f ca="1"/>
        <v>0.53087373721908815</v>
      </c>
      <c r="AH5003" s="2" t="str">
        <f ca="1"/>
        <v>Bad</v>
      </c>
    </row>
    <row r="5004" spans="2:34" x14ac:dyDescent="0.2">
      <c r="B5004" s="2">
        <f ca="1"/>
        <v>0.78875502482708937</v>
      </c>
      <c r="O5004" s="2">
        <f ca="1"/>
        <v>1.4284932161290762</v>
      </c>
      <c r="X5004" s="2">
        <f ca="1"/>
        <v>59.843081182999988</v>
      </c>
      <c r="AG5004" s="2">
        <f ca="1"/>
        <v>0.45866537006449049</v>
      </c>
      <c r="AH5004" s="2" t="str">
        <f ca="1"/>
        <v>Bad</v>
      </c>
    </row>
    <row r="5005" spans="2:34" x14ac:dyDescent="0.2">
      <c r="B5005" s="2">
        <f ca="1"/>
        <v>0.20664495621848977</v>
      </c>
      <c r="O5005" s="2">
        <f ca="1"/>
        <v>-0.79914098918022669</v>
      </c>
      <c r="X5005" s="2">
        <f ca="1"/>
        <v>51.485707042509361</v>
      </c>
      <c r="AG5005" s="2">
        <f ca="1"/>
        <v>0.28588204211893009</v>
      </c>
      <c r="AH5005" s="2" t="str">
        <f ca="1"/>
        <v>OK</v>
      </c>
    </row>
    <row r="5006" spans="2:34" x14ac:dyDescent="0.2">
      <c r="B5006" s="2">
        <f ca="1"/>
        <v>5.1698375633319804E-2</v>
      </c>
      <c r="O5006" s="2">
        <f ca="1"/>
        <v>0.66242435986962167</v>
      </c>
      <c r="X5006" s="2">
        <f ca="1"/>
        <v>38.652972473867749</v>
      </c>
      <c r="AG5006" s="2">
        <f ca="1"/>
        <v>0.18835339780360383</v>
      </c>
      <c r="AH5006" s="2" t="str">
        <f ca="1"/>
        <v>OK</v>
      </c>
    </row>
    <row r="5007" spans="2:34" x14ac:dyDescent="0.2">
      <c r="B5007" s="2">
        <f ca="1"/>
        <v>0.35385488252736441</v>
      </c>
      <c r="O5007" s="2">
        <f ca="1"/>
        <v>1.6911524916887435</v>
      </c>
      <c r="X5007" s="2">
        <f ca="1"/>
        <v>28.615468188370258</v>
      </c>
      <c r="AG5007" s="2">
        <f ca="1"/>
        <v>0.14631091473365809</v>
      </c>
      <c r="AH5007" s="2" t="str">
        <f ca="1"/>
        <v>OK</v>
      </c>
    </row>
    <row r="5008" spans="2:34" x14ac:dyDescent="0.2">
      <c r="B5008" s="2">
        <f ca="1"/>
        <v>0.61599901271237667</v>
      </c>
      <c r="O5008" s="2">
        <f ca="1"/>
        <v>-0.85329510628393912</v>
      </c>
      <c r="X5008" s="2">
        <f ca="1"/>
        <v>34.266179401802916</v>
      </c>
      <c r="AG5008" s="2">
        <f ca="1"/>
        <v>0.42900892460039897</v>
      </c>
      <c r="AH5008" s="2" t="str">
        <f ca="1"/>
        <v>Bad</v>
      </c>
    </row>
    <row r="5009" spans="2:34" x14ac:dyDescent="0.2">
      <c r="B5009" s="2">
        <f ca="1"/>
        <v>0.73942147497066868</v>
      </c>
      <c r="O5009" s="2">
        <f ca="1"/>
        <v>-9.8381486802026408E-2</v>
      </c>
      <c r="X5009" s="2">
        <f ca="1"/>
        <v>38.103534006447973</v>
      </c>
      <c r="AG5009" s="2">
        <f ca="1"/>
        <v>0.47173319451235263</v>
      </c>
      <c r="AH5009" s="2" t="str">
        <f ca="1"/>
        <v>Bad</v>
      </c>
    </row>
    <row r="5010" spans="2:34" x14ac:dyDescent="0.2">
      <c r="B5010" s="2">
        <f ca="1"/>
        <v>0.83354147913609555</v>
      </c>
      <c r="O5010" s="2">
        <f ca="1"/>
        <v>-0.47952835248058689</v>
      </c>
      <c r="X5010" s="2">
        <f ca="1"/>
        <v>27.596949729455321</v>
      </c>
      <c r="AG5010" s="2">
        <f ca="1"/>
        <v>0.34415723941599019</v>
      </c>
      <c r="AH5010" s="2" t="str">
        <f ca="1"/>
        <v>OK</v>
      </c>
    </row>
    <row r="5011" spans="2:34" x14ac:dyDescent="0.2">
      <c r="B5011" s="2">
        <f ca="1"/>
        <v>0.57486649228408715</v>
      </c>
      <c r="O5011" s="2">
        <f ca="1"/>
        <v>-0.78947585703443679</v>
      </c>
      <c r="X5011" s="2">
        <f ca="1"/>
        <v>35.597282110981666</v>
      </c>
      <c r="AG5011" s="2">
        <f ca="1"/>
        <v>0.58350606803685645</v>
      </c>
      <c r="AH5011" s="2" t="str">
        <f ca="1"/>
        <v>Bad</v>
      </c>
    </row>
    <row r="5012" spans="2:34" x14ac:dyDescent="0.2">
      <c r="B5012" s="2">
        <f ca="1"/>
        <v>0.35727947771178803</v>
      </c>
      <c r="O5012" s="2">
        <f ca="1"/>
        <v>0.35004133053470954</v>
      </c>
      <c r="X5012" s="2">
        <f ca="1"/>
        <v>64.352772704305849</v>
      </c>
      <c r="AG5012" s="2">
        <f ca="1"/>
        <v>0.33147350818468224</v>
      </c>
      <c r="AH5012" s="2" t="str">
        <f ca="1"/>
        <v>OK</v>
      </c>
    </row>
    <row r="5013" spans="2:34" x14ac:dyDescent="0.2">
      <c r="B5013" s="2">
        <f ca="1"/>
        <v>6.0858273039873456E-2</v>
      </c>
      <c r="O5013" s="2">
        <f ca="1"/>
        <v>-0.14744666830224909</v>
      </c>
      <c r="X5013" s="2">
        <f ca="1"/>
        <v>53.187396619450915</v>
      </c>
      <c r="AG5013" s="2">
        <f ca="1"/>
        <v>3.467836965164306E-2</v>
      </c>
      <c r="AH5013" s="2" t="str">
        <f ca="1"/>
        <v>Good</v>
      </c>
    </row>
    <row r="5014" spans="2:34" x14ac:dyDescent="0.2">
      <c r="B5014" s="2">
        <f ca="1"/>
        <v>0.52583900400614758</v>
      </c>
      <c r="O5014" s="2">
        <f ca="1"/>
        <v>0.537063975543563</v>
      </c>
      <c r="X5014" s="2">
        <f ca="1"/>
        <v>79.218353393486325</v>
      </c>
      <c r="AG5014" s="2">
        <f ca="1"/>
        <v>0.17316510638217331</v>
      </c>
      <c r="AH5014" s="2" t="str">
        <f ca="1"/>
        <v>OK</v>
      </c>
    </row>
    <row r="5015" spans="2:34" x14ac:dyDescent="0.2">
      <c r="B5015" s="2">
        <f ca="1"/>
        <v>0.38287860127976692</v>
      </c>
      <c r="O5015" s="2">
        <f ca="1"/>
        <v>-0.40581833190972916</v>
      </c>
      <c r="X5015" s="2">
        <f ca="1"/>
        <v>35.76968820270001</v>
      </c>
      <c r="AG5015" s="2">
        <f ca="1"/>
        <v>0.23290814587068209</v>
      </c>
      <c r="AH5015" s="2" t="str">
        <f ca="1"/>
        <v>OK</v>
      </c>
    </row>
    <row r="5016" spans="2:34" x14ac:dyDescent="0.2">
      <c r="B5016" s="2">
        <f ca="1"/>
        <v>0.20326280804940722</v>
      </c>
      <c r="O5016" s="2">
        <f ca="1"/>
        <v>0.73092304591625423</v>
      </c>
      <c r="X5016" s="2">
        <f ca="1"/>
        <v>54.707380411475903</v>
      </c>
      <c r="AG5016" s="2">
        <f ca="1"/>
        <v>0.28673592118101876</v>
      </c>
      <c r="AH5016" s="2" t="str">
        <f ca="1"/>
        <v>OK</v>
      </c>
    </row>
    <row r="5017" spans="2:34" x14ac:dyDescent="0.2">
      <c r="B5017" s="2">
        <f ca="1"/>
        <v>0.87826937093513302</v>
      </c>
      <c r="O5017" s="2">
        <f ca="1"/>
        <v>-1.8860945204664077</v>
      </c>
      <c r="X5017" s="2">
        <f ca="1"/>
        <v>26.798681375456532</v>
      </c>
      <c r="AG5017" s="2">
        <f ca="1"/>
        <v>0.82551876672173696</v>
      </c>
      <c r="AH5017" s="2" t="str">
        <f ca="1"/>
        <v>Bad</v>
      </c>
    </row>
    <row r="5018" spans="2:34" x14ac:dyDescent="0.2">
      <c r="B5018" s="2">
        <f ca="1"/>
        <v>0.2757855690737494</v>
      </c>
      <c r="O5018" s="2">
        <f ca="1"/>
        <v>-0.16513011140512562</v>
      </c>
      <c r="X5018" s="2">
        <f ca="1"/>
        <v>51.19741573454526</v>
      </c>
      <c r="AG5018" s="2">
        <f ca="1"/>
        <v>0.69656792256083144</v>
      </c>
      <c r="AH5018" s="2" t="str">
        <f ca="1"/>
        <v>Bad</v>
      </c>
    </row>
    <row r="5019" spans="2:34" x14ac:dyDescent="0.2">
      <c r="B5019" s="2">
        <f ca="1"/>
        <v>0.62971982282680616</v>
      </c>
      <c r="O5019" s="2">
        <f ca="1"/>
        <v>-0.66543627588959686</v>
      </c>
      <c r="X5019" s="2">
        <f ca="1"/>
        <v>81.521308779014106</v>
      </c>
      <c r="AG5019" s="2">
        <f ca="1"/>
        <v>0.21265708799316951</v>
      </c>
      <c r="AH5019" s="2" t="str">
        <f ca="1"/>
        <v>OK</v>
      </c>
    </row>
    <row r="5020" spans="2:34" x14ac:dyDescent="0.2">
      <c r="B5020" s="2">
        <f ca="1"/>
        <v>0.4808526414974319</v>
      </c>
      <c r="O5020" s="2">
        <f ca="1"/>
        <v>-0.14725853311413853</v>
      </c>
      <c r="X5020" s="2">
        <f ca="1"/>
        <v>41.803442342568722</v>
      </c>
      <c r="AG5020" s="2">
        <f ca="1"/>
        <v>0.58919365033632265</v>
      </c>
      <c r="AH5020" s="2" t="str">
        <f ca="1"/>
        <v>Bad</v>
      </c>
    </row>
    <row r="5021" spans="2:34" x14ac:dyDescent="0.2">
      <c r="B5021" s="2">
        <f ca="1"/>
        <v>0.43453941192651202</v>
      </c>
      <c r="O5021" s="2">
        <f ca="1"/>
        <v>-1.9191520109098781</v>
      </c>
      <c r="X5021" s="2">
        <f ca="1"/>
        <v>25.744737993745325</v>
      </c>
      <c r="AG5021" s="2">
        <f ca="1"/>
        <v>0.41315113756178024</v>
      </c>
      <c r="AH5021" s="2" t="str">
        <f ca="1"/>
        <v>Bad</v>
      </c>
    </row>
    <row r="5022" spans="2:34" x14ac:dyDescent="0.2">
      <c r="B5022" s="2">
        <f ca="1"/>
        <v>0.68850045932461157</v>
      </c>
      <c r="O5022" s="2">
        <f ca="1"/>
        <v>0.49969693045482261</v>
      </c>
      <c r="X5022" s="2">
        <f ca="1"/>
        <v>52.714957999970082</v>
      </c>
      <c r="AG5022" s="2">
        <f ca="1"/>
        <v>4.522805904020033E-2</v>
      </c>
      <c r="AH5022" s="2" t="str">
        <f ca="1"/>
        <v>Good</v>
      </c>
    </row>
    <row r="5023" spans="2:34" x14ac:dyDescent="0.2">
      <c r="B5023" s="2">
        <f ca="1"/>
        <v>0.81873287991239097</v>
      </c>
      <c r="O5023" s="2">
        <f ca="1"/>
        <v>-0.73834240184765187</v>
      </c>
      <c r="X5023" s="2">
        <f ca="1"/>
        <v>53.142446777828795</v>
      </c>
      <c r="AG5023" s="2">
        <f ca="1"/>
        <v>0.99502744508006646</v>
      </c>
      <c r="AH5023" s="2" t="str">
        <f ca="1"/>
        <v>Bad</v>
      </c>
    </row>
    <row r="5024" spans="2:34" x14ac:dyDescent="0.2">
      <c r="B5024" s="2">
        <f ca="1"/>
        <v>0.40756146036892216</v>
      </c>
      <c r="O5024" s="2">
        <f ca="1"/>
        <v>-0.30751840312804757</v>
      </c>
      <c r="X5024" s="2">
        <f ca="1"/>
        <v>72.595735074947839</v>
      </c>
      <c r="AG5024" s="2">
        <f ca="1"/>
        <v>0.36838665910362933</v>
      </c>
      <c r="AH5024" s="2" t="str">
        <f ca="1"/>
        <v>OK</v>
      </c>
    </row>
    <row r="5025" spans="2:34" x14ac:dyDescent="0.2">
      <c r="B5025" s="2">
        <f ca="1"/>
        <v>1.5291354654533462E-2</v>
      </c>
      <c r="O5025" s="2">
        <f ca="1"/>
        <v>0.29586603744231305</v>
      </c>
      <c r="X5025" s="2">
        <f ca="1"/>
        <v>41.196042371721958</v>
      </c>
      <c r="AG5025" s="2">
        <f ca="1"/>
        <v>0.10734752025189986</v>
      </c>
      <c r="AH5025" s="2" t="str">
        <f ca="1"/>
        <v>OK</v>
      </c>
    </row>
    <row r="5026" spans="2:34" x14ac:dyDescent="0.2">
      <c r="B5026" s="2">
        <f ca="1"/>
        <v>0.21245215454878119</v>
      </c>
      <c r="O5026" s="2">
        <f ca="1"/>
        <v>1.2981590527280988</v>
      </c>
      <c r="X5026" s="2">
        <f ca="1"/>
        <v>27.783343153507808</v>
      </c>
      <c r="AG5026" s="2">
        <f ca="1"/>
        <v>0.51642936581167453</v>
      </c>
      <c r="AH5026" s="2" t="str">
        <f ca="1"/>
        <v>Bad</v>
      </c>
    </row>
    <row r="5027" spans="2:34" x14ac:dyDescent="0.2">
      <c r="B5027" s="2">
        <f ca="1"/>
        <v>3.6988722188296963E-2</v>
      </c>
      <c r="O5027" s="2">
        <f ca="1"/>
        <v>-2.4041182825543004</v>
      </c>
      <c r="X5027" s="2">
        <f ca="1"/>
        <v>58.607670643980335</v>
      </c>
      <c r="AG5027" s="2">
        <f ca="1"/>
        <v>0.55790255028190949</v>
      </c>
      <c r="AH5027" s="2" t="str">
        <f ca="1"/>
        <v>Bad</v>
      </c>
    </row>
    <row r="5028" spans="2:34" x14ac:dyDescent="0.2">
      <c r="B5028" s="2">
        <f ca="1"/>
        <v>0.20379800766847422</v>
      </c>
      <c r="O5028" s="2">
        <f ca="1"/>
        <v>0.15950284414971835</v>
      </c>
      <c r="X5028" s="2">
        <f ca="1"/>
        <v>35.117564642503382</v>
      </c>
      <c r="AG5028" s="2">
        <f ca="1"/>
        <v>0.90798346254692497</v>
      </c>
      <c r="AH5028" s="2" t="str">
        <f ca="1"/>
        <v>Bad</v>
      </c>
    </row>
    <row r="5029" spans="2:34" x14ac:dyDescent="0.2">
      <c r="B5029" s="2">
        <f ca="1"/>
        <v>0.34922584546919988</v>
      </c>
      <c r="O5029" s="2">
        <f ca="1"/>
        <v>1.0996001869839809</v>
      </c>
      <c r="X5029" s="2">
        <f ca="1"/>
        <v>25.799638155414925</v>
      </c>
      <c r="AG5029" s="2">
        <f ca="1"/>
        <v>0.26636992614100663</v>
      </c>
      <c r="AH5029" s="2" t="str">
        <f ca="1"/>
        <v>OK</v>
      </c>
    </row>
    <row r="5030" spans="2:34" x14ac:dyDescent="0.2">
      <c r="B5030" s="2">
        <f ca="1"/>
        <v>0.36196580992858407</v>
      </c>
      <c r="O5030" s="2">
        <f ca="1"/>
        <v>-1.4008711713583399</v>
      </c>
      <c r="X5030" s="2">
        <f ca="1"/>
        <v>42.430191809921993</v>
      </c>
      <c r="AG5030" s="2">
        <f ca="1"/>
        <v>0.63819475050409014</v>
      </c>
      <c r="AH5030" s="2" t="str">
        <f ca="1"/>
        <v>Bad</v>
      </c>
    </row>
    <row r="5031" spans="2:34" x14ac:dyDescent="0.2">
      <c r="B5031" s="2">
        <f ca="1"/>
        <v>0.86196403831035795</v>
      </c>
      <c r="O5031" s="2">
        <f ca="1"/>
        <v>1.3505247532611333</v>
      </c>
      <c r="X5031" s="2">
        <f ca="1"/>
        <v>66.685047542799254</v>
      </c>
      <c r="AG5031" s="2">
        <f ca="1"/>
        <v>0.23619428369408446</v>
      </c>
      <c r="AH5031" s="2" t="str">
        <f ca="1"/>
        <v>OK</v>
      </c>
    </row>
    <row r="5032" spans="2:34" x14ac:dyDescent="0.2">
      <c r="B5032" s="2">
        <f ca="1"/>
        <v>0.70363044253867413</v>
      </c>
      <c r="O5032" s="2">
        <f ca="1"/>
        <v>-1.0206872810063032</v>
      </c>
      <c r="X5032" s="2">
        <f ca="1"/>
        <v>78.708694382993897</v>
      </c>
      <c r="AG5032" s="2">
        <f ca="1"/>
        <v>0.41268840624069947</v>
      </c>
      <c r="AH5032" s="2" t="str">
        <f ca="1"/>
        <v>Bad</v>
      </c>
    </row>
    <row r="5033" spans="2:34" x14ac:dyDescent="0.2">
      <c r="B5033" s="2">
        <f ca="1"/>
        <v>0.9399244887047995</v>
      </c>
      <c r="O5033" s="2">
        <f ca="1"/>
        <v>7.303133743469116E-2</v>
      </c>
      <c r="X5033" s="2">
        <f ca="1"/>
        <v>51.898224121396069</v>
      </c>
      <c r="AG5033" s="2">
        <f ca="1"/>
        <v>0.66311480033261061</v>
      </c>
      <c r="AH5033" s="2" t="str">
        <f ca="1"/>
        <v>Bad</v>
      </c>
    </row>
    <row r="5034" spans="2:34" x14ac:dyDescent="0.2">
      <c r="B5034" s="2">
        <f ca="1"/>
        <v>0.91996045329394205</v>
      </c>
      <c r="O5034" s="2">
        <f ca="1"/>
        <v>-1.9309494509615066</v>
      </c>
      <c r="X5034" s="2">
        <f ca="1"/>
        <v>27.630101446803614</v>
      </c>
      <c r="AG5034" s="2">
        <f ca="1"/>
        <v>0.95464544956849862</v>
      </c>
      <c r="AH5034" s="2" t="str">
        <f ca="1"/>
        <v>Bad</v>
      </c>
    </row>
    <row r="5035" spans="2:34" x14ac:dyDescent="0.2">
      <c r="B5035" s="2">
        <f ca="1"/>
        <v>0.1587835428173614</v>
      </c>
      <c r="O5035" s="2">
        <f ca="1"/>
        <v>1.2982807727151151</v>
      </c>
      <c r="X5035" s="2">
        <f ca="1"/>
        <v>87.493777152303977</v>
      </c>
      <c r="AG5035" s="2">
        <f ca="1"/>
        <v>0.77436750333496351</v>
      </c>
      <c r="AH5035" s="2" t="str">
        <f ca="1"/>
        <v>Bad</v>
      </c>
    </row>
    <row r="5036" spans="2:34" x14ac:dyDescent="0.2">
      <c r="B5036" s="2">
        <f ca="1"/>
        <v>0.25713951182452921</v>
      </c>
      <c r="O5036" s="2">
        <f ca="1"/>
        <v>-1.4537029998588771</v>
      </c>
      <c r="X5036" s="2">
        <f ca="1"/>
        <v>34.190417759231963</v>
      </c>
      <c r="AG5036" s="2">
        <f ca="1"/>
        <v>0.38409958116313669</v>
      </c>
      <c r="AH5036" s="2" t="str">
        <f ca="1"/>
        <v>OK</v>
      </c>
    </row>
    <row r="5037" spans="2:34" x14ac:dyDescent="0.2">
      <c r="B5037" s="2">
        <f ca="1"/>
        <v>0.30185034616637663</v>
      </c>
      <c r="O5037" s="2">
        <f ca="1"/>
        <v>-0.30758572458807149</v>
      </c>
      <c r="X5037" s="2">
        <f ca="1"/>
        <v>31.330466531550666</v>
      </c>
      <c r="AG5037" s="2">
        <f ca="1"/>
        <v>0.10315589189720109</v>
      </c>
      <c r="AH5037" s="2" t="str">
        <f ca="1"/>
        <v>OK</v>
      </c>
    </row>
    <row r="5038" spans="2:34" x14ac:dyDescent="0.2">
      <c r="B5038" s="2">
        <f ca="1"/>
        <v>0.56221627430205912</v>
      </c>
      <c r="O5038" s="2">
        <f ca="1"/>
        <v>-0.82930588621207657</v>
      </c>
      <c r="X5038" s="2">
        <f ca="1"/>
        <v>60.79346611670897</v>
      </c>
      <c r="AG5038" s="2">
        <f ca="1"/>
        <v>0.81115370065882053</v>
      </c>
      <c r="AH5038" s="2" t="str">
        <f ca="1"/>
        <v>Bad</v>
      </c>
    </row>
    <row r="5039" spans="2:34" x14ac:dyDescent="0.2">
      <c r="B5039" s="2">
        <f ca="1"/>
        <v>0.30454420203297983</v>
      </c>
      <c r="O5039" s="2">
        <f ca="1"/>
        <v>-1.7392404151116814</v>
      </c>
      <c r="X5039" s="2">
        <f ca="1"/>
        <v>69.513125670816038</v>
      </c>
      <c r="AG5039" s="2">
        <f ca="1"/>
        <v>0.49123339534513866</v>
      </c>
      <c r="AH5039" s="2" t="str">
        <f ca="1"/>
        <v>Bad</v>
      </c>
    </row>
    <row r="5040" spans="2:34" x14ac:dyDescent="0.2">
      <c r="B5040" s="2">
        <f ca="1"/>
        <v>0.64258606129145401</v>
      </c>
      <c r="O5040" s="2">
        <f ca="1"/>
        <v>-1.1727743638735257</v>
      </c>
      <c r="X5040" s="2">
        <f ca="1"/>
        <v>68.927304095299164</v>
      </c>
      <c r="AG5040" s="2">
        <f ca="1"/>
        <v>0.19881918330475457</v>
      </c>
      <c r="AH5040" s="2" t="str">
        <f ca="1"/>
        <v>OK</v>
      </c>
    </row>
    <row r="5041" spans="2:34" x14ac:dyDescent="0.2">
      <c r="B5041" s="2">
        <f ca="1"/>
        <v>0.26205338919417054</v>
      </c>
      <c r="O5041" s="2">
        <f ca="1"/>
        <v>1.0026013512529603</v>
      </c>
      <c r="X5041" s="2">
        <f ca="1"/>
        <v>56.363256339348723</v>
      </c>
      <c r="AG5041" s="2">
        <f ca="1"/>
        <v>0.26692701563706511</v>
      </c>
      <c r="AH5041" s="2" t="str">
        <f ca="1"/>
        <v>OK</v>
      </c>
    </row>
    <row r="5042" spans="2:34" x14ac:dyDescent="0.2">
      <c r="B5042" s="2">
        <f ca="1"/>
        <v>0.79723053114741127</v>
      </c>
      <c r="O5042" s="2">
        <f ca="1"/>
        <v>0.81499059012175423</v>
      </c>
      <c r="X5042" s="2">
        <f ca="1"/>
        <v>58.965436092943087</v>
      </c>
      <c r="AG5042" s="2">
        <f ca="1"/>
        <v>0.47554393658475025</v>
      </c>
      <c r="AH5042" s="2" t="str">
        <f ca="1"/>
        <v>Bad</v>
      </c>
    </row>
    <row r="5043" spans="2:34" x14ac:dyDescent="0.2">
      <c r="B5043" s="2">
        <f ca="1"/>
        <v>0.47831305256237266</v>
      </c>
      <c r="O5043" s="2">
        <f ca="1"/>
        <v>-0.62221036205783276</v>
      </c>
      <c r="X5043" s="2">
        <f ca="1"/>
        <v>47.718816695236882</v>
      </c>
      <c r="AG5043" s="2">
        <f ca="1"/>
        <v>7.2417843207579047E-2</v>
      </c>
      <c r="AH5043" s="2" t="str">
        <f ca="1"/>
        <v>OK</v>
      </c>
    </row>
    <row r="5044" spans="2:34" x14ac:dyDescent="0.2">
      <c r="B5044" s="2">
        <f ca="1"/>
        <v>0.81343096498376255</v>
      </c>
      <c r="O5044" s="2">
        <f ca="1"/>
        <v>-1.0247874636694103</v>
      </c>
      <c r="X5044" s="2">
        <f ca="1"/>
        <v>44.214499159566778</v>
      </c>
      <c r="AG5044" s="2">
        <f ca="1"/>
        <v>0.90692469456171354</v>
      </c>
      <c r="AH5044" s="2" t="str">
        <f ca="1"/>
        <v>Bad</v>
      </c>
    </row>
    <row r="5045" spans="2:34" x14ac:dyDescent="0.2">
      <c r="B5045" s="2">
        <f ca="1"/>
        <v>0.47094669245153797</v>
      </c>
      <c r="O5045" s="2">
        <f ca="1"/>
        <v>0.34907362080922427</v>
      </c>
      <c r="X5045" s="2">
        <f ca="1"/>
        <v>46.66210169878083</v>
      </c>
      <c r="AG5045" s="2">
        <f ca="1"/>
        <v>0.21540491271463469</v>
      </c>
      <c r="AH5045" s="2" t="str">
        <f ca="1"/>
        <v>OK</v>
      </c>
    </row>
    <row r="5046" spans="2:34" x14ac:dyDescent="0.2">
      <c r="B5046" s="2">
        <f ca="1"/>
        <v>0.47278752389620227</v>
      </c>
      <c r="O5046" s="2">
        <f ca="1"/>
        <v>-1.6861421917194181</v>
      </c>
      <c r="X5046" s="2">
        <f ca="1"/>
        <v>54.370163538672209</v>
      </c>
      <c r="AG5046" s="2">
        <f ca="1"/>
        <v>4.3245427776335665E-2</v>
      </c>
      <c r="AH5046" s="2" t="str">
        <f ca="1"/>
        <v>Good</v>
      </c>
    </row>
    <row r="5047" spans="2:34" x14ac:dyDescent="0.2">
      <c r="B5047" s="2">
        <f ca="1"/>
        <v>0.28043538526350353</v>
      </c>
      <c r="O5047" s="2">
        <f ca="1"/>
        <v>-7.4624543945587291E-2</v>
      </c>
      <c r="X5047" s="2">
        <f ca="1"/>
        <v>52.251467159414126</v>
      </c>
      <c r="AG5047" s="2">
        <f ca="1"/>
        <v>0.29363739892822016</v>
      </c>
      <c r="AH5047" s="2" t="str">
        <f ca="1"/>
        <v>OK</v>
      </c>
    </row>
    <row r="5048" spans="2:34" x14ac:dyDescent="0.2">
      <c r="B5048" s="2">
        <f ca="1"/>
        <v>0.45197551748125875</v>
      </c>
      <c r="O5048" s="2">
        <f ca="1"/>
        <v>-0.66602670764438854</v>
      </c>
      <c r="X5048" s="2">
        <f ca="1"/>
        <v>63.49881765155282</v>
      </c>
      <c r="AG5048" s="2">
        <f ca="1"/>
        <v>0.35846443684442431</v>
      </c>
      <c r="AH5048" s="2" t="str">
        <f ca="1"/>
        <v>OK</v>
      </c>
    </row>
    <row r="5049" spans="2:34" x14ac:dyDescent="0.2">
      <c r="B5049" s="2">
        <f ca="1"/>
        <v>0.60112145849242693</v>
      </c>
      <c r="O5049" s="2">
        <f ca="1"/>
        <v>-0.49692927657789665</v>
      </c>
      <c r="X5049" s="2">
        <f ca="1"/>
        <v>44.274186560963102</v>
      </c>
      <c r="AG5049" s="2">
        <f ca="1"/>
        <v>0.41788993003175001</v>
      </c>
      <c r="AH5049" s="2" t="str">
        <f ca="1"/>
        <v>Bad</v>
      </c>
    </row>
    <row r="5050" spans="2:34" x14ac:dyDescent="0.2">
      <c r="B5050" s="2">
        <f ca="1"/>
        <v>0.61481328027183024</v>
      </c>
      <c r="O5050" s="2">
        <f ca="1"/>
        <v>-0.53259228967736538</v>
      </c>
      <c r="X5050" s="2">
        <f ca="1"/>
        <v>48.529665936000498</v>
      </c>
      <c r="AG5050" s="2">
        <f ca="1"/>
        <v>0.38021793783666835</v>
      </c>
      <c r="AH5050" s="2" t="str">
        <f ca="1"/>
        <v>OK</v>
      </c>
    </row>
    <row r="5051" spans="2:34" x14ac:dyDescent="0.2">
      <c r="B5051" s="2">
        <f ca="1"/>
        <v>9.9933669052976848E-2</v>
      </c>
      <c r="O5051" s="2">
        <f ca="1"/>
        <v>-0.56986402562060723</v>
      </c>
      <c r="X5051" s="2">
        <f ca="1"/>
        <v>49.974307722846049</v>
      </c>
      <c r="AG5051" s="2">
        <f ca="1"/>
        <v>0.20251828526155036</v>
      </c>
      <c r="AH5051" s="2" t="str">
        <f ca="1"/>
        <v>OK</v>
      </c>
    </row>
    <row r="5052" spans="2:34" x14ac:dyDescent="0.2">
      <c r="B5052" s="2">
        <f ca="1"/>
        <v>0.73824071987683904</v>
      </c>
      <c r="O5052" s="2">
        <f ca="1"/>
        <v>0.60443354855118869</v>
      </c>
      <c r="X5052" s="2">
        <f ca="1"/>
        <v>37.283982717334837</v>
      </c>
      <c r="AG5052" s="2">
        <f ca="1"/>
        <v>0.7775178655466124</v>
      </c>
      <c r="AH5052" s="2" t="str">
        <f ca="1"/>
        <v>Bad</v>
      </c>
    </row>
    <row r="5053" spans="2:34" x14ac:dyDescent="0.2">
      <c r="B5053" s="2">
        <f ca="1"/>
        <v>0.96733694334271969</v>
      </c>
      <c r="O5053" s="2">
        <f ca="1"/>
        <v>-3.2845994307739916</v>
      </c>
      <c r="X5053" s="2">
        <f ca="1"/>
        <v>47.666945822726952</v>
      </c>
      <c r="AG5053" s="2">
        <f ca="1"/>
        <v>0.61896121445896557</v>
      </c>
      <c r="AH5053" s="2" t="str">
        <f ca="1"/>
        <v>Bad</v>
      </c>
    </row>
    <row r="5054" spans="2:34" x14ac:dyDescent="0.2">
      <c r="B5054" s="2">
        <f ca="1"/>
        <v>0.47287759502801308</v>
      </c>
      <c r="O5054" s="2">
        <f ca="1"/>
        <v>-0.90842274353214691</v>
      </c>
      <c r="X5054" s="2">
        <f ca="1"/>
        <v>71.669550850209291</v>
      </c>
      <c r="AG5054" s="2">
        <f ca="1"/>
        <v>0.56168378035588407</v>
      </c>
      <c r="AH5054" s="2" t="str">
        <f ca="1"/>
        <v>Bad</v>
      </c>
    </row>
    <row r="5055" spans="2:34" x14ac:dyDescent="0.2">
      <c r="B5055" s="2">
        <f ca="1"/>
        <v>0.76972088914684345</v>
      </c>
      <c r="O5055" s="2">
        <f ca="1"/>
        <v>0.9887654888879901</v>
      </c>
      <c r="X5055" s="2">
        <f ca="1"/>
        <v>54.203989430446462</v>
      </c>
      <c r="AG5055" s="2">
        <f ca="1"/>
        <v>8.3725228228588522E-2</v>
      </c>
      <c r="AH5055" s="2" t="str">
        <f ca="1"/>
        <v>OK</v>
      </c>
    </row>
    <row r="5056" spans="2:34" x14ac:dyDescent="0.2">
      <c r="B5056" s="2">
        <f ca="1"/>
        <v>0.49208269819237982</v>
      </c>
      <c r="O5056" s="2">
        <f ca="1"/>
        <v>0.54563158200814954</v>
      </c>
      <c r="X5056" s="2">
        <f ca="1"/>
        <v>35.609155933690509</v>
      </c>
      <c r="AG5056" s="2">
        <f ca="1"/>
        <v>0.8335154647338352</v>
      </c>
      <c r="AH5056" s="2" t="str">
        <f ca="1"/>
        <v>Bad</v>
      </c>
    </row>
    <row r="5057" spans="2:34" x14ac:dyDescent="0.2">
      <c r="B5057" s="2">
        <f ca="1"/>
        <v>0.67954923931816902</v>
      </c>
      <c r="O5057" s="2">
        <f ca="1"/>
        <v>-1.4305037070519369</v>
      </c>
      <c r="X5057" s="2">
        <f ca="1"/>
        <v>77.782147277433438</v>
      </c>
      <c r="AG5057" s="2">
        <f ca="1"/>
        <v>0.87719043257213802</v>
      </c>
      <c r="AH5057" s="2" t="str">
        <f ca="1"/>
        <v>Bad</v>
      </c>
    </row>
    <row r="5058" spans="2:34" x14ac:dyDescent="0.2">
      <c r="B5058" s="2">
        <f ca="1"/>
        <v>5.5865761900382171E-2</v>
      </c>
      <c r="O5058" s="2">
        <f ca="1"/>
        <v>0.90287325915884931</v>
      </c>
      <c r="X5058" s="2">
        <f ca="1"/>
        <v>43.854289415453948</v>
      </c>
      <c r="AG5058" s="2">
        <f ca="1"/>
        <v>0.88587586595182155</v>
      </c>
      <c r="AH5058" s="2" t="str">
        <f ca="1"/>
        <v>Bad</v>
      </c>
    </row>
    <row r="5059" spans="2:34" x14ac:dyDescent="0.2">
      <c r="B5059" s="2">
        <f ca="1"/>
        <v>0.61561349052825842</v>
      </c>
      <c r="O5059" s="2">
        <f ca="1"/>
        <v>1.307839042617859</v>
      </c>
      <c r="X5059" s="2">
        <f ca="1"/>
        <v>51.29503668541463</v>
      </c>
      <c r="AG5059" s="2">
        <f ca="1"/>
        <v>0.73366095810048915</v>
      </c>
      <c r="AH5059" s="2" t="str">
        <f ca="1"/>
        <v>Bad</v>
      </c>
    </row>
    <row r="5060" spans="2:34" x14ac:dyDescent="0.2">
      <c r="B5060" s="2">
        <f ca="1"/>
        <v>0.36808147932872104</v>
      </c>
      <c r="O5060" s="2">
        <f ca="1"/>
        <v>-0.41749363561537928</v>
      </c>
      <c r="X5060" s="2">
        <f ca="1"/>
        <v>46.792167616587847</v>
      </c>
      <c r="AG5060" s="2">
        <f ca="1"/>
        <v>0.3763484857878574</v>
      </c>
      <c r="AH5060" s="2" t="str">
        <f ca="1"/>
        <v>OK</v>
      </c>
    </row>
    <row r="5061" spans="2:34" x14ac:dyDescent="0.2">
      <c r="B5061" s="2">
        <f ca="1"/>
        <v>0.98349614984439526</v>
      </c>
      <c r="O5061" s="2">
        <f ca="1"/>
        <v>-0.97035917538085847</v>
      </c>
      <c r="X5061" s="2">
        <f ca="1"/>
        <v>37.941448119478366</v>
      </c>
      <c r="AG5061" s="2">
        <f ca="1"/>
        <v>0.56751603621550073</v>
      </c>
      <c r="AH5061" s="2" t="str">
        <f ca="1"/>
        <v>Bad</v>
      </c>
    </row>
    <row r="5062" spans="2:34" x14ac:dyDescent="0.2">
      <c r="B5062" s="2">
        <f ca="1"/>
        <v>0.29283047722360189</v>
      </c>
      <c r="O5062" s="2">
        <f ca="1"/>
        <v>-0.92086514533017938</v>
      </c>
      <c r="X5062" s="2">
        <f ca="1"/>
        <v>62.565874229471284</v>
      </c>
      <c r="AG5062" s="2">
        <f ca="1"/>
        <v>4.4164645185850393E-2</v>
      </c>
      <c r="AH5062" s="2" t="str">
        <f ca="1"/>
        <v>Good</v>
      </c>
    </row>
    <row r="5063" spans="2:34" x14ac:dyDescent="0.2">
      <c r="B5063" s="2">
        <f ca="1"/>
        <v>0.36624065686758134</v>
      </c>
      <c r="O5063" s="2">
        <f ca="1"/>
        <v>-0.45239349121427314</v>
      </c>
      <c r="X5063" s="2">
        <f ca="1"/>
        <v>71.902533840050694</v>
      </c>
      <c r="AG5063" s="2">
        <f ca="1"/>
        <v>0.38169766069571165</v>
      </c>
      <c r="AH5063" s="2" t="str">
        <f ca="1"/>
        <v>OK</v>
      </c>
    </row>
    <row r="5064" spans="2:34" x14ac:dyDescent="0.2">
      <c r="B5064" s="2">
        <f ca="1"/>
        <v>0.43128300025486643</v>
      </c>
      <c r="O5064" s="2">
        <f ca="1"/>
        <v>0.70133108864350591</v>
      </c>
      <c r="X5064" s="2">
        <f ca="1"/>
        <v>89.186186658562988</v>
      </c>
      <c r="AG5064" s="2">
        <f ca="1"/>
        <v>0.49182124380040104</v>
      </c>
      <c r="AH5064" s="2" t="str">
        <f ca="1"/>
        <v>Bad</v>
      </c>
    </row>
    <row r="5065" spans="2:34" x14ac:dyDescent="0.2">
      <c r="B5065" s="2">
        <f ca="1"/>
        <v>2.3008107219425478E-2</v>
      </c>
      <c r="O5065" s="2">
        <f ca="1"/>
        <v>0.54640685074650275</v>
      </c>
      <c r="X5065" s="2">
        <f ca="1"/>
        <v>43.118225540816198</v>
      </c>
      <c r="AG5065" s="2">
        <f ca="1"/>
        <v>0.47963512054475133</v>
      </c>
      <c r="AH5065" s="2" t="str">
        <f ca="1"/>
        <v>Bad</v>
      </c>
    </row>
    <row r="5066" spans="2:34" x14ac:dyDescent="0.2">
      <c r="B5066" s="2">
        <f ca="1"/>
        <v>0.55566521427917093</v>
      </c>
      <c r="O5066" s="2">
        <f ca="1"/>
        <v>-0.3886823912915689</v>
      </c>
      <c r="X5066" s="2">
        <f ca="1"/>
        <v>32.943560564482112</v>
      </c>
      <c r="AG5066" s="2">
        <f ca="1"/>
        <v>4.4482659422064863E-3</v>
      </c>
      <c r="AH5066" s="2" t="str">
        <f ca="1"/>
        <v>Good</v>
      </c>
    </row>
    <row r="5067" spans="2:34" x14ac:dyDescent="0.2">
      <c r="B5067" s="2">
        <f ca="1"/>
        <v>0.6102934418594046</v>
      </c>
      <c r="O5067" s="2">
        <f ca="1"/>
        <v>0.980124616013478</v>
      </c>
      <c r="X5067" s="2">
        <f ca="1"/>
        <v>36.49237661367642</v>
      </c>
      <c r="AG5067" s="2">
        <f ca="1"/>
        <v>0.24678427935262315</v>
      </c>
      <c r="AH5067" s="2" t="str">
        <f ca="1"/>
        <v>OK</v>
      </c>
    </row>
    <row r="5068" spans="2:34" x14ac:dyDescent="0.2">
      <c r="B5068" s="2">
        <f ca="1"/>
        <v>0.59853638814627863</v>
      </c>
      <c r="O5068" s="2">
        <f ca="1"/>
        <v>0.92877156166522445</v>
      </c>
      <c r="X5068" s="2">
        <f ca="1"/>
        <v>28.866374557415799</v>
      </c>
      <c r="AG5068" s="2">
        <f ca="1"/>
        <v>0.63047906979663404</v>
      </c>
      <c r="AH5068" s="2" t="str">
        <f ca="1"/>
        <v>Bad</v>
      </c>
    </row>
    <row r="5069" spans="2:34" x14ac:dyDescent="0.2">
      <c r="B5069" s="2">
        <f ca="1"/>
        <v>0.58978800802960629</v>
      </c>
      <c r="O5069" s="2">
        <f ca="1"/>
        <v>-0.36191086075969675</v>
      </c>
      <c r="X5069" s="2">
        <f ca="1"/>
        <v>35.261658559555961</v>
      </c>
      <c r="AG5069" s="2">
        <f ca="1"/>
        <v>0.71491869751994153</v>
      </c>
      <c r="AH5069" s="2" t="str">
        <f ca="1"/>
        <v>Bad</v>
      </c>
    </row>
    <row r="5070" spans="2:34" x14ac:dyDescent="0.2">
      <c r="B5070" s="2">
        <f ca="1"/>
        <v>0.98188067807067281</v>
      </c>
      <c r="O5070" s="2">
        <f ca="1"/>
        <v>-1.6954079553077168</v>
      </c>
      <c r="X5070" s="2">
        <f ca="1"/>
        <v>46.850836215379353</v>
      </c>
      <c r="AG5070" s="2">
        <f ca="1"/>
        <v>0.52519527312490411</v>
      </c>
      <c r="AH5070" s="2" t="str">
        <f ca="1"/>
        <v>Bad</v>
      </c>
    </row>
    <row r="5071" spans="2:34" x14ac:dyDescent="0.2">
      <c r="B5071" s="2">
        <f ca="1"/>
        <v>8.7803527428836015E-2</v>
      </c>
      <c r="O5071" s="2">
        <f ca="1"/>
        <v>-1.5544985425718312</v>
      </c>
      <c r="X5071" s="2">
        <f ca="1"/>
        <v>41.151046057436119</v>
      </c>
      <c r="AG5071" s="2">
        <f ca="1"/>
        <v>0.30028477307790213</v>
      </c>
      <c r="AH5071" s="2" t="str">
        <f ca="1"/>
        <v>OK</v>
      </c>
    </row>
    <row r="5072" spans="2:34" x14ac:dyDescent="0.2">
      <c r="B5072" s="2">
        <f ca="1"/>
        <v>0.23415572515096561</v>
      </c>
      <c r="O5072" s="2">
        <f ca="1"/>
        <v>3.0346246897743092E-2</v>
      </c>
      <c r="X5072" s="2">
        <f ca="1"/>
        <v>30.626675962768793</v>
      </c>
      <c r="AG5072" s="2">
        <f ca="1"/>
        <v>0.23406961294123763</v>
      </c>
      <c r="AH5072" s="2" t="str">
        <f ca="1"/>
        <v>OK</v>
      </c>
    </row>
    <row r="5073" spans="2:34" x14ac:dyDescent="0.2">
      <c r="B5073" s="2">
        <f ca="1"/>
        <v>0.56486471444697295</v>
      </c>
      <c r="O5073" s="2">
        <f ca="1"/>
        <v>0.48651536174469356</v>
      </c>
      <c r="X5073" s="2">
        <f ca="1"/>
        <v>41.436449603992671</v>
      </c>
      <c r="AG5073" s="2">
        <f ca="1"/>
        <v>0.53480394927080632</v>
      </c>
      <c r="AH5073" s="2" t="str">
        <f ca="1"/>
        <v>Bad</v>
      </c>
    </row>
    <row r="5074" spans="2:34" x14ac:dyDescent="0.2">
      <c r="B5074" s="2">
        <f ca="1"/>
        <v>0.90083519465656381</v>
      </c>
      <c r="O5074" s="2">
        <f ca="1"/>
        <v>-0.5125433281078362</v>
      </c>
      <c r="X5074" s="2">
        <f ca="1"/>
        <v>39.597561694165783</v>
      </c>
      <c r="AG5074" s="2">
        <f ca="1"/>
        <v>0.25778893830883032</v>
      </c>
      <c r="AH5074" s="2" t="str">
        <f ca="1"/>
        <v>OK</v>
      </c>
    </row>
    <row r="5075" spans="2:34" x14ac:dyDescent="0.2">
      <c r="B5075" s="2">
        <f ca="1"/>
        <v>0.16771784198812822</v>
      </c>
      <c r="O5075" s="2">
        <f ca="1"/>
        <v>0.71693080702845202</v>
      </c>
      <c r="X5075" s="2">
        <f ca="1"/>
        <v>78.267033392113021</v>
      </c>
      <c r="AG5075" s="2">
        <f ca="1"/>
        <v>0.47464794228625662</v>
      </c>
      <c r="AH5075" s="2" t="str">
        <f ca="1"/>
        <v>Bad</v>
      </c>
    </row>
    <row r="5076" spans="2:34" x14ac:dyDescent="0.2">
      <c r="B5076" s="2">
        <f ca="1"/>
        <v>0.25342669376094995</v>
      </c>
      <c r="O5076" s="2">
        <f ca="1"/>
        <v>0.25562588305552125</v>
      </c>
      <c r="X5076" s="2">
        <f ca="1"/>
        <v>35.472017674444928</v>
      </c>
      <c r="AG5076" s="2">
        <f ca="1"/>
        <v>0.53438192394923378</v>
      </c>
      <c r="AH5076" s="2" t="str">
        <f ca="1"/>
        <v>Bad</v>
      </c>
    </row>
    <row r="5077" spans="2:34" x14ac:dyDescent="0.2">
      <c r="B5077" s="2">
        <f ca="1"/>
        <v>0.42521028651591486</v>
      </c>
      <c r="O5077" s="2">
        <f ca="1"/>
        <v>2.1758418659939642</v>
      </c>
      <c r="X5077" s="2">
        <f ca="1"/>
        <v>67.777444190676064</v>
      </c>
      <c r="AG5077" s="2">
        <f ca="1"/>
        <v>0.82361063330195239</v>
      </c>
      <c r="AH5077" s="2" t="str">
        <f ca="1"/>
        <v>Bad</v>
      </c>
    </row>
    <row r="5078" spans="2:34" x14ac:dyDescent="0.2">
      <c r="B5078" s="2">
        <f ca="1"/>
        <v>0.9734586365229132</v>
      </c>
      <c r="O5078" s="2">
        <f ca="1"/>
        <v>0.70790603639752736</v>
      </c>
      <c r="X5078" s="2">
        <f ca="1"/>
        <v>65.875399579699703</v>
      </c>
      <c r="AG5078" s="2">
        <f ca="1"/>
        <v>0.35067233449276425</v>
      </c>
      <c r="AH5078" s="2" t="str">
        <f ca="1"/>
        <v>OK</v>
      </c>
    </row>
    <row r="5079" spans="2:34" x14ac:dyDescent="0.2">
      <c r="B5079" s="2">
        <f ca="1"/>
        <v>0.46141897947475363</v>
      </c>
      <c r="O5079" s="2">
        <f ca="1"/>
        <v>0.2387764694783962</v>
      </c>
      <c r="X5079" s="2">
        <f ca="1"/>
        <v>16.552240965440287</v>
      </c>
      <c r="AG5079" s="2">
        <f ca="1"/>
        <v>0.94264688085072557</v>
      </c>
      <c r="AH5079" s="2" t="str">
        <f ca="1"/>
        <v>Bad</v>
      </c>
    </row>
    <row r="5080" spans="2:34" x14ac:dyDescent="0.2">
      <c r="B5080" s="2">
        <f ca="1"/>
        <v>0.43869709329452466</v>
      </c>
      <c r="O5080" s="2">
        <f ca="1"/>
        <v>0.28074514058394734</v>
      </c>
      <c r="X5080" s="2">
        <f ca="1"/>
        <v>104.69022965237683</v>
      </c>
      <c r="AG5080" s="2">
        <f ca="1"/>
        <v>0.61820099505465942</v>
      </c>
      <c r="AH5080" s="2" t="str">
        <f ca="1"/>
        <v>Bad</v>
      </c>
    </row>
    <row r="5081" spans="2:34" x14ac:dyDescent="0.2">
      <c r="B5081" s="2">
        <f ca="1"/>
        <v>0.41018274702794932</v>
      </c>
      <c r="O5081" s="2">
        <f ca="1"/>
        <v>-0.11281859781457143</v>
      </c>
      <c r="X5081" s="2">
        <f ca="1"/>
        <v>16.504038618308357</v>
      </c>
      <c r="AG5081" s="2">
        <f ca="1"/>
        <v>0.52820475046987303</v>
      </c>
      <c r="AH5081" s="2" t="str">
        <f ca="1"/>
        <v>Bad</v>
      </c>
    </row>
    <row r="5082" spans="2:34" x14ac:dyDescent="0.2">
      <c r="B5082" s="2">
        <f ca="1"/>
        <v>0.43509352256197942</v>
      </c>
      <c r="O5082" s="2">
        <f ca="1"/>
        <v>0.78516873788768438</v>
      </c>
      <c r="X5082" s="2">
        <f ca="1"/>
        <v>42.276198454355054</v>
      </c>
      <c r="AG5082" s="2">
        <f ca="1"/>
        <v>0.68889488380666331</v>
      </c>
      <c r="AH5082" s="2" t="str">
        <f ca="1"/>
        <v>Bad</v>
      </c>
    </row>
    <row r="5083" spans="2:34" x14ac:dyDescent="0.2">
      <c r="B5083" s="2">
        <f ca="1"/>
        <v>0.23966307952992372</v>
      </c>
      <c r="O5083" s="2">
        <f ca="1"/>
        <v>1.3262700286065543</v>
      </c>
      <c r="X5083" s="2">
        <f ca="1"/>
        <v>60.086115025687654</v>
      </c>
      <c r="AG5083" s="2">
        <f ca="1"/>
        <v>0.91145526425858203</v>
      </c>
      <c r="AH5083" s="2" t="str">
        <f ca="1"/>
        <v>Bad</v>
      </c>
    </row>
    <row r="5084" spans="2:34" x14ac:dyDescent="0.2">
      <c r="B5084" s="2">
        <f ca="1"/>
        <v>0.79081121036912649</v>
      </c>
      <c r="O5084" s="2">
        <f ca="1"/>
        <v>-2.7527510401912925</v>
      </c>
      <c r="X5084" s="2">
        <f ca="1"/>
        <v>64.774810094102008</v>
      </c>
      <c r="AG5084" s="2">
        <f ca="1"/>
        <v>0.68545468947031329</v>
      </c>
      <c r="AH5084" s="2" t="str">
        <f ca="1"/>
        <v>Bad</v>
      </c>
    </row>
    <row r="5085" spans="2:34" x14ac:dyDescent="0.2">
      <c r="B5085" s="2">
        <f ca="1"/>
        <v>0.82540837152917979</v>
      </c>
      <c r="O5085" s="2">
        <f ca="1"/>
        <v>-1.0615540417061891</v>
      </c>
      <c r="X5085" s="2">
        <f ca="1"/>
        <v>58.301374734224765</v>
      </c>
      <c r="AG5085" s="2">
        <f ca="1"/>
        <v>0.87776044210054782</v>
      </c>
      <c r="AH5085" s="2" t="str">
        <f ca="1"/>
        <v>Bad</v>
      </c>
    </row>
    <row r="5086" spans="2:34" x14ac:dyDescent="0.2">
      <c r="B5086" s="2">
        <f ca="1"/>
        <v>0.97260475027945192</v>
      </c>
      <c r="O5086" s="2">
        <f ca="1"/>
        <v>9.9242242784412141E-2</v>
      </c>
      <c r="X5086" s="2">
        <f ca="1"/>
        <v>32.296833714539019</v>
      </c>
      <c r="AG5086" s="2">
        <f ca="1"/>
        <v>0.75655432025080493</v>
      </c>
      <c r="AH5086" s="2" t="str">
        <f ca="1"/>
        <v>Bad</v>
      </c>
    </row>
    <row r="5087" spans="2:34" x14ac:dyDescent="0.2">
      <c r="B5087" s="2">
        <f ca="1"/>
        <v>0.47339206162286462</v>
      </c>
      <c r="O5087" s="2">
        <f ca="1"/>
        <v>0.55624887448795279</v>
      </c>
      <c r="X5087" s="2">
        <f ca="1"/>
        <v>53.455215869556767</v>
      </c>
      <c r="AG5087" s="2">
        <f ca="1"/>
        <v>0.3414507252038752</v>
      </c>
      <c r="AH5087" s="2" t="str">
        <f ca="1"/>
        <v>OK</v>
      </c>
    </row>
    <row r="5088" spans="2:34" x14ac:dyDescent="0.2">
      <c r="B5088" s="2">
        <f ca="1"/>
        <v>0.39777727309911137</v>
      </c>
      <c r="O5088" s="2">
        <f ca="1"/>
        <v>-1.6939144075807075</v>
      </c>
      <c r="X5088" s="2">
        <f ca="1"/>
        <v>59.712913460158035</v>
      </c>
      <c r="AG5088" s="2">
        <f ca="1"/>
        <v>0.90194508502560256</v>
      </c>
      <c r="AH5088" s="2" t="str">
        <f ca="1"/>
        <v>Bad</v>
      </c>
    </row>
    <row r="5089" spans="2:34" x14ac:dyDescent="0.2">
      <c r="B5089" s="2">
        <f ca="1"/>
        <v>0.75515469307401673</v>
      </c>
      <c r="O5089" s="2">
        <f ca="1"/>
        <v>3.1585072925162799E-3</v>
      </c>
      <c r="X5089" s="2">
        <f ca="1"/>
        <v>65.952543334414273</v>
      </c>
      <c r="AG5089" s="2">
        <f ca="1"/>
        <v>0.56292025884048935</v>
      </c>
      <c r="AH5089" s="2" t="str">
        <f ca="1"/>
        <v>Bad</v>
      </c>
    </row>
    <row r="5090" spans="2:34" x14ac:dyDescent="0.2">
      <c r="B5090" s="2">
        <f ca="1"/>
        <v>0.55028031461084526</v>
      </c>
      <c r="O5090" s="2">
        <f ca="1"/>
        <v>-1.7890221351894631</v>
      </c>
      <c r="X5090" s="2">
        <f ca="1"/>
        <v>47.869889341344873</v>
      </c>
      <c r="AG5090" s="2">
        <f ca="1"/>
        <v>0.95136783731105834</v>
      </c>
      <c r="AH5090" s="2" t="str">
        <f ca="1"/>
        <v>Bad</v>
      </c>
    </row>
    <row r="5091" spans="2:34" x14ac:dyDescent="0.2">
      <c r="B5091" s="2">
        <f ca="1"/>
        <v>0.35348830857230129</v>
      </c>
      <c r="O5091" s="2">
        <f ca="1"/>
        <v>-1.6126222122504359</v>
      </c>
      <c r="X5091" s="2">
        <f ca="1"/>
        <v>43.228317555872636</v>
      </c>
      <c r="AG5091" s="2">
        <f ca="1"/>
        <v>4.0007068134586543E-3</v>
      </c>
      <c r="AH5091" s="2" t="str">
        <f ca="1"/>
        <v>Good</v>
      </c>
    </row>
    <row r="5092" spans="2:34" x14ac:dyDescent="0.2">
      <c r="B5092" s="2">
        <f ca="1"/>
        <v>0.47162095584161356</v>
      </c>
      <c r="O5092" s="2">
        <f ca="1"/>
        <v>0.41705600459742348</v>
      </c>
      <c r="X5092" s="2">
        <f ca="1"/>
        <v>52.636290765182551</v>
      </c>
      <c r="AG5092" s="2">
        <f ca="1"/>
        <v>0.63309748626843354</v>
      </c>
      <c r="AH5092" s="2" t="str">
        <f ca="1"/>
        <v>Bad</v>
      </c>
    </row>
    <row r="5093" spans="2:34" x14ac:dyDescent="0.2">
      <c r="B5093" s="2">
        <f ca="1"/>
        <v>0.38434237768323842</v>
      </c>
      <c r="O5093" s="2">
        <f ca="1"/>
        <v>0.94206769237372767</v>
      </c>
      <c r="X5093" s="2">
        <f ca="1"/>
        <v>31.177838575395675</v>
      </c>
      <c r="AG5093" s="2">
        <f ca="1"/>
        <v>0.99783793716475033</v>
      </c>
      <c r="AH5093" s="2" t="str">
        <f ca="1"/>
        <v>Bad</v>
      </c>
    </row>
    <row r="5094" spans="2:34" x14ac:dyDescent="0.2">
      <c r="B5094" s="2">
        <f ca="1"/>
        <v>0.94515674952159845</v>
      </c>
      <c r="O5094" s="2">
        <f ca="1"/>
        <v>0.86269414207323791</v>
      </c>
      <c r="X5094" s="2">
        <f ca="1"/>
        <v>36.239036041737542</v>
      </c>
      <c r="AG5094" s="2">
        <f ca="1"/>
        <v>0.10488279628664765</v>
      </c>
      <c r="AH5094" s="2" t="str">
        <f ca="1"/>
        <v>OK</v>
      </c>
    </row>
    <row r="5095" spans="2:34" x14ac:dyDescent="0.2">
      <c r="B5095" s="2">
        <f ca="1"/>
        <v>0.25302723485120682</v>
      </c>
      <c r="O5095" s="2">
        <f ca="1"/>
        <v>0.49883818850290917</v>
      </c>
      <c r="X5095" s="2">
        <f ca="1"/>
        <v>46.701351355341004</v>
      </c>
      <c r="AG5095" s="2">
        <f ca="1"/>
        <v>0.60624485826016339</v>
      </c>
      <c r="AH5095" s="2" t="str">
        <f ca="1"/>
        <v>Bad</v>
      </c>
    </row>
    <row r="5096" spans="2:34" x14ac:dyDescent="0.2">
      <c r="B5096" s="2">
        <f ca="1"/>
        <v>0.69395299703904056</v>
      </c>
      <c r="O5096" s="2">
        <f ca="1"/>
        <v>-0.78044447155119812</v>
      </c>
      <c r="X5096" s="2">
        <f ca="1"/>
        <v>65.605360589419092</v>
      </c>
      <c r="AG5096" s="2">
        <f ca="1"/>
        <v>0.6020094539870593</v>
      </c>
      <c r="AH5096" s="2" t="str">
        <f ca="1"/>
        <v>Bad</v>
      </c>
    </row>
    <row r="5097" spans="2:34" x14ac:dyDescent="0.2">
      <c r="B5097" s="2">
        <f ca="1"/>
        <v>0.64257238786183279</v>
      </c>
      <c r="O5097" s="2">
        <f ca="1"/>
        <v>1.706526608458383</v>
      </c>
      <c r="X5097" s="2">
        <f ca="1"/>
        <v>104.14641226427703</v>
      </c>
      <c r="AG5097" s="2">
        <f ca="1"/>
        <v>0.2508715561740722</v>
      </c>
      <c r="AH5097" s="2" t="str">
        <f ca="1"/>
        <v>OK</v>
      </c>
    </row>
    <row r="5098" spans="2:34" x14ac:dyDescent="0.2">
      <c r="B5098" s="2">
        <f ca="1"/>
        <v>0.82609934030745125</v>
      </c>
      <c r="O5098" s="2">
        <f ca="1"/>
        <v>0.97172115352350574</v>
      </c>
      <c r="X5098" s="2">
        <f ca="1"/>
        <v>45.161892856590676</v>
      </c>
      <c r="AG5098" s="2">
        <f ca="1"/>
        <v>0.87592499616805952</v>
      </c>
      <c r="AH5098" s="2" t="str">
        <f ca="1"/>
        <v>Bad</v>
      </c>
    </row>
    <row r="5099" spans="2:34" x14ac:dyDescent="0.2">
      <c r="B5099" s="2">
        <f ca="1"/>
        <v>0.45583049209120952</v>
      </c>
      <c r="O5099" s="2">
        <f ca="1"/>
        <v>-0.10356803212767532</v>
      </c>
      <c r="X5099" s="2">
        <f ca="1"/>
        <v>58.975803537131412</v>
      </c>
      <c r="AG5099" s="2">
        <f ca="1"/>
        <v>6.1102222377971138E-3</v>
      </c>
      <c r="AH5099" s="2" t="str">
        <f ca="1"/>
        <v>Good</v>
      </c>
    </row>
    <row r="5100" spans="2:34" x14ac:dyDescent="0.2">
      <c r="B5100" s="2">
        <f ca="1"/>
        <v>0.31120410826991751</v>
      </c>
      <c r="O5100" s="2">
        <f ca="1"/>
        <v>1.0492165100083735</v>
      </c>
      <c r="X5100" s="2">
        <f ca="1"/>
        <v>34.216969002080234</v>
      </c>
      <c r="AG5100" s="2">
        <f ca="1"/>
        <v>0.88091900744608354</v>
      </c>
      <c r="AH5100" s="2" t="str">
        <f ca="1"/>
        <v>Bad</v>
      </c>
    </row>
    <row r="5101" spans="2:34" x14ac:dyDescent="0.2">
      <c r="B5101" s="2">
        <f ca="1"/>
        <v>0.93204649099682801</v>
      </c>
      <c r="O5101" s="2">
        <f ca="1"/>
        <v>0.93704604346624265</v>
      </c>
      <c r="X5101" s="2">
        <f ca="1"/>
        <v>45.299631399301568</v>
      </c>
      <c r="AG5101" s="2">
        <f ca="1"/>
        <v>0.92362106175376013</v>
      </c>
      <c r="AH5101" s="2" t="str">
        <f ca="1"/>
        <v>Bad</v>
      </c>
    </row>
    <row r="5102" spans="2:34" x14ac:dyDescent="0.2">
      <c r="B5102" s="2">
        <f ca="1"/>
        <v>0.31599418126960677</v>
      </c>
      <c r="O5102" s="2">
        <f ca="1"/>
        <v>-0.13673891776552907</v>
      </c>
      <c r="X5102" s="2">
        <f ca="1"/>
        <v>69.924702255128736</v>
      </c>
      <c r="AG5102" s="2">
        <f ca="1"/>
        <v>0.95099730319432596</v>
      </c>
      <c r="AH5102" s="2" t="str">
        <f ca="1"/>
        <v>Bad</v>
      </c>
    </row>
    <row r="5103" spans="2:34" x14ac:dyDescent="0.2">
      <c r="B5103" s="2">
        <f ca="1"/>
        <v>1.9970703090383957E-3</v>
      </c>
      <c r="O5103" s="2">
        <f ca="1"/>
        <v>0.66653501227868805</v>
      </c>
      <c r="X5103" s="2">
        <f ca="1"/>
        <v>59.473953398269295</v>
      </c>
      <c r="AG5103" s="2">
        <f ca="1"/>
        <v>0.32539561234887615</v>
      </c>
      <c r="AH5103" s="2" t="str">
        <f ca="1"/>
        <v>OK</v>
      </c>
    </row>
    <row r="5104" spans="2:34" x14ac:dyDescent="0.2">
      <c r="B5104" s="2">
        <f ca="1"/>
        <v>0.50037373995936352</v>
      </c>
      <c r="O5104" s="2">
        <f ca="1"/>
        <v>-0.6901714031785019</v>
      </c>
      <c r="X5104" s="2">
        <f ca="1"/>
        <v>32.307732726700287</v>
      </c>
      <c r="AG5104" s="2">
        <f ca="1"/>
        <v>0.87993601903163277</v>
      </c>
      <c r="AH5104" s="2" t="str">
        <f ca="1"/>
        <v>Bad</v>
      </c>
    </row>
    <row r="5105" spans="2:34" x14ac:dyDescent="0.2">
      <c r="B5105" s="2">
        <f ca="1"/>
        <v>0.31254601725415876</v>
      </c>
      <c r="O5105" s="2">
        <f ca="1"/>
        <v>1.0731346123294105</v>
      </c>
      <c r="X5105" s="2">
        <f ca="1"/>
        <v>53.236757052544817</v>
      </c>
      <c r="AG5105" s="2">
        <f ca="1"/>
        <v>0.37695104263465917</v>
      </c>
      <c r="AH5105" s="2" t="str">
        <f ca="1"/>
        <v>OK</v>
      </c>
    </row>
    <row r="5106" spans="2:34" x14ac:dyDescent="0.2">
      <c r="B5106" s="2">
        <f ca="1"/>
        <v>0.68763862559257216</v>
      </c>
      <c r="O5106" s="2">
        <f ca="1"/>
        <v>0.32789318839210074</v>
      </c>
      <c r="X5106" s="2">
        <f ca="1"/>
        <v>20.949490866792605</v>
      </c>
      <c r="AG5106" s="2">
        <f ca="1"/>
        <v>0.76514032366435525</v>
      </c>
      <c r="AH5106" s="2" t="str">
        <f ca="1"/>
        <v>Bad</v>
      </c>
    </row>
    <row r="5107" spans="2:34" x14ac:dyDescent="0.2">
      <c r="B5107" s="2">
        <f ca="1"/>
        <v>7.6807777780540931E-4</v>
      </c>
      <c r="O5107" s="2">
        <f ca="1"/>
        <v>2.5876054951776699</v>
      </c>
      <c r="X5107" s="2">
        <f ca="1"/>
        <v>43.080101029468366</v>
      </c>
      <c r="AG5107" s="2">
        <f ca="1"/>
        <v>0.50227707386001796</v>
      </c>
      <c r="AH5107" s="2" t="str">
        <f ca="1"/>
        <v>Bad</v>
      </c>
    </row>
    <row r="5108" spans="2:34" x14ac:dyDescent="0.2">
      <c r="B5108" s="2">
        <f ca="1"/>
        <v>3.9152653702592577E-2</v>
      </c>
      <c r="O5108" s="2">
        <f ca="1"/>
        <v>-0.55678809086138703</v>
      </c>
      <c r="X5108" s="2">
        <f ca="1"/>
        <v>54.964958572199698</v>
      </c>
      <c r="AG5108" s="2">
        <f ca="1"/>
        <v>0.48808859947189931</v>
      </c>
      <c r="AH5108" s="2" t="str">
        <f ca="1"/>
        <v>Bad</v>
      </c>
    </row>
    <row r="5109" spans="2:34" x14ac:dyDescent="0.2">
      <c r="B5109" s="2">
        <f ca="1"/>
        <v>0.5692892226962849</v>
      </c>
      <c r="O5109" s="2">
        <f ca="1"/>
        <v>0.71369095546409156</v>
      </c>
      <c r="X5109" s="2">
        <f ca="1"/>
        <v>45.149725659163835</v>
      </c>
      <c r="AG5109" s="2">
        <f ca="1"/>
        <v>0.84621990867442354</v>
      </c>
      <c r="AH5109" s="2" t="str">
        <f ca="1"/>
        <v>Bad</v>
      </c>
    </row>
    <row r="5110" spans="2:34" x14ac:dyDescent="0.2">
      <c r="B5110" s="2">
        <f ca="1"/>
        <v>0.4842167320074735</v>
      </c>
      <c r="O5110" s="2">
        <f ca="1"/>
        <v>-1.3981264827555129</v>
      </c>
      <c r="X5110" s="2">
        <f ca="1"/>
        <v>27.015191819643857</v>
      </c>
      <c r="AG5110" s="2">
        <f ca="1"/>
        <v>0.76071018346023633</v>
      </c>
      <c r="AH5110" s="2" t="str">
        <f ca="1"/>
        <v>Bad</v>
      </c>
    </row>
    <row r="5111" spans="2:34" x14ac:dyDescent="0.2">
      <c r="B5111" s="2">
        <f ca="1"/>
        <v>0.11924040637537492</v>
      </c>
      <c r="O5111" s="2">
        <f ca="1"/>
        <v>0.50753651918032761</v>
      </c>
      <c r="X5111" s="2">
        <f ca="1"/>
        <v>76.892000751562207</v>
      </c>
      <c r="AG5111" s="2">
        <f ca="1"/>
        <v>4.3707861104341772E-2</v>
      </c>
      <c r="AH5111" s="2" t="str">
        <f ca="1"/>
        <v>Good</v>
      </c>
    </row>
    <row r="5112" spans="2:34" x14ac:dyDescent="0.2">
      <c r="B5112" s="2">
        <f ca="1"/>
        <v>0.31407201540979446</v>
      </c>
      <c r="O5112" s="2">
        <f ca="1"/>
        <v>-0.78343266872508932</v>
      </c>
      <c r="X5112" s="2">
        <f ca="1"/>
        <v>43.799514555774095</v>
      </c>
      <c r="AG5112" s="2">
        <f ca="1"/>
        <v>0.21285474613687239</v>
      </c>
      <c r="AH5112" s="2" t="str">
        <f ca="1"/>
        <v>OK</v>
      </c>
    </row>
    <row r="5113" spans="2:34" x14ac:dyDescent="0.2">
      <c r="B5113" s="2">
        <f ca="1"/>
        <v>0.68255461252664285</v>
      </c>
      <c r="O5113" s="2">
        <f ca="1"/>
        <v>1.0082949516503292</v>
      </c>
      <c r="X5113" s="2">
        <f ca="1"/>
        <v>56.510785171241544</v>
      </c>
      <c r="AG5113" s="2">
        <f ca="1"/>
        <v>0.68323416977143969</v>
      </c>
      <c r="AH5113" s="2" t="str">
        <f ca="1"/>
        <v>Bad</v>
      </c>
    </row>
    <row r="5114" spans="2:34" x14ac:dyDescent="0.2">
      <c r="B5114" s="2">
        <f ca="1"/>
        <v>0.9302603587760383</v>
      </c>
      <c r="O5114" s="2">
        <f ca="1"/>
        <v>0.23580897311072163</v>
      </c>
      <c r="X5114" s="2">
        <f ca="1"/>
        <v>62.882702403765485</v>
      </c>
      <c r="AG5114" s="2">
        <f ca="1"/>
        <v>0.81703598121461973</v>
      </c>
      <c r="AH5114" s="2" t="str">
        <f ca="1"/>
        <v>Bad</v>
      </c>
    </row>
    <row r="5115" spans="2:34" x14ac:dyDescent="0.2">
      <c r="B5115" s="2">
        <f ca="1"/>
        <v>0.95876630319594036</v>
      </c>
      <c r="O5115" s="2">
        <f ca="1"/>
        <v>-1.1575323836151681</v>
      </c>
      <c r="X5115" s="2">
        <f ca="1"/>
        <v>52.525165715174147</v>
      </c>
      <c r="AG5115" s="2">
        <f ca="1"/>
        <v>0.22472942577053567</v>
      </c>
      <c r="AH5115" s="2" t="str">
        <f ca="1"/>
        <v>OK</v>
      </c>
    </row>
    <row r="5116" spans="2:34" x14ac:dyDescent="0.2">
      <c r="B5116" s="2">
        <f ca="1"/>
        <v>0.52719964096836947</v>
      </c>
      <c r="O5116" s="2">
        <f ca="1"/>
        <v>-1.1183621352859152</v>
      </c>
      <c r="X5116" s="2">
        <f ca="1"/>
        <v>59.733054608206622</v>
      </c>
      <c r="AG5116" s="2">
        <f ca="1"/>
        <v>0.60039443828809702</v>
      </c>
      <c r="AH5116" s="2" t="str">
        <f ca="1"/>
        <v>Bad</v>
      </c>
    </row>
    <row r="5117" spans="2:34" x14ac:dyDescent="0.2">
      <c r="B5117" s="2">
        <f ca="1"/>
        <v>1.5457537520002118E-2</v>
      </c>
      <c r="O5117" s="2">
        <f ca="1"/>
        <v>0.51363731984797178</v>
      </c>
      <c r="X5117" s="2">
        <f ca="1"/>
        <v>58.085502736729694</v>
      </c>
      <c r="AG5117" s="2">
        <f ca="1"/>
        <v>0.10671020250235541</v>
      </c>
      <c r="AH5117" s="2" t="str">
        <f ca="1"/>
        <v>OK</v>
      </c>
    </row>
    <row r="5118" spans="2:34" x14ac:dyDescent="0.2">
      <c r="B5118" s="2">
        <f ca="1"/>
        <v>0.51960678850497954</v>
      </c>
      <c r="O5118" s="2">
        <f ca="1"/>
        <v>0.96592580616103429</v>
      </c>
      <c r="X5118" s="2">
        <f ca="1"/>
        <v>46.926423538907144</v>
      </c>
      <c r="AG5118" s="2">
        <f ca="1"/>
        <v>0.44334082327197111</v>
      </c>
      <c r="AH5118" s="2" t="str">
        <f ca="1"/>
        <v>Bad</v>
      </c>
    </row>
    <row r="5119" spans="2:34" x14ac:dyDescent="0.2">
      <c r="B5119" s="2">
        <f ca="1"/>
        <v>0.46198249677885239</v>
      </c>
      <c r="O5119" s="2">
        <f ca="1"/>
        <v>-0.30359803218276082</v>
      </c>
      <c r="X5119" s="2">
        <f ca="1"/>
        <v>57.030122210698835</v>
      </c>
      <c r="AG5119" s="2">
        <f ca="1"/>
        <v>0.58390934054030486</v>
      </c>
      <c r="AH5119" s="2" t="str">
        <f ca="1"/>
        <v>Bad</v>
      </c>
    </row>
    <row r="5120" spans="2:34" x14ac:dyDescent="0.2">
      <c r="B5120" s="2">
        <f ca="1"/>
        <v>0.84727678618726587</v>
      </c>
      <c r="O5120" s="2">
        <f ca="1"/>
        <v>1.208931958286082</v>
      </c>
      <c r="X5120" s="2">
        <f ca="1"/>
        <v>56.052004814634287</v>
      </c>
      <c r="AG5120" s="2">
        <f ca="1"/>
        <v>0.64108784590388712</v>
      </c>
      <c r="AH5120" s="2" t="str">
        <f ca="1"/>
        <v>Bad</v>
      </c>
    </row>
    <row r="5121" spans="2:34" x14ac:dyDescent="0.2">
      <c r="B5121" s="2">
        <f ca="1"/>
        <v>0.62737196518684835</v>
      </c>
      <c r="O5121" s="2">
        <f ca="1"/>
        <v>0.67252802438066617</v>
      </c>
      <c r="X5121" s="2">
        <f ca="1"/>
        <v>25.752769415832404</v>
      </c>
      <c r="AG5121" s="2">
        <f ca="1"/>
        <v>0.63191777684422568</v>
      </c>
      <c r="AH5121" s="2" t="str">
        <f ca="1"/>
        <v>Bad</v>
      </c>
    </row>
    <row r="5122" spans="2:34" x14ac:dyDescent="0.2">
      <c r="B5122" s="2">
        <f ca="1"/>
        <v>0.58672930122148736</v>
      </c>
      <c r="O5122" s="2">
        <f ca="1"/>
        <v>2.5187650568780517</v>
      </c>
      <c r="X5122" s="2">
        <f ca="1"/>
        <v>44.996949749562361</v>
      </c>
      <c r="AG5122" s="2">
        <f ca="1"/>
        <v>0.9103472339734886</v>
      </c>
      <c r="AH5122" s="2" t="str">
        <f ca="1"/>
        <v>Bad</v>
      </c>
    </row>
    <row r="5123" spans="2:34" x14ac:dyDescent="0.2">
      <c r="B5123" s="2">
        <f ca="1"/>
        <v>0.30575826954460128</v>
      </c>
      <c r="O5123" s="2">
        <f ca="1"/>
        <v>-2.0978806023845298</v>
      </c>
      <c r="X5123" s="2">
        <f ca="1"/>
        <v>42.972571743684199</v>
      </c>
      <c r="AG5123" s="2">
        <f ca="1"/>
        <v>1.7823320073161897E-2</v>
      </c>
      <c r="AH5123" s="2" t="str">
        <f ca="1"/>
        <v>Good</v>
      </c>
    </row>
    <row r="5124" spans="2:34" x14ac:dyDescent="0.2">
      <c r="B5124" s="2">
        <f ca="1"/>
        <v>0.99167523213773112</v>
      </c>
      <c r="O5124" s="2">
        <f ca="1"/>
        <v>2.2020852468262442</v>
      </c>
      <c r="X5124" s="2">
        <f ca="1"/>
        <v>42.40383803098613</v>
      </c>
      <c r="AG5124" s="2">
        <f ca="1"/>
        <v>0.27024936758889107</v>
      </c>
      <c r="AH5124" s="2" t="str">
        <f ca="1"/>
        <v>OK</v>
      </c>
    </row>
    <row r="5125" spans="2:34" x14ac:dyDescent="0.2">
      <c r="B5125" s="2">
        <f ca="1"/>
        <v>0.61282878655082795</v>
      </c>
      <c r="O5125" s="2">
        <f ca="1"/>
        <v>1.5405923658926501</v>
      </c>
      <c r="X5125" s="2">
        <f ca="1"/>
        <v>61.605338083184279</v>
      </c>
      <c r="AG5125" s="2">
        <f ca="1"/>
        <v>0.28782294810673581</v>
      </c>
      <c r="AH5125" s="2" t="str">
        <f ca="1"/>
        <v>OK</v>
      </c>
    </row>
    <row r="5126" spans="2:34" x14ac:dyDescent="0.2">
      <c r="B5126" s="2">
        <f ca="1"/>
        <v>0.41524176478979591</v>
      </c>
      <c r="O5126" s="2">
        <f ca="1"/>
        <v>-0.55964511706071651</v>
      </c>
      <c r="X5126" s="2">
        <f ca="1"/>
        <v>89.419745180009869</v>
      </c>
      <c r="AG5126" s="2">
        <f ca="1"/>
        <v>0.58985129967449446</v>
      </c>
      <c r="AH5126" s="2" t="str">
        <f ca="1"/>
        <v>Bad</v>
      </c>
    </row>
    <row r="5127" spans="2:34" x14ac:dyDescent="0.2">
      <c r="B5127" s="2">
        <f ca="1"/>
        <v>0.40255511534138355</v>
      </c>
      <c r="O5127" s="2">
        <f ca="1"/>
        <v>1.0948359763723408</v>
      </c>
      <c r="X5127" s="2">
        <f ca="1"/>
        <v>44.476878849041412</v>
      </c>
      <c r="AG5127" s="2">
        <f ca="1"/>
        <v>0.99172191414796207</v>
      </c>
      <c r="AH5127" s="2" t="str">
        <f ca="1"/>
        <v>Bad</v>
      </c>
    </row>
    <row r="5128" spans="2:34" x14ac:dyDescent="0.2">
      <c r="B5128" s="2">
        <f ca="1"/>
        <v>0.93835365988908159</v>
      </c>
      <c r="O5128" s="2">
        <f ca="1"/>
        <v>-0.36095462356644298</v>
      </c>
      <c r="X5128" s="2">
        <f ca="1"/>
        <v>35.850145199629125</v>
      </c>
      <c r="AG5128" s="2">
        <f ca="1"/>
        <v>0.28259654400926815</v>
      </c>
      <c r="AH5128" s="2" t="str">
        <f ca="1"/>
        <v>OK</v>
      </c>
    </row>
    <row r="5129" spans="2:34" x14ac:dyDescent="0.2">
      <c r="B5129" s="2">
        <f ca="1"/>
        <v>0.51155560834303215</v>
      </c>
      <c r="O5129" s="2">
        <f ca="1"/>
        <v>-0.26800990204312292</v>
      </c>
      <c r="X5129" s="2">
        <f ca="1"/>
        <v>74.331954673479444</v>
      </c>
      <c r="AG5129" s="2">
        <f ca="1"/>
        <v>0.27863188231183633</v>
      </c>
      <c r="AH5129" s="2" t="str">
        <f ca="1"/>
        <v>OK</v>
      </c>
    </row>
    <row r="5130" spans="2:34" x14ac:dyDescent="0.2">
      <c r="B5130" s="2">
        <f ca="1"/>
        <v>0.64072646094746322</v>
      </c>
      <c r="O5130" s="2">
        <f ca="1"/>
        <v>-0.27962003870906926</v>
      </c>
      <c r="X5130" s="2">
        <f ca="1"/>
        <v>28.75632563603282</v>
      </c>
      <c r="AG5130" s="2">
        <f ca="1"/>
        <v>8.5483791948419929E-2</v>
      </c>
      <c r="AH5130" s="2" t="str">
        <f ca="1"/>
        <v>OK</v>
      </c>
    </row>
    <row r="5131" spans="2:34" x14ac:dyDescent="0.2">
      <c r="B5131" s="2">
        <f ca="1"/>
        <v>0.4054601300495051</v>
      </c>
      <c r="O5131" s="2">
        <f ca="1"/>
        <v>0.55760360658489661</v>
      </c>
      <c r="X5131" s="2">
        <f ca="1"/>
        <v>50.082756739725554</v>
      </c>
      <c r="AG5131" s="2">
        <f ca="1"/>
        <v>0.85236229905795713</v>
      </c>
      <c r="AH5131" s="2" t="str">
        <f ca="1"/>
        <v>Bad</v>
      </c>
    </row>
    <row r="5132" spans="2:34" x14ac:dyDescent="0.2">
      <c r="B5132" s="2">
        <f ca="1"/>
        <v>0.19289724127215302</v>
      </c>
      <c r="O5132" s="2">
        <f ca="1"/>
        <v>2.6196901813555531</v>
      </c>
      <c r="X5132" s="2">
        <f ca="1"/>
        <v>51.43091244464869</v>
      </c>
      <c r="AG5132" s="2">
        <f ca="1"/>
        <v>0.19273193230418473</v>
      </c>
      <c r="AH5132" s="2" t="str">
        <f ca="1"/>
        <v>OK</v>
      </c>
    </row>
    <row r="5133" spans="2:34" x14ac:dyDescent="0.2">
      <c r="B5133" s="2">
        <f ca="1"/>
        <v>0.24173023163423113</v>
      </c>
      <c r="O5133" s="2">
        <f ca="1"/>
        <v>4.0486851387586731E-2</v>
      </c>
      <c r="X5133" s="2">
        <f ca="1"/>
        <v>40.447385921274005</v>
      </c>
      <c r="AG5133" s="2">
        <f ca="1"/>
        <v>7.6959047509181921E-2</v>
      </c>
      <c r="AH5133" s="2" t="str">
        <f ca="1"/>
        <v>OK</v>
      </c>
    </row>
    <row r="5134" spans="2:34" x14ac:dyDescent="0.2">
      <c r="B5134" s="2">
        <f ca="1"/>
        <v>0.46638818950783256</v>
      </c>
      <c r="O5134" s="2">
        <f ca="1"/>
        <v>-1.7174218915202757</v>
      </c>
      <c r="X5134" s="2">
        <f ca="1"/>
        <v>43.536929432503968</v>
      </c>
      <c r="AG5134" s="2">
        <f ca="1"/>
        <v>5.8737265439046116E-3</v>
      </c>
      <c r="AH5134" s="2" t="str">
        <f ca="1"/>
        <v>Good</v>
      </c>
    </row>
    <row r="5135" spans="2:34" x14ac:dyDescent="0.2">
      <c r="B5135" s="2">
        <f ca="1"/>
        <v>0.22331443495510395</v>
      </c>
      <c r="O5135" s="2">
        <f ca="1"/>
        <v>-1.0713069656436558</v>
      </c>
      <c r="X5135" s="2">
        <f ca="1"/>
        <v>57.208929032069477</v>
      </c>
      <c r="AG5135" s="2">
        <f ca="1"/>
        <v>0.30102294729577994</v>
      </c>
      <c r="AH5135" s="2" t="str">
        <f ca="1"/>
        <v>OK</v>
      </c>
    </row>
    <row r="5136" spans="2:34" x14ac:dyDescent="0.2">
      <c r="B5136" s="2">
        <f ca="1"/>
        <v>0.96150902416391615</v>
      </c>
      <c r="O5136" s="2">
        <f ca="1"/>
        <v>-0.74711411397214567</v>
      </c>
      <c r="X5136" s="2">
        <f ca="1"/>
        <v>48.935151062258477</v>
      </c>
      <c r="AG5136" s="2">
        <f ca="1"/>
        <v>0.79910221497084688</v>
      </c>
      <c r="AH5136" s="2" t="str">
        <f ca="1"/>
        <v>Bad</v>
      </c>
    </row>
    <row r="5137" spans="2:34" x14ac:dyDescent="0.2">
      <c r="B5137" s="2">
        <f ca="1"/>
        <v>0.79210487105944494</v>
      </c>
      <c r="O5137" s="2">
        <f ca="1"/>
        <v>0.95716951920480475</v>
      </c>
      <c r="X5137" s="2">
        <f ca="1"/>
        <v>43.595526088626812</v>
      </c>
      <c r="AG5137" s="2">
        <f ca="1"/>
        <v>0.71778224019319703</v>
      </c>
      <c r="AH5137" s="2" t="str">
        <f ca="1"/>
        <v>Bad</v>
      </c>
    </row>
    <row r="5138" spans="2:34" x14ac:dyDescent="0.2">
      <c r="B5138" s="2">
        <f ca="1"/>
        <v>0.86683977493637809</v>
      </c>
      <c r="O5138" s="2">
        <f ca="1"/>
        <v>-0.96884351869807017</v>
      </c>
      <c r="X5138" s="2">
        <f ca="1"/>
        <v>47.153475700234544</v>
      </c>
      <c r="AG5138" s="2">
        <f ca="1"/>
        <v>0.66579214546534304</v>
      </c>
      <c r="AH5138" s="2" t="str">
        <f ca="1"/>
        <v>Bad</v>
      </c>
    </row>
    <row r="5139" spans="2:34" x14ac:dyDescent="0.2">
      <c r="B5139" s="2">
        <f ca="1"/>
        <v>0.18265789888683348</v>
      </c>
      <c r="O5139" s="2">
        <f ca="1"/>
        <v>-0.11810398158530888</v>
      </c>
      <c r="X5139" s="2">
        <f ca="1"/>
        <v>44.920560862673391</v>
      </c>
      <c r="AG5139" s="2">
        <f ca="1"/>
        <v>0.3515443072181903</v>
      </c>
      <c r="AH5139" s="2" t="str">
        <f ca="1"/>
        <v>OK</v>
      </c>
    </row>
    <row r="5140" spans="2:34" x14ac:dyDescent="0.2">
      <c r="B5140" s="2">
        <f ca="1"/>
        <v>0.57332195127190655</v>
      </c>
      <c r="O5140" s="2">
        <f ca="1"/>
        <v>-1.2538959953557618</v>
      </c>
      <c r="X5140" s="2">
        <f ca="1"/>
        <v>59.769343192287245</v>
      </c>
      <c r="AG5140" s="2">
        <f ca="1"/>
        <v>0.45422367416275988</v>
      </c>
      <c r="AH5140" s="2" t="str">
        <f ca="1"/>
        <v>Bad</v>
      </c>
    </row>
    <row r="5141" spans="2:34" x14ac:dyDescent="0.2">
      <c r="B5141" s="2">
        <f ca="1"/>
        <v>0.87850234965141882</v>
      </c>
      <c r="O5141" s="2">
        <f ca="1"/>
        <v>-6.7107483724186651E-2</v>
      </c>
      <c r="X5141" s="2">
        <f ca="1"/>
        <v>48.970811221486549</v>
      </c>
      <c r="AG5141" s="2">
        <f ca="1"/>
        <v>0.80781824119679868</v>
      </c>
      <c r="AH5141" s="2" t="str">
        <f ca="1"/>
        <v>Bad</v>
      </c>
    </row>
    <row r="5142" spans="2:34" x14ac:dyDescent="0.2">
      <c r="B5142" s="2">
        <f ca="1"/>
        <v>0.19373607585503261</v>
      </c>
      <c r="O5142" s="2">
        <f ca="1"/>
        <v>-0.47522187292488122</v>
      </c>
      <c r="X5142" s="2">
        <f ca="1"/>
        <v>36.822924112153082</v>
      </c>
      <c r="AG5142" s="2">
        <f ca="1"/>
        <v>0.38436009822814721</v>
      </c>
      <c r="AH5142" s="2" t="str">
        <f ca="1"/>
        <v>OK</v>
      </c>
    </row>
    <row r="5143" spans="2:34" x14ac:dyDescent="0.2">
      <c r="B5143" s="2">
        <f ca="1"/>
        <v>0.72349988772946672</v>
      </c>
      <c r="O5143" s="2">
        <f ca="1"/>
        <v>1.0982322109898104</v>
      </c>
      <c r="X5143" s="2">
        <f ca="1"/>
        <v>39.25828955015519</v>
      </c>
      <c r="AG5143" s="2">
        <f ca="1"/>
        <v>0.3177957040870758</v>
      </c>
      <c r="AH5143" s="2" t="str">
        <f ca="1"/>
        <v>OK</v>
      </c>
    </row>
    <row r="5144" spans="2:34" x14ac:dyDescent="0.2">
      <c r="B5144" s="2">
        <f ca="1"/>
        <v>0.16941552234576962</v>
      </c>
      <c r="O5144" s="2">
        <f ca="1"/>
        <v>0.57067463886161363</v>
      </c>
      <c r="X5144" s="2">
        <f ca="1"/>
        <v>34.912828313178423</v>
      </c>
      <c r="AG5144" s="2">
        <f ca="1"/>
        <v>7.4665501644258114E-2</v>
      </c>
      <c r="AH5144" s="2" t="str">
        <f ca="1"/>
        <v>OK</v>
      </c>
    </row>
    <row r="5145" spans="2:34" x14ac:dyDescent="0.2">
      <c r="B5145" s="2">
        <f ca="1"/>
        <v>0.34837646423782598</v>
      </c>
      <c r="O5145" s="2">
        <f ca="1"/>
        <v>-0.31443660789499994</v>
      </c>
      <c r="X5145" s="2">
        <f ca="1"/>
        <v>42.810990447236975</v>
      </c>
      <c r="AG5145" s="2">
        <f ca="1"/>
        <v>0.19911262326816592</v>
      </c>
      <c r="AH5145" s="2" t="str">
        <f ca="1"/>
        <v>OK</v>
      </c>
    </row>
    <row r="5146" spans="2:34" x14ac:dyDescent="0.2">
      <c r="B5146" s="2">
        <f ca="1"/>
        <v>0.15037997983086315</v>
      </c>
      <c r="O5146" s="2">
        <f ca="1"/>
        <v>-0.87808984315141014</v>
      </c>
      <c r="X5146" s="2">
        <f ca="1"/>
        <v>59.260304090768116</v>
      </c>
      <c r="AG5146" s="2">
        <f ca="1"/>
        <v>0.4081292385321591</v>
      </c>
      <c r="AH5146" s="2" t="str">
        <f ca="1"/>
        <v>Bad</v>
      </c>
    </row>
    <row r="5147" spans="2:34" x14ac:dyDescent="0.2">
      <c r="B5147" s="2">
        <f ca="1"/>
        <v>0.17204436974551807</v>
      </c>
      <c r="O5147" s="2">
        <f ca="1"/>
        <v>1.1041711112722465</v>
      </c>
      <c r="X5147" s="2">
        <f ca="1"/>
        <v>44.737083467157099</v>
      </c>
      <c r="AG5147" s="2">
        <f ca="1"/>
        <v>0.6287952584313059</v>
      </c>
      <c r="AH5147" s="2" t="str">
        <f ca="1"/>
        <v>Bad</v>
      </c>
    </row>
    <row r="5148" spans="2:34" x14ac:dyDescent="0.2">
      <c r="B5148" s="2">
        <f ca="1"/>
        <v>0.8709688912532052</v>
      </c>
      <c r="O5148" s="2">
        <f ca="1"/>
        <v>-0.24116332826518116</v>
      </c>
      <c r="X5148" s="2">
        <f ca="1"/>
        <v>90.991508556873526</v>
      </c>
      <c r="AG5148" s="2">
        <f ca="1"/>
        <v>0.37261526540350931</v>
      </c>
      <c r="AH5148" s="2" t="str">
        <f ca="1"/>
        <v>OK</v>
      </c>
    </row>
    <row r="5149" spans="2:34" x14ac:dyDescent="0.2">
      <c r="B5149" s="2">
        <f ca="1"/>
        <v>0.15390325974354768</v>
      </c>
      <c r="O5149" s="2">
        <f ca="1"/>
        <v>0.34381397569923339</v>
      </c>
      <c r="X5149" s="2">
        <f ca="1"/>
        <v>43.329005510787454</v>
      </c>
      <c r="AG5149" s="2">
        <f ca="1"/>
        <v>0.46137094870401607</v>
      </c>
      <c r="AH5149" s="2" t="str">
        <f ca="1"/>
        <v>Bad</v>
      </c>
    </row>
    <row r="5150" spans="2:34" x14ac:dyDescent="0.2">
      <c r="B5150" s="2">
        <f ca="1"/>
        <v>0.79485299982046009</v>
      </c>
      <c r="O5150" s="2">
        <f ca="1"/>
        <v>-1.3600429974979147</v>
      </c>
      <c r="X5150" s="2">
        <f ca="1"/>
        <v>42.375223320160423</v>
      </c>
      <c r="AG5150" s="2">
        <f ca="1"/>
        <v>0.27159451853158112</v>
      </c>
      <c r="AH5150" s="2" t="str">
        <f ca="1"/>
        <v>OK</v>
      </c>
    </row>
    <row r="5151" spans="2:34" x14ac:dyDescent="0.2">
      <c r="B5151" s="2">
        <f ca="1"/>
        <v>0.42444605119427581</v>
      </c>
      <c r="O5151" s="2">
        <f ca="1"/>
        <v>-1.0783230499396477</v>
      </c>
      <c r="X5151" s="2">
        <f ca="1"/>
        <v>66.868569630306652</v>
      </c>
      <c r="AG5151" s="2">
        <f ca="1"/>
        <v>0.39017332552758077</v>
      </c>
      <c r="AH5151" s="2" t="str">
        <f ca="1"/>
        <v>OK</v>
      </c>
    </row>
    <row r="5152" spans="2:34" x14ac:dyDescent="0.2">
      <c r="B5152" s="2">
        <f ca="1"/>
        <v>0.95185322863455757</v>
      </c>
      <c r="O5152" s="2">
        <f ca="1"/>
        <v>-0.93009454621271204</v>
      </c>
      <c r="X5152" s="2">
        <f ca="1"/>
        <v>49.970122227705048</v>
      </c>
      <c r="AG5152" s="2">
        <f ca="1"/>
        <v>0.63644623487721308</v>
      </c>
      <c r="AH5152" s="2" t="str">
        <f ca="1"/>
        <v>Bad</v>
      </c>
    </row>
    <row r="5153" spans="2:34" x14ac:dyDescent="0.2">
      <c r="B5153" s="2">
        <f ca="1"/>
        <v>0.83437306040281722</v>
      </c>
      <c r="O5153" s="2">
        <f ca="1"/>
        <v>0.29570360294832854</v>
      </c>
      <c r="X5153" s="2">
        <f ca="1"/>
        <v>28.986968359158812</v>
      </c>
      <c r="AG5153" s="2">
        <f ca="1"/>
        <v>0.47877488515385758</v>
      </c>
      <c r="AH5153" s="2" t="str">
        <f ca="1"/>
        <v>Bad</v>
      </c>
    </row>
    <row r="5154" spans="2:34" x14ac:dyDescent="0.2">
      <c r="B5154" s="2">
        <f ca="1"/>
        <v>0.82818245633079401</v>
      </c>
      <c r="O5154" s="2">
        <f ca="1"/>
        <v>-0.19692706093037912</v>
      </c>
      <c r="X5154" s="2">
        <f ca="1"/>
        <v>48.864924677651601</v>
      </c>
      <c r="AG5154" s="2">
        <f ca="1"/>
        <v>1.2791413136549856E-2</v>
      </c>
      <c r="AH5154" s="2" t="str">
        <f ca="1"/>
        <v>Good</v>
      </c>
    </row>
    <row r="5155" spans="2:34" x14ac:dyDescent="0.2">
      <c r="B5155" s="2">
        <f ca="1"/>
        <v>0.17769041350086967</v>
      </c>
      <c r="O5155" s="2">
        <f ca="1"/>
        <v>-1.6942755339042107E-2</v>
      </c>
      <c r="X5155" s="2">
        <f ca="1"/>
        <v>41.748272955360626</v>
      </c>
      <c r="AG5155" s="2">
        <f ca="1"/>
        <v>0.78007394852181666</v>
      </c>
      <c r="AH5155" s="2" t="str">
        <f ca="1"/>
        <v>Bad</v>
      </c>
    </row>
    <row r="5156" spans="2:34" x14ac:dyDescent="0.2">
      <c r="B5156" s="2">
        <f ca="1"/>
        <v>0.69035270727450215</v>
      </c>
      <c r="O5156" s="2">
        <f ca="1"/>
        <v>-0.64897233746429095</v>
      </c>
      <c r="X5156" s="2">
        <f ca="1"/>
        <v>31.428529331978066</v>
      </c>
      <c r="AG5156" s="2">
        <f ca="1"/>
        <v>0.72747633671966483</v>
      </c>
      <c r="AH5156" s="2" t="str">
        <f ca="1"/>
        <v>Bad</v>
      </c>
    </row>
    <row r="5157" spans="2:34" x14ac:dyDescent="0.2">
      <c r="B5157" s="2">
        <f ca="1"/>
        <v>0.1151672663761989</v>
      </c>
      <c r="O5157" s="2">
        <f ca="1"/>
        <v>0.66801617145529413</v>
      </c>
      <c r="X5157" s="2">
        <f ca="1"/>
        <v>34.798757618317872</v>
      </c>
      <c r="AG5157" s="2">
        <f ca="1"/>
        <v>0.50454032934179183</v>
      </c>
      <c r="AH5157" s="2" t="str">
        <f ca="1"/>
        <v>Bad</v>
      </c>
    </row>
    <row r="5158" spans="2:34" x14ac:dyDescent="0.2">
      <c r="B5158" s="2">
        <f ca="1"/>
        <v>0.13948404257890479</v>
      </c>
      <c r="O5158" s="2">
        <f ca="1"/>
        <v>1.9491482162548144</v>
      </c>
      <c r="X5158" s="2">
        <f ca="1"/>
        <v>49.319855512236316</v>
      </c>
      <c r="AG5158" s="2">
        <f ca="1"/>
        <v>0.187757368842699</v>
      </c>
      <c r="AH5158" s="2" t="str">
        <f ca="1"/>
        <v>OK</v>
      </c>
    </row>
    <row r="5159" spans="2:34" x14ac:dyDescent="0.2">
      <c r="B5159" s="2">
        <f ca="1"/>
        <v>0.60302368889838087</v>
      </c>
      <c r="O5159" s="2">
        <f ca="1"/>
        <v>0.3143160190830383</v>
      </c>
      <c r="X5159" s="2">
        <f ca="1"/>
        <v>26.476495101007053</v>
      </c>
      <c r="AG5159" s="2">
        <f ca="1"/>
        <v>0.87891171421602676</v>
      </c>
      <c r="AH5159" s="2" t="str">
        <f ca="1"/>
        <v>Bad</v>
      </c>
    </row>
    <row r="5160" spans="2:34" x14ac:dyDescent="0.2">
      <c r="B5160" s="2">
        <f ca="1"/>
        <v>0.39166298280166845</v>
      </c>
      <c r="O5160" s="2">
        <f ca="1"/>
        <v>0.83333809557260397</v>
      </c>
      <c r="X5160" s="2">
        <f ca="1"/>
        <v>38.94106190567507</v>
      </c>
      <c r="AG5160" s="2">
        <f ca="1"/>
        <v>0.73623295687841717</v>
      </c>
      <c r="AH5160" s="2" t="str">
        <f ca="1"/>
        <v>Bad</v>
      </c>
    </row>
    <row r="5161" spans="2:34" x14ac:dyDescent="0.2">
      <c r="B5161" s="2">
        <f ca="1"/>
        <v>0.10207206999673457</v>
      </c>
      <c r="O5161" s="2">
        <f ca="1"/>
        <v>-1.2896570163554075</v>
      </c>
      <c r="X5161" s="2">
        <f ca="1"/>
        <v>73.938150626886852</v>
      </c>
      <c r="AG5161" s="2">
        <f ca="1"/>
        <v>0.24502304745139569</v>
      </c>
      <c r="AH5161" s="2" t="str">
        <f ca="1"/>
        <v>OK</v>
      </c>
    </row>
    <row r="5162" spans="2:34" x14ac:dyDescent="0.2">
      <c r="B5162" s="2">
        <f ca="1"/>
        <v>0.70690137935879371</v>
      </c>
      <c r="O5162" s="2">
        <f ca="1"/>
        <v>0.7640958717510864</v>
      </c>
      <c r="X5162" s="2">
        <f ca="1"/>
        <v>30.062943063111902</v>
      </c>
      <c r="AG5162" s="2">
        <f ca="1"/>
        <v>0.45187472275666551</v>
      </c>
      <c r="AH5162" s="2" t="str">
        <f ca="1"/>
        <v>Bad</v>
      </c>
    </row>
    <row r="5163" spans="2:34" x14ac:dyDescent="0.2">
      <c r="B5163" s="2">
        <f ca="1"/>
        <v>0.8032255303767919</v>
      </c>
      <c r="O5163" s="2">
        <f ca="1"/>
        <v>1.3248688303303642</v>
      </c>
      <c r="X5163" s="2">
        <f ca="1"/>
        <v>44.137430793911349</v>
      </c>
      <c r="AG5163" s="2">
        <f ca="1"/>
        <v>0.69099814085171296</v>
      </c>
      <c r="AH5163" s="2" t="str">
        <f ca="1"/>
        <v>Bad</v>
      </c>
    </row>
    <row r="5164" spans="2:34" x14ac:dyDescent="0.2">
      <c r="B5164" s="2">
        <f ca="1"/>
        <v>0.67068168421959906</v>
      </c>
      <c r="O5164" s="2">
        <f ca="1"/>
        <v>0.13291720176094823</v>
      </c>
      <c r="X5164" s="2">
        <f ca="1"/>
        <v>46.231284089293723</v>
      </c>
      <c r="AG5164" s="2">
        <f ca="1"/>
        <v>0.62044539347010152</v>
      </c>
      <c r="AH5164" s="2" t="str">
        <f ca="1"/>
        <v>Bad</v>
      </c>
    </row>
    <row r="5165" spans="2:34" x14ac:dyDescent="0.2">
      <c r="B5165" s="2">
        <f ca="1"/>
        <v>0.25040612782407634</v>
      </c>
      <c r="O5165" s="2">
        <f ca="1"/>
        <v>1.1791562695011071</v>
      </c>
      <c r="X5165" s="2">
        <f ca="1"/>
        <v>39.005119933586599</v>
      </c>
      <c r="AG5165" s="2">
        <f ca="1"/>
        <v>0.55680081486390676</v>
      </c>
      <c r="AH5165" s="2" t="str">
        <f ca="1"/>
        <v>Bad</v>
      </c>
    </row>
    <row r="5166" spans="2:34" x14ac:dyDescent="0.2">
      <c r="B5166" s="2">
        <f ca="1"/>
        <v>0.17751546637283488</v>
      </c>
      <c r="O5166" s="2">
        <f ca="1"/>
        <v>0.60135403685667688</v>
      </c>
      <c r="X5166" s="2">
        <f ca="1"/>
        <v>36.163659387659528</v>
      </c>
      <c r="AG5166" s="2">
        <f ca="1"/>
        <v>0.26860854010743807</v>
      </c>
      <c r="AH5166" s="2" t="str">
        <f ca="1"/>
        <v>OK</v>
      </c>
    </row>
    <row r="5167" spans="2:34" x14ac:dyDescent="0.2">
      <c r="B5167" s="2">
        <f ca="1"/>
        <v>0.37920436084292142</v>
      </c>
      <c r="O5167" s="2">
        <f ca="1"/>
        <v>-0.12851895443802722</v>
      </c>
      <c r="X5167" s="2">
        <f ca="1"/>
        <v>70.192314030742025</v>
      </c>
      <c r="AG5167" s="2">
        <f ca="1"/>
        <v>0.59496545125613243</v>
      </c>
      <c r="AH5167" s="2" t="str">
        <f ca="1"/>
        <v>Bad</v>
      </c>
    </row>
    <row r="5168" spans="2:34" x14ac:dyDescent="0.2">
      <c r="B5168" s="2">
        <f ca="1"/>
        <v>0.80494927755793277</v>
      </c>
      <c r="O5168" s="2">
        <f ca="1"/>
        <v>0.74844125670268014</v>
      </c>
      <c r="X5168" s="2">
        <f ca="1"/>
        <v>64.495237790283127</v>
      </c>
      <c r="AG5168" s="2">
        <f ca="1"/>
        <v>0.91180514912386501</v>
      </c>
      <c r="AH5168" s="2" t="str">
        <f ca="1"/>
        <v>Bad</v>
      </c>
    </row>
    <row r="5169" spans="2:34" x14ac:dyDescent="0.2">
      <c r="B5169" s="2">
        <f ca="1"/>
        <v>0.63530579366787654</v>
      </c>
      <c r="O5169" s="2">
        <f ca="1"/>
        <v>-1.5194953412782624</v>
      </c>
      <c r="X5169" s="2">
        <f ca="1"/>
        <v>56.238173009373199</v>
      </c>
      <c r="AG5169" s="2">
        <f ca="1"/>
        <v>0.54431849203393257</v>
      </c>
      <c r="AH5169" s="2" t="str">
        <f ca="1"/>
        <v>Bad</v>
      </c>
    </row>
    <row r="5170" spans="2:34" x14ac:dyDescent="0.2">
      <c r="B5170" s="2">
        <f ca="1"/>
        <v>0.24709446311930905</v>
      </c>
      <c r="O5170" s="2">
        <f ca="1"/>
        <v>0.43939884733184131</v>
      </c>
      <c r="X5170" s="2">
        <f ca="1"/>
        <v>39.805804858641586</v>
      </c>
      <c r="AG5170" s="2">
        <f ca="1"/>
        <v>0.58660813339176365</v>
      </c>
      <c r="AH5170" s="2" t="str">
        <f ca="1"/>
        <v>Bad</v>
      </c>
    </row>
    <row r="5171" spans="2:34" x14ac:dyDescent="0.2">
      <c r="B5171" s="2">
        <f ca="1"/>
        <v>0.13551023046661892</v>
      </c>
      <c r="O5171" s="2">
        <f ca="1"/>
        <v>0.72399331494247288</v>
      </c>
      <c r="X5171" s="2">
        <f ca="1"/>
        <v>61.563201224868507</v>
      </c>
      <c r="AG5171" s="2">
        <f ca="1"/>
        <v>0.32377806127894937</v>
      </c>
      <c r="AH5171" s="2" t="str">
        <f ca="1"/>
        <v>OK</v>
      </c>
    </row>
    <row r="5172" spans="2:34" x14ac:dyDescent="0.2">
      <c r="B5172" s="2">
        <f ca="1"/>
        <v>0.5800095371964944</v>
      </c>
      <c r="O5172" s="2">
        <f ca="1"/>
        <v>-0.11889723406885973</v>
      </c>
      <c r="X5172" s="2">
        <f ca="1"/>
        <v>42.477401746057701</v>
      </c>
      <c r="AG5172" s="2">
        <f ca="1"/>
        <v>0.74144311322864231</v>
      </c>
      <c r="AH5172" s="2" t="str">
        <f ca="1"/>
        <v>Bad</v>
      </c>
    </row>
    <row r="5173" spans="2:34" x14ac:dyDescent="0.2">
      <c r="B5173" s="2">
        <f ca="1"/>
        <v>0.69067814773640324</v>
      </c>
      <c r="O5173" s="2">
        <f ca="1"/>
        <v>1.1946921654672851</v>
      </c>
      <c r="X5173" s="2">
        <f ca="1"/>
        <v>97.52729144316767</v>
      </c>
      <c r="AG5173" s="2">
        <f ca="1"/>
        <v>0.68411274116695431</v>
      </c>
      <c r="AH5173" s="2" t="str">
        <f ca="1"/>
        <v>Bad</v>
      </c>
    </row>
    <row r="5174" spans="2:34" x14ac:dyDescent="0.2">
      <c r="B5174" s="2">
        <f ca="1"/>
        <v>0.78143752558857171</v>
      </c>
      <c r="O5174" s="2">
        <f ca="1"/>
        <v>1.6003515009839897</v>
      </c>
      <c r="X5174" s="2">
        <f ca="1"/>
        <v>37.30734837810774</v>
      </c>
      <c r="AG5174" s="2">
        <f ca="1"/>
        <v>0.33551686415291648</v>
      </c>
      <c r="AH5174" s="2" t="str">
        <f ca="1"/>
        <v>OK</v>
      </c>
    </row>
    <row r="5175" spans="2:34" x14ac:dyDescent="0.2">
      <c r="B5175" s="2">
        <f ca="1"/>
        <v>0.18250650271735425</v>
      </c>
      <c r="O5175" s="2">
        <f ca="1"/>
        <v>-1.3068707907862507</v>
      </c>
      <c r="X5175" s="2">
        <f ca="1"/>
        <v>46.209215940495994</v>
      </c>
      <c r="AG5175" s="2">
        <f ca="1"/>
        <v>0.77791099089575244</v>
      </c>
      <c r="AH5175" s="2" t="str">
        <f ca="1"/>
        <v>Bad</v>
      </c>
    </row>
    <row r="5176" spans="2:34" x14ac:dyDescent="0.2">
      <c r="B5176" s="2">
        <f ca="1"/>
        <v>0.58633540760923819</v>
      </c>
      <c r="O5176" s="2">
        <f ca="1"/>
        <v>1.6497127095307484</v>
      </c>
      <c r="X5176" s="2">
        <f ca="1"/>
        <v>47.568756323966859</v>
      </c>
      <c r="AG5176" s="2">
        <f ca="1"/>
        <v>8.1898176955447211E-2</v>
      </c>
      <c r="AH5176" s="2" t="str">
        <f ca="1"/>
        <v>OK</v>
      </c>
    </row>
    <row r="5177" spans="2:34" x14ac:dyDescent="0.2">
      <c r="B5177" s="2">
        <f ca="1"/>
        <v>6.0674818114492712E-2</v>
      </c>
      <c r="O5177" s="2">
        <f ca="1"/>
        <v>-1.1012034632963379</v>
      </c>
      <c r="X5177" s="2">
        <f ca="1"/>
        <v>56.011572001710149</v>
      </c>
      <c r="AG5177" s="2">
        <f ca="1"/>
        <v>0.99615323112611143</v>
      </c>
      <c r="AH5177" s="2" t="str">
        <f ca="1"/>
        <v>Bad</v>
      </c>
    </row>
    <row r="5178" spans="2:34" x14ac:dyDescent="0.2">
      <c r="B5178" s="2">
        <f ca="1"/>
        <v>0.45159405980504963</v>
      </c>
      <c r="O5178" s="2">
        <f ca="1"/>
        <v>-0.29618764801110703</v>
      </c>
      <c r="X5178" s="2">
        <f ca="1"/>
        <v>55.649315991471902</v>
      </c>
      <c r="AG5178" s="2">
        <f ca="1"/>
        <v>0.18938494523333538</v>
      </c>
      <c r="AH5178" s="2" t="str">
        <f ca="1"/>
        <v>OK</v>
      </c>
    </row>
    <row r="5179" spans="2:34" x14ac:dyDescent="0.2">
      <c r="B5179" s="2">
        <f ca="1"/>
        <v>0.66325918339967549</v>
      </c>
      <c r="O5179" s="2">
        <f ca="1"/>
        <v>-1.4473305292131906</v>
      </c>
      <c r="X5179" s="2">
        <f ca="1"/>
        <v>39.706233188770234</v>
      </c>
      <c r="AG5179" s="2">
        <f ca="1"/>
        <v>0.90304136936798818</v>
      </c>
      <c r="AH5179" s="2" t="str">
        <f ca="1"/>
        <v>Bad</v>
      </c>
    </row>
    <row r="5180" spans="2:34" x14ac:dyDescent="0.2">
      <c r="B5180" s="2">
        <f ca="1"/>
        <v>0.14012848213460849</v>
      </c>
      <c r="O5180" s="2">
        <f ca="1"/>
        <v>-1.4778131208857144</v>
      </c>
      <c r="X5180" s="2">
        <f ca="1"/>
        <v>73.25705115292007</v>
      </c>
      <c r="AG5180" s="2">
        <f ca="1"/>
        <v>0.13902524717381359</v>
      </c>
      <c r="AH5180" s="2" t="str">
        <f ca="1"/>
        <v>OK</v>
      </c>
    </row>
    <row r="5181" spans="2:34" x14ac:dyDescent="0.2">
      <c r="B5181" s="2">
        <f ca="1"/>
        <v>0.27745499362374448</v>
      </c>
      <c r="O5181" s="2">
        <f ca="1"/>
        <v>1.7987130836342458E-3</v>
      </c>
      <c r="X5181" s="2">
        <f ca="1"/>
        <v>56.828746894482052</v>
      </c>
      <c r="AG5181" s="2">
        <f ca="1"/>
        <v>0.515445473919103</v>
      </c>
      <c r="AH5181" s="2" t="str">
        <f ca="1"/>
        <v>Bad</v>
      </c>
    </row>
    <row r="5182" spans="2:34" x14ac:dyDescent="0.2">
      <c r="B5182" s="2">
        <f ca="1"/>
        <v>0.48393619265944099</v>
      </c>
      <c r="O5182" s="2">
        <f ca="1"/>
        <v>1.211377531141566</v>
      </c>
      <c r="X5182" s="2">
        <f ca="1"/>
        <v>27.797188696129659</v>
      </c>
      <c r="AG5182" s="2">
        <f ca="1"/>
        <v>0.39254387941244273</v>
      </c>
      <c r="AH5182" s="2" t="str">
        <f ca="1"/>
        <v>OK</v>
      </c>
    </row>
    <row r="5183" spans="2:34" x14ac:dyDescent="0.2">
      <c r="B5183" s="2">
        <f ca="1"/>
        <v>0.79466206704701103</v>
      </c>
      <c r="O5183" s="2">
        <f ca="1"/>
        <v>1.0222595664734122</v>
      </c>
      <c r="X5183" s="2">
        <f ca="1"/>
        <v>40.645288476183332</v>
      </c>
      <c r="AG5183" s="2">
        <f ca="1"/>
        <v>0.18186991841642342</v>
      </c>
      <c r="AH5183" s="2" t="str">
        <f ca="1"/>
        <v>OK</v>
      </c>
    </row>
    <row r="5184" spans="2:34" x14ac:dyDescent="0.2">
      <c r="B5184" s="2">
        <f ca="1"/>
        <v>0.57045826383045894</v>
      </c>
      <c r="O5184" s="2">
        <f ca="1"/>
        <v>-4.7571515528719424E-2</v>
      </c>
      <c r="X5184" s="2">
        <f ca="1"/>
        <v>41.293798072272061</v>
      </c>
      <c r="AG5184" s="2">
        <f ca="1"/>
        <v>0.51658319960517707</v>
      </c>
      <c r="AH5184" s="2" t="str">
        <f ca="1"/>
        <v>Bad</v>
      </c>
    </row>
    <row r="5185" spans="2:34" x14ac:dyDescent="0.2">
      <c r="B5185" s="2">
        <f ca="1"/>
        <v>0.33802354340779273</v>
      </c>
      <c r="O5185" s="2">
        <f ca="1"/>
        <v>0.37551549079235691</v>
      </c>
      <c r="X5185" s="2">
        <f ca="1"/>
        <v>56.962972113619927</v>
      </c>
      <c r="AG5185" s="2">
        <f ca="1"/>
        <v>0.39393732321808295</v>
      </c>
      <c r="AH5185" s="2" t="str">
        <f ca="1"/>
        <v>OK</v>
      </c>
    </row>
    <row r="5186" spans="2:34" x14ac:dyDescent="0.2">
      <c r="B5186" s="2">
        <f ca="1"/>
        <v>0.40953923230860001</v>
      </c>
      <c r="O5186" s="2">
        <f ca="1"/>
        <v>0.72733355271726274</v>
      </c>
      <c r="X5186" s="2">
        <f ca="1"/>
        <v>63.514014276030323</v>
      </c>
      <c r="AG5186" s="2">
        <f ca="1"/>
        <v>0.57147765878425827</v>
      </c>
      <c r="AH5186" s="2" t="str">
        <f ca="1"/>
        <v>Bad</v>
      </c>
    </row>
    <row r="5187" spans="2:34" x14ac:dyDescent="0.2">
      <c r="B5187" s="2">
        <f ca="1"/>
        <v>0.62195487345036748</v>
      </c>
      <c r="O5187" s="2">
        <f ca="1"/>
        <v>-1.0076251568658015</v>
      </c>
      <c r="X5187" s="2">
        <f ca="1"/>
        <v>55.918226377217543</v>
      </c>
      <c r="AG5187" s="2">
        <f ca="1"/>
        <v>2.5459588705366354E-2</v>
      </c>
      <c r="AH5187" s="2" t="str">
        <f ca="1"/>
        <v>Good</v>
      </c>
    </row>
    <row r="5188" spans="2:34" x14ac:dyDescent="0.2">
      <c r="B5188" s="2">
        <f ca="1"/>
        <v>0.74413918728629191</v>
      </c>
      <c r="O5188" s="2">
        <f ca="1"/>
        <v>0.76576366526988193</v>
      </c>
      <c r="X5188" s="2">
        <f ca="1"/>
        <v>68.039729156777554</v>
      </c>
      <c r="AG5188" s="2">
        <f ca="1"/>
        <v>0.50817790068462076</v>
      </c>
      <c r="AH5188" s="2" t="str">
        <f ca="1"/>
        <v>Bad</v>
      </c>
    </row>
    <row r="5189" spans="2:34" x14ac:dyDescent="0.2">
      <c r="B5189" s="2">
        <f ca="1"/>
        <v>0.83587026493554073</v>
      </c>
      <c r="O5189" s="2">
        <f ca="1"/>
        <v>0.3549258172760516</v>
      </c>
      <c r="X5189" s="2">
        <f ca="1"/>
        <v>50.814037470395689</v>
      </c>
      <c r="AG5189" s="2">
        <f ca="1"/>
        <v>0.93416383608823228</v>
      </c>
      <c r="AH5189" s="2" t="str">
        <f ca="1"/>
        <v>Bad</v>
      </c>
    </row>
    <row r="5190" spans="2:34" x14ac:dyDescent="0.2">
      <c r="B5190" s="2">
        <f ca="1"/>
        <v>0.50153209611210725</v>
      </c>
      <c r="O5190" s="2">
        <f ca="1"/>
        <v>-0.3914127754685125</v>
      </c>
      <c r="X5190" s="2">
        <f ca="1"/>
        <v>73.150754230454311</v>
      </c>
      <c r="AG5190" s="2">
        <f ca="1"/>
        <v>0.92909448447329313</v>
      </c>
      <c r="AH5190" s="2" t="str">
        <f ca="1"/>
        <v>Bad</v>
      </c>
    </row>
    <row r="5191" spans="2:34" x14ac:dyDescent="0.2">
      <c r="B5191" s="2">
        <f ca="1"/>
        <v>0.25026850141723567</v>
      </c>
      <c r="O5191" s="2">
        <f ca="1"/>
        <v>1.9731826670532544</v>
      </c>
      <c r="X5191" s="2">
        <f ca="1"/>
        <v>29.581252042738239</v>
      </c>
      <c r="AG5191" s="2">
        <f ca="1"/>
        <v>0.7568633649948433</v>
      </c>
      <c r="AH5191" s="2" t="str">
        <f ca="1"/>
        <v>Bad</v>
      </c>
    </row>
    <row r="5192" spans="2:34" x14ac:dyDescent="0.2">
      <c r="B5192" s="2">
        <f ca="1"/>
        <v>0.24387402810514258</v>
      </c>
      <c r="O5192" s="2">
        <f ca="1"/>
        <v>-0.12478139958581907</v>
      </c>
      <c r="X5192" s="2">
        <f ca="1"/>
        <v>42.50541144327687</v>
      </c>
      <c r="AG5192" s="2">
        <f ca="1"/>
        <v>0.74551771500162922</v>
      </c>
      <c r="AH5192" s="2" t="str">
        <f ca="1"/>
        <v>Bad</v>
      </c>
    </row>
    <row r="5193" spans="2:34" x14ac:dyDescent="0.2">
      <c r="B5193" s="2">
        <f ca="1"/>
        <v>0.45513448771347886</v>
      </c>
      <c r="O5193" s="2">
        <f ca="1"/>
        <v>-0.71975275586999998</v>
      </c>
      <c r="X5193" s="2">
        <f ca="1"/>
        <v>48.936102554897197</v>
      </c>
      <c r="AG5193" s="2">
        <f ca="1"/>
        <v>8.6626340295389292E-2</v>
      </c>
      <c r="AH5193" s="2" t="str">
        <f ca="1"/>
        <v>OK</v>
      </c>
    </row>
    <row r="5194" spans="2:34" x14ac:dyDescent="0.2">
      <c r="B5194" s="2">
        <f ca="1"/>
        <v>0.5366819069408546</v>
      </c>
      <c r="O5194" s="2">
        <f ca="1"/>
        <v>-1.1528550476959591</v>
      </c>
      <c r="X5194" s="2">
        <f ca="1"/>
        <v>61.244557823234224</v>
      </c>
      <c r="AG5194" s="2">
        <f ca="1"/>
        <v>0.84184617680569751</v>
      </c>
      <c r="AH5194" s="2" t="str">
        <f ca="1"/>
        <v>Bad</v>
      </c>
    </row>
    <row r="5195" spans="2:34" x14ac:dyDescent="0.2">
      <c r="B5195" s="2">
        <f ca="1"/>
        <v>0.87724398347821042</v>
      </c>
      <c r="O5195" s="2">
        <f ca="1"/>
        <v>1.0541373373569842</v>
      </c>
      <c r="X5195" s="2">
        <f ca="1"/>
        <v>47.14289513035331</v>
      </c>
      <c r="AG5195" s="2">
        <f ca="1"/>
        <v>0.8588896443411147</v>
      </c>
      <c r="AH5195" s="2" t="str">
        <f ca="1"/>
        <v>Bad</v>
      </c>
    </row>
    <row r="5196" spans="2:34" x14ac:dyDescent="0.2">
      <c r="B5196" s="2">
        <f ca="1"/>
        <v>0.46337950788624838</v>
      </c>
      <c r="O5196" s="2">
        <f ca="1"/>
        <v>-0.16814486173667109</v>
      </c>
      <c r="X5196" s="2">
        <f ca="1"/>
        <v>35.063821508581277</v>
      </c>
      <c r="AG5196" s="2">
        <f ca="1"/>
        <v>0.6054491288124515</v>
      </c>
      <c r="AH5196" s="2" t="str">
        <f ca="1"/>
        <v>Bad</v>
      </c>
    </row>
    <row r="5197" spans="2:34" x14ac:dyDescent="0.2">
      <c r="B5197" s="2">
        <f ca="1"/>
        <v>0.24326025007894381</v>
      </c>
      <c r="O5197" s="2">
        <f ca="1"/>
        <v>-0.71888522831230617</v>
      </c>
      <c r="X5197" s="2">
        <f ca="1"/>
        <v>38.148195909572728</v>
      </c>
      <c r="AG5197" s="2">
        <f ca="1"/>
        <v>0.7285490776021557</v>
      </c>
      <c r="AH5197" s="2" t="str">
        <f ca="1"/>
        <v>Bad</v>
      </c>
    </row>
    <row r="5198" spans="2:34" x14ac:dyDescent="0.2">
      <c r="B5198" s="2">
        <f ca="1"/>
        <v>0.95077737375318372</v>
      </c>
      <c r="O5198" s="2">
        <f ca="1"/>
        <v>0.10880056357906305</v>
      </c>
      <c r="X5198" s="2">
        <f ca="1"/>
        <v>67.685489847471956</v>
      </c>
      <c r="AG5198" s="2">
        <f ca="1"/>
        <v>0.11144555677878154</v>
      </c>
      <c r="AH5198" s="2" t="str">
        <f ca="1"/>
        <v>OK</v>
      </c>
    </row>
    <row r="5199" spans="2:34" x14ac:dyDescent="0.2">
      <c r="B5199" s="2">
        <f ca="1"/>
        <v>0.97143260020139355</v>
      </c>
      <c r="O5199" s="2">
        <f ca="1"/>
        <v>0.74803015365284675</v>
      </c>
      <c r="X5199" s="2">
        <f ca="1"/>
        <v>49.773407570945487</v>
      </c>
      <c r="AG5199" s="2">
        <f ca="1"/>
        <v>0.25100618939796759</v>
      </c>
      <c r="AH5199" s="2" t="str">
        <f ca="1"/>
        <v>OK</v>
      </c>
    </row>
    <row r="5200" spans="2:34" x14ac:dyDescent="0.2">
      <c r="B5200" s="2">
        <f ca="1"/>
        <v>0.34901726873259276</v>
      </c>
      <c r="O5200" s="2">
        <f ca="1"/>
        <v>-8.2129873166500528E-2</v>
      </c>
      <c r="X5200" s="2">
        <f ca="1"/>
        <v>35.263987436037937</v>
      </c>
      <c r="AG5200" s="2">
        <f ca="1"/>
        <v>0.47637621857438628</v>
      </c>
      <c r="AH5200" s="2" t="str">
        <f ca="1"/>
        <v>Bad</v>
      </c>
    </row>
    <row r="5201" spans="2:34" x14ac:dyDescent="0.2">
      <c r="B5201" s="2">
        <f ca="1"/>
        <v>0.81852008489448158</v>
      </c>
      <c r="O5201" s="2">
        <f ca="1"/>
        <v>-1.2373213282843114</v>
      </c>
      <c r="X5201" s="2">
        <f ca="1"/>
        <v>62.088654874562607</v>
      </c>
      <c r="AG5201" s="2">
        <f ca="1"/>
        <v>0.20780433750108296</v>
      </c>
      <c r="AH5201" s="2" t="str">
        <f ca="1"/>
        <v>OK</v>
      </c>
    </row>
    <row r="5202" spans="2:34" x14ac:dyDescent="0.2">
      <c r="B5202" s="2">
        <f ca="1"/>
        <v>0.30902549977846094</v>
      </c>
      <c r="O5202" s="2">
        <f ca="1"/>
        <v>7.9124958985403088E-2</v>
      </c>
      <c r="X5202" s="2">
        <f ca="1"/>
        <v>59.758300336001057</v>
      </c>
      <c r="AG5202" s="2">
        <f ca="1"/>
        <v>0.43019547427325966</v>
      </c>
      <c r="AH5202" s="2" t="str">
        <f ca="1"/>
        <v>Bad</v>
      </c>
    </row>
    <row r="5203" spans="2:34" x14ac:dyDescent="0.2">
      <c r="B5203" s="2">
        <f ca="1"/>
        <v>0.71220971066485661</v>
      </c>
      <c r="O5203" s="2">
        <f ca="1"/>
        <v>2.2711297486961333</v>
      </c>
      <c r="X5203" s="2">
        <f ca="1"/>
        <v>34.491204078625174</v>
      </c>
      <c r="AG5203" s="2">
        <f ca="1"/>
        <v>0.87813685068808334</v>
      </c>
      <c r="AH5203" s="2" t="str">
        <f ca="1"/>
        <v>Bad</v>
      </c>
    </row>
    <row r="5204" spans="2:34" x14ac:dyDescent="0.2">
      <c r="B5204" s="2">
        <f ca="1"/>
        <v>0.5156199719500365</v>
      </c>
      <c r="O5204" s="2">
        <f ca="1"/>
        <v>-2.2785977687434182</v>
      </c>
      <c r="X5204" s="2">
        <f ca="1"/>
        <v>91.869277802153675</v>
      </c>
      <c r="AG5204" s="2">
        <f ca="1"/>
        <v>0.28177246692838342</v>
      </c>
      <c r="AH5204" s="2" t="str">
        <f ca="1"/>
        <v>OK</v>
      </c>
    </row>
    <row r="5205" spans="2:34" x14ac:dyDescent="0.2">
      <c r="B5205" s="2">
        <f ca="1"/>
        <v>0.25398478085532927</v>
      </c>
      <c r="O5205" s="2">
        <f ca="1"/>
        <v>4.667279769730736E-2</v>
      </c>
      <c r="X5205" s="2">
        <f ca="1"/>
        <v>62.871599827025371</v>
      </c>
      <c r="AG5205" s="2">
        <f ca="1"/>
        <v>6.8798471572484088E-2</v>
      </c>
      <c r="AH5205" s="2" t="str">
        <f ca="1"/>
        <v>OK</v>
      </c>
    </row>
    <row r="5206" spans="2:34" x14ac:dyDescent="0.2">
      <c r="B5206" s="2">
        <f ca="1"/>
        <v>0.58044424051100996</v>
      </c>
      <c r="O5206" s="2">
        <f ca="1"/>
        <v>-1.0747489601854843</v>
      </c>
      <c r="X5206" s="2">
        <f ca="1"/>
        <v>66.517196968800192</v>
      </c>
      <c r="AG5206" s="2">
        <f ca="1"/>
        <v>0.41905569333679615</v>
      </c>
      <c r="AH5206" s="2" t="str">
        <f ca="1"/>
        <v>Bad</v>
      </c>
    </row>
    <row r="5207" spans="2:34" x14ac:dyDescent="0.2">
      <c r="B5207" s="2">
        <f ca="1"/>
        <v>0.81838647944554177</v>
      </c>
      <c r="O5207" s="2">
        <f ca="1"/>
        <v>-1.1506830878245633</v>
      </c>
      <c r="X5207" s="2">
        <f ca="1"/>
        <v>27.414272897923404</v>
      </c>
      <c r="AG5207" s="2">
        <f ca="1"/>
        <v>0.53145379350808009</v>
      </c>
      <c r="AH5207" s="2" t="str">
        <f ca="1"/>
        <v>Bad</v>
      </c>
    </row>
    <row r="5208" spans="2:34" x14ac:dyDescent="0.2">
      <c r="B5208" s="2">
        <f ca="1"/>
        <v>0.82554917301959607</v>
      </c>
      <c r="O5208" s="2">
        <f ca="1"/>
        <v>0.44156171081188311</v>
      </c>
      <c r="X5208" s="2">
        <f ca="1"/>
        <v>80.895182987429749</v>
      </c>
      <c r="AG5208" s="2">
        <f ca="1"/>
        <v>0.75276424424638266</v>
      </c>
      <c r="AH5208" s="2" t="str">
        <f ca="1"/>
        <v>Bad</v>
      </c>
    </row>
    <row r="5209" spans="2:34" x14ac:dyDescent="0.2">
      <c r="B5209" s="2">
        <f ca="1"/>
        <v>0.23728180209293614</v>
      </c>
      <c r="O5209" s="2">
        <f ca="1"/>
        <v>-0.59662298060429053</v>
      </c>
      <c r="X5209" s="2">
        <f ca="1"/>
        <v>52.84478309126942</v>
      </c>
      <c r="AG5209" s="2">
        <f ca="1"/>
        <v>0.56745787372689671</v>
      </c>
      <c r="AH5209" s="2" t="str">
        <f ca="1"/>
        <v>Bad</v>
      </c>
    </row>
    <row r="5210" spans="2:34" x14ac:dyDescent="0.2">
      <c r="B5210" s="2">
        <f ca="1"/>
        <v>6.4555134358702082E-2</v>
      </c>
      <c r="O5210" s="2">
        <f ca="1"/>
        <v>-0.25403428354136154</v>
      </c>
      <c r="X5210" s="2">
        <f ca="1"/>
        <v>53.326214268840701</v>
      </c>
      <c r="AG5210" s="2">
        <f ca="1"/>
        <v>2.4662408549364301E-2</v>
      </c>
      <c r="AH5210" s="2" t="str">
        <f ca="1"/>
        <v>Good</v>
      </c>
    </row>
    <row r="5211" spans="2:34" x14ac:dyDescent="0.2">
      <c r="B5211" s="2">
        <f ca="1"/>
        <v>0.76889102181657165</v>
      </c>
      <c r="O5211" s="2">
        <f ca="1"/>
        <v>-8.5667635561673519E-2</v>
      </c>
      <c r="X5211" s="2">
        <f ca="1"/>
        <v>31.638697581044664</v>
      </c>
      <c r="AG5211" s="2">
        <f ca="1"/>
        <v>0.68173514348171715</v>
      </c>
      <c r="AH5211" s="2" t="str">
        <f ca="1"/>
        <v>Bad</v>
      </c>
    </row>
    <row r="5212" spans="2:34" x14ac:dyDescent="0.2">
      <c r="B5212" s="2">
        <f ca="1"/>
        <v>1.9094161541411303E-2</v>
      </c>
      <c r="O5212" s="2">
        <f ca="1"/>
        <v>0.59984955779695692</v>
      </c>
      <c r="X5212" s="2">
        <f ca="1"/>
        <v>73.101122028016562</v>
      </c>
      <c r="AG5212" s="2">
        <f ca="1"/>
        <v>0.33347357212558926</v>
      </c>
      <c r="AH5212" s="2" t="str">
        <f ca="1"/>
        <v>OK</v>
      </c>
    </row>
    <row r="5213" spans="2:34" x14ac:dyDescent="0.2">
      <c r="B5213" s="2">
        <f ca="1"/>
        <v>0.83886341292047684</v>
      </c>
      <c r="O5213" s="2">
        <f ca="1"/>
        <v>0.13992943276611883</v>
      </c>
      <c r="X5213" s="2">
        <f ca="1"/>
        <v>63.00487484427051</v>
      </c>
      <c r="AG5213" s="2">
        <f ca="1"/>
        <v>0.87814339465630376</v>
      </c>
      <c r="AH5213" s="2" t="str">
        <f ca="1"/>
        <v>Bad</v>
      </c>
    </row>
    <row r="5214" spans="2:34" x14ac:dyDescent="0.2">
      <c r="B5214" s="2">
        <f ca="1"/>
        <v>0.69011480131976199</v>
      </c>
      <c r="O5214" s="2">
        <f ca="1"/>
        <v>0.18536001944890554</v>
      </c>
      <c r="X5214" s="2">
        <f ca="1"/>
        <v>27.014066121850856</v>
      </c>
      <c r="AG5214" s="2">
        <f ca="1"/>
        <v>0.97203998093315325</v>
      </c>
      <c r="AH5214" s="2" t="str">
        <f ca="1"/>
        <v>Bad</v>
      </c>
    </row>
    <row r="5215" spans="2:34" x14ac:dyDescent="0.2">
      <c r="B5215" s="2">
        <f ca="1"/>
        <v>0.69798288643066408</v>
      </c>
      <c r="O5215" s="2">
        <f ca="1"/>
        <v>0.34949439007219346</v>
      </c>
      <c r="X5215" s="2">
        <f ca="1"/>
        <v>36.901695080003655</v>
      </c>
      <c r="AG5215" s="2">
        <f ca="1"/>
        <v>0.23801167122133426</v>
      </c>
      <c r="AH5215" s="2" t="str">
        <f ca="1"/>
        <v>OK</v>
      </c>
    </row>
    <row r="5216" spans="2:34" x14ac:dyDescent="0.2">
      <c r="B5216" s="2">
        <f ca="1"/>
        <v>0.79301883316521038</v>
      </c>
      <c r="O5216" s="2">
        <f ca="1"/>
        <v>0.99077004526703838</v>
      </c>
      <c r="X5216" s="2">
        <f ca="1"/>
        <v>46.544391252527646</v>
      </c>
      <c r="AG5216" s="2">
        <f ca="1"/>
        <v>0.4530329799079944</v>
      </c>
      <c r="AH5216" s="2" t="str">
        <f ca="1"/>
        <v>Bad</v>
      </c>
    </row>
    <row r="5217" spans="2:34" x14ac:dyDescent="0.2">
      <c r="B5217" s="2">
        <f ca="1"/>
        <v>0.69884931160350949</v>
      </c>
      <c r="O5217" s="2">
        <f ca="1"/>
        <v>-0.42883998195473555</v>
      </c>
      <c r="X5217" s="2">
        <f ca="1"/>
        <v>62.587133969166374</v>
      </c>
      <c r="AG5217" s="2">
        <f ca="1"/>
        <v>0.5806968573534852</v>
      </c>
      <c r="AH5217" s="2" t="str">
        <f ca="1"/>
        <v>Bad</v>
      </c>
    </row>
    <row r="5218" spans="2:34" x14ac:dyDescent="0.2">
      <c r="B5218" s="2">
        <f ca="1"/>
        <v>0.68634415240966296</v>
      </c>
      <c r="O5218" s="2">
        <f ca="1"/>
        <v>-0.64440461934327675</v>
      </c>
      <c r="X5218" s="2">
        <f ca="1"/>
        <v>48.756566004377895</v>
      </c>
      <c r="AG5218" s="2">
        <f ca="1"/>
        <v>0.86337926338901516</v>
      </c>
      <c r="AH5218" s="2" t="str">
        <f ca="1"/>
        <v>Bad</v>
      </c>
    </row>
    <row r="5219" spans="2:34" x14ac:dyDescent="0.2">
      <c r="B5219" s="2">
        <f ca="1"/>
        <v>0.69248032545358473</v>
      </c>
      <c r="O5219" s="2">
        <f ca="1"/>
        <v>-5.836960965872242E-3</v>
      </c>
      <c r="X5219" s="2">
        <f ca="1"/>
        <v>66.822267346477886</v>
      </c>
      <c r="AG5219" s="2">
        <f ca="1"/>
        <v>0.48651179508904385</v>
      </c>
      <c r="AH5219" s="2" t="str">
        <f ca="1"/>
        <v>Bad</v>
      </c>
    </row>
    <row r="5220" spans="2:34" x14ac:dyDescent="0.2">
      <c r="B5220" s="2">
        <f ca="1"/>
        <v>0.77883678145731072</v>
      </c>
      <c r="O5220" s="2">
        <f ca="1"/>
        <v>0.46681248549661603</v>
      </c>
      <c r="X5220" s="2">
        <f ca="1"/>
        <v>42.333930819953871</v>
      </c>
      <c r="AG5220" s="2">
        <f ca="1"/>
        <v>0.61037848066775857</v>
      </c>
      <c r="AH5220" s="2" t="str">
        <f ca="1"/>
        <v>Bad</v>
      </c>
    </row>
    <row r="5221" spans="2:34" x14ac:dyDescent="0.2">
      <c r="B5221" s="2">
        <f ca="1"/>
        <v>0.48822584570755589</v>
      </c>
      <c r="O5221" s="2">
        <f ca="1"/>
        <v>-1.0809235900356571</v>
      </c>
      <c r="X5221" s="2">
        <f ca="1"/>
        <v>30.412435451655536</v>
      </c>
      <c r="AG5221" s="2">
        <f ca="1"/>
        <v>0.66349101735564742</v>
      </c>
      <c r="AH5221" s="2" t="str">
        <f ca="1"/>
        <v>Bad</v>
      </c>
    </row>
    <row r="5222" spans="2:34" x14ac:dyDescent="0.2">
      <c r="B5222" s="2">
        <f ca="1"/>
        <v>0.31242618842836123</v>
      </c>
      <c r="O5222" s="2">
        <f ca="1"/>
        <v>0.70556716004113207</v>
      </c>
      <c r="X5222" s="2">
        <f ca="1"/>
        <v>63.558681930657869</v>
      </c>
      <c r="AG5222" s="2">
        <f ca="1"/>
        <v>0.73332443277742754</v>
      </c>
      <c r="AH5222" s="2" t="str">
        <f ca="1"/>
        <v>Bad</v>
      </c>
    </row>
    <row r="5223" spans="2:34" x14ac:dyDescent="0.2">
      <c r="B5223" s="2">
        <f ca="1"/>
        <v>0.80973105705217563</v>
      </c>
      <c r="O5223" s="2">
        <f ca="1"/>
        <v>0.14165932974971776</v>
      </c>
      <c r="X5223" s="2">
        <f ca="1"/>
        <v>44.042850287773504</v>
      </c>
      <c r="AG5223" s="2">
        <f ca="1"/>
        <v>0.71650078086465396</v>
      </c>
      <c r="AH5223" s="2" t="str">
        <f ca="1"/>
        <v>Bad</v>
      </c>
    </row>
    <row r="5224" spans="2:34" x14ac:dyDescent="0.2">
      <c r="B5224" s="2">
        <f ca="1"/>
        <v>0.10066384100145354</v>
      </c>
      <c r="O5224" s="2">
        <f ca="1"/>
        <v>0.6734972646265035</v>
      </c>
      <c r="X5224" s="2">
        <f ca="1"/>
        <v>71.764828952642446</v>
      </c>
      <c r="AG5224" s="2">
        <f ca="1"/>
        <v>0.70888595954079836</v>
      </c>
      <c r="AH5224" s="2" t="str">
        <f ca="1"/>
        <v>Bad</v>
      </c>
    </row>
    <row r="5225" spans="2:34" x14ac:dyDescent="0.2">
      <c r="B5225" s="2">
        <f ca="1"/>
        <v>0.81618889941148076</v>
      </c>
      <c r="O5225" s="2">
        <f ca="1"/>
        <v>1.1652083847995502</v>
      </c>
      <c r="X5225" s="2">
        <f ca="1"/>
        <v>81.69213494924405</v>
      </c>
      <c r="AG5225" s="2">
        <f ca="1"/>
        <v>0.36254300401428008</v>
      </c>
      <c r="AH5225" s="2" t="str">
        <f ca="1"/>
        <v>OK</v>
      </c>
    </row>
    <row r="5226" spans="2:34" x14ac:dyDescent="0.2">
      <c r="B5226" s="2">
        <f ca="1"/>
        <v>0.24078518201587729</v>
      </c>
      <c r="O5226" s="2">
        <f ca="1"/>
        <v>1.5349355283734962</v>
      </c>
      <c r="X5226" s="2">
        <f ca="1"/>
        <v>33.780793671316701</v>
      </c>
      <c r="AG5226" s="2">
        <f ca="1"/>
        <v>0.18998044293880478</v>
      </c>
      <c r="AH5226" s="2" t="str">
        <f ca="1"/>
        <v>OK</v>
      </c>
    </row>
    <row r="5227" spans="2:34" x14ac:dyDescent="0.2">
      <c r="B5227" s="2">
        <f ca="1"/>
        <v>0.75157490343642608</v>
      </c>
      <c r="O5227" s="2">
        <f ca="1"/>
        <v>-0.29266914184530907</v>
      </c>
      <c r="X5227" s="2">
        <f ca="1"/>
        <v>43.102672585603258</v>
      </c>
      <c r="AG5227" s="2">
        <f ca="1"/>
        <v>0.48409689305145687</v>
      </c>
      <c r="AH5227" s="2" t="str">
        <f ca="1"/>
        <v>Bad</v>
      </c>
    </row>
    <row r="5228" spans="2:34" x14ac:dyDescent="0.2">
      <c r="B5228" s="2">
        <f ca="1"/>
        <v>0.86596080051450119</v>
      </c>
      <c r="O5228" s="2">
        <f ca="1"/>
        <v>-0.95452774622165903</v>
      </c>
      <c r="X5228" s="2">
        <f ca="1"/>
        <v>43.496916724400165</v>
      </c>
      <c r="AG5228" s="2">
        <f ca="1"/>
        <v>0.87387686589825009</v>
      </c>
      <c r="AH5228" s="2" t="str">
        <f ca="1"/>
        <v>Bad</v>
      </c>
    </row>
    <row r="5229" spans="2:34" x14ac:dyDescent="0.2">
      <c r="B5229" s="2">
        <f ca="1"/>
        <v>0.4328312725390433</v>
      </c>
      <c r="O5229" s="2">
        <f ca="1"/>
        <v>1.2263860144122074</v>
      </c>
      <c r="X5229" s="2">
        <f ca="1"/>
        <v>57.798229465762319</v>
      </c>
      <c r="AG5229" s="2">
        <f ca="1"/>
        <v>0.82410095672854045</v>
      </c>
      <c r="AH5229" s="2" t="str">
        <f ca="1"/>
        <v>Bad</v>
      </c>
    </row>
    <row r="5230" spans="2:34" x14ac:dyDescent="0.2">
      <c r="B5230" s="2">
        <f ca="1"/>
        <v>0.89709699751560756</v>
      </c>
      <c r="O5230" s="2">
        <f ca="1"/>
        <v>0.11231742440477385</v>
      </c>
      <c r="X5230" s="2">
        <f ca="1"/>
        <v>40.156080369002623</v>
      </c>
      <c r="AG5230" s="2">
        <f ca="1"/>
        <v>0.46870514814288566</v>
      </c>
      <c r="AH5230" s="2" t="str">
        <f ca="1"/>
        <v>Bad</v>
      </c>
    </row>
    <row r="5231" spans="2:34" x14ac:dyDescent="0.2">
      <c r="B5231" s="2">
        <f ca="1"/>
        <v>0.42899859995309764</v>
      </c>
      <c r="O5231" s="2">
        <f ca="1"/>
        <v>1.6401504553727222</v>
      </c>
      <c r="X5231" s="2">
        <f ca="1"/>
        <v>26.639317838997961</v>
      </c>
      <c r="AG5231" s="2">
        <f ca="1"/>
        <v>0.48038954509227305</v>
      </c>
      <c r="AH5231" s="2" t="str">
        <f ca="1"/>
        <v>Bad</v>
      </c>
    </row>
    <row r="5232" spans="2:34" x14ac:dyDescent="0.2">
      <c r="B5232" s="2">
        <f ca="1"/>
        <v>0.89077239928459928</v>
      </c>
      <c r="O5232" s="2">
        <f ca="1"/>
        <v>0.89179179984095702</v>
      </c>
      <c r="X5232" s="2">
        <f ca="1"/>
        <v>54.04895290055498</v>
      </c>
      <c r="AG5232" s="2">
        <f ca="1"/>
        <v>0.51272017090602851</v>
      </c>
      <c r="AH5232" s="2" t="str">
        <f ca="1"/>
        <v>Bad</v>
      </c>
    </row>
    <row r="5233" spans="2:34" x14ac:dyDescent="0.2">
      <c r="B5233" s="2">
        <f ca="1"/>
        <v>0.75538197990625977</v>
      </c>
      <c r="O5233" s="2">
        <f ca="1"/>
        <v>-1.5968905507592326</v>
      </c>
      <c r="X5233" s="2">
        <f ca="1"/>
        <v>41.991072576012172</v>
      </c>
      <c r="AG5233" s="2">
        <f ca="1"/>
        <v>0.70629077144785435</v>
      </c>
      <c r="AH5233" s="2" t="str">
        <f ca="1"/>
        <v>Bad</v>
      </c>
    </row>
    <row r="5234" spans="2:34" x14ac:dyDescent="0.2">
      <c r="B5234" s="2">
        <f ca="1"/>
        <v>0.21610755074757049</v>
      </c>
      <c r="O5234" s="2">
        <f ca="1"/>
        <v>-1.9862095581367814</v>
      </c>
      <c r="X5234" s="2">
        <f ca="1"/>
        <v>35.128630554208755</v>
      </c>
      <c r="AG5234" s="2">
        <f ca="1"/>
        <v>5.2444611425128684E-3</v>
      </c>
      <c r="AH5234" s="2" t="str">
        <f ca="1"/>
        <v>Good</v>
      </c>
    </row>
    <row r="5235" spans="2:34" x14ac:dyDescent="0.2">
      <c r="B5235" s="2">
        <f ca="1"/>
        <v>0.8962285044513576</v>
      </c>
      <c r="O5235" s="2">
        <f ca="1"/>
        <v>6.2629104734550092E-2</v>
      </c>
      <c r="X5235" s="2">
        <f ca="1"/>
        <v>31.19164448402055</v>
      </c>
      <c r="AG5235" s="2">
        <f ca="1"/>
        <v>0.91994216824951502</v>
      </c>
      <c r="AH5235" s="2" t="str">
        <f ca="1"/>
        <v>Bad</v>
      </c>
    </row>
    <row r="5236" spans="2:34" x14ac:dyDescent="0.2">
      <c r="B5236" s="2">
        <f ca="1"/>
        <v>0.90261894590056002</v>
      </c>
      <c r="O5236" s="2">
        <f ca="1"/>
        <v>-0.80636925418828465</v>
      </c>
      <c r="X5236" s="2">
        <f ca="1"/>
        <v>34.044672322782461</v>
      </c>
      <c r="AG5236" s="2">
        <f ca="1"/>
        <v>0.35280675324916611</v>
      </c>
      <c r="AH5236" s="2" t="str">
        <f ca="1"/>
        <v>OK</v>
      </c>
    </row>
    <row r="5237" spans="2:34" x14ac:dyDescent="0.2">
      <c r="B5237" s="2">
        <f ca="1"/>
        <v>0.24920847202775653</v>
      </c>
      <c r="O5237" s="2">
        <f ca="1"/>
        <v>-3.0051378299434151E-2</v>
      </c>
      <c r="X5237" s="2">
        <f ca="1"/>
        <v>53.185536988833142</v>
      </c>
      <c r="AG5237" s="2">
        <f ca="1"/>
        <v>0.67543905716984987</v>
      </c>
      <c r="AH5237" s="2" t="str">
        <f ca="1"/>
        <v>Bad</v>
      </c>
    </row>
    <row r="5238" spans="2:34" x14ac:dyDescent="0.2">
      <c r="B5238" s="2">
        <f ca="1"/>
        <v>0.47595356607162032</v>
      </c>
      <c r="O5238" s="2">
        <f ca="1"/>
        <v>0.74952944701094593</v>
      </c>
      <c r="X5238" s="2">
        <f ca="1"/>
        <v>43.657436165863963</v>
      </c>
      <c r="AG5238" s="2">
        <f ca="1"/>
        <v>0.62393961647461582</v>
      </c>
      <c r="AH5238" s="2" t="str">
        <f ca="1"/>
        <v>Bad</v>
      </c>
    </row>
    <row r="5239" spans="2:34" x14ac:dyDescent="0.2">
      <c r="B5239" s="2">
        <f ca="1"/>
        <v>0.73908430553181836</v>
      </c>
      <c r="O5239" s="2">
        <f ca="1"/>
        <v>-0.16741761994691187</v>
      </c>
      <c r="X5239" s="2">
        <f ca="1"/>
        <v>59.3727006576799</v>
      </c>
      <c r="AG5239" s="2">
        <f ca="1"/>
        <v>0.33567156261153253</v>
      </c>
      <c r="AH5239" s="2" t="str">
        <f ca="1"/>
        <v>OK</v>
      </c>
    </row>
    <row r="5240" spans="2:34" x14ac:dyDescent="0.2">
      <c r="B5240" s="2">
        <f ca="1"/>
        <v>0.32918403311288147</v>
      </c>
      <c r="O5240" s="2">
        <f ca="1"/>
        <v>1.399885731283034</v>
      </c>
      <c r="X5240" s="2">
        <f ca="1"/>
        <v>25.019497440993025</v>
      </c>
      <c r="AG5240" s="2">
        <f ca="1"/>
        <v>0.33659141747115373</v>
      </c>
      <c r="AH5240" s="2" t="str">
        <f ca="1"/>
        <v>OK</v>
      </c>
    </row>
    <row r="5241" spans="2:34" x14ac:dyDescent="0.2">
      <c r="B5241" s="2">
        <f ca="1"/>
        <v>0.31596523019252576</v>
      </c>
      <c r="O5241" s="2">
        <f ca="1"/>
        <v>0.86345164454822954</v>
      </c>
      <c r="X5241" s="2">
        <f ca="1"/>
        <v>34.508755650138546</v>
      </c>
      <c r="AG5241" s="2">
        <f ca="1"/>
        <v>0.89596377281119532</v>
      </c>
      <c r="AH5241" s="2" t="str">
        <f ca="1"/>
        <v>Bad</v>
      </c>
    </row>
    <row r="5242" spans="2:34" x14ac:dyDescent="0.2">
      <c r="B5242" s="2">
        <f ca="1"/>
        <v>0.73713393484059742</v>
      </c>
      <c r="O5242" s="2">
        <f ca="1"/>
        <v>0.53406670264797718</v>
      </c>
      <c r="X5242" s="2">
        <f ca="1"/>
        <v>57.274417360939566</v>
      </c>
      <c r="AG5242" s="2">
        <f ca="1"/>
        <v>0.56614163905718873</v>
      </c>
      <c r="AH5242" s="2" t="str">
        <f ca="1"/>
        <v>Bad</v>
      </c>
    </row>
    <row r="5243" spans="2:34" x14ac:dyDescent="0.2">
      <c r="B5243" s="2">
        <f ca="1"/>
        <v>0.95448385022092475</v>
      </c>
      <c r="O5243" s="2">
        <f ca="1"/>
        <v>-4.5558741715151917E-2</v>
      </c>
      <c r="X5243" s="2">
        <f ca="1"/>
        <v>44.110414930059818</v>
      </c>
      <c r="AG5243" s="2">
        <f ca="1"/>
        <v>0.45944851326651204</v>
      </c>
      <c r="AH5243" s="2" t="str">
        <f ca="1"/>
        <v>Bad</v>
      </c>
    </row>
    <row r="5244" spans="2:34" x14ac:dyDescent="0.2">
      <c r="B5244" s="2">
        <f ca="1"/>
        <v>0.74176159014081144</v>
      </c>
      <c r="O5244" s="2">
        <f ca="1"/>
        <v>-0.73630569503809684</v>
      </c>
      <c r="X5244" s="2">
        <f ca="1"/>
        <v>16.758005862303808</v>
      </c>
      <c r="AG5244" s="2">
        <f ca="1"/>
        <v>0.91442727439812832</v>
      </c>
      <c r="AH5244" s="2" t="str">
        <f ca="1"/>
        <v>Bad</v>
      </c>
    </row>
    <row r="5245" spans="2:34" x14ac:dyDescent="0.2">
      <c r="B5245" s="2">
        <f ca="1"/>
        <v>0.90604600748599773</v>
      </c>
      <c r="O5245" s="2">
        <f ca="1"/>
        <v>0.19592655175408499</v>
      </c>
      <c r="X5245" s="2">
        <f ca="1"/>
        <v>37.246585600080465</v>
      </c>
      <c r="AG5245" s="2">
        <f ca="1"/>
        <v>0.39600455083427288</v>
      </c>
      <c r="AH5245" s="2" t="str">
        <f ca="1"/>
        <v>OK</v>
      </c>
    </row>
    <row r="5246" spans="2:34" x14ac:dyDescent="0.2">
      <c r="B5246" s="2">
        <f ca="1"/>
        <v>0.39637100298063555</v>
      </c>
      <c r="O5246" s="2">
        <f ca="1"/>
        <v>-0.2074544934468939</v>
      </c>
      <c r="X5246" s="2">
        <f ca="1"/>
        <v>25.697903029467884</v>
      </c>
      <c r="AG5246" s="2">
        <f ca="1"/>
        <v>0.67214436423179591</v>
      </c>
      <c r="AH5246" s="2" t="str">
        <f ca="1"/>
        <v>Bad</v>
      </c>
    </row>
    <row r="5247" spans="2:34" x14ac:dyDescent="0.2">
      <c r="B5247" s="2">
        <f ca="1"/>
        <v>0.66248218867060693</v>
      </c>
      <c r="O5247" s="2">
        <f ca="1"/>
        <v>0.41504716200431002</v>
      </c>
      <c r="X5247" s="2">
        <f ca="1"/>
        <v>33.246646631649078</v>
      </c>
      <c r="AG5247" s="2">
        <f ca="1"/>
        <v>0.85258729191717642</v>
      </c>
      <c r="AH5247" s="2" t="str">
        <f ca="1"/>
        <v>Bad</v>
      </c>
    </row>
    <row r="5248" spans="2:34" x14ac:dyDescent="0.2">
      <c r="B5248" s="2">
        <f ca="1"/>
        <v>0.27227834641525961</v>
      </c>
      <c r="O5248" s="2">
        <f ca="1"/>
        <v>1.2110617905818117</v>
      </c>
      <c r="X5248" s="2">
        <f ca="1"/>
        <v>53.791367681914785</v>
      </c>
      <c r="AG5248" s="2">
        <f ca="1"/>
        <v>0.29110633519326767</v>
      </c>
      <c r="AH5248" s="2" t="str">
        <f ca="1"/>
        <v>OK</v>
      </c>
    </row>
    <row r="5249" spans="2:34" x14ac:dyDescent="0.2">
      <c r="B5249" s="2">
        <f ca="1"/>
        <v>0.72230105202783101</v>
      </c>
      <c r="O5249" s="2">
        <f ca="1"/>
        <v>-0.21589457589721187</v>
      </c>
      <c r="X5249" s="2">
        <f ca="1"/>
        <v>44.178684414878411</v>
      </c>
      <c r="AG5249" s="2">
        <f ca="1"/>
        <v>0.69241869129358236</v>
      </c>
      <c r="AH5249" s="2" t="str">
        <f ca="1"/>
        <v>Bad</v>
      </c>
    </row>
    <row r="5250" spans="2:34" x14ac:dyDescent="0.2">
      <c r="B5250" s="2">
        <f ca="1"/>
        <v>0.45841829824364222</v>
      </c>
      <c r="O5250" s="2">
        <f ca="1"/>
        <v>-6.1880254474224551E-2</v>
      </c>
      <c r="X5250" s="2">
        <f ca="1"/>
        <v>37.229413308394783</v>
      </c>
      <c r="AG5250" s="2">
        <f ca="1"/>
        <v>0.10872662230639163</v>
      </c>
      <c r="AH5250" s="2" t="str">
        <f ca="1"/>
        <v>OK</v>
      </c>
    </row>
    <row r="5251" spans="2:34" x14ac:dyDescent="0.2">
      <c r="B5251" s="2">
        <f ca="1"/>
        <v>0.75531931804899588</v>
      </c>
      <c r="O5251" s="2">
        <f ca="1"/>
        <v>0.50459287345735893</v>
      </c>
      <c r="X5251" s="2">
        <f ca="1"/>
        <v>29.775431944278552</v>
      </c>
      <c r="AG5251" s="2">
        <f ca="1"/>
        <v>0.34933337413086929</v>
      </c>
      <c r="AH5251" s="2" t="str">
        <f ca="1"/>
        <v>OK</v>
      </c>
    </row>
    <row r="5252" spans="2:34" x14ac:dyDescent="0.2">
      <c r="B5252" s="2">
        <f ca="1"/>
        <v>0.10600856409820092</v>
      </c>
      <c r="O5252" s="2">
        <f ca="1"/>
        <v>-0.13309170248388746</v>
      </c>
      <c r="X5252" s="2">
        <f ca="1"/>
        <v>32.937858481873846</v>
      </c>
      <c r="AG5252" s="2">
        <f ca="1"/>
        <v>0.94129006367111034</v>
      </c>
      <c r="AH5252" s="2" t="str">
        <f ca="1"/>
        <v>Bad</v>
      </c>
    </row>
    <row r="5253" spans="2:34" x14ac:dyDescent="0.2">
      <c r="B5253" s="2">
        <f ca="1"/>
        <v>0.47136546984118999</v>
      </c>
      <c r="O5253" s="2">
        <f ca="1"/>
        <v>0.59851996216992864</v>
      </c>
      <c r="X5253" s="2">
        <f ca="1"/>
        <v>38.7170924134982</v>
      </c>
      <c r="AG5253" s="2">
        <f ca="1"/>
        <v>0.89894800968367372</v>
      </c>
      <c r="AH5253" s="2" t="str">
        <f ca="1"/>
        <v>Bad</v>
      </c>
    </row>
    <row r="5254" spans="2:34" x14ac:dyDescent="0.2">
      <c r="B5254" s="2">
        <f ca="1"/>
        <v>0.74932026462290424</v>
      </c>
      <c r="O5254" s="2">
        <f ca="1"/>
        <v>1.6143799346039185</v>
      </c>
      <c r="X5254" s="2">
        <f ca="1"/>
        <v>38.001728294872336</v>
      </c>
      <c r="AG5254" s="2">
        <f ca="1"/>
        <v>0.70060361693982953</v>
      </c>
      <c r="AH5254" s="2" t="str">
        <f ca="1"/>
        <v>Bad</v>
      </c>
    </row>
    <row r="5255" spans="2:34" x14ac:dyDescent="0.2">
      <c r="B5255" s="2">
        <f ca="1"/>
        <v>0.43252775323128367</v>
      </c>
      <c r="O5255" s="2">
        <f ca="1"/>
        <v>-0.8176144124155833</v>
      </c>
      <c r="X5255" s="2">
        <f ca="1"/>
        <v>35.247663446962413</v>
      </c>
      <c r="AG5255" s="2">
        <f ca="1"/>
        <v>0.14852935152930402</v>
      </c>
      <c r="AH5255" s="2" t="str">
        <f ca="1"/>
        <v>OK</v>
      </c>
    </row>
    <row r="5256" spans="2:34" x14ac:dyDescent="0.2">
      <c r="B5256" s="2">
        <f ca="1"/>
        <v>4.8532472849289743E-2</v>
      </c>
      <c r="O5256" s="2">
        <f ca="1"/>
        <v>-1.3654758897803929</v>
      </c>
      <c r="X5256" s="2">
        <f ca="1"/>
        <v>55.955533433414786</v>
      </c>
      <c r="AG5256" s="2">
        <f ca="1"/>
        <v>0.73340669757413335</v>
      </c>
      <c r="AH5256" s="2" t="str">
        <f ca="1"/>
        <v>Bad</v>
      </c>
    </row>
    <row r="5257" spans="2:34" x14ac:dyDescent="0.2">
      <c r="B5257" s="2">
        <f ca="1"/>
        <v>0.63552759348044296</v>
      </c>
      <c r="O5257" s="2">
        <f ca="1"/>
        <v>0.41591537694326358</v>
      </c>
      <c r="X5257" s="2">
        <f ca="1"/>
        <v>53.261770189060378</v>
      </c>
      <c r="AG5257" s="2">
        <f ca="1"/>
        <v>0.70215482220601588</v>
      </c>
      <c r="AH5257" s="2" t="str">
        <f ca="1"/>
        <v>Bad</v>
      </c>
    </row>
    <row r="5258" spans="2:34" x14ac:dyDescent="0.2">
      <c r="B5258" s="2">
        <f ca="1"/>
        <v>0.38883182153909024</v>
      </c>
      <c r="O5258" s="2">
        <f ca="1"/>
        <v>1.305839116083102</v>
      </c>
      <c r="X5258" s="2">
        <f ca="1"/>
        <v>60.899296241516403</v>
      </c>
      <c r="AG5258" s="2">
        <f ca="1"/>
        <v>0.95591618611818241</v>
      </c>
      <c r="AH5258" s="2" t="str">
        <f ca="1"/>
        <v>Bad</v>
      </c>
    </row>
    <row r="5259" spans="2:34" x14ac:dyDescent="0.2">
      <c r="B5259" s="2">
        <f ca="1"/>
        <v>0.27894845088505793</v>
      </c>
      <c r="O5259" s="2">
        <f ca="1"/>
        <v>-2.046283979426367</v>
      </c>
      <c r="X5259" s="2">
        <f ca="1"/>
        <v>57.950222691499249</v>
      </c>
      <c r="AG5259" s="2">
        <f ca="1"/>
        <v>0.39197120946496211</v>
      </c>
      <c r="AH5259" s="2" t="str">
        <f ca="1"/>
        <v>OK</v>
      </c>
    </row>
    <row r="5260" spans="2:34" x14ac:dyDescent="0.2">
      <c r="B5260" s="2">
        <f ca="1"/>
        <v>5.070260648646574E-2</v>
      </c>
      <c r="O5260" s="2">
        <f ca="1"/>
        <v>-0.26640997680384476</v>
      </c>
      <c r="X5260" s="2">
        <f ca="1"/>
        <v>38.826633703112094</v>
      </c>
      <c r="AG5260" s="2">
        <f ca="1"/>
        <v>0.32807779379379953</v>
      </c>
      <c r="AH5260" s="2" t="str">
        <f ca="1"/>
        <v>OK</v>
      </c>
    </row>
    <row r="5261" spans="2:34" x14ac:dyDescent="0.2">
      <c r="B5261" s="2">
        <f ca="1"/>
        <v>0.67106253917670444</v>
      </c>
      <c r="O5261" s="2">
        <f ca="1"/>
        <v>-0.26093419909458421</v>
      </c>
      <c r="X5261" s="2">
        <f ca="1"/>
        <v>68.681227823710856</v>
      </c>
      <c r="AG5261" s="2">
        <f ca="1"/>
        <v>0.54363817042652141</v>
      </c>
      <c r="AH5261" s="2" t="str">
        <f ca="1"/>
        <v>Bad</v>
      </c>
    </row>
    <row r="5262" spans="2:34" x14ac:dyDescent="0.2">
      <c r="B5262" s="2">
        <f ca="1"/>
        <v>0.41405229412413669</v>
      </c>
      <c r="O5262" s="2">
        <f ca="1"/>
        <v>-0.28004558592755019</v>
      </c>
      <c r="X5262" s="2">
        <f ca="1"/>
        <v>56.315462632458768</v>
      </c>
      <c r="AG5262" s="2">
        <f ca="1"/>
        <v>0.4861565848660887</v>
      </c>
      <c r="AH5262" s="2" t="str">
        <f ca="1"/>
        <v>Bad</v>
      </c>
    </row>
    <row r="5263" spans="2:34" x14ac:dyDescent="0.2">
      <c r="B5263" s="2">
        <f ca="1"/>
        <v>0.33343010951842822</v>
      </c>
      <c r="O5263" s="2">
        <f ca="1"/>
        <v>0.23073141394054222</v>
      </c>
      <c r="X5263" s="2">
        <f ca="1"/>
        <v>38.141858820997989</v>
      </c>
      <c r="AG5263" s="2">
        <f ca="1"/>
        <v>0.96534224789969114</v>
      </c>
      <c r="AH5263" s="2" t="str">
        <f ca="1"/>
        <v>Bad</v>
      </c>
    </row>
    <row r="5264" spans="2:34" x14ac:dyDescent="0.2">
      <c r="B5264" s="2">
        <f ca="1"/>
        <v>0.24736371121552336</v>
      </c>
      <c r="O5264" s="2">
        <f ca="1"/>
        <v>2.4470777065076903</v>
      </c>
      <c r="X5264" s="2">
        <f ca="1"/>
        <v>28.301328918890214</v>
      </c>
      <c r="AG5264" s="2">
        <f ca="1"/>
        <v>7.4153288467841749E-2</v>
      </c>
      <c r="AH5264" s="2" t="str">
        <f ca="1"/>
        <v>OK</v>
      </c>
    </row>
    <row r="5265" spans="2:34" x14ac:dyDescent="0.2">
      <c r="B5265" s="2">
        <f ca="1"/>
        <v>0.99079816843319124</v>
      </c>
      <c r="O5265" s="2">
        <f ca="1"/>
        <v>-0.33239508053002392</v>
      </c>
      <c r="X5265" s="2">
        <f ca="1"/>
        <v>26.421355806059069</v>
      </c>
      <c r="AG5265" s="2">
        <f ca="1"/>
        <v>0.95875361710696505</v>
      </c>
      <c r="AH5265" s="2" t="str">
        <f ca="1"/>
        <v>Bad</v>
      </c>
    </row>
    <row r="5266" spans="2:34" x14ac:dyDescent="0.2">
      <c r="B5266" s="2">
        <f ca="1"/>
        <v>0.63597586178690779</v>
      </c>
      <c r="O5266" s="2">
        <f ca="1"/>
        <v>-0.29569196280831489</v>
      </c>
      <c r="X5266" s="2">
        <f ca="1"/>
        <v>79.870974217439283</v>
      </c>
      <c r="AG5266" s="2">
        <f ca="1"/>
        <v>0.40285040034756769</v>
      </c>
      <c r="AH5266" s="2" t="str">
        <f ca="1"/>
        <v>Bad</v>
      </c>
    </row>
    <row r="5267" spans="2:34" x14ac:dyDescent="0.2">
      <c r="B5267" s="2">
        <f ca="1"/>
        <v>0.12931935113995796</v>
      </c>
      <c r="O5267" s="2">
        <f ca="1"/>
        <v>-1.2178845256852928</v>
      </c>
      <c r="X5267" s="2">
        <f ca="1"/>
        <v>49.915139381540683</v>
      </c>
      <c r="AG5267" s="2">
        <f ca="1"/>
        <v>0.43784231040382227</v>
      </c>
      <c r="AH5267" s="2" t="str">
        <f ca="1"/>
        <v>Bad</v>
      </c>
    </row>
    <row r="5268" spans="2:34" x14ac:dyDescent="0.2">
      <c r="B5268" s="2">
        <f ca="1"/>
        <v>0.19043369685327094</v>
      </c>
      <c r="O5268" s="2">
        <f ca="1"/>
        <v>0.63555382797751414</v>
      </c>
      <c r="X5268" s="2">
        <f ca="1"/>
        <v>53.852892354652255</v>
      </c>
      <c r="AG5268" s="2">
        <f ca="1"/>
        <v>0.34439809460365689</v>
      </c>
      <c r="AH5268" s="2" t="str">
        <f ca="1"/>
        <v>OK</v>
      </c>
    </row>
    <row r="5269" spans="2:34" x14ac:dyDescent="0.2">
      <c r="B5269" s="2">
        <f ca="1"/>
        <v>0.78729736582759968</v>
      </c>
      <c r="O5269" s="2">
        <f ca="1"/>
        <v>-1.1930701342844454</v>
      </c>
      <c r="X5269" s="2">
        <f ca="1"/>
        <v>20.420237285893069</v>
      </c>
      <c r="AG5269" s="2">
        <f ca="1"/>
        <v>0.25693195598919027</v>
      </c>
      <c r="AH5269" s="2" t="str">
        <f ca="1"/>
        <v>OK</v>
      </c>
    </row>
    <row r="5270" spans="2:34" x14ac:dyDescent="0.2">
      <c r="B5270" s="2">
        <f ca="1"/>
        <v>0.31916997666121305</v>
      </c>
      <c r="O5270" s="2">
        <f ca="1"/>
        <v>0.72948548541006308</v>
      </c>
      <c r="X5270" s="2">
        <f ca="1"/>
        <v>29.869313218214295</v>
      </c>
      <c r="AG5270" s="2">
        <f ca="1"/>
        <v>6.9725205434276516E-2</v>
      </c>
      <c r="AH5270" s="2" t="str">
        <f ca="1"/>
        <v>OK</v>
      </c>
    </row>
    <row r="5271" spans="2:34" x14ac:dyDescent="0.2">
      <c r="B5271" s="2">
        <f ca="1"/>
        <v>0.8909951033438146</v>
      </c>
      <c r="O5271" s="2">
        <f ca="1"/>
        <v>0.17768610279490493</v>
      </c>
      <c r="X5271" s="2">
        <f ca="1"/>
        <v>37.931049335126488</v>
      </c>
      <c r="AG5271" s="2">
        <f ca="1"/>
        <v>1.5386866195315818E-2</v>
      </c>
      <c r="AH5271" s="2" t="str">
        <f ca="1"/>
        <v>Good</v>
      </c>
    </row>
    <row r="5272" spans="2:34" x14ac:dyDescent="0.2">
      <c r="B5272" s="2">
        <f ca="1"/>
        <v>9.1578433895458389E-2</v>
      </c>
      <c r="O5272" s="2">
        <f ca="1"/>
        <v>0.11635508644992597</v>
      </c>
      <c r="X5272" s="2">
        <f ca="1"/>
        <v>42.495042667756728</v>
      </c>
      <c r="AG5272" s="2">
        <f ca="1"/>
        <v>0.45436153242151045</v>
      </c>
      <c r="AH5272" s="2" t="str">
        <f ca="1"/>
        <v>Bad</v>
      </c>
    </row>
    <row r="5273" spans="2:34" x14ac:dyDescent="0.2">
      <c r="B5273" s="2">
        <f ca="1"/>
        <v>0.20871857058587162</v>
      </c>
      <c r="O5273" s="2">
        <f ca="1"/>
        <v>0.10247847099823165</v>
      </c>
      <c r="X5273" s="2">
        <f ca="1"/>
        <v>25.043386579397303</v>
      </c>
      <c r="AG5273" s="2">
        <f ca="1"/>
        <v>0.95506123814627264</v>
      </c>
      <c r="AH5273" s="2" t="str">
        <f ca="1"/>
        <v>Bad</v>
      </c>
    </row>
    <row r="5274" spans="2:34" x14ac:dyDescent="0.2">
      <c r="B5274" s="2">
        <f ca="1"/>
        <v>0.62108509688931823</v>
      </c>
      <c r="O5274" s="2">
        <f ca="1"/>
        <v>-0.19316765586589349</v>
      </c>
      <c r="X5274" s="2">
        <f ca="1"/>
        <v>81.674624146207222</v>
      </c>
      <c r="AG5274" s="2">
        <f ca="1"/>
        <v>4.9556571080891842E-2</v>
      </c>
      <c r="AH5274" s="2" t="str">
        <f ca="1"/>
        <v>Good</v>
      </c>
    </row>
    <row r="5275" spans="2:34" x14ac:dyDescent="0.2">
      <c r="B5275" s="2">
        <f ca="1"/>
        <v>0.72433778611562882</v>
      </c>
      <c r="O5275" s="2">
        <f ca="1"/>
        <v>-0.84141759658778026</v>
      </c>
      <c r="X5275" s="2">
        <f ca="1"/>
        <v>44.358740932430401</v>
      </c>
      <c r="AG5275" s="2">
        <f ca="1"/>
        <v>0.2306292512357766</v>
      </c>
      <c r="AH5275" s="2" t="str">
        <f ca="1"/>
        <v>OK</v>
      </c>
    </row>
    <row r="5276" spans="2:34" x14ac:dyDescent="0.2">
      <c r="B5276" s="2">
        <f ca="1"/>
        <v>0.11736853387067536</v>
      </c>
      <c r="O5276" s="2">
        <f ca="1"/>
        <v>1.2521134476368931</v>
      </c>
      <c r="X5276" s="2">
        <f ca="1"/>
        <v>41.557977497585448</v>
      </c>
      <c r="AG5276" s="2">
        <f ca="1"/>
        <v>0.80098128566916449</v>
      </c>
      <c r="AH5276" s="2" t="str">
        <f ca="1"/>
        <v>Bad</v>
      </c>
    </row>
    <row r="5277" spans="2:34" x14ac:dyDescent="0.2">
      <c r="B5277" s="2">
        <f ca="1"/>
        <v>0.55030045860193577</v>
      </c>
      <c r="O5277" s="2">
        <f ca="1"/>
        <v>0.54320141757912732</v>
      </c>
      <c r="X5277" s="2">
        <f ca="1"/>
        <v>22.261874001564493</v>
      </c>
      <c r="AG5277" s="2">
        <f ca="1"/>
        <v>0.2726502222582845</v>
      </c>
      <c r="AH5277" s="2" t="str">
        <f ca="1"/>
        <v>OK</v>
      </c>
    </row>
    <row r="5278" spans="2:34" x14ac:dyDescent="0.2">
      <c r="B5278" s="2">
        <f ca="1"/>
        <v>0.13935623329185143</v>
      </c>
      <c r="O5278" s="2">
        <f ca="1"/>
        <v>-0.51403823588597153</v>
      </c>
      <c r="X5278" s="2">
        <f ca="1"/>
        <v>59.431060968760754</v>
      </c>
      <c r="AG5278" s="2">
        <f ca="1"/>
        <v>0.23849924958412982</v>
      </c>
      <c r="AH5278" s="2" t="str">
        <f ca="1"/>
        <v>OK</v>
      </c>
    </row>
    <row r="5279" spans="2:34" x14ac:dyDescent="0.2">
      <c r="B5279" s="2">
        <f ca="1"/>
        <v>0.5237912835999794</v>
      </c>
      <c r="O5279" s="2">
        <f ca="1"/>
        <v>0.72732429555053202</v>
      </c>
      <c r="X5279" s="2">
        <f ca="1"/>
        <v>74.856261434575103</v>
      </c>
      <c r="AG5279" s="2">
        <f ca="1"/>
        <v>0.4888339551739973</v>
      </c>
      <c r="AH5279" s="2" t="str">
        <f ca="1"/>
        <v>Bad</v>
      </c>
    </row>
    <row r="5280" spans="2:34" x14ac:dyDescent="0.2">
      <c r="B5280" s="2">
        <f ca="1"/>
        <v>0.3172441295398869</v>
      </c>
      <c r="O5280" s="2">
        <f ca="1"/>
        <v>-0.84322288274981982</v>
      </c>
      <c r="X5280" s="2">
        <f ca="1"/>
        <v>50.528992129537414</v>
      </c>
      <c r="AG5280" s="2">
        <f ca="1"/>
        <v>0.67957479130164011</v>
      </c>
      <c r="AH5280" s="2" t="str">
        <f ca="1"/>
        <v>Bad</v>
      </c>
    </row>
    <row r="5281" spans="2:34" x14ac:dyDescent="0.2">
      <c r="B5281" s="2">
        <f ca="1"/>
        <v>0.18433833572618252</v>
      </c>
      <c r="O5281" s="2">
        <f ca="1"/>
        <v>-0.72444633048263363</v>
      </c>
      <c r="X5281" s="2">
        <f ca="1"/>
        <v>61.397135174361146</v>
      </c>
      <c r="AG5281" s="2">
        <f ca="1"/>
        <v>0.67252576191365976</v>
      </c>
      <c r="AH5281" s="2" t="str">
        <f ca="1"/>
        <v>Bad</v>
      </c>
    </row>
    <row r="5282" spans="2:34" x14ac:dyDescent="0.2">
      <c r="B5282" s="2">
        <f ca="1"/>
        <v>0.98537846121817085</v>
      </c>
      <c r="O5282" s="2">
        <f ca="1"/>
        <v>-5.9733589064864104E-2</v>
      </c>
      <c r="X5282" s="2">
        <f ca="1"/>
        <v>38.002067391322633</v>
      </c>
      <c r="AG5282" s="2">
        <f ca="1"/>
        <v>0.90831626302440127</v>
      </c>
      <c r="AH5282" s="2" t="str">
        <f ca="1"/>
        <v>Bad</v>
      </c>
    </row>
    <row r="5283" spans="2:34" x14ac:dyDescent="0.2">
      <c r="B5283" s="2">
        <f ca="1"/>
        <v>0.92441516215410502</v>
      </c>
      <c r="O5283" s="2">
        <f ca="1"/>
        <v>-0.54001564794971524</v>
      </c>
      <c r="X5283" s="2">
        <f ca="1"/>
        <v>26.487964873068066</v>
      </c>
      <c r="AG5283" s="2">
        <f ca="1"/>
        <v>7.5583192480623396E-2</v>
      </c>
      <c r="AH5283" s="2" t="str">
        <f ca="1"/>
        <v>OK</v>
      </c>
    </row>
    <row r="5284" spans="2:34" x14ac:dyDescent="0.2">
      <c r="B5284" s="2">
        <f ca="1"/>
        <v>0.55830408999172421</v>
      </c>
      <c r="O5284" s="2">
        <f ca="1"/>
        <v>-0.17696448018012559</v>
      </c>
      <c r="X5284" s="2">
        <f ca="1"/>
        <v>72.43594765354193</v>
      </c>
      <c r="AG5284" s="2">
        <f ca="1"/>
        <v>8.2635125821589384E-2</v>
      </c>
      <c r="AH5284" s="2" t="str">
        <f ca="1"/>
        <v>OK</v>
      </c>
    </row>
    <row r="5285" spans="2:34" x14ac:dyDescent="0.2">
      <c r="B5285" s="2">
        <f ca="1"/>
        <v>0.2913276212196656</v>
      </c>
      <c r="O5285" s="2">
        <f ca="1"/>
        <v>0.45756991040210648</v>
      </c>
      <c r="X5285" s="2">
        <f ca="1"/>
        <v>23.749254290540321</v>
      </c>
      <c r="AG5285" s="2">
        <f ca="1"/>
        <v>0.44309454122965208</v>
      </c>
      <c r="AH5285" s="2" t="str">
        <f ca="1"/>
        <v>Bad</v>
      </c>
    </row>
    <row r="5286" spans="2:34" x14ac:dyDescent="0.2">
      <c r="B5286" s="2">
        <f ca="1"/>
        <v>0.71782714203132203</v>
      </c>
      <c r="O5286" s="2">
        <f ca="1"/>
        <v>-0.83686431902779124</v>
      </c>
      <c r="X5286" s="2">
        <f ca="1"/>
        <v>60.876896802941516</v>
      </c>
      <c r="AG5286" s="2">
        <f ca="1"/>
        <v>0.95815747232664394</v>
      </c>
      <c r="AH5286" s="2" t="str">
        <f ca="1"/>
        <v>Bad</v>
      </c>
    </row>
    <row r="5287" spans="2:34" x14ac:dyDescent="0.2">
      <c r="B5287" s="2">
        <f ca="1"/>
        <v>0.26277474112797172</v>
      </c>
      <c r="O5287" s="2">
        <f ca="1"/>
        <v>0.23450178566541183</v>
      </c>
      <c r="X5287" s="2">
        <f ca="1"/>
        <v>42.582545718441622</v>
      </c>
      <c r="AG5287" s="2">
        <f ca="1"/>
        <v>0.55383697724852565</v>
      </c>
      <c r="AH5287" s="2" t="str">
        <f ca="1"/>
        <v>Bad</v>
      </c>
    </row>
    <row r="5288" spans="2:34" x14ac:dyDescent="0.2">
      <c r="B5288" s="2">
        <f ca="1"/>
        <v>0.37122845213113087</v>
      </c>
      <c r="O5288" s="2">
        <f ca="1"/>
        <v>0.28384190810520138</v>
      </c>
      <c r="X5288" s="2">
        <f ca="1"/>
        <v>77.496186403684419</v>
      </c>
      <c r="AG5288" s="2">
        <f ca="1"/>
        <v>0.15474356249907029</v>
      </c>
      <c r="AH5288" s="2" t="str">
        <f ca="1"/>
        <v>OK</v>
      </c>
    </row>
    <row r="5289" spans="2:34" x14ac:dyDescent="0.2">
      <c r="B5289" s="2">
        <f ca="1"/>
        <v>0.59583356600200288</v>
      </c>
      <c r="O5289" s="2">
        <f ca="1"/>
        <v>8.2644861268209191E-2</v>
      </c>
      <c r="X5289" s="2">
        <f ca="1"/>
        <v>46.7641041132946</v>
      </c>
      <c r="AG5289" s="2">
        <f ca="1"/>
        <v>0.99182463782379848</v>
      </c>
      <c r="AH5289" s="2" t="str">
        <f ca="1"/>
        <v>Bad</v>
      </c>
    </row>
    <row r="5290" spans="2:34" x14ac:dyDescent="0.2">
      <c r="B5290" s="2">
        <f ca="1"/>
        <v>0.82317159305129062</v>
      </c>
      <c r="O5290" s="2">
        <f ca="1"/>
        <v>0.47630013691362028</v>
      </c>
      <c r="X5290" s="2">
        <f ca="1"/>
        <v>46.00027153608201</v>
      </c>
      <c r="AG5290" s="2">
        <f ca="1"/>
        <v>0.6564834834341069</v>
      </c>
      <c r="AH5290" s="2" t="str">
        <f ca="1"/>
        <v>Bad</v>
      </c>
    </row>
    <row r="5291" spans="2:34" x14ac:dyDescent="0.2">
      <c r="B5291" s="2">
        <f ca="1"/>
        <v>0.21504113529762048</v>
      </c>
      <c r="O5291" s="2">
        <f ca="1"/>
        <v>1.4115958582441065E-2</v>
      </c>
      <c r="X5291" s="2">
        <f ca="1"/>
        <v>64.793392379758515</v>
      </c>
      <c r="AG5291" s="2">
        <f ca="1"/>
        <v>0.38534092024479571</v>
      </c>
      <c r="AH5291" s="2" t="str">
        <f ca="1"/>
        <v>OK</v>
      </c>
    </row>
    <row r="5292" spans="2:34" x14ac:dyDescent="0.2">
      <c r="B5292" s="2">
        <f ca="1"/>
        <v>0.24871770311996921</v>
      </c>
      <c r="O5292" s="2">
        <f ca="1"/>
        <v>0.37733380596703681</v>
      </c>
      <c r="X5292" s="2">
        <f ca="1"/>
        <v>24.778383334802282</v>
      </c>
      <c r="AG5292" s="2">
        <f ca="1"/>
        <v>0.83094869688926609</v>
      </c>
      <c r="AH5292" s="2" t="str">
        <f ca="1"/>
        <v>Bad</v>
      </c>
    </row>
    <row r="5293" spans="2:34" x14ac:dyDescent="0.2">
      <c r="B5293" s="2">
        <f ca="1"/>
        <v>0.70996060901741287</v>
      </c>
      <c r="O5293" s="2">
        <f ca="1"/>
        <v>0.79990847886161698</v>
      </c>
      <c r="X5293" s="2">
        <f ca="1"/>
        <v>50.682870057623163</v>
      </c>
      <c r="AG5293" s="2">
        <f ca="1"/>
        <v>0.30689430565389531</v>
      </c>
      <c r="AH5293" s="2" t="str">
        <f ca="1"/>
        <v>OK</v>
      </c>
    </row>
    <row r="5294" spans="2:34" x14ac:dyDescent="0.2">
      <c r="B5294" s="2">
        <f ca="1"/>
        <v>0.34628973627504234</v>
      </c>
      <c r="O5294" s="2">
        <f ca="1"/>
        <v>-1.8545216055199041</v>
      </c>
      <c r="X5294" s="2">
        <f ca="1"/>
        <v>58.687161906425509</v>
      </c>
      <c r="AG5294" s="2">
        <f ca="1"/>
        <v>0.30307908108092718</v>
      </c>
      <c r="AH5294" s="2" t="str">
        <f ca="1"/>
        <v>OK</v>
      </c>
    </row>
    <row r="5295" spans="2:34" x14ac:dyDescent="0.2">
      <c r="B5295" s="2">
        <f ca="1"/>
        <v>0.57706072761995286</v>
      </c>
      <c r="O5295" s="2">
        <f ca="1"/>
        <v>-0.28944603619755571</v>
      </c>
      <c r="X5295" s="2">
        <f ca="1"/>
        <v>64.795783255486256</v>
      </c>
      <c r="AG5295" s="2">
        <f ca="1"/>
        <v>0.68711036784718615</v>
      </c>
      <c r="AH5295" s="2" t="str">
        <f ca="1"/>
        <v>Bad</v>
      </c>
    </row>
    <row r="5296" spans="2:34" x14ac:dyDescent="0.2">
      <c r="B5296" s="2">
        <f ca="1"/>
        <v>0.90599404859633581</v>
      </c>
      <c r="O5296" s="2">
        <f ca="1"/>
        <v>-1.7136691209134469</v>
      </c>
      <c r="X5296" s="2">
        <f ca="1"/>
        <v>55.033162911664022</v>
      </c>
      <c r="AG5296" s="2">
        <f ca="1"/>
        <v>0.82282273304168663</v>
      </c>
      <c r="AH5296" s="2" t="str">
        <f ca="1"/>
        <v>Bad</v>
      </c>
    </row>
    <row r="5297" spans="2:34" x14ac:dyDescent="0.2">
      <c r="B5297" s="2">
        <f ca="1"/>
        <v>0.13273730321567689</v>
      </c>
      <c r="O5297" s="2">
        <f ca="1"/>
        <v>-0.19485551258948708</v>
      </c>
      <c r="X5297" s="2">
        <f ca="1"/>
        <v>46.974283754752889</v>
      </c>
      <c r="AG5297" s="2">
        <f ca="1"/>
        <v>1.7257442784215371E-3</v>
      </c>
      <c r="AH5297" s="2" t="str">
        <f ca="1"/>
        <v>Good</v>
      </c>
    </row>
    <row r="5298" spans="2:34" x14ac:dyDescent="0.2">
      <c r="B5298" s="2">
        <f ca="1"/>
        <v>0.79699329463970647</v>
      </c>
      <c r="O5298" s="2">
        <f ca="1"/>
        <v>0.71439902954185808</v>
      </c>
      <c r="X5298" s="2">
        <f ca="1"/>
        <v>54.080944241508064</v>
      </c>
      <c r="AG5298" s="2">
        <f ca="1"/>
        <v>0.42419769394161011</v>
      </c>
      <c r="AH5298" s="2" t="str">
        <f ca="1"/>
        <v>Bad</v>
      </c>
    </row>
    <row r="5299" spans="2:34" x14ac:dyDescent="0.2">
      <c r="B5299" s="2">
        <f ca="1"/>
        <v>0.66891003363966117</v>
      </c>
      <c r="O5299" s="2">
        <f ca="1"/>
        <v>1.3662705501198771</v>
      </c>
      <c r="X5299" s="2">
        <f ca="1"/>
        <v>44.085014985289241</v>
      </c>
      <c r="AG5299" s="2">
        <f ca="1"/>
        <v>0.9991074344783597</v>
      </c>
      <c r="AH5299" s="2" t="str">
        <f ca="1"/>
        <v>Bad</v>
      </c>
    </row>
    <row r="5300" spans="2:34" x14ac:dyDescent="0.2">
      <c r="B5300" s="2">
        <f ca="1"/>
        <v>0.21047992206362109</v>
      </c>
      <c r="O5300" s="2">
        <f ca="1"/>
        <v>0.45066776238973588</v>
      </c>
      <c r="X5300" s="2">
        <f ca="1"/>
        <v>43.466728116575496</v>
      </c>
      <c r="AG5300" s="2">
        <f ca="1"/>
        <v>0.19084888994812288</v>
      </c>
      <c r="AH5300" s="2" t="str">
        <f ca="1"/>
        <v>OK</v>
      </c>
    </row>
    <row r="5301" spans="2:34" x14ac:dyDescent="0.2">
      <c r="B5301" s="2">
        <f ca="1"/>
        <v>0.28547306017832863</v>
      </c>
      <c r="O5301" s="2">
        <f ca="1"/>
        <v>-6.1287390677923971E-2</v>
      </c>
      <c r="X5301" s="2">
        <f ca="1"/>
        <v>56.584556536836189</v>
      </c>
      <c r="AG5301" s="2">
        <f ca="1"/>
        <v>0.30013143930843378</v>
      </c>
      <c r="AH5301" s="2" t="str">
        <f ca="1"/>
        <v>OK</v>
      </c>
    </row>
    <row r="5302" spans="2:34" x14ac:dyDescent="0.2">
      <c r="B5302" s="2">
        <f ca="1"/>
        <v>0.96716226402142569</v>
      </c>
      <c r="O5302" s="2">
        <f ca="1"/>
        <v>-1.236008847799497</v>
      </c>
      <c r="X5302" s="2">
        <f ca="1"/>
        <v>47.104142111437746</v>
      </c>
      <c r="AG5302" s="2">
        <f ca="1"/>
        <v>0.57311955972610784</v>
      </c>
      <c r="AH5302" s="2" t="str">
        <f ca="1"/>
        <v>Bad</v>
      </c>
    </row>
    <row r="5303" spans="2:34" x14ac:dyDescent="0.2">
      <c r="B5303" s="2">
        <f ca="1"/>
        <v>0.36888009784722531</v>
      </c>
      <c r="O5303" s="2">
        <f ca="1"/>
        <v>-0.24658655475012436</v>
      </c>
      <c r="X5303" s="2">
        <f ca="1"/>
        <v>61.55551384092702</v>
      </c>
      <c r="AG5303" s="2">
        <f ca="1"/>
        <v>0.1857253433083137</v>
      </c>
      <c r="AH5303" s="2" t="str">
        <f ca="1"/>
        <v>OK</v>
      </c>
    </row>
    <row r="5304" spans="2:34" x14ac:dyDescent="0.2">
      <c r="B5304" s="2">
        <f ca="1"/>
        <v>0.22200312299515579</v>
      </c>
      <c r="O5304" s="2">
        <f ca="1"/>
        <v>-1.2712614543703917</v>
      </c>
      <c r="X5304" s="2">
        <f ca="1"/>
        <v>40.334531905122269</v>
      </c>
      <c r="AG5304" s="2">
        <f ca="1"/>
        <v>0.24907169539196583</v>
      </c>
      <c r="AH5304" s="2" t="str">
        <f ca="1"/>
        <v>OK</v>
      </c>
    </row>
    <row r="5305" spans="2:34" x14ac:dyDescent="0.2">
      <c r="B5305" s="2">
        <f ca="1"/>
        <v>0.96558928762159257</v>
      </c>
      <c r="O5305" s="2">
        <f ca="1"/>
        <v>0.53744620130543463</v>
      </c>
      <c r="X5305" s="2">
        <f ca="1"/>
        <v>47.877470217154183</v>
      </c>
      <c r="AG5305" s="2">
        <f ca="1"/>
        <v>0.9565434482213504</v>
      </c>
      <c r="AH5305" s="2" t="str">
        <f ca="1"/>
        <v>Bad</v>
      </c>
    </row>
    <row r="5306" spans="2:34" x14ac:dyDescent="0.2">
      <c r="B5306" s="2">
        <f ca="1"/>
        <v>0.17211522996528128</v>
      </c>
      <c r="O5306" s="2">
        <f ca="1"/>
        <v>0.75538664596981386</v>
      </c>
      <c r="X5306" s="2">
        <f ca="1"/>
        <v>51.90654086885381</v>
      </c>
      <c r="AG5306" s="2">
        <f ca="1"/>
        <v>0.19929783966395553</v>
      </c>
      <c r="AH5306" s="2" t="str">
        <f ca="1"/>
        <v>OK</v>
      </c>
    </row>
    <row r="5307" spans="2:34" x14ac:dyDescent="0.2">
      <c r="B5307" s="2">
        <f ca="1"/>
        <v>0.7826426191134932</v>
      </c>
      <c r="O5307" s="2">
        <f ca="1"/>
        <v>1.3769063537364632</v>
      </c>
      <c r="X5307" s="2">
        <f ca="1"/>
        <v>72.429149077274474</v>
      </c>
      <c r="AG5307" s="2">
        <f ca="1"/>
        <v>0.25263697120721718</v>
      </c>
      <c r="AH5307" s="2" t="str">
        <f ca="1"/>
        <v>OK</v>
      </c>
    </row>
    <row r="5308" spans="2:34" x14ac:dyDescent="0.2">
      <c r="B5308" s="2">
        <f ca="1"/>
        <v>0.92144531589466294</v>
      </c>
      <c r="O5308" s="2">
        <f ca="1"/>
        <v>0.63735191468664221</v>
      </c>
      <c r="X5308" s="2">
        <f ca="1"/>
        <v>87.22442750321882</v>
      </c>
      <c r="AG5308" s="2">
        <f ca="1"/>
        <v>0.72475587635665817</v>
      </c>
      <c r="AH5308" s="2" t="str">
        <f ca="1"/>
        <v>Bad</v>
      </c>
    </row>
    <row r="5309" spans="2:34" x14ac:dyDescent="0.2">
      <c r="B5309" s="2">
        <f ca="1"/>
        <v>0.94798082681449158</v>
      </c>
      <c r="O5309" s="2">
        <f ca="1"/>
        <v>-0.60282890429167146</v>
      </c>
      <c r="X5309" s="2">
        <f ca="1"/>
        <v>67.248960519227865</v>
      </c>
      <c r="AG5309" s="2">
        <f ca="1"/>
        <v>0.67741596426135375</v>
      </c>
      <c r="AH5309" s="2" t="str">
        <f ca="1"/>
        <v>Bad</v>
      </c>
    </row>
    <row r="5310" spans="2:34" x14ac:dyDescent="0.2">
      <c r="B5310" s="2">
        <f ca="1"/>
        <v>0.85849447171188409</v>
      </c>
      <c r="O5310" s="2">
        <f ca="1"/>
        <v>-1.7754954899066739</v>
      </c>
      <c r="X5310" s="2">
        <f ca="1"/>
        <v>84.800247624906063</v>
      </c>
      <c r="AG5310" s="2">
        <f ca="1"/>
        <v>0.40056813935668445</v>
      </c>
      <c r="AH5310" s="2" t="str">
        <f ca="1"/>
        <v>Bad</v>
      </c>
    </row>
    <row r="5311" spans="2:34" x14ac:dyDescent="0.2">
      <c r="B5311" s="2">
        <f ca="1"/>
        <v>0.48287545574259849</v>
      </c>
      <c r="O5311" s="2">
        <f ca="1"/>
        <v>-1.2249754199005338</v>
      </c>
      <c r="X5311" s="2">
        <f ca="1"/>
        <v>27.5885003507886</v>
      </c>
      <c r="AG5311" s="2">
        <f ca="1"/>
        <v>0.6410687578749501</v>
      </c>
      <c r="AH5311" s="2" t="str">
        <f ca="1"/>
        <v>Bad</v>
      </c>
    </row>
    <row r="5312" spans="2:34" x14ac:dyDescent="0.2">
      <c r="B5312" s="2">
        <f ca="1"/>
        <v>0.78067091980140169</v>
      </c>
      <c r="O5312" s="2">
        <f ca="1"/>
        <v>-0.46241087749383952</v>
      </c>
      <c r="X5312" s="2">
        <f ca="1"/>
        <v>82.730028826394815</v>
      </c>
      <c r="AG5312" s="2">
        <f ca="1"/>
        <v>0.73120312116880348</v>
      </c>
      <c r="AH5312" s="2" t="str">
        <f ca="1"/>
        <v>Bad</v>
      </c>
    </row>
    <row r="5313" spans="2:34" x14ac:dyDescent="0.2">
      <c r="B5313" s="2">
        <f ca="1"/>
        <v>0.78388690515084503</v>
      </c>
      <c r="O5313" s="2">
        <f ca="1"/>
        <v>-0.86812403174718156</v>
      </c>
      <c r="X5313" s="2">
        <f ca="1"/>
        <v>34.673454110099847</v>
      </c>
      <c r="AG5313" s="2">
        <f ca="1"/>
        <v>0.93720235143709796</v>
      </c>
      <c r="AH5313" s="2" t="str">
        <f ca="1"/>
        <v>Bad</v>
      </c>
    </row>
    <row r="5314" spans="2:34" x14ac:dyDescent="0.2">
      <c r="B5314" s="2">
        <f ca="1"/>
        <v>0.73056239400525547</v>
      </c>
      <c r="O5314" s="2">
        <f ca="1"/>
        <v>-0.77309746253738176</v>
      </c>
      <c r="X5314" s="2">
        <f ca="1"/>
        <v>46.012298683057615</v>
      </c>
      <c r="AG5314" s="2">
        <f ca="1"/>
        <v>0.60162357619296092</v>
      </c>
      <c r="AH5314" s="2" t="str">
        <f ca="1"/>
        <v>Bad</v>
      </c>
    </row>
    <row r="5315" spans="2:34" x14ac:dyDescent="0.2">
      <c r="B5315" s="2">
        <f ca="1"/>
        <v>0.13894783462203253</v>
      </c>
      <c r="O5315" s="2">
        <f ca="1"/>
        <v>-3.1674052545974801E-2</v>
      </c>
      <c r="X5315" s="2">
        <f ca="1"/>
        <v>61.87690560890637</v>
      </c>
      <c r="AG5315" s="2">
        <f ca="1"/>
        <v>0.99988991533171934</v>
      </c>
      <c r="AH5315" s="2" t="str">
        <f ca="1"/>
        <v>Bad</v>
      </c>
    </row>
    <row r="5316" spans="2:34" x14ac:dyDescent="0.2">
      <c r="B5316" s="2">
        <f ca="1"/>
        <v>0.67785438979510104</v>
      </c>
      <c r="O5316" s="2">
        <f ca="1"/>
        <v>-0.90353016263859687</v>
      </c>
      <c r="X5316" s="2">
        <f ca="1"/>
        <v>42.227761131000996</v>
      </c>
      <c r="AG5316" s="2">
        <f ca="1"/>
        <v>0.20335578837109836</v>
      </c>
      <c r="AH5316" s="2" t="str">
        <f ca="1"/>
        <v>OK</v>
      </c>
    </row>
    <row r="5317" spans="2:34" x14ac:dyDescent="0.2">
      <c r="B5317" s="2">
        <f ca="1"/>
        <v>0.31311259138134662</v>
      </c>
      <c r="O5317" s="2">
        <f ca="1"/>
        <v>-0.10793226041459915</v>
      </c>
      <c r="X5317" s="2">
        <f ca="1"/>
        <v>30.727596252887302</v>
      </c>
      <c r="AG5317" s="2">
        <f ca="1"/>
        <v>0.3917115224799641</v>
      </c>
      <c r="AH5317" s="2" t="str">
        <f ca="1"/>
        <v>OK</v>
      </c>
    </row>
    <row r="5318" spans="2:34" x14ac:dyDescent="0.2">
      <c r="B5318" s="2">
        <f ca="1"/>
        <v>0.56709416056576534</v>
      </c>
      <c r="O5318" s="2">
        <f ca="1"/>
        <v>-2.0512448952549618</v>
      </c>
      <c r="X5318" s="2">
        <f ca="1"/>
        <v>32.470980808718522</v>
      </c>
      <c r="AG5318" s="2">
        <f ca="1"/>
        <v>0.15715178599914426</v>
      </c>
      <c r="AH5318" s="2" t="str">
        <f ca="1"/>
        <v>OK</v>
      </c>
    </row>
    <row r="5319" spans="2:34" x14ac:dyDescent="0.2">
      <c r="B5319" s="2">
        <f ca="1"/>
        <v>0.97339046537276475</v>
      </c>
      <c r="O5319" s="2">
        <f ca="1"/>
        <v>-0.17119690856421643</v>
      </c>
      <c r="X5319" s="2">
        <f ca="1"/>
        <v>43.209790064000345</v>
      </c>
      <c r="AG5319" s="2">
        <f ca="1"/>
        <v>0.17823356915871802</v>
      </c>
      <c r="AH5319" s="2" t="str">
        <f ca="1"/>
        <v>OK</v>
      </c>
    </row>
    <row r="5320" spans="2:34" x14ac:dyDescent="0.2">
      <c r="B5320" s="2">
        <f ca="1"/>
        <v>2.3295932380739126E-2</v>
      </c>
      <c r="O5320" s="2">
        <f ca="1"/>
        <v>0.95212291385498815</v>
      </c>
      <c r="X5320" s="2">
        <f ca="1"/>
        <v>29.072466544311343</v>
      </c>
      <c r="AG5320" s="2">
        <f ca="1"/>
        <v>0.89386989013397322</v>
      </c>
      <c r="AH5320" s="2" t="str">
        <f ca="1"/>
        <v>Bad</v>
      </c>
    </row>
    <row r="5321" spans="2:34" x14ac:dyDescent="0.2">
      <c r="B5321" s="2">
        <f ca="1"/>
        <v>0.290497065396085</v>
      </c>
      <c r="O5321" s="2">
        <f ca="1"/>
        <v>-1.8643942130918203</v>
      </c>
      <c r="X5321" s="2">
        <f ca="1"/>
        <v>70.136821505206157</v>
      </c>
      <c r="AG5321" s="2">
        <f ca="1"/>
        <v>0.7820816673392037</v>
      </c>
      <c r="AH5321" s="2" t="str">
        <f ca="1"/>
        <v>Bad</v>
      </c>
    </row>
    <row r="5322" spans="2:34" x14ac:dyDescent="0.2">
      <c r="B5322" s="2">
        <f ca="1"/>
        <v>0.74589024445082019</v>
      </c>
      <c r="O5322" s="2">
        <f ca="1"/>
        <v>0.34311384818122437</v>
      </c>
      <c r="X5322" s="2">
        <f ca="1"/>
        <v>47.705453057501344</v>
      </c>
      <c r="AG5322" s="2">
        <f ca="1"/>
        <v>0.31729567871220588</v>
      </c>
      <c r="AH5322" s="2" t="str">
        <f ca="1"/>
        <v>OK</v>
      </c>
    </row>
    <row r="5323" spans="2:34" x14ac:dyDescent="0.2">
      <c r="B5323" s="2">
        <f ca="1"/>
        <v>8.0199086003749143E-2</v>
      </c>
      <c r="O5323" s="2">
        <f ca="1"/>
        <v>-1.7614298814572789</v>
      </c>
      <c r="X5323" s="2">
        <f ca="1"/>
        <v>42.332458310562714</v>
      </c>
      <c r="AG5323" s="2">
        <f ca="1"/>
        <v>0.28157496014327021</v>
      </c>
      <c r="AH5323" s="2" t="str">
        <f ca="1"/>
        <v>OK</v>
      </c>
    </row>
    <row r="5324" spans="2:34" x14ac:dyDescent="0.2">
      <c r="B5324" s="2">
        <f ca="1"/>
        <v>0.43935366385880581</v>
      </c>
      <c r="O5324" s="2">
        <f ca="1"/>
        <v>-0.19797073289247202</v>
      </c>
      <c r="X5324" s="2">
        <f ca="1"/>
        <v>38.919720334736205</v>
      </c>
      <c r="AG5324" s="2">
        <f ca="1"/>
        <v>0.31770534513480975</v>
      </c>
      <c r="AH5324" s="2" t="str">
        <f ca="1"/>
        <v>OK</v>
      </c>
    </row>
    <row r="5325" spans="2:34" x14ac:dyDescent="0.2">
      <c r="B5325" s="2">
        <f ca="1"/>
        <v>0.4660001274301917</v>
      </c>
      <c r="O5325" s="2">
        <f ca="1"/>
        <v>0.45675133024259917</v>
      </c>
      <c r="X5325" s="2">
        <f ca="1"/>
        <v>37.901340415897081</v>
      </c>
      <c r="AG5325" s="2">
        <f ca="1"/>
        <v>0.37337591191994512</v>
      </c>
      <c r="AH5325" s="2" t="str">
        <f ca="1"/>
        <v>OK</v>
      </c>
    </row>
    <row r="5326" spans="2:34" x14ac:dyDescent="0.2">
      <c r="B5326" s="2">
        <f ca="1"/>
        <v>0.66640742222151506</v>
      </c>
      <c r="O5326" s="2">
        <f ca="1"/>
        <v>-0.98442619542456899</v>
      </c>
      <c r="X5326" s="2">
        <f ca="1"/>
        <v>74.746590320696569</v>
      </c>
      <c r="AG5326" s="2">
        <f ca="1"/>
        <v>0.66779000151896439</v>
      </c>
      <c r="AH5326" s="2" t="str">
        <f ca="1"/>
        <v>Bad</v>
      </c>
    </row>
    <row r="5327" spans="2:34" x14ac:dyDescent="0.2">
      <c r="B5327" s="2">
        <f ca="1"/>
        <v>0.70991366797442601</v>
      </c>
      <c r="O5327" s="2">
        <f ca="1"/>
        <v>1.0394637146214847</v>
      </c>
      <c r="X5327" s="2">
        <f ca="1"/>
        <v>92.667961850261307</v>
      </c>
      <c r="AG5327" s="2">
        <f ca="1"/>
        <v>0.86614278179567328</v>
      </c>
      <c r="AH5327" s="2" t="str">
        <f ca="1"/>
        <v>Bad</v>
      </c>
    </row>
    <row r="5328" spans="2:34" x14ac:dyDescent="0.2">
      <c r="B5328" s="2">
        <f ca="1"/>
        <v>0.18037925425410495</v>
      </c>
      <c r="O5328" s="2">
        <f ca="1"/>
        <v>-0.39230553477065594</v>
      </c>
      <c r="X5328" s="2">
        <f ca="1"/>
        <v>69.568704373009354</v>
      </c>
      <c r="AG5328" s="2">
        <f ca="1"/>
        <v>0.97534486031552281</v>
      </c>
      <c r="AH5328" s="2" t="str">
        <f ca="1"/>
        <v>Bad</v>
      </c>
    </row>
    <row r="5329" spans="2:34" x14ac:dyDescent="0.2">
      <c r="B5329" s="2">
        <f ca="1"/>
        <v>0.55035125769263038</v>
      </c>
      <c r="O5329" s="2">
        <f ca="1"/>
        <v>-0.54752804262196031</v>
      </c>
      <c r="X5329" s="2">
        <f ca="1"/>
        <v>43.55097268595464</v>
      </c>
      <c r="AG5329" s="2">
        <f ca="1"/>
        <v>0.74315200862655306</v>
      </c>
      <c r="AH5329" s="2" t="str">
        <f ca="1"/>
        <v>Bad</v>
      </c>
    </row>
    <row r="5330" spans="2:34" x14ac:dyDescent="0.2">
      <c r="B5330" s="2">
        <f ca="1"/>
        <v>0.98626185025154633</v>
      </c>
      <c r="O5330" s="2">
        <f ca="1"/>
        <v>-0.95676682604468277</v>
      </c>
      <c r="X5330" s="2">
        <f ca="1"/>
        <v>47.159467480549296</v>
      </c>
      <c r="AG5330" s="2">
        <f ca="1"/>
        <v>0.97982850932999299</v>
      </c>
      <c r="AH5330" s="2" t="str">
        <f ca="1"/>
        <v>Bad</v>
      </c>
    </row>
    <row r="5331" spans="2:34" x14ac:dyDescent="0.2">
      <c r="B5331" s="2">
        <f ca="1"/>
        <v>0.53075437279507631</v>
      </c>
      <c r="O5331" s="2">
        <f ca="1"/>
        <v>0.15656430302872357</v>
      </c>
      <c r="X5331" s="2">
        <f ca="1"/>
        <v>48.899519383752896</v>
      </c>
      <c r="AG5331" s="2">
        <f ca="1"/>
        <v>0.60429002969508128</v>
      </c>
      <c r="AH5331" s="2" t="str">
        <f ca="1"/>
        <v>Bad</v>
      </c>
    </row>
    <row r="5332" spans="2:34" x14ac:dyDescent="0.2">
      <c r="B5332" s="2">
        <f ca="1"/>
        <v>0.64239763816469164</v>
      </c>
      <c r="O5332" s="2">
        <f ca="1"/>
        <v>-1.5126087136823871</v>
      </c>
      <c r="X5332" s="2">
        <f ca="1"/>
        <v>60.500716361411307</v>
      </c>
      <c r="AG5332" s="2">
        <f ca="1"/>
        <v>0.2572680981257085</v>
      </c>
      <c r="AH5332" s="2" t="str">
        <f ca="1"/>
        <v>OK</v>
      </c>
    </row>
    <row r="5333" spans="2:34" x14ac:dyDescent="0.2">
      <c r="B5333" s="2">
        <f ca="1"/>
        <v>9.3674954044827841E-2</v>
      </c>
      <c r="O5333" s="2">
        <f ca="1"/>
        <v>0.48069760453146432</v>
      </c>
      <c r="X5333" s="2">
        <f ca="1"/>
        <v>28.562898977494253</v>
      </c>
      <c r="AG5333" s="2">
        <f ca="1"/>
        <v>0.76015440136106682</v>
      </c>
      <c r="AH5333" s="2" t="str">
        <f ca="1"/>
        <v>Bad</v>
      </c>
    </row>
    <row r="5334" spans="2:34" x14ac:dyDescent="0.2">
      <c r="B5334" s="2">
        <f ca="1"/>
        <v>0.12772858039145674</v>
      </c>
      <c r="O5334" s="2">
        <f ca="1"/>
        <v>0.28421092103675544</v>
      </c>
      <c r="X5334" s="2">
        <f ca="1"/>
        <v>54.156297256817098</v>
      </c>
      <c r="AG5334" s="2">
        <f ca="1"/>
        <v>0.56567503288111398</v>
      </c>
      <c r="AH5334" s="2" t="str">
        <f ca="1"/>
        <v>Bad</v>
      </c>
    </row>
    <row r="5335" spans="2:34" x14ac:dyDescent="0.2">
      <c r="B5335" s="2">
        <f ca="1"/>
        <v>0.48564407848858449</v>
      </c>
      <c r="O5335" s="2">
        <f ca="1"/>
        <v>-5.1896938183043334E-2</v>
      </c>
      <c r="X5335" s="2">
        <f ca="1"/>
        <v>42.009696665247603</v>
      </c>
      <c r="AG5335" s="2">
        <f ca="1"/>
        <v>0.60269170616252832</v>
      </c>
      <c r="AH5335" s="2" t="str">
        <f ca="1"/>
        <v>Bad</v>
      </c>
    </row>
    <row r="5336" spans="2:34" x14ac:dyDescent="0.2">
      <c r="B5336" s="2">
        <f ca="1"/>
        <v>0.16001117974760137</v>
      </c>
      <c r="O5336" s="2">
        <f ca="1"/>
        <v>1.5149915932409228</v>
      </c>
      <c r="X5336" s="2">
        <f ca="1"/>
        <v>55.907301088528421</v>
      </c>
      <c r="AG5336" s="2">
        <f ca="1"/>
        <v>0.13880747203891208</v>
      </c>
      <c r="AH5336" s="2" t="str">
        <f ca="1"/>
        <v>OK</v>
      </c>
    </row>
    <row r="5337" spans="2:34" x14ac:dyDescent="0.2">
      <c r="B5337" s="2">
        <f ca="1"/>
        <v>0.9779749335777137</v>
      </c>
      <c r="O5337" s="2">
        <f ca="1"/>
        <v>-1.0072068736835875</v>
      </c>
      <c r="X5337" s="2">
        <f ca="1"/>
        <v>41.706448761691981</v>
      </c>
      <c r="AG5337" s="2">
        <f ca="1"/>
        <v>0.43293144261200278</v>
      </c>
      <c r="AH5337" s="2" t="str">
        <f ca="1"/>
        <v>Bad</v>
      </c>
    </row>
    <row r="5338" spans="2:34" x14ac:dyDescent="0.2">
      <c r="B5338" s="2">
        <f ca="1"/>
        <v>0.54545744566299015</v>
      </c>
      <c r="O5338" s="2">
        <f ca="1"/>
        <v>-0.14028137721446324</v>
      </c>
      <c r="X5338" s="2">
        <f ca="1"/>
        <v>57.150833372385151</v>
      </c>
      <c r="AG5338" s="2">
        <f ca="1"/>
        <v>0.594876692334944</v>
      </c>
      <c r="AH5338" s="2" t="str">
        <f ca="1"/>
        <v>Bad</v>
      </c>
    </row>
    <row r="5339" spans="2:34" x14ac:dyDescent="0.2">
      <c r="B5339" s="2">
        <f ca="1"/>
        <v>0.44315196039653104</v>
      </c>
      <c r="O5339" s="2">
        <f ca="1"/>
        <v>-1.4768555000140844</v>
      </c>
      <c r="X5339" s="2">
        <f ca="1"/>
        <v>50.505400420067737</v>
      </c>
      <c r="AG5339" s="2">
        <f ca="1"/>
        <v>0.96568877300553901</v>
      </c>
      <c r="AH5339" s="2" t="str">
        <f ca="1"/>
        <v>Bad</v>
      </c>
    </row>
    <row r="5340" spans="2:34" x14ac:dyDescent="0.2">
      <c r="B5340" s="2">
        <f ca="1"/>
        <v>0.19392803280463067</v>
      </c>
      <c r="O5340" s="2">
        <f ca="1"/>
        <v>-0.2089368206050618</v>
      </c>
      <c r="X5340" s="2">
        <f ca="1"/>
        <v>56.807328573293205</v>
      </c>
      <c r="AG5340" s="2">
        <f ca="1"/>
        <v>0.35839256640404371</v>
      </c>
      <c r="AH5340" s="2" t="str">
        <f ca="1"/>
        <v>OK</v>
      </c>
    </row>
    <row r="5341" spans="2:34" x14ac:dyDescent="0.2">
      <c r="B5341" s="2">
        <f ca="1"/>
        <v>0.39056634012823821</v>
      </c>
      <c r="O5341" s="2">
        <f ca="1"/>
        <v>-0.33380058253997485</v>
      </c>
      <c r="X5341" s="2">
        <f ca="1"/>
        <v>43.6939717519151</v>
      </c>
      <c r="AG5341" s="2">
        <f ca="1"/>
        <v>0.68480953262933397</v>
      </c>
      <c r="AH5341" s="2" t="str">
        <f ca="1"/>
        <v>Bad</v>
      </c>
    </row>
    <row r="5342" spans="2:34" x14ac:dyDescent="0.2">
      <c r="B5342" s="2">
        <f ca="1"/>
        <v>0.80570855130004237</v>
      </c>
      <c r="O5342" s="2">
        <f ca="1"/>
        <v>1.1435531773344567</v>
      </c>
      <c r="X5342" s="2">
        <f ca="1"/>
        <v>54.920629960915683</v>
      </c>
      <c r="AG5342" s="2">
        <f ca="1"/>
        <v>0.65109052151104541</v>
      </c>
      <c r="AH5342" s="2" t="str">
        <f ca="1"/>
        <v>Bad</v>
      </c>
    </row>
    <row r="5343" spans="2:34" x14ac:dyDescent="0.2">
      <c r="B5343" s="2">
        <f ca="1"/>
        <v>0.86948888475520825</v>
      </c>
      <c r="O5343" s="2">
        <f ca="1"/>
        <v>-0.34895361820449949</v>
      </c>
      <c r="X5343" s="2">
        <f ca="1"/>
        <v>47.177040818217726</v>
      </c>
      <c r="AG5343" s="2">
        <f ca="1"/>
        <v>0.38286692959170332</v>
      </c>
      <c r="AH5343" s="2" t="str">
        <f ca="1"/>
        <v>OK</v>
      </c>
    </row>
    <row r="5344" spans="2:34" x14ac:dyDescent="0.2">
      <c r="B5344" s="2">
        <f ca="1"/>
        <v>0.1011336282812445</v>
      </c>
      <c r="O5344" s="2">
        <f ca="1"/>
        <v>-0.78009031521055094</v>
      </c>
      <c r="X5344" s="2">
        <f ca="1"/>
        <v>33.410234092526714</v>
      </c>
      <c r="AG5344" s="2">
        <f ca="1"/>
        <v>0.92875107268117207</v>
      </c>
      <c r="AH5344" s="2" t="str">
        <f ca="1"/>
        <v>Bad</v>
      </c>
    </row>
    <row r="5345" spans="2:34" x14ac:dyDescent="0.2">
      <c r="B5345" s="2">
        <f ca="1"/>
        <v>3.8107121416025569E-2</v>
      </c>
      <c r="O5345" s="2">
        <f ca="1"/>
        <v>-1.5751107085397611</v>
      </c>
      <c r="X5345" s="2">
        <f ca="1"/>
        <v>35.922343262611882</v>
      </c>
      <c r="AG5345" s="2">
        <f ca="1"/>
        <v>0.90648530778518843</v>
      </c>
      <c r="AH5345" s="2" t="str">
        <f ca="1"/>
        <v>Bad</v>
      </c>
    </row>
    <row r="5346" spans="2:34" x14ac:dyDescent="0.2">
      <c r="B5346" s="2">
        <f ca="1"/>
        <v>6.2684572889351919E-2</v>
      </c>
      <c r="O5346" s="2">
        <f ca="1"/>
        <v>0.65769853023770597</v>
      </c>
      <c r="X5346" s="2">
        <f ca="1"/>
        <v>29.299924090561959</v>
      </c>
      <c r="AG5346" s="2">
        <f ca="1"/>
        <v>0.65346794731419511</v>
      </c>
      <c r="AH5346" s="2" t="str">
        <f ca="1"/>
        <v>Bad</v>
      </c>
    </row>
    <row r="5347" spans="2:34" x14ac:dyDescent="0.2">
      <c r="B5347" s="2">
        <f ca="1"/>
        <v>0.63530469839835679</v>
      </c>
      <c r="O5347" s="2">
        <f ca="1"/>
        <v>-1.2935945373823765</v>
      </c>
      <c r="X5347" s="2">
        <f ca="1"/>
        <v>65.118514678217082</v>
      </c>
      <c r="AG5347" s="2">
        <f ca="1"/>
        <v>0.77609992603037492</v>
      </c>
      <c r="AH5347" s="2" t="str">
        <f ca="1"/>
        <v>Bad</v>
      </c>
    </row>
    <row r="5348" spans="2:34" x14ac:dyDescent="0.2">
      <c r="B5348" s="2">
        <f ca="1"/>
        <v>0.92504152257412753</v>
      </c>
      <c r="O5348" s="2">
        <f ca="1"/>
        <v>-1.634814634818136</v>
      </c>
      <c r="X5348" s="2">
        <f ca="1"/>
        <v>54.5433064363082</v>
      </c>
      <c r="AG5348" s="2">
        <f ca="1"/>
        <v>0.94320723225039749</v>
      </c>
      <c r="AH5348" s="2" t="str">
        <f ca="1"/>
        <v>Bad</v>
      </c>
    </row>
    <row r="5349" spans="2:34" x14ac:dyDescent="0.2">
      <c r="B5349" s="2">
        <f ca="1"/>
        <v>0.53463696520825987</v>
      </c>
      <c r="O5349" s="2">
        <f ca="1"/>
        <v>-1.0955070631049122</v>
      </c>
      <c r="X5349" s="2">
        <f ca="1"/>
        <v>59.294707898426083</v>
      </c>
      <c r="AG5349" s="2">
        <f ca="1"/>
        <v>0.52065741252702868</v>
      </c>
      <c r="AH5349" s="2" t="str">
        <f ca="1"/>
        <v>Bad</v>
      </c>
    </row>
    <row r="5350" spans="2:34" x14ac:dyDescent="0.2">
      <c r="B5350" s="2">
        <f ca="1"/>
        <v>0.56415715251641019</v>
      </c>
      <c r="O5350" s="2">
        <f ca="1"/>
        <v>0.57166045567122026</v>
      </c>
      <c r="X5350" s="2">
        <f ca="1"/>
        <v>52.331371329002387</v>
      </c>
      <c r="AG5350" s="2">
        <f ca="1"/>
        <v>0.97445413262354252</v>
      </c>
      <c r="AH5350" s="2" t="str">
        <f ca="1"/>
        <v>Bad</v>
      </c>
    </row>
    <row r="5351" spans="2:34" x14ac:dyDescent="0.2">
      <c r="B5351" s="2">
        <f ca="1"/>
        <v>0.14938978334912667</v>
      </c>
      <c r="O5351" s="2">
        <f ca="1"/>
        <v>-1.5152905618758157</v>
      </c>
      <c r="X5351" s="2">
        <f ca="1"/>
        <v>50.266388906668389</v>
      </c>
      <c r="AG5351" s="2">
        <f ca="1"/>
        <v>0.56048956585396303</v>
      </c>
      <c r="AH5351" s="2" t="str">
        <f ca="1"/>
        <v>Bad</v>
      </c>
    </row>
    <row r="5352" spans="2:34" x14ac:dyDescent="0.2">
      <c r="B5352" s="2">
        <f ca="1"/>
        <v>6.4608910719747836E-2</v>
      </c>
      <c r="O5352" s="2">
        <f ca="1"/>
        <v>-0.60950133959828667</v>
      </c>
      <c r="X5352" s="2">
        <f ca="1"/>
        <v>49.108031221123198</v>
      </c>
      <c r="AG5352" s="2">
        <f ca="1"/>
        <v>0.76481946061297146</v>
      </c>
      <c r="AH5352" s="2" t="str">
        <f ca="1"/>
        <v>Bad</v>
      </c>
    </row>
    <row r="5353" spans="2:34" x14ac:dyDescent="0.2">
      <c r="B5353" s="2">
        <f ca="1"/>
        <v>0.65566226002382066</v>
      </c>
      <c r="O5353" s="2">
        <f ca="1"/>
        <v>0.25817736784903417</v>
      </c>
      <c r="X5353" s="2">
        <f ca="1"/>
        <v>47.952316877677852</v>
      </c>
      <c r="AG5353" s="2">
        <f ca="1"/>
        <v>0.33946782270103681</v>
      </c>
      <c r="AH5353" s="2" t="str">
        <f ca="1"/>
        <v>OK</v>
      </c>
    </row>
    <row r="5354" spans="2:34" x14ac:dyDescent="0.2">
      <c r="B5354" s="2">
        <f ca="1"/>
        <v>0.39654200552786745</v>
      </c>
      <c r="O5354" s="2">
        <f ca="1"/>
        <v>1.1841358797304848</v>
      </c>
      <c r="X5354" s="2">
        <f ca="1"/>
        <v>42.390842823748464</v>
      </c>
      <c r="AG5354" s="2">
        <f ca="1"/>
        <v>0.98772905987129067</v>
      </c>
      <c r="AH5354" s="2" t="str">
        <f ca="1"/>
        <v>Bad</v>
      </c>
    </row>
    <row r="5355" spans="2:34" x14ac:dyDescent="0.2">
      <c r="B5355" s="2">
        <f ca="1"/>
        <v>0.72473824674997878</v>
      </c>
      <c r="O5355" s="2">
        <f ca="1"/>
        <v>-1.3539798389281836</v>
      </c>
      <c r="X5355" s="2">
        <f ca="1"/>
        <v>54.231581608400312</v>
      </c>
      <c r="AG5355" s="2">
        <f ca="1"/>
        <v>0.31104800486742112</v>
      </c>
      <c r="AH5355" s="2" t="str">
        <f ca="1"/>
        <v>OK</v>
      </c>
    </row>
    <row r="5356" spans="2:34" x14ac:dyDescent="0.2">
      <c r="B5356" s="2">
        <f ca="1"/>
        <v>0.25908774610312402</v>
      </c>
      <c r="O5356" s="2">
        <f ca="1"/>
        <v>0.48531687698875603</v>
      </c>
      <c r="X5356" s="2">
        <f ca="1"/>
        <v>54.800135593976563</v>
      </c>
      <c r="AG5356" s="2">
        <f ca="1"/>
        <v>0.76513275756624322</v>
      </c>
      <c r="AH5356" s="2" t="str">
        <f ca="1"/>
        <v>Bad</v>
      </c>
    </row>
    <row r="5357" spans="2:34" x14ac:dyDescent="0.2">
      <c r="B5357" s="2">
        <f ca="1"/>
        <v>0.26606131694004431</v>
      </c>
      <c r="O5357" s="2">
        <f ca="1"/>
        <v>-0.86729926287760417</v>
      </c>
      <c r="X5357" s="2">
        <f ca="1"/>
        <v>28.506484938767276</v>
      </c>
      <c r="AG5357" s="2">
        <f ca="1"/>
        <v>0.39965464492521408</v>
      </c>
      <c r="AH5357" s="2" t="str">
        <f ca="1"/>
        <v>OK</v>
      </c>
    </row>
    <row r="5358" spans="2:34" x14ac:dyDescent="0.2">
      <c r="B5358" s="2">
        <f ca="1"/>
        <v>1.944689630048213E-2</v>
      </c>
      <c r="O5358" s="2">
        <f ca="1"/>
        <v>-0.97249678669488326</v>
      </c>
      <c r="X5358" s="2">
        <f ca="1"/>
        <v>22.680517140661202</v>
      </c>
      <c r="AG5358" s="2">
        <f ca="1"/>
        <v>0.60393911297379965</v>
      </c>
      <c r="AH5358" s="2" t="str">
        <f ca="1"/>
        <v>Bad</v>
      </c>
    </row>
    <row r="5359" spans="2:34" x14ac:dyDescent="0.2">
      <c r="B5359" s="2">
        <f ca="1"/>
        <v>0.95451373003083773</v>
      </c>
      <c r="O5359" s="2">
        <f ca="1"/>
        <v>-0.38517043965260594</v>
      </c>
      <c r="X5359" s="2">
        <f ca="1"/>
        <v>40.384152268032587</v>
      </c>
      <c r="AG5359" s="2">
        <f ca="1"/>
        <v>0.27936181639574209</v>
      </c>
      <c r="AH5359" s="2" t="str">
        <f ca="1"/>
        <v>OK</v>
      </c>
    </row>
    <row r="5360" spans="2:34" x14ac:dyDescent="0.2">
      <c r="B5360" s="2">
        <f ca="1"/>
        <v>7.603772423287336E-2</v>
      </c>
      <c r="O5360" s="2">
        <f ca="1"/>
        <v>2.2031219443783615E-2</v>
      </c>
      <c r="X5360" s="2">
        <f ca="1"/>
        <v>55.580070883796779</v>
      </c>
      <c r="AG5360" s="2">
        <f ca="1"/>
        <v>0.62420472876189015</v>
      </c>
      <c r="AH5360" s="2" t="str">
        <f ca="1"/>
        <v>Bad</v>
      </c>
    </row>
    <row r="5361" spans="2:34" x14ac:dyDescent="0.2">
      <c r="B5361" s="2">
        <f ca="1"/>
        <v>0.44781723052218592</v>
      </c>
      <c r="O5361" s="2">
        <f ca="1"/>
        <v>-0.14217815365466574</v>
      </c>
      <c r="X5361" s="2">
        <f ca="1"/>
        <v>44.471416642439642</v>
      </c>
      <c r="AG5361" s="2">
        <f ca="1"/>
        <v>0.49011787104787441</v>
      </c>
      <c r="AH5361" s="2" t="str">
        <f ca="1"/>
        <v>Bad</v>
      </c>
    </row>
    <row r="5362" spans="2:34" x14ac:dyDescent="0.2">
      <c r="B5362" s="2">
        <f ca="1"/>
        <v>0.74640149177825066</v>
      </c>
      <c r="O5362" s="2">
        <f ca="1"/>
        <v>0.33468399402839205</v>
      </c>
      <c r="X5362" s="2">
        <f ca="1"/>
        <v>58.956674265706951</v>
      </c>
      <c r="AG5362" s="2">
        <f ca="1"/>
        <v>6.2070556136441857E-2</v>
      </c>
      <c r="AH5362" s="2" t="str">
        <f ca="1"/>
        <v>OK</v>
      </c>
    </row>
    <row r="5363" spans="2:34" x14ac:dyDescent="0.2">
      <c r="B5363" s="2">
        <f ca="1"/>
        <v>0.88958157464948462</v>
      </c>
      <c r="O5363" s="2">
        <f ca="1"/>
        <v>-0.72972339528508845</v>
      </c>
      <c r="X5363" s="2">
        <f ca="1"/>
        <v>27.828933361556413</v>
      </c>
      <c r="AG5363" s="2">
        <f ca="1"/>
        <v>0.26616373737617915</v>
      </c>
      <c r="AH5363" s="2" t="str">
        <f ca="1"/>
        <v>OK</v>
      </c>
    </row>
    <row r="5364" spans="2:34" x14ac:dyDescent="0.2">
      <c r="B5364" s="2">
        <f ca="1"/>
        <v>0.1802029434462038</v>
      </c>
      <c r="O5364" s="2">
        <f ca="1"/>
        <v>0.12895234143922318</v>
      </c>
      <c r="X5364" s="2">
        <f ca="1"/>
        <v>35.236228470418773</v>
      </c>
      <c r="AG5364" s="2">
        <f ca="1"/>
        <v>7.8742221463695916E-2</v>
      </c>
      <c r="AH5364" s="2" t="str">
        <f ca="1"/>
        <v>OK</v>
      </c>
    </row>
    <row r="5365" spans="2:34" x14ac:dyDescent="0.2">
      <c r="B5365" s="2">
        <f ca="1"/>
        <v>0.13041643604236386</v>
      </c>
      <c r="O5365" s="2">
        <f ca="1"/>
        <v>-0.44756791629473419</v>
      </c>
      <c r="X5365" s="2">
        <f ca="1"/>
        <v>22.806333151871282</v>
      </c>
      <c r="AG5365" s="2">
        <f ca="1"/>
        <v>0.5698152046059497</v>
      </c>
      <c r="AH5365" s="2" t="str">
        <f ca="1"/>
        <v>Bad</v>
      </c>
    </row>
    <row r="5366" spans="2:34" x14ac:dyDescent="0.2">
      <c r="B5366" s="2">
        <f ca="1"/>
        <v>3.5382582557278663E-2</v>
      </c>
      <c r="O5366" s="2">
        <f ca="1"/>
        <v>-0.23319674273964489</v>
      </c>
      <c r="X5366" s="2">
        <f ca="1"/>
        <v>76.217288432802505</v>
      </c>
      <c r="AG5366" s="2">
        <f ca="1"/>
        <v>0.89583721076137723</v>
      </c>
      <c r="AH5366" s="2" t="str">
        <f ca="1"/>
        <v>Bad</v>
      </c>
    </row>
    <row r="5367" spans="2:34" x14ac:dyDescent="0.2">
      <c r="B5367" s="2">
        <f ca="1"/>
        <v>0.48743344077749984</v>
      </c>
      <c r="O5367" s="2">
        <f ca="1"/>
        <v>0.40270055473381922</v>
      </c>
      <c r="X5367" s="2">
        <f ca="1"/>
        <v>70.359543210543904</v>
      </c>
      <c r="AG5367" s="2">
        <f ca="1"/>
        <v>0.11657076635042829</v>
      </c>
      <c r="AH5367" s="2" t="str">
        <f ca="1"/>
        <v>OK</v>
      </c>
    </row>
    <row r="5368" spans="2:34" x14ac:dyDescent="0.2">
      <c r="B5368" s="2">
        <f ca="1"/>
        <v>0.91305397954367051</v>
      </c>
      <c r="O5368" s="2">
        <f ca="1"/>
        <v>-0.11321970803072247</v>
      </c>
      <c r="X5368" s="2">
        <f ca="1"/>
        <v>43.175986262367331</v>
      </c>
      <c r="AG5368" s="2">
        <f ca="1"/>
        <v>0.50422797769862848</v>
      </c>
      <c r="AH5368" s="2" t="str">
        <f ca="1"/>
        <v>Bad</v>
      </c>
    </row>
    <row r="5369" spans="2:34" x14ac:dyDescent="0.2">
      <c r="B5369" s="2">
        <f ca="1"/>
        <v>0.86540578741524543</v>
      </c>
      <c r="O5369" s="2">
        <f ca="1"/>
        <v>-0.19043673404446859</v>
      </c>
      <c r="X5369" s="2">
        <f ca="1"/>
        <v>58.51406936336879</v>
      </c>
      <c r="AG5369" s="2">
        <f ca="1"/>
        <v>0.57825880905223337</v>
      </c>
      <c r="AH5369" s="2" t="str">
        <f ca="1"/>
        <v>Bad</v>
      </c>
    </row>
    <row r="5370" spans="2:34" x14ac:dyDescent="0.2">
      <c r="B5370" s="2">
        <f ca="1"/>
        <v>0.79362777292634124</v>
      </c>
      <c r="O5370" s="2">
        <f ca="1"/>
        <v>0.46594089245196602</v>
      </c>
      <c r="X5370" s="2">
        <f ca="1"/>
        <v>39.244060823359995</v>
      </c>
      <c r="AG5370" s="2">
        <f ca="1"/>
        <v>0.361611017586287</v>
      </c>
      <c r="AH5370" s="2" t="str">
        <f ca="1"/>
        <v>OK</v>
      </c>
    </row>
    <row r="5371" spans="2:34" x14ac:dyDescent="0.2">
      <c r="B5371" s="2">
        <f ca="1"/>
        <v>5.9312315345963595E-2</v>
      </c>
      <c r="O5371" s="2">
        <f ca="1"/>
        <v>-0.79706889105986534</v>
      </c>
      <c r="X5371" s="2">
        <f ca="1"/>
        <v>81.783003228747035</v>
      </c>
      <c r="AG5371" s="2">
        <f ca="1"/>
        <v>0.5203315750698545</v>
      </c>
      <c r="AH5371" s="2" t="str">
        <f ca="1"/>
        <v>Bad</v>
      </c>
    </row>
    <row r="5372" spans="2:34" x14ac:dyDescent="0.2">
      <c r="B5372" s="2">
        <f ca="1"/>
        <v>0.41660337178779994</v>
      </c>
      <c r="O5372" s="2">
        <f ca="1"/>
        <v>-1.1627661336876871</v>
      </c>
      <c r="X5372" s="2">
        <f ca="1"/>
        <v>32.163480635976057</v>
      </c>
      <c r="AG5372" s="2">
        <f ca="1"/>
        <v>0.40316052263607172</v>
      </c>
      <c r="AH5372" s="2" t="str">
        <f ca="1"/>
        <v>Bad</v>
      </c>
    </row>
    <row r="5373" spans="2:34" x14ac:dyDescent="0.2">
      <c r="B5373" s="2">
        <f ca="1"/>
        <v>0.20422557936119334</v>
      </c>
      <c r="O5373" s="2">
        <f ca="1"/>
        <v>-0.53662370663926229</v>
      </c>
      <c r="X5373" s="2">
        <f ca="1"/>
        <v>43.001404820691278</v>
      </c>
      <c r="AG5373" s="2">
        <f ca="1"/>
        <v>0.34204964317882891</v>
      </c>
      <c r="AH5373" s="2" t="str">
        <f ca="1"/>
        <v>OK</v>
      </c>
    </row>
    <row r="5374" spans="2:34" x14ac:dyDescent="0.2">
      <c r="B5374" s="2">
        <f ca="1"/>
        <v>0.58736307804386034</v>
      </c>
      <c r="O5374" s="2">
        <f ca="1"/>
        <v>0.38317230903417493</v>
      </c>
      <c r="X5374" s="2">
        <f ca="1"/>
        <v>62.669129431210344</v>
      </c>
      <c r="AG5374" s="2">
        <f ca="1"/>
        <v>0.90176826112635911</v>
      </c>
      <c r="AH5374" s="2" t="str">
        <f ca="1"/>
        <v>Bad</v>
      </c>
    </row>
    <row r="5375" spans="2:34" x14ac:dyDescent="0.2">
      <c r="B5375" s="2">
        <f ca="1"/>
        <v>8.656094307177753E-2</v>
      </c>
      <c r="O5375" s="2">
        <f ca="1"/>
        <v>-1.5778222828200583</v>
      </c>
      <c r="X5375" s="2">
        <f ca="1"/>
        <v>40.973132035025998</v>
      </c>
      <c r="AG5375" s="2">
        <f ca="1"/>
        <v>0.40595784975289839</v>
      </c>
      <c r="AH5375" s="2" t="str">
        <f ca="1"/>
        <v>Bad</v>
      </c>
    </row>
    <row r="5376" spans="2:34" x14ac:dyDescent="0.2">
      <c r="B5376" s="2">
        <f ca="1"/>
        <v>0.36294001366109963</v>
      </c>
      <c r="O5376" s="2">
        <f ca="1"/>
        <v>0.11045590333363269</v>
      </c>
      <c r="X5376" s="2">
        <f ca="1"/>
        <v>51.021195484335507</v>
      </c>
      <c r="AG5376" s="2">
        <f ca="1"/>
        <v>0.76278219389590918</v>
      </c>
      <c r="AH5376" s="2" t="str">
        <f ca="1"/>
        <v>Bad</v>
      </c>
    </row>
    <row r="5377" spans="2:34" x14ac:dyDescent="0.2">
      <c r="B5377" s="2">
        <f ca="1"/>
        <v>0.87476903287131469</v>
      </c>
      <c r="O5377" s="2">
        <f ca="1"/>
        <v>1.24871077266303</v>
      </c>
      <c r="X5377" s="2">
        <f ca="1"/>
        <v>30.441689486086343</v>
      </c>
      <c r="AG5377" s="2">
        <f ca="1"/>
        <v>0.74498148138084508</v>
      </c>
      <c r="AH5377" s="2" t="str">
        <f ca="1"/>
        <v>Bad</v>
      </c>
    </row>
    <row r="5378" spans="2:34" x14ac:dyDescent="0.2">
      <c r="B5378" s="2">
        <f ca="1"/>
        <v>0.45885979043367331</v>
      </c>
      <c r="O5378" s="2">
        <f ca="1"/>
        <v>9.5422239984195245E-2</v>
      </c>
      <c r="X5378" s="2">
        <f ca="1"/>
        <v>56.30900401365875</v>
      </c>
      <c r="AG5378" s="2">
        <f ca="1"/>
        <v>3.2893500079245186E-3</v>
      </c>
      <c r="AH5378" s="2" t="str">
        <f ca="1"/>
        <v>Good</v>
      </c>
    </row>
    <row r="5379" spans="2:34" x14ac:dyDescent="0.2">
      <c r="B5379" s="2">
        <f ca="1"/>
        <v>0.73378116580875874</v>
      </c>
      <c r="O5379" s="2">
        <f ca="1"/>
        <v>0.24277493353076127</v>
      </c>
      <c r="X5379" s="2">
        <f ca="1"/>
        <v>50.742860772914831</v>
      </c>
      <c r="AG5379" s="2">
        <f ca="1"/>
        <v>0.95595166834953749</v>
      </c>
      <c r="AH5379" s="2" t="str">
        <f ca="1"/>
        <v>Bad</v>
      </c>
    </row>
    <row r="5380" spans="2:34" x14ac:dyDescent="0.2">
      <c r="B5380" s="2">
        <f ca="1"/>
        <v>0.11671640791211479</v>
      </c>
      <c r="O5380" s="2">
        <f ca="1"/>
        <v>0.28458407170629318</v>
      </c>
      <c r="X5380" s="2">
        <f ca="1"/>
        <v>81.164604605221399</v>
      </c>
      <c r="AG5380" s="2">
        <f ca="1"/>
        <v>0.68802508860145362</v>
      </c>
      <c r="AH5380" s="2" t="str">
        <f ca="1"/>
        <v>Bad</v>
      </c>
    </row>
    <row r="5381" spans="2:34" x14ac:dyDescent="0.2">
      <c r="B5381" s="2">
        <f ca="1"/>
        <v>0.837887008944179</v>
      </c>
      <c r="O5381" s="2">
        <f ca="1"/>
        <v>-1.7374731853710432</v>
      </c>
      <c r="X5381" s="2">
        <f ca="1"/>
        <v>62.453226226869312</v>
      </c>
      <c r="AG5381" s="2">
        <f ca="1"/>
        <v>7.6464130960753884E-3</v>
      </c>
      <c r="AH5381" s="2" t="str">
        <f ca="1"/>
        <v>Good</v>
      </c>
    </row>
    <row r="5382" spans="2:34" x14ac:dyDescent="0.2">
      <c r="B5382" s="2">
        <f ca="1"/>
        <v>0.58540901957865188</v>
      </c>
      <c r="O5382" s="2">
        <f ca="1"/>
        <v>0.29318703474687502</v>
      </c>
      <c r="X5382" s="2">
        <f ca="1"/>
        <v>79.828775641085173</v>
      </c>
      <c r="AG5382" s="2">
        <f ca="1"/>
        <v>0.16371494257031571</v>
      </c>
      <c r="AH5382" s="2" t="str">
        <f ca="1"/>
        <v>OK</v>
      </c>
    </row>
    <row r="5383" spans="2:34" x14ac:dyDescent="0.2">
      <c r="B5383" s="2">
        <f ca="1"/>
        <v>0.3576875602442291</v>
      </c>
      <c r="O5383" s="2">
        <f ca="1"/>
        <v>-0.3910237226579813</v>
      </c>
      <c r="X5383" s="2">
        <f ca="1"/>
        <v>51.196493066251634</v>
      </c>
      <c r="AG5383" s="2">
        <f ca="1"/>
        <v>0.7820161735468445</v>
      </c>
      <c r="AH5383" s="2" t="str">
        <f ca="1"/>
        <v>Bad</v>
      </c>
    </row>
    <row r="5384" spans="2:34" x14ac:dyDescent="0.2">
      <c r="B5384" s="2">
        <f ca="1"/>
        <v>0.66513805643836066</v>
      </c>
      <c r="O5384" s="2">
        <f ca="1"/>
        <v>0.68012360496113999</v>
      </c>
      <c r="X5384" s="2">
        <f ca="1"/>
        <v>44.846244130929442</v>
      </c>
      <c r="AG5384" s="2">
        <f ca="1"/>
        <v>0.89858134813422752</v>
      </c>
      <c r="AH5384" s="2" t="str">
        <f ca="1"/>
        <v>Bad</v>
      </c>
    </row>
    <row r="5385" spans="2:34" x14ac:dyDescent="0.2">
      <c r="B5385" s="2">
        <f ca="1"/>
        <v>0.56065436968209603</v>
      </c>
      <c r="O5385" s="2">
        <f ca="1"/>
        <v>-0.68092308931472745</v>
      </c>
      <c r="X5385" s="2">
        <f ca="1"/>
        <v>40.215932505090571</v>
      </c>
      <c r="AG5385" s="2">
        <f ca="1"/>
        <v>0.40960199361551952</v>
      </c>
      <c r="AH5385" s="2" t="str">
        <f ca="1"/>
        <v>Bad</v>
      </c>
    </row>
    <row r="5386" spans="2:34" x14ac:dyDescent="0.2">
      <c r="B5386" s="2">
        <f ca="1"/>
        <v>0.67368056322957104</v>
      </c>
      <c r="O5386" s="2">
        <f ca="1"/>
        <v>0.17316154455342081</v>
      </c>
      <c r="X5386" s="2">
        <f ca="1"/>
        <v>35.34434018692469</v>
      </c>
      <c r="AG5386" s="2">
        <f ca="1"/>
        <v>0.20583809231638495</v>
      </c>
      <c r="AH5386" s="2" t="str">
        <f ca="1"/>
        <v>OK</v>
      </c>
    </row>
    <row r="5387" spans="2:34" x14ac:dyDescent="0.2">
      <c r="B5387" s="2">
        <f ca="1"/>
        <v>0.76443495952777574</v>
      </c>
      <c r="O5387" s="2">
        <f ca="1"/>
        <v>0.10169343557753835</v>
      </c>
      <c r="X5387" s="2">
        <f ca="1"/>
        <v>42.407897484335393</v>
      </c>
      <c r="AG5387" s="2">
        <f ca="1"/>
        <v>0.19603091982696408</v>
      </c>
      <c r="AH5387" s="2" t="str">
        <f ca="1"/>
        <v>OK</v>
      </c>
    </row>
    <row r="5388" spans="2:34" x14ac:dyDescent="0.2">
      <c r="B5388" s="2">
        <f ca="1"/>
        <v>0.37113389051017664</v>
      </c>
      <c r="O5388" s="2">
        <f ca="1"/>
        <v>-0.46421880044298669</v>
      </c>
      <c r="X5388" s="2">
        <f ca="1"/>
        <v>51.139078476614266</v>
      </c>
      <c r="AG5388" s="2">
        <f ca="1"/>
        <v>0.17462844583047121</v>
      </c>
      <c r="AH5388" s="2" t="str">
        <f ca="1"/>
        <v>OK</v>
      </c>
    </row>
    <row r="5389" spans="2:34" x14ac:dyDescent="0.2">
      <c r="B5389" s="2">
        <f ca="1"/>
        <v>0.23410120919098709</v>
      </c>
      <c r="O5389" s="2">
        <f ca="1"/>
        <v>0.52825231067648148</v>
      </c>
      <c r="X5389" s="2">
        <f ca="1"/>
        <v>42.701014311286023</v>
      </c>
      <c r="AG5389" s="2">
        <f ca="1"/>
        <v>0.76882097117190318</v>
      </c>
      <c r="AH5389" s="2" t="str">
        <f ca="1"/>
        <v>Bad</v>
      </c>
    </row>
    <row r="5390" spans="2:34" x14ac:dyDescent="0.2">
      <c r="B5390" s="2">
        <f ca="1"/>
        <v>0.43964269860929828</v>
      </c>
      <c r="O5390" s="2">
        <f ca="1"/>
        <v>-0.92791781078934799</v>
      </c>
      <c r="X5390" s="2">
        <f ca="1"/>
        <v>44.781435661254314</v>
      </c>
      <c r="AG5390" s="2">
        <f ca="1"/>
        <v>0.54033674083241157</v>
      </c>
      <c r="AH5390" s="2" t="str">
        <f ca="1"/>
        <v>Bad</v>
      </c>
    </row>
    <row r="5391" spans="2:34" x14ac:dyDescent="0.2">
      <c r="B5391" s="2">
        <f ca="1"/>
        <v>0.43120316895480015</v>
      </c>
      <c r="O5391" s="2">
        <f ca="1"/>
        <v>1.4724526207144302</v>
      </c>
      <c r="X5391" s="2">
        <f ca="1"/>
        <v>20.650143237367068</v>
      </c>
      <c r="AG5391" s="2">
        <f ca="1"/>
        <v>0.16362051774553277</v>
      </c>
      <c r="AH5391" s="2" t="str">
        <f ca="1"/>
        <v>OK</v>
      </c>
    </row>
    <row r="5392" spans="2:34" x14ac:dyDescent="0.2">
      <c r="B5392" s="2">
        <f ca="1"/>
        <v>8.0847466402631074E-2</v>
      </c>
      <c r="O5392" s="2">
        <f ca="1"/>
        <v>0.66821258422728025</v>
      </c>
      <c r="X5392" s="2">
        <f ca="1"/>
        <v>29.666176748415044</v>
      </c>
      <c r="AG5392" s="2">
        <f ca="1"/>
        <v>0.80490945189682184</v>
      </c>
      <c r="AH5392" s="2" t="str">
        <f ca="1"/>
        <v>Bad</v>
      </c>
    </row>
    <row r="5393" spans="2:34" x14ac:dyDescent="0.2">
      <c r="B5393" s="2">
        <f ca="1"/>
        <v>0.14642652250558652</v>
      </c>
      <c r="O5393" s="2">
        <f ca="1"/>
        <v>0.56285635273602863</v>
      </c>
      <c r="X5393" s="2">
        <f ca="1"/>
        <v>76.919774550745217</v>
      </c>
      <c r="AG5393" s="2">
        <f ca="1"/>
        <v>0.50055978917774002</v>
      </c>
      <c r="AH5393" s="2" t="str">
        <f ca="1"/>
        <v>Bad</v>
      </c>
    </row>
    <row r="5394" spans="2:34" x14ac:dyDescent="0.2">
      <c r="B5394" s="2">
        <f ca="1"/>
        <v>0.8279243760684567</v>
      </c>
      <c r="O5394" s="2">
        <f ca="1"/>
        <v>-0.60078005002591428</v>
      </c>
      <c r="X5394" s="2">
        <f ca="1"/>
        <v>54.858628092696634</v>
      </c>
      <c r="AG5394" s="2">
        <f ca="1"/>
        <v>0.85405063388823854</v>
      </c>
      <c r="AH5394" s="2" t="str">
        <f ca="1"/>
        <v>Bad</v>
      </c>
    </row>
    <row r="5395" spans="2:34" x14ac:dyDescent="0.2">
      <c r="B5395" s="2">
        <f ca="1"/>
        <v>0.74937376965869373</v>
      </c>
      <c r="O5395" s="2">
        <f ca="1"/>
        <v>-0.14171800022203887</v>
      </c>
      <c r="X5395" s="2">
        <f ca="1"/>
        <v>34.11774156855148</v>
      </c>
      <c r="AG5395" s="2">
        <f ca="1"/>
        <v>0.80168490309908313</v>
      </c>
      <c r="AH5395" s="2" t="str">
        <f ca="1"/>
        <v>Bad</v>
      </c>
    </row>
    <row r="5396" spans="2:34" x14ac:dyDescent="0.2">
      <c r="B5396" s="2">
        <f ca="1"/>
        <v>0.8659815175074066</v>
      </c>
      <c r="O5396" s="2">
        <f ca="1"/>
        <v>2.1203031479836243</v>
      </c>
      <c r="X5396" s="2">
        <f ca="1"/>
        <v>96.83537739641416</v>
      </c>
      <c r="AG5396" s="2">
        <f ca="1"/>
        <v>0.20398346813156665</v>
      </c>
      <c r="AH5396" s="2" t="str">
        <f ca="1"/>
        <v>OK</v>
      </c>
    </row>
    <row r="5397" spans="2:34" x14ac:dyDescent="0.2">
      <c r="B5397" s="2">
        <f ca="1"/>
        <v>0.16566349273581849</v>
      </c>
      <c r="O5397" s="2">
        <f ca="1"/>
        <v>-1.1857743457828138</v>
      </c>
      <c r="X5397" s="2">
        <f ca="1"/>
        <v>62.823998135538602</v>
      </c>
      <c r="AG5397" s="2">
        <f ca="1"/>
        <v>0.14776839829346811</v>
      </c>
      <c r="AH5397" s="2" t="str">
        <f ca="1"/>
        <v>OK</v>
      </c>
    </row>
    <row r="5398" spans="2:34" x14ac:dyDescent="0.2">
      <c r="B5398" s="2">
        <f ca="1"/>
        <v>0.44612806428971208</v>
      </c>
      <c r="O5398" s="2">
        <f ca="1"/>
        <v>0.82536656818041954</v>
      </c>
      <c r="X5398" s="2">
        <f ca="1"/>
        <v>58.201946493749162</v>
      </c>
      <c r="AG5398" s="2">
        <f ca="1"/>
        <v>0.77004945024046867</v>
      </c>
      <c r="AH5398" s="2" t="str">
        <f ca="1"/>
        <v>Bad</v>
      </c>
    </row>
    <row r="5399" spans="2:34" x14ac:dyDescent="0.2">
      <c r="B5399" s="2">
        <f ca="1"/>
        <v>0.86060638195575123</v>
      </c>
      <c r="O5399" s="2">
        <f ca="1"/>
        <v>-7.3488772760202659E-2</v>
      </c>
      <c r="X5399" s="2">
        <f ca="1"/>
        <v>71.136205091772183</v>
      </c>
      <c r="AG5399" s="2">
        <f ca="1"/>
        <v>0.90333528256567752</v>
      </c>
      <c r="AH5399" s="2" t="str">
        <f ca="1"/>
        <v>Bad</v>
      </c>
    </row>
    <row r="5400" spans="2:34" x14ac:dyDescent="0.2">
      <c r="B5400" s="2">
        <f ca="1"/>
        <v>0.85749170865771296</v>
      </c>
      <c r="O5400" s="2">
        <f ca="1"/>
        <v>0.6548594865653915</v>
      </c>
      <c r="X5400" s="2">
        <f ca="1"/>
        <v>27.129289882408671</v>
      </c>
      <c r="AG5400" s="2">
        <f ca="1"/>
        <v>0.97600876411725745</v>
      </c>
      <c r="AH5400" s="2" t="str">
        <f ca="1"/>
        <v>Bad</v>
      </c>
    </row>
    <row r="5401" spans="2:34" x14ac:dyDescent="0.2">
      <c r="B5401" s="2">
        <f ca="1"/>
        <v>0.21570466344770578</v>
      </c>
      <c r="O5401" s="2">
        <f ca="1"/>
        <v>-8.410072207199111E-2</v>
      </c>
      <c r="X5401" s="2">
        <f ca="1"/>
        <v>42.503972361025397</v>
      </c>
      <c r="AG5401" s="2">
        <f ca="1"/>
        <v>5.331332104602593E-2</v>
      </c>
      <c r="AH5401" s="2" t="str">
        <f ca="1"/>
        <v>OK</v>
      </c>
    </row>
    <row r="5402" spans="2:34" x14ac:dyDescent="0.2">
      <c r="B5402" s="2">
        <f ca="1"/>
        <v>0.77491326659495563</v>
      </c>
      <c r="O5402" s="2">
        <f ca="1"/>
        <v>0.70136178298220553</v>
      </c>
      <c r="X5402" s="2">
        <f ca="1"/>
        <v>70.494411684960099</v>
      </c>
      <c r="AG5402" s="2">
        <f ca="1"/>
        <v>0.57664555558615382</v>
      </c>
      <c r="AH5402" s="2" t="str">
        <f ca="1"/>
        <v>Bad</v>
      </c>
    </row>
    <row r="5403" spans="2:34" x14ac:dyDescent="0.2">
      <c r="B5403" s="2">
        <f ca="1"/>
        <v>5.6030971070840208E-2</v>
      </c>
      <c r="O5403" s="2">
        <f ca="1"/>
        <v>-1.642608079653705</v>
      </c>
      <c r="X5403" s="2">
        <f ca="1"/>
        <v>65.116320988314015</v>
      </c>
      <c r="AG5403" s="2">
        <f ca="1"/>
        <v>0.11013728468632933</v>
      </c>
      <c r="AH5403" s="2" t="str">
        <f ca="1"/>
        <v>OK</v>
      </c>
    </row>
    <row r="5404" spans="2:34" x14ac:dyDescent="0.2">
      <c r="B5404" s="2">
        <f ca="1"/>
        <v>0.82918872416265632</v>
      </c>
      <c r="O5404" s="2">
        <f ca="1"/>
        <v>-1.7302154376131151</v>
      </c>
      <c r="X5404" s="2">
        <f ca="1"/>
        <v>58.870611913241689</v>
      </c>
      <c r="AG5404" s="2">
        <f ca="1"/>
        <v>0.54386828477782201</v>
      </c>
      <c r="AH5404" s="2" t="str">
        <f ca="1"/>
        <v>Bad</v>
      </c>
    </row>
    <row r="5405" spans="2:34" x14ac:dyDescent="0.2">
      <c r="B5405" s="2">
        <f ca="1"/>
        <v>0.88048630567090758</v>
      </c>
      <c r="O5405" s="2">
        <f ca="1"/>
        <v>-0.68399556616888468</v>
      </c>
      <c r="X5405" s="2">
        <f ca="1"/>
        <v>53.311099558434314</v>
      </c>
      <c r="AG5405" s="2">
        <f ca="1"/>
        <v>0.22604081999491976</v>
      </c>
      <c r="AH5405" s="2" t="str">
        <f ca="1"/>
        <v>OK</v>
      </c>
    </row>
    <row r="5406" spans="2:34" x14ac:dyDescent="0.2">
      <c r="B5406" s="2">
        <f ca="1"/>
        <v>9.6648554422950506E-2</v>
      </c>
      <c r="O5406" s="2">
        <f ca="1"/>
        <v>0.77556364227735197</v>
      </c>
      <c r="X5406" s="2">
        <f ca="1"/>
        <v>37.154552596363722</v>
      </c>
      <c r="AG5406" s="2">
        <f ca="1"/>
        <v>0.65807303776159443</v>
      </c>
      <c r="AH5406" s="2" t="str">
        <f ca="1"/>
        <v>Bad</v>
      </c>
    </row>
    <row r="5407" spans="2:34" x14ac:dyDescent="0.2">
      <c r="B5407" s="2">
        <f ca="1"/>
        <v>0.77412661095290991</v>
      </c>
      <c r="O5407" s="2">
        <f ca="1"/>
        <v>-0.77531447054080471</v>
      </c>
      <c r="X5407" s="2">
        <f ca="1"/>
        <v>39.03897691879564</v>
      </c>
      <c r="AG5407" s="2">
        <f ca="1"/>
        <v>0.82275546846918846</v>
      </c>
      <c r="AH5407" s="2" t="str">
        <f ca="1"/>
        <v>Bad</v>
      </c>
    </row>
    <row r="5408" spans="2:34" x14ac:dyDescent="0.2">
      <c r="B5408" s="2">
        <f ca="1"/>
        <v>0.6618998158233742</v>
      </c>
      <c r="O5408" s="2">
        <f ca="1"/>
        <v>-0.14908167950508705</v>
      </c>
      <c r="X5408" s="2">
        <f ca="1"/>
        <v>21.083729381523547</v>
      </c>
      <c r="AG5408" s="2">
        <f ca="1"/>
        <v>0.4006077608045544</v>
      </c>
      <c r="AH5408" s="2" t="str">
        <f ca="1"/>
        <v>Bad</v>
      </c>
    </row>
    <row r="5409" spans="2:34" x14ac:dyDescent="0.2">
      <c r="B5409" s="2">
        <f ca="1"/>
        <v>0.79251183640779144</v>
      </c>
      <c r="O5409" s="2">
        <f ca="1"/>
        <v>1.2642888662001621</v>
      </c>
      <c r="X5409" s="2">
        <f ca="1"/>
        <v>26.428913500272987</v>
      </c>
      <c r="AG5409" s="2">
        <f ca="1"/>
        <v>0.46022895847834322</v>
      </c>
      <c r="AH5409" s="2" t="str">
        <f ca="1"/>
        <v>Bad</v>
      </c>
    </row>
    <row r="5410" spans="2:34" x14ac:dyDescent="0.2">
      <c r="B5410" s="2">
        <f ca="1"/>
        <v>0.61913073522071649</v>
      </c>
      <c r="O5410" s="2">
        <f ca="1"/>
        <v>-0.2495076155018032</v>
      </c>
      <c r="X5410" s="2">
        <f ca="1"/>
        <v>33.110871849228573</v>
      </c>
      <c r="AG5410" s="2">
        <f ca="1"/>
        <v>0.49654347311034974</v>
      </c>
      <c r="AH5410" s="2" t="str">
        <f ca="1"/>
        <v>Bad</v>
      </c>
    </row>
    <row r="5411" spans="2:34" x14ac:dyDescent="0.2">
      <c r="B5411" s="2">
        <f ca="1"/>
        <v>0.64495214352216657</v>
      </c>
      <c r="O5411" s="2">
        <f ca="1"/>
        <v>-0.56641565873251143</v>
      </c>
      <c r="X5411" s="2">
        <f ca="1"/>
        <v>51.062456527255755</v>
      </c>
      <c r="AG5411" s="2">
        <f ca="1"/>
        <v>0.20304991723941357</v>
      </c>
      <c r="AH5411" s="2" t="str">
        <f ca="1"/>
        <v>OK</v>
      </c>
    </row>
    <row r="5412" spans="2:34" x14ac:dyDescent="0.2">
      <c r="B5412" s="2">
        <f ca="1"/>
        <v>0.98397826902679397</v>
      </c>
      <c r="O5412" s="2">
        <f ca="1"/>
        <v>1.2995208962326101</v>
      </c>
      <c r="X5412" s="2">
        <f ca="1"/>
        <v>32.459506593708269</v>
      </c>
      <c r="AG5412" s="2">
        <f ca="1"/>
        <v>4.870087514193755E-2</v>
      </c>
      <c r="AH5412" s="2" t="str">
        <f ca="1"/>
        <v>Good</v>
      </c>
    </row>
    <row r="5413" spans="2:34" x14ac:dyDescent="0.2">
      <c r="B5413" s="2">
        <f ca="1"/>
        <v>0.92715190545263626</v>
      </c>
      <c r="O5413" s="2">
        <f ca="1"/>
        <v>-0.41282668613278167</v>
      </c>
      <c r="X5413" s="2">
        <f ca="1"/>
        <v>38.954031648535846</v>
      </c>
      <c r="AG5413" s="2">
        <f ca="1"/>
        <v>0.10959894115284774</v>
      </c>
      <c r="AH5413" s="2" t="str">
        <f ca="1"/>
        <v>OK</v>
      </c>
    </row>
    <row r="5414" spans="2:34" x14ac:dyDescent="0.2">
      <c r="B5414" s="2">
        <f ca="1"/>
        <v>0.64571450986301704</v>
      </c>
      <c r="O5414" s="2">
        <f ca="1"/>
        <v>0.8929996527449614</v>
      </c>
      <c r="X5414" s="2">
        <f ca="1"/>
        <v>48.167828797079423</v>
      </c>
      <c r="AG5414" s="2">
        <f ca="1"/>
        <v>0.52801756864021843</v>
      </c>
      <c r="AH5414" s="2" t="str">
        <f ca="1"/>
        <v>Bad</v>
      </c>
    </row>
    <row r="5415" spans="2:34" x14ac:dyDescent="0.2">
      <c r="B5415" s="2">
        <f ca="1"/>
        <v>0.54141855777552306</v>
      </c>
      <c r="O5415" s="2">
        <f ca="1"/>
        <v>0.18437137963012531</v>
      </c>
      <c r="X5415" s="2">
        <f ca="1"/>
        <v>46.480119629246971</v>
      </c>
      <c r="AG5415" s="2">
        <f ca="1"/>
        <v>0.39124084761703459</v>
      </c>
      <c r="AH5415" s="2" t="str">
        <f ca="1"/>
        <v>OK</v>
      </c>
    </row>
    <row r="5416" spans="2:34" x14ac:dyDescent="0.2">
      <c r="B5416" s="2">
        <f ca="1"/>
        <v>0.66479028513223892</v>
      </c>
      <c r="O5416" s="2">
        <f ca="1"/>
        <v>1.1498910904163906</v>
      </c>
      <c r="X5416" s="2">
        <f ca="1"/>
        <v>52.718736867192042</v>
      </c>
      <c r="AG5416" s="2">
        <f ca="1"/>
        <v>3.5930827171512636E-2</v>
      </c>
      <c r="AH5416" s="2" t="str">
        <f ca="1"/>
        <v>Good</v>
      </c>
    </row>
    <row r="5417" spans="2:34" x14ac:dyDescent="0.2">
      <c r="B5417" s="2">
        <f ca="1"/>
        <v>0.8654826699669651</v>
      </c>
      <c r="O5417" s="2">
        <f ca="1"/>
        <v>0.91531298752044998</v>
      </c>
      <c r="X5417" s="2">
        <f ca="1"/>
        <v>40.785288853683063</v>
      </c>
      <c r="AG5417" s="2">
        <f ca="1"/>
        <v>0.2809768241106072</v>
      </c>
      <c r="AH5417" s="2" t="str">
        <f ca="1"/>
        <v>OK</v>
      </c>
    </row>
    <row r="5418" spans="2:34" x14ac:dyDescent="0.2">
      <c r="B5418" s="2">
        <f ca="1"/>
        <v>0.31715339503063289</v>
      </c>
      <c r="O5418" s="2">
        <f ca="1"/>
        <v>1.6209899064901434</v>
      </c>
      <c r="X5418" s="2">
        <f ca="1"/>
        <v>24.129793103243419</v>
      </c>
      <c r="AG5418" s="2">
        <f ca="1"/>
        <v>0.81700658422793904</v>
      </c>
      <c r="AH5418" s="2" t="str">
        <f ca="1"/>
        <v>Bad</v>
      </c>
    </row>
    <row r="5419" spans="2:34" x14ac:dyDescent="0.2">
      <c r="B5419" s="2">
        <f ca="1"/>
        <v>0.32186278847302541</v>
      </c>
      <c r="O5419" s="2">
        <f ca="1"/>
        <v>0.24355904252435262</v>
      </c>
      <c r="X5419" s="2">
        <f ca="1"/>
        <v>43.890654147135166</v>
      </c>
      <c r="AG5419" s="2">
        <f ca="1"/>
        <v>0.3039852229227451</v>
      </c>
      <c r="AH5419" s="2" t="str">
        <f ca="1"/>
        <v>OK</v>
      </c>
    </row>
    <row r="5420" spans="2:34" x14ac:dyDescent="0.2">
      <c r="B5420" s="2">
        <f ca="1"/>
        <v>0.80965902458602179</v>
      </c>
      <c r="O5420" s="2">
        <f ca="1"/>
        <v>-2.5357218301047961</v>
      </c>
      <c r="X5420" s="2">
        <f ca="1"/>
        <v>32.19860853170448</v>
      </c>
      <c r="AG5420" s="2">
        <f ca="1"/>
        <v>0.63242048763390324</v>
      </c>
      <c r="AH5420" s="2" t="str">
        <f ca="1"/>
        <v>Bad</v>
      </c>
    </row>
    <row r="5421" spans="2:34" x14ac:dyDescent="0.2">
      <c r="B5421" s="2">
        <f ca="1"/>
        <v>0.11543990288996642</v>
      </c>
      <c r="O5421" s="2">
        <f ca="1"/>
        <v>0.8630927290964242</v>
      </c>
      <c r="X5421" s="2">
        <f ca="1"/>
        <v>43.982522433728263</v>
      </c>
      <c r="AG5421" s="2">
        <f ca="1"/>
        <v>0.80823099989652447</v>
      </c>
      <c r="AH5421" s="2" t="str">
        <f ca="1"/>
        <v>Bad</v>
      </c>
    </row>
    <row r="5422" spans="2:34" x14ac:dyDescent="0.2">
      <c r="B5422" s="2">
        <f ca="1"/>
        <v>0.37705984484714872</v>
      </c>
      <c r="O5422" s="2">
        <f ca="1"/>
        <v>-2.2198535551603351</v>
      </c>
      <c r="X5422" s="2">
        <f ca="1"/>
        <v>38.388489121504726</v>
      </c>
      <c r="AG5422" s="2">
        <f ca="1"/>
        <v>0.80476899947059755</v>
      </c>
      <c r="AH5422" s="2" t="str">
        <f ca="1"/>
        <v>Bad</v>
      </c>
    </row>
    <row r="5423" spans="2:34" x14ac:dyDescent="0.2">
      <c r="B5423" s="2">
        <f ca="1"/>
        <v>0.53770978341874565</v>
      </c>
      <c r="O5423" s="2">
        <f ca="1"/>
        <v>-0.51272005558175693</v>
      </c>
      <c r="X5423" s="2">
        <f ca="1"/>
        <v>42.459044159576464</v>
      </c>
      <c r="AG5423" s="2">
        <f ca="1"/>
        <v>0.35818041508097442</v>
      </c>
      <c r="AH5423" s="2" t="str">
        <f ca="1"/>
        <v>OK</v>
      </c>
    </row>
    <row r="5424" spans="2:34" x14ac:dyDescent="0.2">
      <c r="B5424" s="2">
        <f ca="1"/>
        <v>0.67900075789245129</v>
      </c>
      <c r="O5424" s="2">
        <f ca="1"/>
        <v>1.4031796018433838</v>
      </c>
      <c r="X5424" s="2">
        <f ca="1"/>
        <v>44.048453871399204</v>
      </c>
      <c r="AG5424" s="2">
        <f ca="1"/>
        <v>0.41200597454660115</v>
      </c>
      <c r="AH5424" s="2" t="str">
        <f ca="1"/>
        <v>Bad</v>
      </c>
    </row>
    <row r="5425" spans="2:34" x14ac:dyDescent="0.2">
      <c r="B5425" s="2">
        <f ca="1"/>
        <v>0.27677522924705222</v>
      </c>
      <c r="O5425" s="2">
        <f ca="1"/>
        <v>1.9386688746066496</v>
      </c>
      <c r="X5425" s="2">
        <f ca="1"/>
        <v>77.479635242502255</v>
      </c>
      <c r="AG5425" s="2">
        <f ca="1"/>
        <v>0.33039462505391981</v>
      </c>
      <c r="AH5425" s="2" t="str">
        <f ca="1"/>
        <v>OK</v>
      </c>
    </row>
    <row r="5426" spans="2:34" x14ac:dyDescent="0.2">
      <c r="B5426" s="2">
        <f ca="1"/>
        <v>0.61839217061953455</v>
      </c>
      <c r="O5426" s="2">
        <f ca="1"/>
        <v>-0.9747132607949609</v>
      </c>
      <c r="X5426" s="2">
        <f ca="1"/>
        <v>47.398774539501161</v>
      </c>
      <c r="AG5426" s="2">
        <f ca="1"/>
        <v>0.84361999303827062</v>
      </c>
      <c r="AH5426" s="2" t="str">
        <f ca="1"/>
        <v>Bad</v>
      </c>
    </row>
    <row r="5427" spans="2:34" x14ac:dyDescent="0.2">
      <c r="B5427" s="2">
        <f ca="1"/>
        <v>0.62124499144364753</v>
      </c>
      <c r="O5427" s="2">
        <f ca="1"/>
        <v>-1.3556142105078577</v>
      </c>
      <c r="X5427" s="2">
        <f ca="1"/>
        <v>76.102101610487964</v>
      </c>
      <c r="AG5427" s="2">
        <f ca="1"/>
        <v>0.45630531256539775</v>
      </c>
      <c r="AH5427" s="2" t="str">
        <f ca="1"/>
        <v>Bad</v>
      </c>
    </row>
    <row r="5428" spans="2:34" x14ac:dyDescent="0.2">
      <c r="B5428" s="2">
        <f ca="1"/>
        <v>0.78049700559195001</v>
      </c>
      <c r="O5428" s="2">
        <f ca="1"/>
        <v>2.9362654845337857</v>
      </c>
      <c r="X5428" s="2">
        <f ca="1"/>
        <v>31.473184014226113</v>
      </c>
      <c r="AG5428" s="2">
        <f ca="1"/>
        <v>0.6394137735737202</v>
      </c>
      <c r="AH5428" s="2" t="str">
        <f ca="1"/>
        <v>Bad</v>
      </c>
    </row>
    <row r="5429" spans="2:34" x14ac:dyDescent="0.2">
      <c r="B5429" s="2">
        <f ca="1"/>
        <v>9.0788039997499403E-2</v>
      </c>
      <c r="O5429" s="2">
        <f ca="1"/>
        <v>-0.31314936515692315</v>
      </c>
      <c r="X5429" s="2">
        <f ca="1"/>
        <v>76.278502131394703</v>
      </c>
      <c r="AG5429" s="2">
        <f ca="1"/>
        <v>0.79139329815508019</v>
      </c>
      <c r="AH5429" s="2" t="str">
        <f ca="1"/>
        <v>Bad</v>
      </c>
    </row>
    <row r="5430" spans="2:34" x14ac:dyDescent="0.2">
      <c r="B5430" s="2">
        <f ca="1"/>
        <v>0.96817671364707403</v>
      </c>
      <c r="O5430" s="2">
        <f ca="1"/>
        <v>0.34304206913086266</v>
      </c>
      <c r="X5430" s="2">
        <f ca="1"/>
        <v>56.292197234470045</v>
      </c>
      <c r="AG5430" s="2">
        <f ca="1"/>
        <v>0.77895758065877208</v>
      </c>
      <c r="AH5430" s="2" t="str">
        <f ca="1"/>
        <v>Bad</v>
      </c>
    </row>
    <row r="5431" spans="2:34" x14ac:dyDescent="0.2">
      <c r="B5431" s="2">
        <f ca="1"/>
        <v>0.73678699916695667</v>
      </c>
      <c r="O5431" s="2">
        <f ca="1"/>
        <v>-0.58454880130022946</v>
      </c>
      <c r="X5431" s="2">
        <f ca="1"/>
        <v>42.492016926498898</v>
      </c>
      <c r="AG5431" s="2">
        <f ca="1"/>
        <v>0.20295728737719432</v>
      </c>
      <c r="AH5431" s="2" t="str">
        <f ca="1"/>
        <v>OK</v>
      </c>
    </row>
    <row r="5432" spans="2:34" x14ac:dyDescent="0.2">
      <c r="B5432" s="2">
        <f ca="1"/>
        <v>4.9591688824081714E-2</v>
      </c>
      <c r="O5432" s="2">
        <f ca="1"/>
        <v>-1.8506469788259217</v>
      </c>
      <c r="X5432" s="2">
        <f ca="1"/>
        <v>30.626611552918238</v>
      </c>
      <c r="AG5432" s="2">
        <f ca="1"/>
        <v>0.66318584042251083</v>
      </c>
      <c r="AH5432" s="2" t="str">
        <f ca="1"/>
        <v>Bad</v>
      </c>
    </row>
    <row r="5433" spans="2:34" x14ac:dyDescent="0.2">
      <c r="B5433" s="2">
        <f ca="1"/>
        <v>0.98261406192981249</v>
      </c>
      <c r="O5433" s="2">
        <f ca="1"/>
        <v>3.9620955828797134E-2</v>
      </c>
      <c r="X5433" s="2">
        <f ca="1"/>
        <v>57.025994948707336</v>
      </c>
      <c r="AG5433" s="2">
        <f ca="1"/>
        <v>0.67336500942749744</v>
      </c>
      <c r="AH5433" s="2" t="str">
        <f ca="1"/>
        <v>Bad</v>
      </c>
    </row>
    <row r="5434" spans="2:34" x14ac:dyDescent="0.2">
      <c r="B5434" s="2">
        <f ca="1"/>
        <v>0.97289064636146971</v>
      </c>
      <c r="O5434" s="2">
        <f ca="1"/>
        <v>7.514275313403726E-2</v>
      </c>
      <c r="X5434" s="2">
        <f ca="1"/>
        <v>36.497371343703634</v>
      </c>
      <c r="AG5434" s="2">
        <f ca="1"/>
        <v>0.76092143858140537</v>
      </c>
      <c r="AH5434" s="2" t="str">
        <f ca="1"/>
        <v>Bad</v>
      </c>
    </row>
    <row r="5435" spans="2:34" x14ac:dyDescent="0.2">
      <c r="B5435" s="2">
        <f ca="1"/>
        <v>0.27978197333672639</v>
      </c>
      <c r="O5435" s="2">
        <f ca="1"/>
        <v>0.87093074864433007</v>
      </c>
      <c r="X5435" s="2">
        <f ca="1"/>
        <v>45.630674563634145</v>
      </c>
      <c r="AG5435" s="2">
        <f ca="1"/>
        <v>9.2640573337136933E-2</v>
      </c>
      <c r="AH5435" s="2" t="str">
        <f ca="1"/>
        <v>OK</v>
      </c>
    </row>
    <row r="5436" spans="2:34" x14ac:dyDescent="0.2">
      <c r="B5436" s="2">
        <f ca="1"/>
        <v>0.73355166361670121</v>
      </c>
      <c r="O5436" s="2">
        <f ca="1"/>
        <v>0.47544888566824062</v>
      </c>
      <c r="X5436" s="2">
        <f ca="1"/>
        <v>50.728127009439859</v>
      </c>
      <c r="AG5436" s="2">
        <f ca="1"/>
        <v>0.52208020174875491</v>
      </c>
      <c r="AH5436" s="2" t="str">
        <f ca="1"/>
        <v>Bad</v>
      </c>
    </row>
    <row r="5437" spans="2:34" x14ac:dyDescent="0.2">
      <c r="B5437" s="2">
        <f ca="1"/>
        <v>0.69412884314911394</v>
      </c>
      <c r="O5437" s="2">
        <f ca="1"/>
        <v>-0.19939040757333279</v>
      </c>
      <c r="X5437" s="2">
        <f ca="1"/>
        <v>33.333860461605639</v>
      </c>
      <c r="AG5437" s="2">
        <f ca="1"/>
        <v>0.74008587585564833</v>
      </c>
      <c r="AH5437" s="2" t="str">
        <f ca="1"/>
        <v>Bad</v>
      </c>
    </row>
    <row r="5438" spans="2:34" x14ac:dyDescent="0.2">
      <c r="B5438" s="2">
        <f ca="1"/>
        <v>0.6401219379630656</v>
      </c>
      <c r="O5438" s="2">
        <f ca="1"/>
        <v>-1.7734074895780783</v>
      </c>
      <c r="X5438" s="2">
        <f ca="1"/>
        <v>43.663308165560089</v>
      </c>
      <c r="AG5438" s="2">
        <f ca="1"/>
        <v>0.43148659335740236</v>
      </c>
      <c r="AH5438" s="2" t="str">
        <f ca="1"/>
        <v>Bad</v>
      </c>
    </row>
    <row r="5439" spans="2:34" x14ac:dyDescent="0.2">
      <c r="B5439" s="2">
        <f ca="1"/>
        <v>0.18231839643398318</v>
      </c>
      <c r="O5439" s="2">
        <f ca="1"/>
        <v>-1.1895636629369593</v>
      </c>
      <c r="X5439" s="2">
        <f ca="1"/>
        <v>59.313940836982802</v>
      </c>
      <c r="AG5439" s="2">
        <f ca="1"/>
        <v>0.85672057238171506</v>
      </c>
      <c r="AH5439" s="2" t="str">
        <f ca="1"/>
        <v>Bad</v>
      </c>
    </row>
    <row r="5440" spans="2:34" x14ac:dyDescent="0.2">
      <c r="B5440" s="2">
        <f ca="1"/>
        <v>0.52742699695632367</v>
      </c>
      <c r="O5440" s="2">
        <f ca="1"/>
        <v>0.39280939658256275</v>
      </c>
      <c r="X5440" s="2">
        <f ca="1"/>
        <v>37.617102116966862</v>
      </c>
      <c r="AG5440" s="2">
        <f ca="1"/>
        <v>0.22810848793954763</v>
      </c>
      <c r="AH5440" s="2" t="str">
        <f ca="1"/>
        <v>OK</v>
      </c>
    </row>
    <row r="5441" spans="2:34" x14ac:dyDescent="0.2">
      <c r="B5441" s="2">
        <f ca="1"/>
        <v>0.36323730456116454</v>
      </c>
      <c r="O5441" s="2">
        <f ca="1"/>
        <v>4.0587264898066688E-2</v>
      </c>
      <c r="X5441" s="2">
        <f ca="1"/>
        <v>48.982936575987914</v>
      </c>
      <c r="AG5441" s="2">
        <f ca="1"/>
        <v>0.13406523946969262</v>
      </c>
      <c r="AH5441" s="2" t="str">
        <f ca="1"/>
        <v>OK</v>
      </c>
    </row>
    <row r="5442" spans="2:34" x14ac:dyDescent="0.2">
      <c r="B5442" s="2">
        <f ca="1"/>
        <v>0.59242795781203639</v>
      </c>
      <c r="O5442" s="2">
        <f ca="1"/>
        <v>0.59259834671072464</v>
      </c>
      <c r="X5442" s="2">
        <f ca="1"/>
        <v>21.934938243819641</v>
      </c>
      <c r="AG5442" s="2">
        <f ca="1"/>
        <v>0.26686610167261704</v>
      </c>
      <c r="AH5442" s="2" t="str">
        <f ca="1"/>
        <v>OK</v>
      </c>
    </row>
    <row r="5443" spans="2:34" x14ac:dyDescent="0.2">
      <c r="B5443" s="2">
        <f ca="1"/>
        <v>0.49441201141777458</v>
      </c>
      <c r="O5443" s="2">
        <f ca="1"/>
        <v>-0.10596651280213432</v>
      </c>
      <c r="X5443" s="2">
        <f ca="1"/>
        <v>69.947469540592607</v>
      </c>
      <c r="AG5443" s="2">
        <f ca="1"/>
        <v>0.314815553506129</v>
      </c>
      <c r="AH5443" s="2" t="str">
        <f ca="1"/>
        <v>OK</v>
      </c>
    </row>
    <row r="5444" spans="2:34" x14ac:dyDescent="0.2">
      <c r="B5444" s="2">
        <f ca="1"/>
        <v>1.6793283356146382E-2</v>
      </c>
      <c r="O5444" s="2">
        <f ca="1"/>
        <v>-0.39664371077308302</v>
      </c>
      <c r="X5444" s="2">
        <f ca="1"/>
        <v>55.322318759567949</v>
      </c>
      <c r="AG5444" s="2">
        <f ca="1"/>
        <v>0.43482929762259381</v>
      </c>
      <c r="AH5444" s="2" t="str">
        <f ca="1"/>
        <v>Bad</v>
      </c>
    </row>
    <row r="5445" spans="2:34" x14ac:dyDescent="0.2">
      <c r="B5445" s="2">
        <f ca="1"/>
        <v>0.56374222772889637</v>
      </c>
      <c r="O5445" s="2">
        <f ca="1"/>
        <v>-1.3520228312520288</v>
      </c>
      <c r="X5445" s="2">
        <f ca="1"/>
        <v>47.089623550742843</v>
      </c>
      <c r="AG5445" s="2">
        <f ca="1"/>
        <v>0.80566100119986417</v>
      </c>
      <c r="AH5445" s="2" t="str">
        <f ca="1"/>
        <v>Bad</v>
      </c>
    </row>
    <row r="5446" spans="2:34" x14ac:dyDescent="0.2">
      <c r="B5446" s="2">
        <f ca="1"/>
        <v>0.6036579123996757</v>
      </c>
      <c r="O5446" s="2">
        <f ca="1"/>
        <v>4.6449502523836133E-3</v>
      </c>
      <c r="X5446" s="2">
        <f ca="1"/>
        <v>59.958485348061423</v>
      </c>
      <c r="AG5446" s="2">
        <f ca="1"/>
        <v>0.53822038788894599</v>
      </c>
      <c r="AH5446" s="2" t="str">
        <f ca="1"/>
        <v>Bad</v>
      </c>
    </row>
    <row r="5447" spans="2:34" x14ac:dyDescent="0.2">
      <c r="B5447" s="2">
        <f ca="1"/>
        <v>0.88638144169513944</v>
      </c>
      <c r="O5447" s="2">
        <f ca="1"/>
        <v>-1.2727919820622633</v>
      </c>
      <c r="X5447" s="2">
        <f ca="1"/>
        <v>45.075198504805698</v>
      </c>
      <c r="AG5447" s="2">
        <f ca="1"/>
        <v>0.73751224668787252</v>
      </c>
      <c r="AH5447" s="2" t="str">
        <f ca="1"/>
        <v>Bad</v>
      </c>
    </row>
    <row r="5448" spans="2:34" x14ac:dyDescent="0.2">
      <c r="B5448" s="2">
        <f ca="1"/>
        <v>0.66730070000003416</v>
      </c>
      <c r="O5448" s="2">
        <f ca="1"/>
        <v>-0.92982618434764774</v>
      </c>
      <c r="X5448" s="2">
        <f ca="1"/>
        <v>40.913536448159434</v>
      </c>
      <c r="AG5448" s="2">
        <f ca="1"/>
        <v>0.53001918082131594</v>
      </c>
      <c r="AH5448" s="2" t="str">
        <f ca="1"/>
        <v>Bad</v>
      </c>
    </row>
    <row r="5449" spans="2:34" x14ac:dyDescent="0.2">
      <c r="B5449" s="2">
        <f ca="1"/>
        <v>0.6825746965527435</v>
      </c>
      <c r="O5449" s="2">
        <f ca="1"/>
        <v>-0.1457991512564456</v>
      </c>
      <c r="X5449" s="2">
        <f ca="1"/>
        <v>62.053802908486034</v>
      </c>
      <c r="AG5449" s="2">
        <f ca="1"/>
        <v>0.89481844267468236</v>
      </c>
      <c r="AH5449" s="2" t="str">
        <f ca="1"/>
        <v>Bad</v>
      </c>
    </row>
    <row r="5450" spans="2:34" x14ac:dyDescent="0.2">
      <c r="B5450" s="2">
        <f ca="1"/>
        <v>2.6071813931326737E-2</v>
      </c>
      <c r="O5450" s="2">
        <f ca="1"/>
        <v>-2.4290684397162288</v>
      </c>
      <c r="X5450" s="2">
        <f ca="1"/>
        <v>65.976184965917327</v>
      </c>
      <c r="AG5450" s="2">
        <f ca="1"/>
        <v>0.30777161611015647</v>
      </c>
      <c r="AH5450" s="2" t="str">
        <f ca="1"/>
        <v>OK</v>
      </c>
    </row>
    <row r="5451" spans="2:34" x14ac:dyDescent="0.2">
      <c r="B5451" s="2">
        <f ca="1"/>
        <v>0.55069115398622159</v>
      </c>
      <c r="O5451" s="2">
        <f ca="1"/>
        <v>2.473165420079237</v>
      </c>
      <c r="X5451" s="2">
        <f ca="1"/>
        <v>32.486564941230839</v>
      </c>
      <c r="AG5451" s="2">
        <f ca="1"/>
        <v>0.69039854046793581</v>
      </c>
      <c r="AH5451" s="2" t="str">
        <f ca="1"/>
        <v>Bad</v>
      </c>
    </row>
    <row r="5452" spans="2:34" x14ac:dyDescent="0.2">
      <c r="B5452" s="2">
        <f ca="1"/>
        <v>0.14981214571519219</v>
      </c>
      <c r="O5452" s="2">
        <f ca="1"/>
        <v>-1.4038027129433968</v>
      </c>
      <c r="X5452" s="2">
        <f ca="1"/>
        <v>46.235300977614258</v>
      </c>
      <c r="AG5452" s="2">
        <f ca="1"/>
        <v>0.5120553195207258</v>
      </c>
      <c r="AH5452" s="2" t="str">
        <f ca="1"/>
        <v>Bad</v>
      </c>
    </row>
    <row r="5453" spans="2:34" x14ac:dyDescent="0.2">
      <c r="B5453" s="2">
        <f ca="1"/>
        <v>0.45319873337404371</v>
      </c>
      <c r="O5453" s="2">
        <f ca="1"/>
        <v>1.7006163269283789</v>
      </c>
      <c r="X5453" s="2">
        <f ca="1"/>
        <v>48.386171756063121</v>
      </c>
      <c r="AG5453" s="2">
        <f ca="1"/>
        <v>0.22833961739464326</v>
      </c>
      <c r="AH5453" s="2" t="str">
        <f ca="1"/>
        <v>OK</v>
      </c>
    </row>
    <row r="5454" spans="2:34" x14ac:dyDescent="0.2">
      <c r="B5454" s="2">
        <f ca="1"/>
        <v>0.91009481611300491</v>
      </c>
      <c r="O5454" s="2">
        <f ca="1"/>
        <v>0.7739331051491275</v>
      </c>
      <c r="X5454" s="2">
        <f ca="1"/>
        <v>47.025162612906534</v>
      </c>
      <c r="AG5454" s="2">
        <f ca="1"/>
        <v>0.99574608815529531</v>
      </c>
      <c r="AH5454" s="2" t="str">
        <f ca="1"/>
        <v>Bad</v>
      </c>
    </row>
    <row r="5455" spans="2:34" x14ac:dyDescent="0.2">
      <c r="B5455" s="2">
        <f ca="1"/>
        <v>0.19574428271381383</v>
      </c>
      <c r="O5455" s="2">
        <f ca="1"/>
        <v>0.73114899091944374</v>
      </c>
      <c r="X5455" s="2">
        <f ca="1"/>
        <v>48.240880065645477</v>
      </c>
      <c r="AG5455" s="2">
        <f ca="1"/>
        <v>0.93112233362995189</v>
      </c>
      <c r="AH5455" s="2" t="str">
        <f ca="1"/>
        <v>Bad</v>
      </c>
    </row>
    <row r="5456" spans="2:34" x14ac:dyDescent="0.2">
      <c r="B5456" s="2">
        <f ca="1"/>
        <v>0.10166000617157622</v>
      </c>
      <c r="O5456" s="2">
        <f ca="1"/>
        <v>0.41580700211970345</v>
      </c>
      <c r="X5456" s="2">
        <f ca="1"/>
        <v>48.341954540630702</v>
      </c>
      <c r="AG5456" s="2">
        <f ca="1"/>
        <v>0.29527232344883325</v>
      </c>
      <c r="AH5456" s="2" t="str">
        <f ca="1"/>
        <v>OK</v>
      </c>
    </row>
    <row r="5457" spans="2:34" x14ac:dyDescent="0.2">
      <c r="B5457" s="2">
        <f ca="1"/>
        <v>0.40098464031872116</v>
      </c>
      <c r="O5457" s="2">
        <f ca="1"/>
        <v>0.44901524877221727</v>
      </c>
      <c r="X5457" s="2">
        <f ca="1"/>
        <v>38.120637644633078</v>
      </c>
      <c r="AG5457" s="2">
        <f ca="1"/>
        <v>0.13713587147856909</v>
      </c>
      <c r="AH5457" s="2" t="str">
        <f ca="1"/>
        <v>OK</v>
      </c>
    </row>
    <row r="5458" spans="2:34" x14ac:dyDescent="0.2">
      <c r="B5458" s="2">
        <f ca="1"/>
        <v>0.7014262763286494</v>
      </c>
      <c r="O5458" s="2">
        <f ca="1"/>
        <v>-0.3768066887575629</v>
      </c>
      <c r="X5458" s="2">
        <f ca="1"/>
        <v>40.638280799407241</v>
      </c>
      <c r="AG5458" s="2">
        <f ca="1"/>
        <v>0.86891718688495745</v>
      </c>
      <c r="AH5458" s="2" t="str">
        <f ca="1"/>
        <v>Bad</v>
      </c>
    </row>
    <row r="5459" spans="2:34" x14ac:dyDescent="0.2">
      <c r="B5459" s="2">
        <f ca="1"/>
        <v>0.89060219174653299</v>
      </c>
      <c r="O5459" s="2">
        <f ca="1"/>
        <v>-0.96610384401898197</v>
      </c>
      <c r="X5459" s="2">
        <f ca="1"/>
        <v>54.428256459270713</v>
      </c>
      <c r="AG5459" s="2">
        <f ca="1"/>
        <v>0.49207949985836752</v>
      </c>
      <c r="AH5459" s="2" t="str">
        <f ca="1"/>
        <v>Bad</v>
      </c>
    </row>
    <row r="5460" spans="2:34" x14ac:dyDescent="0.2">
      <c r="B5460" s="2">
        <f ca="1"/>
        <v>0.75809766193610595</v>
      </c>
      <c r="O5460" s="2">
        <f ca="1"/>
        <v>-1.809811546104428</v>
      </c>
      <c r="X5460" s="2">
        <f ca="1"/>
        <v>23.036924248393944</v>
      </c>
      <c r="AG5460" s="2">
        <f ca="1"/>
        <v>0.74508967226114264</v>
      </c>
      <c r="AH5460" s="2" t="str">
        <f ca="1"/>
        <v>Bad</v>
      </c>
    </row>
    <row r="5461" spans="2:34" x14ac:dyDescent="0.2">
      <c r="B5461" s="2">
        <f ca="1"/>
        <v>0.65267552666807416</v>
      </c>
      <c r="O5461" s="2">
        <f ca="1"/>
        <v>-0.91728014753136089</v>
      </c>
      <c r="X5461" s="2">
        <f ca="1"/>
        <v>46.142182041693118</v>
      </c>
      <c r="AG5461" s="2">
        <f ca="1"/>
        <v>0.55208120394766969</v>
      </c>
      <c r="AH5461" s="2" t="str">
        <f ca="1"/>
        <v>Bad</v>
      </c>
    </row>
    <row r="5462" spans="2:34" x14ac:dyDescent="0.2">
      <c r="B5462" s="2">
        <f ca="1"/>
        <v>6.7015088452544669E-2</v>
      </c>
      <c r="O5462" s="2">
        <f ca="1"/>
        <v>-5.9436776074885456E-2</v>
      </c>
      <c r="X5462" s="2">
        <f ca="1"/>
        <v>39.904027745496407</v>
      </c>
      <c r="AG5462" s="2">
        <f ca="1"/>
        <v>0.95903645802421855</v>
      </c>
      <c r="AH5462" s="2" t="str">
        <f ca="1"/>
        <v>Bad</v>
      </c>
    </row>
    <row r="5463" spans="2:34" x14ac:dyDescent="0.2">
      <c r="B5463" s="2">
        <f ca="1"/>
        <v>0.17493705394567893</v>
      </c>
      <c r="O5463" s="2">
        <f ca="1"/>
        <v>-0.95254236346734555</v>
      </c>
      <c r="X5463" s="2">
        <f ca="1"/>
        <v>34.384764749218498</v>
      </c>
      <c r="AG5463" s="2">
        <f ca="1"/>
        <v>0.51211927267444435</v>
      </c>
      <c r="AH5463" s="2" t="str">
        <f ca="1"/>
        <v>Bad</v>
      </c>
    </row>
    <row r="5464" spans="2:34" x14ac:dyDescent="0.2">
      <c r="B5464" s="2">
        <f ca="1"/>
        <v>0.47512474714738451</v>
      </c>
      <c r="O5464" s="2">
        <f ca="1"/>
        <v>-9.1907153304144312E-2</v>
      </c>
      <c r="X5464" s="2">
        <f ca="1"/>
        <v>48.435532897639185</v>
      </c>
      <c r="AG5464" s="2">
        <f ca="1"/>
        <v>0.91877188966304169</v>
      </c>
      <c r="AH5464" s="2" t="str">
        <f ca="1"/>
        <v>Bad</v>
      </c>
    </row>
    <row r="5465" spans="2:34" x14ac:dyDescent="0.2">
      <c r="B5465" s="2">
        <f ca="1"/>
        <v>0.74604421288770473</v>
      </c>
      <c r="O5465" s="2">
        <f ca="1"/>
        <v>-0.12500943124970659</v>
      </c>
      <c r="X5465" s="2">
        <f ca="1"/>
        <v>27.195871643619974</v>
      </c>
      <c r="AG5465" s="2">
        <f ca="1"/>
        <v>0.10204093059674268</v>
      </c>
      <c r="AH5465" s="2" t="str">
        <f ca="1"/>
        <v>OK</v>
      </c>
    </row>
    <row r="5466" spans="2:34" x14ac:dyDescent="0.2">
      <c r="B5466" s="2">
        <f ca="1"/>
        <v>0.6024698732727205</v>
      </c>
      <c r="O5466" s="2">
        <f ca="1"/>
        <v>0.70793468938349502</v>
      </c>
      <c r="X5466" s="2">
        <f ca="1"/>
        <v>44.037255090736089</v>
      </c>
      <c r="AG5466" s="2">
        <f ca="1"/>
        <v>0.73551437028342126</v>
      </c>
      <c r="AH5466" s="2" t="str">
        <f ca="1"/>
        <v>Bad</v>
      </c>
    </row>
    <row r="5467" spans="2:34" x14ac:dyDescent="0.2">
      <c r="B5467" s="2">
        <f ca="1"/>
        <v>6.1205265361456762E-2</v>
      </c>
      <c r="O5467" s="2">
        <f ca="1"/>
        <v>-1.5235282112741022</v>
      </c>
      <c r="X5467" s="2">
        <f ca="1"/>
        <v>33.223538301223726</v>
      </c>
      <c r="AG5467" s="2">
        <f ca="1"/>
        <v>0.99719700374913178</v>
      </c>
      <c r="AH5467" s="2" t="str">
        <f ca="1"/>
        <v>Bad</v>
      </c>
    </row>
    <row r="5468" spans="2:34" x14ac:dyDescent="0.2">
      <c r="B5468" s="2">
        <f ca="1"/>
        <v>0.86264029711085799</v>
      </c>
      <c r="O5468" s="2">
        <f ca="1"/>
        <v>0.85804815626211139</v>
      </c>
      <c r="X5468" s="2">
        <f ca="1"/>
        <v>47.951368825280262</v>
      </c>
      <c r="AG5468" s="2">
        <f ca="1"/>
        <v>0.26887016413449905</v>
      </c>
      <c r="AH5468" s="2" t="str">
        <f ca="1"/>
        <v>OK</v>
      </c>
    </row>
    <row r="5469" spans="2:34" x14ac:dyDescent="0.2">
      <c r="B5469" s="2">
        <f ca="1"/>
        <v>0.7167406453158065</v>
      </c>
      <c r="O5469" s="2">
        <f ca="1"/>
        <v>0.6591613667464935</v>
      </c>
      <c r="X5469" s="2">
        <f ca="1"/>
        <v>58.847666786549226</v>
      </c>
      <c r="AG5469" s="2">
        <f ca="1"/>
        <v>0.92897633420257741</v>
      </c>
      <c r="AH5469" s="2" t="str">
        <f ca="1"/>
        <v>Bad</v>
      </c>
    </row>
    <row r="5470" spans="2:34" x14ac:dyDescent="0.2">
      <c r="B5470" s="2">
        <f ca="1"/>
        <v>0.40187161987334941</v>
      </c>
      <c r="O5470" s="2">
        <f ca="1"/>
        <v>0.82822422321741573</v>
      </c>
      <c r="X5470" s="2">
        <f ca="1"/>
        <v>38.707547433528418</v>
      </c>
      <c r="AG5470" s="2">
        <f ca="1"/>
        <v>0.51750604663952982</v>
      </c>
      <c r="AH5470" s="2" t="str">
        <f ca="1"/>
        <v>Bad</v>
      </c>
    </row>
    <row r="5471" spans="2:34" x14ac:dyDescent="0.2">
      <c r="B5471" s="2">
        <f ca="1"/>
        <v>0.53261683199180565</v>
      </c>
      <c r="O5471" s="2">
        <f ca="1"/>
        <v>0.96037523533385649</v>
      </c>
      <c r="X5471" s="2">
        <f ca="1"/>
        <v>28.621275732450858</v>
      </c>
      <c r="AG5471" s="2">
        <f ca="1"/>
        <v>0.31587309967689992</v>
      </c>
      <c r="AH5471" s="2" t="str">
        <f ca="1"/>
        <v>OK</v>
      </c>
    </row>
    <row r="5472" spans="2:34" x14ac:dyDescent="0.2">
      <c r="B5472" s="2">
        <f ca="1"/>
        <v>0.85718767495862491</v>
      </c>
      <c r="O5472" s="2">
        <f ca="1"/>
        <v>-0.27195511534019462</v>
      </c>
      <c r="X5472" s="2">
        <f ca="1"/>
        <v>89.195090799268471</v>
      </c>
      <c r="AG5472" s="2">
        <f ca="1"/>
        <v>0.82376652408336404</v>
      </c>
      <c r="AH5472" s="2" t="str">
        <f ca="1"/>
        <v>Bad</v>
      </c>
    </row>
    <row r="5473" spans="2:34" x14ac:dyDescent="0.2">
      <c r="B5473" s="2">
        <f ca="1"/>
        <v>0.3070569864676882</v>
      </c>
      <c r="O5473" s="2">
        <f ca="1"/>
        <v>2.3483674073014105</v>
      </c>
      <c r="X5473" s="2">
        <f ca="1"/>
        <v>46.271280375496183</v>
      </c>
      <c r="AG5473" s="2">
        <f ca="1"/>
        <v>1.3178891963174788E-2</v>
      </c>
      <c r="AH5473" s="2" t="str">
        <f ca="1"/>
        <v>Good</v>
      </c>
    </row>
    <row r="5474" spans="2:34" x14ac:dyDescent="0.2">
      <c r="B5474" s="2">
        <f ca="1"/>
        <v>0.97942680246836167</v>
      </c>
      <c r="O5474" s="2">
        <f ca="1"/>
        <v>-1.2144809848235831</v>
      </c>
      <c r="X5474" s="2">
        <f ca="1"/>
        <v>32.421485025276823</v>
      </c>
      <c r="AG5474" s="2">
        <f ca="1"/>
        <v>0.42554170472028963</v>
      </c>
      <c r="AH5474" s="2" t="str">
        <f ca="1"/>
        <v>Bad</v>
      </c>
    </row>
    <row r="5475" spans="2:34" x14ac:dyDescent="0.2">
      <c r="B5475" s="2">
        <f ca="1"/>
        <v>0.32513067282430108</v>
      </c>
      <c r="O5475" s="2">
        <f ca="1"/>
        <v>0.66929612602408195</v>
      </c>
      <c r="X5475" s="2">
        <f ca="1"/>
        <v>43.697190089265462</v>
      </c>
      <c r="AG5475" s="2">
        <f ca="1"/>
        <v>0.8967251936540741</v>
      </c>
      <c r="AH5475" s="2" t="str">
        <f ca="1"/>
        <v>Bad</v>
      </c>
    </row>
    <row r="5476" spans="2:34" x14ac:dyDescent="0.2">
      <c r="B5476" s="2">
        <f ca="1"/>
        <v>0.50758393614099395</v>
      </c>
      <c r="O5476" s="2">
        <f ca="1"/>
        <v>-1.2745569073570633</v>
      </c>
      <c r="X5476" s="2">
        <f ca="1"/>
        <v>34.194913272887476</v>
      </c>
      <c r="AG5476" s="2">
        <f ca="1"/>
        <v>0.26856660408091737</v>
      </c>
      <c r="AH5476" s="2" t="str">
        <f ca="1"/>
        <v>OK</v>
      </c>
    </row>
    <row r="5477" spans="2:34" x14ac:dyDescent="0.2">
      <c r="B5477" s="2">
        <f ca="1"/>
        <v>0.26584604323215211</v>
      </c>
      <c r="O5477" s="2">
        <f ca="1"/>
        <v>0.6386354135383</v>
      </c>
      <c r="X5477" s="2">
        <f ca="1"/>
        <v>59.453718316953974</v>
      </c>
      <c r="AG5477" s="2">
        <f ca="1"/>
        <v>0.47974625489993938</v>
      </c>
      <c r="AH5477" s="2" t="str">
        <f ca="1"/>
        <v>Bad</v>
      </c>
    </row>
    <row r="5478" spans="2:34" x14ac:dyDescent="0.2">
      <c r="B5478" s="2">
        <f ca="1"/>
        <v>0.97329559391922538</v>
      </c>
      <c r="O5478" s="2">
        <f ca="1"/>
        <v>-1.1937955100322757</v>
      </c>
      <c r="X5478" s="2">
        <f ca="1"/>
        <v>45.780805392315301</v>
      </c>
      <c r="AG5478" s="2">
        <f ca="1"/>
        <v>0.39281514550908136</v>
      </c>
      <c r="AH5478" s="2" t="str">
        <f ca="1"/>
        <v>OK</v>
      </c>
    </row>
    <row r="5479" spans="2:34" x14ac:dyDescent="0.2">
      <c r="B5479" s="2">
        <f ca="1"/>
        <v>0.16301832929755533</v>
      </c>
      <c r="O5479" s="2">
        <f ca="1"/>
        <v>-0.74306701082969251</v>
      </c>
      <c r="X5479" s="2">
        <f ca="1"/>
        <v>49.277407809022087</v>
      </c>
      <c r="AG5479" s="2">
        <f ca="1"/>
        <v>0.95918449961429797</v>
      </c>
      <c r="AH5479" s="2" t="str">
        <f ca="1"/>
        <v>Bad</v>
      </c>
    </row>
    <row r="5480" spans="2:34" x14ac:dyDescent="0.2">
      <c r="B5480" s="2">
        <f ca="1"/>
        <v>5.4261553168835519E-2</v>
      </c>
      <c r="O5480" s="2">
        <f ca="1"/>
        <v>0.54328017035718212</v>
      </c>
      <c r="X5480" s="2">
        <f ca="1"/>
        <v>84.7220910299026</v>
      </c>
      <c r="AG5480" s="2">
        <f ca="1"/>
        <v>0.10999700144749847</v>
      </c>
      <c r="AH5480" s="2" t="str">
        <f ca="1"/>
        <v>OK</v>
      </c>
    </row>
    <row r="5481" spans="2:34" x14ac:dyDescent="0.2">
      <c r="B5481" s="2">
        <f ca="1"/>
        <v>0.78521704437663398</v>
      </c>
      <c r="O5481" s="2">
        <f ca="1"/>
        <v>-0.58421056475986632</v>
      </c>
      <c r="X5481" s="2">
        <f ca="1"/>
        <v>45.797702683853466</v>
      </c>
      <c r="AG5481" s="2">
        <f ca="1"/>
        <v>0.82663718742366266</v>
      </c>
      <c r="AH5481" s="2" t="str">
        <f ca="1"/>
        <v>Bad</v>
      </c>
    </row>
    <row r="5482" spans="2:34" x14ac:dyDescent="0.2">
      <c r="B5482" s="2">
        <f ca="1"/>
        <v>0.2373621694847734</v>
      </c>
      <c r="O5482" s="2">
        <f ca="1"/>
        <v>-0.50656320640689612</v>
      </c>
      <c r="X5482" s="2">
        <f ca="1"/>
        <v>30.563910311581807</v>
      </c>
      <c r="AG5482" s="2">
        <f ca="1"/>
        <v>0.56620584971723154</v>
      </c>
      <c r="AH5482" s="2" t="str">
        <f ca="1"/>
        <v>Bad</v>
      </c>
    </row>
    <row r="5483" spans="2:34" x14ac:dyDescent="0.2">
      <c r="B5483" s="2">
        <f ca="1"/>
        <v>0.69893794455914593</v>
      </c>
      <c r="O5483" s="2">
        <f ca="1"/>
        <v>-0.58625883061080475</v>
      </c>
      <c r="X5483" s="2">
        <f ca="1"/>
        <v>52.3525779107677</v>
      </c>
      <c r="AG5483" s="2">
        <f ca="1"/>
        <v>0.62560643243673097</v>
      </c>
      <c r="AH5483" s="2" t="str">
        <f ca="1"/>
        <v>Bad</v>
      </c>
    </row>
    <row r="5484" spans="2:34" x14ac:dyDescent="0.2">
      <c r="B5484" s="2">
        <f ca="1"/>
        <v>4.3199706022938322E-3</v>
      </c>
      <c r="O5484" s="2">
        <f ca="1"/>
        <v>1.1641558033754096</v>
      </c>
      <c r="X5484" s="2">
        <f ca="1"/>
        <v>45.480917657345501</v>
      </c>
      <c r="AG5484" s="2">
        <f ca="1"/>
        <v>0.70672542355717982</v>
      </c>
      <c r="AH5484" s="2" t="str">
        <f ca="1"/>
        <v>Bad</v>
      </c>
    </row>
    <row r="5485" spans="2:34" x14ac:dyDescent="0.2">
      <c r="B5485" s="2">
        <f ca="1"/>
        <v>0.59022575974106717</v>
      </c>
      <c r="O5485" s="2">
        <f ca="1"/>
        <v>0.93430824820122005</v>
      </c>
      <c r="X5485" s="2">
        <f ca="1"/>
        <v>30.045221328833097</v>
      </c>
      <c r="AG5485" s="2">
        <f ca="1"/>
        <v>0.7685612436088245</v>
      </c>
      <c r="AH5485" s="2" t="str">
        <f ca="1"/>
        <v>Bad</v>
      </c>
    </row>
    <row r="5486" spans="2:34" x14ac:dyDescent="0.2">
      <c r="B5486" s="2">
        <f ca="1"/>
        <v>0.53115648604744803</v>
      </c>
      <c r="O5486" s="2">
        <f ca="1"/>
        <v>1.4153635059026068</v>
      </c>
      <c r="X5486" s="2">
        <f ca="1"/>
        <v>30.538829010946557</v>
      </c>
      <c r="AG5486" s="2">
        <f ca="1"/>
        <v>0.88326870716836337</v>
      </c>
      <c r="AH5486" s="2" t="str">
        <f ca="1"/>
        <v>Bad</v>
      </c>
    </row>
    <row r="5487" spans="2:34" x14ac:dyDescent="0.2">
      <c r="B5487" s="2">
        <f ca="1"/>
        <v>0.94881460141569729</v>
      </c>
      <c r="O5487" s="2">
        <f ca="1"/>
        <v>-0.43031361609980012</v>
      </c>
      <c r="X5487" s="2">
        <f ca="1"/>
        <v>23.030777115810622</v>
      </c>
      <c r="AG5487" s="2">
        <f ca="1"/>
        <v>0.50866586572767436</v>
      </c>
      <c r="AH5487" s="2" t="str">
        <f ca="1"/>
        <v>Bad</v>
      </c>
    </row>
    <row r="5488" spans="2:34" x14ac:dyDescent="0.2">
      <c r="B5488" s="2">
        <f ca="1"/>
        <v>0.6791139746844812</v>
      </c>
      <c r="O5488" s="2">
        <f ca="1"/>
        <v>3.9197160014920844E-2</v>
      </c>
      <c r="X5488" s="2">
        <f ca="1"/>
        <v>73.889898147528086</v>
      </c>
      <c r="AG5488" s="2">
        <f ca="1"/>
        <v>0.39629531458817091</v>
      </c>
      <c r="AH5488" s="2" t="str">
        <f ca="1"/>
        <v>OK</v>
      </c>
    </row>
    <row r="5489" spans="2:34" x14ac:dyDescent="0.2">
      <c r="B5489" s="2">
        <f ca="1"/>
        <v>0.48260100312488796</v>
      </c>
      <c r="O5489" s="2">
        <f ca="1"/>
        <v>5.4142807579219784E-2</v>
      </c>
      <c r="X5489" s="2">
        <f ca="1"/>
        <v>56.718483584547357</v>
      </c>
      <c r="AG5489" s="2">
        <f ca="1"/>
        <v>0.87227725512425747</v>
      </c>
      <c r="AH5489" s="2" t="str">
        <f ca="1"/>
        <v>Bad</v>
      </c>
    </row>
    <row r="5490" spans="2:34" x14ac:dyDescent="0.2">
      <c r="B5490" s="2">
        <f ca="1"/>
        <v>0.88957821093443012</v>
      </c>
      <c r="O5490" s="2">
        <f ca="1"/>
        <v>-0.17210472783828279</v>
      </c>
      <c r="X5490" s="2">
        <f ca="1"/>
        <v>39.752337711772618</v>
      </c>
      <c r="AG5490" s="2">
        <f ca="1"/>
        <v>0.19623910512920384</v>
      </c>
      <c r="AH5490" s="2" t="str">
        <f ca="1"/>
        <v>OK</v>
      </c>
    </row>
    <row r="5491" spans="2:34" x14ac:dyDescent="0.2">
      <c r="B5491" s="2">
        <f ca="1"/>
        <v>0.49064981662921658</v>
      </c>
      <c r="O5491" s="2">
        <f ca="1"/>
        <v>-0.31716673026452502</v>
      </c>
      <c r="X5491" s="2">
        <f ca="1"/>
        <v>54.00121795854978</v>
      </c>
      <c r="AG5491" s="2">
        <f ca="1"/>
        <v>0.25254435216745907</v>
      </c>
      <c r="AH5491" s="2" t="str">
        <f ca="1"/>
        <v>OK</v>
      </c>
    </row>
    <row r="5492" spans="2:34" x14ac:dyDescent="0.2">
      <c r="B5492" s="2">
        <f ca="1"/>
        <v>0.63896289796366901</v>
      </c>
      <c r="O5492" s="2">
        <f ca="1"/>
        <v>-1.549941379994787</v>
      </c>
      <c r="X5492" s="2">
        <f ca="1"/>
        <v>33.805709850634884</v>
      </c>
      <c r="AG5492" s="2">
        <f ca="1"/>
        <v>0.76724298579070838</v>
      </c>
      <c r="AH5492" s="2" t="str">
        <f ca="1"/>
        <v>Bad</v>
      </c>
    </row>
    <row r="5493" spans="2:34" x14ac:dyDescent="0.2">
      <c r="B5493" s="2">
        <f ca="1"/>
        <v>0.30511664327457422</v>
      </c>
      <c r="O5493" s="2">
        <f ca="1"/>
        <v>-0.82512227954369322</v>
      </c>
      <c r="X5493" s="2">
        <f ca="1"/>
        <v>52.325548766267417</v>
      </c>
      <c r="AG5493" s="2">
        <f ca="1"/>
        <v>0.61428353810799585</v>
      </c>
      <c r="AH5493" s="2" t="str">
        <f ca="1"/>
        <v>Bad</v>
      </c>
    </row>
    <row r="5494" spans="2:34" x14ac:dyDescent="0.2">
      <c r="B5494" s="2">
        <f ca="1"/>
        <v>0.78568756608807844</v>
      </c>
      <c r="O5494" s="2">
        <f ca="1"/>
        <v>0.88442497695517031</v>
      </c>
      <c r="X5494" s="2">
        <f ca="1"/>
        <v>57.176371935998525</v>
      </c>
      <c r="AG5494" s="2">
        <f ca="1"/>
        <v>0.60014258141275634</v>
      </c>
      <c r="AH5494" s="2" t="str">
        <f ca="1"/>
        <v>Bad</v>
      </c>
    </row>
    <row r="5495" spans="2:34" x14ac:dyDescent="0.2">
      <c r="B5495" s="2">
        <f ca="1"/>
        <v>0.57828928839646987</v>
      </c>
      <c r="O5495" s="2">
        <f ca="1"/>
        <v>1.6270462787844522</v>
      </c>
      <c r="X5495" s="2">
        <f ca="1"/>
        <v>51.937352437098653</v>
      </c>
      <c r="AG5495" s="2">
        <f ca="1"/>
        <v>0.94118370324470613</v>
      </c>
      <c r="AH5495" s="2" t="str">
        <f ca="1"/>
        <v>Bad</v>
      </c>
    </row>
    <row r="5496" spans="2:34" x14ac:dyDescent="0.2">
      <c r="B5496" s="2">
        <f ca="1"/>
        <v>0.35520016577827329</v>
      </c>
      <c r="O5496" s="2">
        <f ca="1"/>
        <v>0.47164693078811865</v>
      </c>
      <c r="X5496" s="2">
        <f ca="1"/>
        <v>54.087679103289084</v>
      </c>
      <c r="AG5496" s="2">
        <f ca="1"/>
        <v>0.6668885111784173</v>
      </c>
      <c r="AH5496" s="2" t="str">
        <f ca="1"/>
        <v>Bad</v>
      </c>
    </row>
    <row r="5497" spans="2:34" x14ac:dyDescent="0.2">
      <c r="B5497" s="2">
        <f ca="1"/>
        <v>0.81886277004260877</v>
      </c>
      <c r="O5497" s="2">
        <f ca="1"/>
        <v>-0.28282729334093809</v>
      </c>
      <c r="X5497" s="2">
        <f ca="1"/>
        <v>61.679404320779945</v>
      </c>
      <c r="AG5497" s="2">
        <f ca="1"/>
        <v>0.94252166675332227</v>
      </c>
      <c r="AH5497" s="2" t="str">
        <f ca="1"/>
        <v>Bad</v>
      </c>
    </row>
    <row r="5498" spans="2:34" x14ac:dyDescent="0.2">
      <c r="B5498" s="2">
        <f ca="1"/>
        <v>0.54492638579673947</v>
      </c>
      <c r="O5498" s="2">
        <f ca="1"/>
        <v>0.36373489718613972</v>
      </c>
      <c r="X5498" s="2">
        <f ca="1"/>
        <v>34.855954594428582</v>
      </c>
      <c r="AG5498" s="2">
        <f ca="1"/>
        <v>0.32739966359293793</v>
      </c>
      <c r="AH5498" s="2" t="str">
        <f ca="1"/>
        <v>OK</v>
      </c>
    </row>
    <row r="5499" spans="2:34" x14ac:dyDescent="0.2">
      <c r="B5499" s="2">
        <f ca="1"/>
        <v>0.51880169011723543</v>
      </c>
      <c r="O5499" s="2">
        <f ca="1"/>
        <v>-1.6815770042192759</v>
      </c>
      <c r="X5499" s="2">
        <f ca="1"/>
        <v>46.779414318234288</v>
      </c>
      <c r="AG5499" s="2">
        <f ca="1"/>
        <v>0.82404581477665806</v>
      </c>
      <c r="AH5499" s="2" t="str">
        <f ca="1"/>
        <v>Bad</v>
      </c>
    </row>
    <row r="5500" spans="2:34" x14ac:dyDescent="0.2">
      <c r="B5500" s="2">
        <f ca="1"/>
        <v>0.54164842492520537</v>
      </c>
      <c r="O5500" s="2">
        <f ca="1"/>
        <v>-1.2310933412199803</v>
      </c>
      <c r="X5500" s="2">
        <f ca="1"/>
        <v>32.983666686006934</v>
      </c>
      <c r="AG5500" s="2">
        <f ca="1"/>
        <v>0.76964793816338961</v>
      </c>
      <c r="AH5500" s="2" t="str">
        <f ca="1"/>
        <v>Bad</v>
      </c>
    </row>
    <row r="5501" spans="2:34" x14ac:dyDescent="0.2">
      <c r="B5501" s="2">
        <f ca="1"/>
        <v>0.12236205612612272</v>
      </c>
      <c r="O5501" s="2">
        <f ca="1"/>
        <v>-1.9727556404733972</v>
      </c>
      <c r="X5501" s="2">
        <f ca="1"/>
        <v>54.359463659685872</v>
      </c>
      <c r="AG5501" s="2">
        <f ca="1"/>
        <v>0.73080619021620841</v>
      </c>
      <c r="AH5501" s="2" t="str">
        <f ca="1"/>
        <v>Bad</v>
      </c>
    </row>
    <row r="5502" spans="2:34" x14ac:dyDescent="0.2">
      <c r="B5502" s="2">
        <f ca="1"/>
        <v>5.3529350200792525E-2</v>
      </c>
      <c r="O5502" s="2">
        <f ca="1"/>
        <v>1.2367787477287386</v>
      </c>
      <c r="X5502" s="2">
        <f ca="1"/>
        <v>42.289536821023944</v>
      </c>
      <c r="AG5502" s="2">
        <f ca="1"/>
        <v>6.4343047543453658E-3</v>
      </c>
      <c r="AH5502" s="2" t="str">
        <f ca="1"/>
        <v>Good</v>
      </c>
    </row>
    <row r="5503" spans="2:34" x14ac:dyDescent="0.2">
      <c r="B5503" s="2">
        <f ca="1"/>
        <v>0.58321520828892237</v>
      </c>
      <c r="O5503" s="2">
        <f ca="1"/>
        <v>-0.82619045541287472</v>
      </c>
      <c r="X5503" s="2">
        <f ca="1"/>
        <v>36.463618704476914</v>
      </c>
      <c r="AG5503" s="2">
        <f ca="1"/>
        <v>0.68483853895491698</v>
      </c>
      <c r="AH5503" s="2" t="str">
        <f ca="1"/>
        <v>Bad</v>
      </c>
    </row>
    <row r="5504" spans="2:34" x14ac:dyDescent="0.2">
      <c r="B5504" s="2">
        <f ca="1"/>
        <v>0.86145194299360051</v>
      </c>
      <c r="O5504" s="2">
        <f ca="1"/>
        <v>0.69467951045331111</v>
      </c>
      <c r="X5504" s="2">
        <f ca="1"/>
        <v>38.944403388873482</v>
      </c>
      <c r="AG5504" s="2">
        <f ca="1"/>
        <v>6.9663756840209423E-2</v>
      </c>
      <c r="AH5504" s="2" t="str">
        <f ca="1"/>
        <v>OK</v>
      </c>
    </row>
    <row r="5505" spans="2:34" x14ac:dyDescent="0.2">
      <c r="B5505" s="2">
        <f ca="1"/>
        <v>1.3834886668715241E-2</v>
      </c>
      <c r="O5505" s="2">
        <f ca="1"/>
        <v>0.41237665057373296</v>
      </c>
      <c r="X5505" s="2">
        <f ca="1"/>
        <v>51.140087065952208</v>
      </c>
      <c r="AG5505" s="2">
        <f ca="1"/>
        <v>0.13540893125985343</v>
      </c>
      <c r="AH5505" s="2" t="str">
        <f ca="1"/>
        <v>OK</v>
      </c>
    </row>
    <row r="5506" spans="2:34" x14ac:dyDescent="0.2">
      <c r="B5506" s="2">
        <f ca="1"/>
        <v>0.73886311014069617</v>
      </c>
      <c r="O5506" s="2">
        <f ca="1"/>
        <v>0.74048231026185851</v>
      </c>
      <c r="X5506" s="2">
        <f ca="1"/>
        <v>46.008416181873514</v>
      </c>
      <c r="AG5506" s="2">
        <f ca="1"/>
        <v>0.84978375895640346</v>
      </c>
      <c r="AH5506" s="2" t="str">
        <f ca="1"/>
        <v>Bad</v>
      </c>
    </row>
    <row r="5507" spans="2:34" x14ac:dyDescent="0.2">
      <c r="B5507" s="2">
        <f ca="1"/>
        <v>0.64415116696882802</v>
      </c>
      <c r="O5507" s="2">
        <f ca="1"/>
        <v>0.94173922452749903</v>
      </c>
      <c r="X5507" s="2">
        <f ca="1"/>
        <v>44.903414407365958</v>
      </c>
      <c r="AG5507" s="2">
        <f ca="1"/>
        <v>0.34390759038203145</v>
      </c>
      <c r="AH5507" s="2" t="str">
        <f ca="1"/>
        <v>OK</v>
      </c>
    </row>
    <row r="5508" spans="2:34" x14ac:dyDescent="0.2">
      <c r="B5508" s="2">
        <f ca="1"/>
        <v>0.16478348441435764</v>
      </c>
      <c r="O5508" s="2">
        <f ca="1"/>
        <v>0.546728772528008</v>
      </c>
      <c r="X5508" s="2">
        <f ca="1"/>
        <v>41.794900987017023</v>
      </c>
      <c r="AG5508" s="2">
        <f ca="1"/>
        <v>0.77371381243129167</v>
      </c>
      <c r="AH5508" s="2" t="str">
        <f ca="1"/>
        <v>Bad</v>
      </c>
    </row>
    <row r="5509" spans="2:34" x14ac:dyDescent="0.2">
      <c r="B5509" s="2">
        <f ca="1"/>
        <v>0.23290898509690483</v>
      </c>
      <c r="O5509" s="2">
        <f ca="1"/>
        <v>1.9972119570884082</v>
      </c>
      <c r="X5509" s="2">
        <f ca="1"/>
        <v>41.052446050835925</v>
      </c>
      <c r="AG5509" s="2">
        <f ca="1"/>
        <v>0.91270644181898342</v>
      </c>
      <c r="AH5509" s="2" t="str">
        <f ca="1"/>
        <v>Bad</v>
      </c>
    </row>
    <row r="5510" spans="2:34" x14ac:dyDescent="0.2">
      <c r="B5510" s="2">
        <f ca="1"/>
        <v>9.0439535311672703E-2</v>
      </c>
      <c r="O5510" s="2">
        <f ca="1"/>
        <v>-0.62424297476035617</v>
      </c>
      <c r="X5510" s="2">
        <f ca="1"/>
        <v>42.543309318222981</v>
      </c>
      <c r="AG5510" s="2">
        <f ca="1"/>
        <v>0.475266741091112</v>
      </c>
      <c r="AH5510" s="2" t="str">
        <f ca="1"/>
        <v>Bad</v>
      </c>
    </row>
    <row r="5511" spans="2:34" x14ac:dyDescent="0.2">
      <c r="B5511" s="2">
        <f ca="1"/>
        <v>0.98923797264820501</v>
      </c>
      <c r="O5511" s="2">
        <f ca="1"/>
        <v>-0.98839058577807437</v>
      </c>
      <c r="X5511" s="2">
        <f ca="1"/>
        <v>48.024888503753246</v>
      </c>
      <c r="AG5511" s="2">
        <f ca="1"/>
        <v>0.38459672377410126</v>
      </c>
      <c r="AH5511" s="2" t="str">
        <f ca="1"/>
        <v>OK</v>
      </c>
    </row>
    <row r="5512" spans="2:34" x14ac:dyDescent="0.2">
      <c r="B5512" s="2">
        <f ca="1"/>
        <v>0.75110168851595427</v>
      </c>
      <c r="O5512" s="2">
        <f ca="1"/>
        <v>-0.52478162246510562</v>
      </c>
      <c r="X5512" s="2">
        <f ca="1"/>
        <v>31.657967831535984</v>
      </c>
      <c r="AG5512" s="2">
        <f ca="1"/>
        <v>0.35254153711814507</v>
      </c>
      <c r="AH5512" s="2" t="str">
        <f ca="1"/>
        <v>OK</v>
      </c>
    </row>
    <row r="5513" spans="2:34" x14ac:dyDescent="0.2">
      <c r="B5513" s="2">
        <f ca="1"/>
        <v>0.72171005486504347</v>
      </c>
      <c r="O5513" s="2">
        <f ca="1"/>
        <v>-9.4274036278216664E-2</v>
      </c>
      <c r="X5513" s="2">
        <f ca="1"/>
        <v>30.925854442286113</v>
      </c>
      <c r="AG5513" s="2">
        <f ca="1"/>
        <v>0.77969960159991825</v>
      </c>
      <c r="AH5513" s="2" t="str">
        <f ca="1"/>
        <v>Bad</v>
      </c>
    </row>
    <row r="5514" spans="2:34" x14ac:dyDescent="0.2">
      <c r="B5514" s="2">
        <f ca="1"/>
        <v>0.7902928890058365</v>
      </c>
      <c r="O5514" s="2">
        <f ca="1"/>
        <v>0.98796042187790012</v>
      </c>
      <c r="X5514" s="2">
        <f ca="1"/>
        <v>46.5910965622082</v>
      </c>
      <c r="AG5514" s="2">
        <f ca="1"/>
        <v>0.59163188544224576</v>
      </c>
      <c r="AH5514" s="2" t="str">
        <f ca="1"/>
        <v>Bad</v>
      </c>
    </row>
    <row r="5515" spans="2:34" x14ac:dyDescent="0.2">
      <c r="B5515" s="2">
        <f ca="1"/>
        <v>0.88680556525213028</v>
      </c>
      <c r="O5515" s="2">
        <f ca="1"/>
        <v>-0.25296441609056308</v>
      </c>
      <c r="X5515" s="2">
        <f ca="1"/>
        <v>43.405645248299379</v>
      </c>
      <c r="AG5515" s="2">
        <f ca="1"/>
        <v>0.76105684078680347</v>
      </c>
      <c r="AH5515" s="2" t="str">
        <f ca="1"/>
        <v>Bad</v>
      </c>
    </row>
    <row r="5516" spans="2:34" x14ac:dyDescent="0.2">
      <c r="B5516" s="2">
        <f ca="1"/>
        <v>0.92688934585315397</v>
      </c>
      <c r="O5516" s="2">
        <f ca="1"/>
        <v>0.16836345552007598</v>
      </c>
      <c r="X5516" s="2">
        <f ca="1"/>
        <v>24.17218895961307</v>
      </c>
      <c r="AG5516" s="2">
        <f ca="1"/>
        <v>5.6044712482991699E-2</v>
      </c>
      <c r="AH5516" s="2" t="str">
        <f ca="1"/>
        <v>OK</v>
      </c>
    </row>
    <row r="5517" spans="2:34" x14ac:dyDescent="0.2">
      <c r="B5517" s="2">
        <f ca="1"/>
        <v>0.11997846726164307</v>
      </c>
      <c r="O5517" s="2">
        <f ca="1"/>
        <v>0.36904418531714284</v>
      </c>
      <c r="X5517" s="2">
        <f ca="1"/>
        <v>92.401059181467602</v>
      </c>
      <c r="AG5517" s="2">
        <f ca="1"/>
        <v>0.98621819465944793</v>
      </c>
      <c r="AH5517" s="2" t="str">
        <f ca="1"/>
        <v>Bad</v>
      </c>
    </row>
    <row r="5518" spans="2:34" x14ac:dyDescent="0.2">
      <c r="B5518" s="2">
        <f ca="1"/>
        <v>8.0152480159265016E-2</v>
      </c>
      <c r="O5518" s="2">
        <f ca="1"/>
        <v>-0.73387943192201122</v>
      </c>
      <c r="X5518" s="2">
        <f ca="1"/>
        <v>48.18550541869287</v>
      </c>
      <c r="AG5518" s="2">
        <f ca="1"/>
        <v>0.95502536641166391</v>
      </c>
      <c r="AH5518" s="2" t="str">
        <f ca="1"/>
        <v>Bad</v>
      </c>
    </row>
    <row r="5519" spans="2:34" x14ac:dyDescent="0.2">
      <c r="B5519" s="2">
        <f ca="1"/>
        <v>0.58162344449555126</v>
      </c>
      <c r="O5519" s="2">
        <f ca="1"/>
        <v>0.37041068493563289</v>
      </c>
      <c r="X5519" s="2">
        <f ca="1"/>
        <v>26.279198613350083</v>
      </c>
      <c r="AG5519" s="2">
        <f ca="1"/>
        <v>0.15028519940276164</v>
      </c>
      <c r="AH5519" s="2" t="str">
        <f ca="1"/>
        <v>OK</v>
      </c>
    </row>
    <row r="5520" spans="2:34" x14ac:dyDescent="0.2">
      <c r="B5520" s="2">
        <f ca="1"/>
        <v>0.49524728503928461</v>
      </c>
      <c r="O5520" s="2">
        <f ca="1"/>
        <v>-0.5823930059162582</v>
      </c>
      <c r="X5520" s="2">
        <f ca="1"/>
        <v>24.257352407623042</v>
      </c>
      <c r="AG5520" s="2">
        <f ca="1"/>
        <v>0.96996726912970188</v>
      </c>
      <c r="AH5520" s="2" t="str">
        <f ca="1"/>
        <v>Bad</v>
      </c>
    </row>
    <row r="5521" spans="2:34" x14ac:dyDescent="0.2">
      <c r="B5521" s="2">
        <f ca="1"/>
        <v>0.15971971342342983</v>
      </c>
      <c r="O5521" s="2">
        <f ca="1"/>
        <v>0.9792081269561288</v>
      </c>
      <c r="X5521" s="2">
        <f ca="1"/>
        <v>36.584652258638648</v>
      </c>
      <c r="AG5521" s="2">
        <f ca="1"/>
        <v>0.24857731094060553</v>
      </c>
      <c r="AH5521" s="2" t="str">
        <f ca="1"/>
        <v>OK</v>
      </c>
    </row>
    <row r="5522" spans="2:34" x14ac:dyDescent="0.2">
      <c r="B5522" s="2">
        <f ca="1"/>
        <v>0.59616075066059482</v>
      </c>
      <c r="O5522" s="2">
        <f ca="1"/>
        <v>-1.2585259009483845</v>
      </c>
      <c r="X5522" s="2">
        <f ca="1"/>
        <v>69.212080626305479</v>
      </c>
      <c r="AG5522" s="2">
        <f ca="1"/>
        <v>0.48563081824225196</v>
      </c>
      <c r="AH5522" s="2" t="str">
        <f ca="1"/>
        <v>Bad</v>
      </c>
    </row>
    <row r="5523" spans="2:34" x14ac:dyDescent="0.2">
      <c r="B5523" s="2">
        <f ca="1"/>
        <v>0.93987837771516847</v>
      </c>
      <c r="O5523" s="2">
        <f ca="1"/>
        <v>-0.8480966281652137</v>
      </c>
      <c r="X5523" s="2">
        <f ca="1"/>
        <v>41.911324353626647</v>
      </c>
      <c r="AG5523" s="2">
        <f ca="1"/>
        <v>0.52315253709560094</v>
      </c>
      <c r="AH5523" s="2" t="str">
        <f ca="1"/>
        <v>Bad</v>
      </c>
    </row>
    <row r="5524" spans="2:34" x14ac:dyDescent="0.2">
      <c r="B5524" s="2">
        <f ca="1"/>
        <v>0.82038175340962072</v>
      </c>
      <c r="O5524" s="2">
        <f ca="1"/>
        <v>-0.95440151979309462</v>
      </c>
      <c r="X5524" s="2">
        <f ca="1"/>
        <v>53.991375891820738</v>
      </c>
      <c r="AG5524" s="2">
        <f ca="1"/>
        <v>0.21758363834049566</v>
      </c>
      <c r="AH5524" s="2" t="str">
        <f ca="1"/>
        <v>OK</v>
      </c>
    </row>
    <row r="5525" spans="2:34" x14ac:dyDescent="0.2">
      <c r="B5525" s="2">
        <f ca="1"/>
        <v>0.12255019555825308</v>
      </c>
      <c r="O5525" s="2">
        <f ca="1"/>
        <v>-0.18613154890956357</v>
      </c>
      <c r="X5525" s="2">
        <f ca="1"/>
        <v>72.669504703602357</v>
      </c>
      <c r="AG5525" s="2">
        <f ca="1"/>
        <v>0.41293407396603987</v>
      </c>
      <c r="AH5525" s="2" t="str">
        <f ca="1"/>
        <v>Bad</v>
      </c>
    </row>
    <row r="5526" spans="2:34" x14ac:dyDescent="0.2">
      <c r="B5526" s="2">
        <f ca="1"/>
        <v>0.40099667018121821</v>
      </c>
      <c r="O5526" s="2">
        <f ca="1"/>
        <v>1.3503942390154777</v>
      </c>
      <c r="X5526" s="2">
        <f ca="1"/>
        <v>49.88835083959578</v>
      </c>
      <c r="AG5526" s="2">
        <f ca="1"/>
        <v>0.40879624191828112</v>
      </c>
      <c r="AH5526" s="2" t="str">
        <f ca="1"/>
        <v>Bad</v>
      </c>
    </row>
    <row r="5527" spans="2:34" x14ac:dyDescent="0.2">
      <c r="B5527" s="2">
        <f ca="1"/>
        <v>0.84670080762687938</v>
      </c>
      <c r="O5527" s="2">
        <f ca="1"/>
        <v>-0.80971875518662995</v>
      </c>
      <c r="X5527" s="2">
        <f ca="1"/>
        <v>73.074983032300821</v>
      </c>
      <c r="AG5527" s="2">
        <f ca="1"/>
        <v>0.1582837267282895</v>
      </c>
      <c r="AH5527" s="2" t="str">
        <f ca="1"/>
        <v>OK</v>
      </c>
    </row>
    <row r="5528" spans="2:34" x14ac:dyDescent="0.2">
      <c r="B5528" s="2">
        <f ca="1"/>
        <v>0.84288804376192394</v>
      </c>
      <c r="O5528" s="2">
        <f ca="1"/>
        <v>0.94975695461589327</v>
      </c>
      <c r="X5528" s="2">
        <f ca="1"/>
        <v>55.182500402923857</v>
      </c>
      <c r="AG5528" s="2">
        <f ca="1"/>
        <v>1.2482726928886301E-4</v>
      </c>
      <c r="AH5528" s="2" t="str">
        <f ca="1"/>
        <v>Good</v>
      </c>
    </row>
    <row r="5529" spans="2:34" x14ac:dyDescent="0.2">
      <c r="B5529" s="2">
        <f ca="1"/>
        <v>0.55788136697530288</v>
      </c>
      <c r="O5529" s="2">
        <f ca="1"/>
        <v>-1.5321715343216473</v>
      </c>
      <c r="X5529" s="2">
        <f ca="1"/>
        <v>28.058620304793148</v>
      </c>
      <c r="AG5529" s="2">
        <f ca="1"/>
        <v>0.31162106943432266</v>
      </c>
      <c r="AH5529" s="2" t="str">
        <f ca="1"/>
        <v>OK</v>
      </c>
    </row>
    <row r="5530" spans="2:34" x14ac:dyDescent="0.2">
      <c r="B5530" s="2">
        <f ca="1"/>
        <v>3.6894182945014453E-2</v>
      </c>
      <c r="O5530" s="2">
        <f ca="1"/>
        <v>0.54092159594991374</v>
      </c>
      <c r="X5530" s="2">
        <f ca="1"/>
        <v>44.647531151845342</v>
      </c>
      <c r="AG5530" s="2">
        <f ca="1"/>
        <v>0.69633944548791993</v>
      </c>
      <c r="AH5530" s="2" t="str">
        <f ca="1"/>
        <v>Bad</v>
      </c>
    </row>
    <row r="5531" spans="2:34" x14ac:dyDescent="0.2">
      <c r="B5531" s="2">
        <f ca="1"/>
        <v>0.46956100793666677</v>
      </c>
      <c r="O5531" s="2">
        <f ca="1"/>
        <v>0.1689900124568848</v>
      </c>
      <c r="X5531" s="2">
        <f ca="1"/>
        <v>58.089765865404637</v>
      </c>
      <c r="AG5531" s="2">
        <f ca="1"/>
        <v>0.72843046435105863</v>
      </c>
      <c r="AH5531" s="2" t="str">
        <f ca="1"/>
        <v>Bad</v>
      </c>
    </row>
    <row r="5532" spans="2:34" x14ac:dyDescent="0.2">
      <c r="B5532" s="2">
        <f ca="1"/>
        <v>0.34939185933830985</v>
      </c>
      <c r="O5532" s="2">
        <f ca="1"/>
        <v>0.52445167480728183</v>
      </c>
      <c r="X5532" s="2">
        <f ca="1"/>
        <v>37.394928294282785</v>
      </c>
      <c r="AG5532" s="2">
        <f ca="1"/>
        <v>0.88488372266551552</v>
      </c>
      <c r="AH5532" s="2" t="str">
        <f ca="1"/>
        <v>Bad</v>
      </c>
    </row>
    <row r="5533" spans="2:34" x14ac:dyDescent="0.2">
      <c r="B5533" s="2">
        <f ca="1"/>
        <v>0.17812545812002001</v>
      </c>
      <c r="O5533" s="2">
        <f ca="1"/>
        <v>0.19688819105521094</v>
      </c>
      <c r="X5533" s="2">
        <f ca="1"/>
        <v>67.794018612694785</v>
      </c>
      <c r="AG5533" s="2">
        <f ca="1"/>
        <v>0.67201683633828324</v>
      </c>
      <c r="AH5533" s="2" t="str">
        <f ca="1"/>
        <v>Bad</v>
      </c>
    </row>
    <row r="5534" spans="2:34" x14ac:dyDescent="0.2">
      <c r="B5534" s="2">
        <f ca="1"/>
        <v>0.12771789345777007</v>
      </c>
      <c r="O5534" s="2">
        <f ca="1"/>
        <v>-2.2052502093514548</v>
      </c>
      <c r="X5534" s="2">
        <f ca="1"/>
        <v>62.564613214303279</v>
      </c>
      <c r="AG5534" s="2">
        <f ca="1"/>
        <v>0.48548797123134158</v>
      </c>
      <c r="AH5534" s="2" t="str">
        <f ca="1"/>
        <v>Bad</v>
      </c>
    </row>
    <row r="5535" spans="2:34" x14ac:dyDescent="0.2">
      <c r="B5535" s="2">
        <f ca="1"/>
        <v>0.91292696272092866</v>
      </c>
      <c r="O5535" s="2">
        <f ca="1"/>
        <v>0.97687812250855199</v>
      </c>
      <c r="X5535" s="2">
        <f ca="1"/>
        <v>50.104956305695502</v>
      </c>
      <c r="AG5535" s="2">
        <f ca="1"/>
        <v>0.44442268171371646</v>
      </c>
      <c r="AH5535" s="2" t="str">
        <f ca="1"/>
        <v>Bad</v>
      </c>
    </row>
    <row r="5536" spans="2:34" x14ac:dyDescent="0.2">
      <c r="B5536" s="2">
        <f ca="1"/>
        <v>0.20298598849289995</v>
      </c>
      <c r="O5536" s="2">
        <f ca="1"/>
        <v>0.98200449953752489</v>
      </c>
      <c r="X5536" s="2">
        <f ca="1"/>
        <v>65.336225385699265</v>
      </c>
      <c r="AG5536" s="2">
        <f ca="1"/>
        <v>0.48849565729273414</v>
      </c>
      <c r="AH5536" s="2" t="str">
        <f ca="1"/>
        <v>Bad</v>
      </c>
    </row>
    <row r="5537" spans="2:34" x14ac:dyDescent="0.2">
      <c r="B5537" s="2">
        <f ca="1"/>
        <v>0.19155253149088547</v>
      </c>
      <c r="O5537" s="2">
        <f ca="1"/>
        <v>0.38891231716295177</v>
      </c>
      <c r="X5537" s="2">
        <f ca="1"/>
        <v>53.614016620789691</v>
      </c>
      <c r="AG5537" s="2">
        <f ca="1"/>
        <v>0.26190712300481223</v>
      </c>
      <c r="AH5537" s="2" t="str">
        <f ca="1"/>
        <v>OK</v>
      </c>
    </row>
    <row r="5538" spans="2:34" x14ac:dyDescent="0.2">
      <c r="B5538" s="2">
        <f ca="1"/>
        <v>0.42077106154245425</v>
      </c>
      <c r="O5538" s="2">
        <f ca="1"/>
        <v>-9.5890705767195425E-2</v>
      </c>
      <c r="X5538" s="2">
        <f ca="1"/>
        <v>60.549430310667788</v>
      </c>
      <c r="AG5538" s="2">
        <f ca="1"/>
        <v>0.8852651753972951</v>
      </c>
      <c r="AH5538" s="2" t="str">
        <f ca="1"/>
        <v>Bad</v>
      </c>
    </row>
    <row r="5539" spans="2:34" x14ac:dyDescent="0.2">
      <c r="B5539" s="2">
        <f ca="1"/>
        <v>0.27204844297574837</v>
      </c>
      <c r="O5539" s="2">
        <f ca="1"/>
        <v>0.29107729584632408</v>
      </c>
      <c r="X5539" s="2">
        <f ca="1"/>
        <v>62.838973547320897</v>
      </c>
      <c r="AG5539" s="2">
        <f ca="1"/>
        <v>3.1664404087999865E-2</v>
      </c>
      <c r="AH5539" s="2" t="str">
        <f ca="1"/>
        <v>Good</v>
      </c>
    </row>
    <row r="5540" spans="2:34" x14ac:dyDescent="0.2">
      <c r="B5540" s="2">
        <f ca="1"/>
        <v>0.48000046719506506</v>
      </c>
      <c r="O5540" s="2">
        <f ca="1"/>
        <v>-0.13692414127510258</v>
      </c>
      <c r="X5540" s="2">
        <f ca="1"/>
        <v>72.019836782923633</v>
      </c>
      <c r="AG5540" s="2">
        <f ca="1"/>
        <v>0.54106210079197159</v>
      </c>
      <c r="AH5540" s="2" t="str">
        <f ca="1"/>
        <v>Bad</v>
      </c>
    </row>
    <row r="5541" spans="2:34" x14ac:dyDescent="0.2">
      <c r="B5541" s="2">
        <f ca="1"/>
        <v>0.47124794737016851</v>
      </c>
      <c r="O5541" s="2">
        <f ca="1"/>
        <v>-2.1625373745571747E-2</v>
      </c>
      <c r="X5541" s="2">
        <f ca="1"/>
        <v>45.941224834529621</v>
      </c>
      <c r="AG5541" s="2">
        <f ca="1"/>
        <v>0.91081672498564981</v>
      </c>
      <c r="AH5541" s="2" t="str">
        <f ca="1"/>
        <v>Bad</v>
      </c>
    </row>
    <row r="5542" spans="2:34" x14ac:dyDescent="0.2">
      <c r="B5542" s="2">
        <f ca="1"/>
        <v>0.62660228735416879</v>
      </c>
      <c r="O5542" s="2">
        <f ca="1"/>
        <v>-1.9818973749713771</v>
      </c>
      <c r="X5542" s="2">
        <f ca="1"/>
        <v>93.758849090201721</v>
      </c>
      <c r="AG5542" s="2">
        <f ca="1"/>
        <v>0.94466812142136547</v>
      </c>
      <c r="AH5542" s="2" t="str">
        <f ca="1"/>
        <v>Bad</v>
      </c>
    </row>
    <row r="5543" spans="2:34" x14ac:dyDescent="0.2">
      <c r="B5543" s="2">
        <f ca="1"/>
        <v>0.9234154928646654</v>
      </c>
      <c r="O5543" s="2">
        <f ca="1"/>
        <v>1.350551098087041</v>
      </c>
      <c r="X5543" s="2">
        <f ca="1"/>
        <v>42.877360528190415</v>
      </c>
      <c r="AG5543" s="2">
        <f ca="1"/>
        <v>4.3514684893650069E-2</v>
      </c>
      <c r="AH5543" s="2" t="str">
        <f ca="1"/>
        <v>Good</v>
      </c>
    </row>
    <row r="5544" spans="2:34" x14ac:dyDescent="0.2">
      <c r="B5544" s="2">
        <f ca="1"/>
        <v>0.82696737938277365</v>
      </c>
      <c r="O5544" s="2">
        <f ca="1"/>
        <v>1.1950584853753861</v>
      </c>
      <c r="X5544" s="2">
        <f ca="1"/>
        <v>70.952363012696637</v>
      </c>
      <c r="AG5544" s="2">
        <f ca="1"/>
        <v>0.70655697493670244</v>
      </c>
      <c r="AH5544" s="2" t="str">
        <f ca="1"/>
        <v>Bad</v>
      </c>
    </row>
    <row r="5545" spans="2:34" x14ac:dyDescent="0.2">
      <c r="B5545" s="2">
        <f ca="1"/>
        <v>0.3916779875017673</v>
      </c>
      <c r="O5545" s="2">
        <f ca="1"/>
        <v>-1.4143565993316551</v>
      </c>
      <c r="X5545" s="2">
        <f ca="1"/>
        <v>48.613544358743646</v>
      </c>
      <c r="AG5545" s="2">
        <f ca="1"/>
        <v>0.98815616801523243</v>
      </c>
      <c r="AH5545" s="2" t="str">
        <f ca="1"/>
        <v>Bad</v>
      </c>
    </row>
    <row r="5546" spans="2:34" x14ac:dyDescent="0.2">
      <c r="B5546" s="2">
        <f ca="1"/>
        <v>0.33694142903653446</v>
      </c>
      <c r="O5546" s="2">
        <f ca="1"/>
        <v>1.5471081678655612</v>
      </c>
      <c r="X5546" s="2">
        <f ca="1"/>
        <v>71.340798521043951</v>
      </c>
      <c r="AG5546" s="2">
        <f ca="1"/>
        <v>0.68801942852840914</v>
      </c>
      <c r="AH5546" s="2" t="str">
        <f ca="1"/>
        <v>Bad</v>
      </c>
    </row>
    <row r="5547" spans="2:34" x14ac:dyDescent="0.2">
      <c r="B5547" s="2">
        <f ca="1"/>
        <v>0.29912657949072941</v>
      </c>
      <c r="O5547" s="2">
        <f ca="1"/>
        <v>1.772394887906362E-2</v>
      </c>
      <c r="X5547" s="2">
        <f ca="1"/>
        <v>48.989361155548401</v>
      </c>
      <c r="AG5547" s="2">
        <f ca="1"/>
        <v>0.50740235640257336</v>
      </c>
      <c r="AH5547" s="2" t="str">
        <f ca="1"/>
        <v>Bad</v>
      </c>
    </row>
    <row r="5548" spans="2:34" x14ac:dyDescent="0.2">
      <c r="B5548" s="2">
        <f ca="1"/>
        <v>0.5274714391502664</v>
      </c>
      <c r="O5548" s="2">
        <f ca="1"/>
        <v>0.12026951478095294</v>
      </c>
      <c r="X5548" s="2">
        <f ca="1"/>
        <v>47.591685727247643</v>
      </c>
      <c r="AG5548" s="2">
        <f ca="1"/>
        <v>0.31051580609703522</v>
      </c>
      <c r="AH5548" s="2" t="str">
        <f ca="1"/>
        <v>OK</v>
      </c>
    </row>
    <row r="5549" spans="2:34" x14ac:dyDescent="0.2">
      <c r="B5549" s="2">
        <f ca="1"/>
        <v>0.43563288515414222</v>
      </c>
      <c r="O5549" s="2">
        <f ca="1"/>
        <v>-0.89048673308931448</v>
      </c>
      <c r="X5549" s="2">
        <f ca="1"/>
        <v>62.212013722050948</v>
      </c>
      <c r="AG5549" s="2">
        <f ca="1"/>
        <v>0.15243558855549399</v>
      </c>
      <c r="AH5549" s="2" t="str">
        <f ca="1"/>
        <v>OK</v>
      </c>
    </row>
    <row r="5550" spans="2:34" x14ac:dyDescent="0.2">
      <c r="B5550" s="2">
        <f ca="1"/>
        <v>5.8640544111875359E-2</v>
      </c>
      <c r="O5550" s="2">
        <f ca="1"/>
        <v>-1.0358294132290731</v>
      </c>
      <c r="X5550" s="2">
        <f ca="1"/>
        <v>29.733302935829919</v>
      </c>
      <c r="AG5550" s="2">
        <f ca="1"/>
        <v>0.28564050676097463</v>
      </c>
      <c r="AH5550" s="2" t="str">
        <f ca="1"/>
        <v>OK</v>
      </c>
    </row>
    <row r="5551" spans="2:34" x14ac:dyDescent="0.2">
      <c r="B5551" s="2">
        <f ca="1"/>
        <v>0.68840973021795149</v>
      </c>
      <c r="O5551" s="2">
        <f ca="1"/>
        <v>1.2682615787040945</v>
      </c>
      <c r="X5551" s="2">
        <f ca="1"/>
        <v>47.639170465259141</v>
      </c>
      <c r="AG5551" s="2">
        <f ca="1"/>
        <v>0.16064315858317513</v>
      </c>
      <c r="AH5551" s="2" t="str">
        <f ca="1"/>
        <v>OK</v>
      </c>
    </row>
    <row r="5552" spans="2:34" x14ac:dyDescent="0.2">
      <c r="B5552" s="2">
        <f ca="1"/>
        <v>0.72788007015614808</v>
      </c>
      <c r="O5552" s="2">
        <f ca="1"/>
        <v>8.6383614149691493E-2</v>
      </c>
      <c r="X5552" s="2">
        <f ca="1"/>
        <v>52.144558330779333</v>
      </c>
      <c r="AG5552" s="2">
        <f ca="1"/>
        <v>0.10095486416169352</v>
      </c>
      <c r="AH5552" s="2" t="str">
        <f ca="1"/>
        <v>OK</v>
      </c>
    </row>
    <row r="5553" spans="2:34" x14ac:dyDescent="0.2">
      <c r="B5553" s="2">
        <f ca="1"/>
        <v>0.42976665008362547</v>
      </c>
      <c r="O5553" s="2">
        <f ca="1"/>
        <v>-1.5501958239074232</v>
      </c>
      <c r="X5553" s="2">
        <f ca="1"/>
        <v>63.370453187234112</v>
      </c>
      <c r="AG5553" s="2">
        <f ca="1"/>
        <v>0.24297236994847871</v>
      </c>
      <c r="AH5553" s="2" t="str">
        <f ca="1"/>
        <v>OK</v>
      </c>
    </row>
    <row r="5554" spans="2:34" x14ac:dyDescent="0.2">
      <c r="B5554" s="2">
        <f ca="1"/>
        <v>0.56227710311010104</v>
      </c>
      <c r="O5554" s="2">
        <f ca="1"/>
        <v>0.59376454023031222</v>
      </c>
      <c r="X5554" s="2">
        <f ca="1"/>
        <v>78.745432756695777</v>
      </c>
      <c r="AG5554" s="2">
        <f ca="1"/>
        <v>0.61464224974555082</v>
      </c>
      <c r="AH5554" s="2" t="str">
        <f ca="1"/>
        <v>Bad</v>
      </c>
    </row>
    <row r="5555" spans="2:34" x14ac:dyDescent="0.2">
      <c r="B5555" s="2">
        <f ca="1"/>
        <v>0.81040129650906523</v>
      </c>
      <c r="O5555" s="2">
        <f ca="1"/>
        <v>0.92054211528552266</v>
      </c>
      <c r="X5555" s="2">
        <f ca="1"/>
        <v>62.423056547468939</v>
      </c>
      <c r="AG5555" s="2">
        <f ca="1"/>
        <v>0.13555645886598033</v>
      </c>
      <c r="AH5555" s="2" t="str">
        <f ca="1"/>
        <v>OK</v>
      </c>
    </row>
    <row r="5556" spans="2:34" x14ac:dyDescent="0.2">
      <c r="B5556" s="2">
        <f ca="1"/>
        <v>0.49287907928266872</v>
      </c>
      <c r="O5556" s="2">
        <f ca="1"/>
        <v>1.0553460085604505</v>
      </c>
      <c r="X5556" s="2">
        <f ca="1"/>
        <v>33.404900742871469</v>
      </c>
      <c r="AG5556" s="2">
        <f ca="1"/>
        <v>0.53435251008123541</v>
      </c>
      <c r="AH5556" s="2" t="str">
        <f ca="1"/>
        <v>Bad</v>
      </c>
    </row>
    <row r="5557" spans="2:34" x14ac:dyDescent="0.2">
      <c r="B5557" s="2">
        <f ca="1"/>
        <v>0.82304983421822597</v>
      </c>
      <c r="O5557" s="2">
        <f ca="1"/>
        <v>-1.3078162791327939</v>
      </c>
      <c r="X5557" s="2">
        <f ca="1"/>
        <v>36.897255891379253</v>
      </c>
      <c r="AG5557" s="2">
        <f ca="1"/>
        <v>1.4699695922002931E-2</v>
      </c>
      <c r="AH5557" s="2" t="str">
        <f ca="1"/>
        <v>Good</v>
      </c>
    </row>
    <row r="5558" spans="2:34" x14ac:dyDescent="0.2">
      <c r="B5558" s="2">
        <f ca="1"/>
        <v>0.27603507769154811</v>
      </c>
      <c r="O5558" s="2">
        <f ca="1"/>
        <v>-0.59402530277364896</v>
      </c>
      <c r="X5558" s="2">
        <f ca="1"/>
        <v>25.396287082444825</v>
      </c>
      <c r="AG5558" s="2">
        <f ca="1"/>
        <v>0.23037809392544828</v>
      </c>
      <c r="AH5558" s="2" t="str">
        <f ca="1"/>
        <v>OK</v>
      </c>
    </row>
    <row r="5559" spans="2:34" x14ac:dyDescent="0.2">
      <c r="B5559" s="2">
        <f ca="1"/>
        <v>0.30844025237723094</v>
      </c>
      <c r="O5559" s="2">
        <f ca="1"/>
        <v>0.41115838820447898</v>
      </c>
      <c r="X5559" s="2">
        <f ca="1"/>
        <v>55.711683714421341</v>
      </c>
      <c r="AG5559" s="2">
        <f ca="1"/>
        <v>0.33169600200552418</v>
      </c>
      <c r="AH5559" s="2" t="str">
        <f ca="1"/>
        <v>OK</v>
      </c>
    </row>
    <row r="5560" spans="2:34" x14ac:dyDescent="0.2">
      <c r="B5560" s="2">
        <f ca="1"/>
        <v>0.78802191331447169</v>
      </c>
      <c r="O5560" s="2">
        <f ca="1"/>
        <v>1.8019895345745449</v>
      </c>
      <c r="X5560" s="2">
        <f ca="1"/>
        <v>47.302672102091634</v>
      </c>
      <c r="AG5560" s="2">
        <f ca="1"/>
        <v>0.18027741782718976</v>
      </c>
      <c r="AH5560" s="2" t="str">
        <f ca="1"/>
        <v>OK</v>
      </c>
    </row>
    <row r="5561" spans="2:34" x14ac:dyDescent="0.2">
      <c r="B5561" s="2">
        <f ca="1"/>
        <v>0.76371570003554479</v>
      </c>
      <c r="O5561" s="2">
        <f ca="1"/>
        <v>0.61114364769427021</v>
      </c>
      <c r="X5561" s="2">
        <f ca="1"/>
        <v>87.583247079272425</v>
      </c>
      <c r="AG5561" s="2">
        <f ca="1"/>
        <v>0.38889831368895433</v>
      </c>
      <c r="AH5561" s="2" t="str">
        <f ca="1"/>
        <v>OK</v>
      </c>
    </row>
    <row r="5562" spans="2:34" x14ac:dyDescent="0.2">
      <c r="B5562" s="2">
        <f ca="1"/>
        <v>0.92979724686404897</v>
      </c>
      <c r="O5562" s="2">
        <f ca="1"/>
        <v>-1.9965264689927467</v>
      </c>
      <c r="X5562" s="2">
        <f ca="1"/>
        <v>40.756605540886675</v>
      </c>
      <c r="AG5562" s="2">
        <f ca="1"/>
        <v>0.25188641716087457</v>
      </c>
      <c r="AH5562" s="2" t="str">
        <f ca="1"/>
        <v>OK</v>
      </c>
    </row>
    <row r="5563" spans="2:34" x14ac:dyDescent="0.2">
      <c r="B5563" s="2">
        <f ca="1"/>
        <v>0.67416056125703361</v>
      </c>
      <c r="O5563" s="2">
        <f ca="1"/>
        <v>0.25588632381856075</v>
      </c>
      <c r="X5563" s="2">
        <f ca="1"/>
        <v>41.631732201927676</v>
      </c>
      <c r="AG5563" s="2">
        <f ca="1"/>
        <v>0.64839855007093639</v>
      </c>
      <c r="AH5563" s="2" t="str">
        <f ca="1"/>
        <v>Bad</v>
      </c>
    </row>
    <row r="5564" spans="2:34" x14ac:dyDescent="0.2">
      <c r="B5564" s="2">
        <f ca="1"/>
        <v>9.8017410073419242E-2</v>
      </c>
      <c r="O5564" s="2">
        <f ca="1"/>
        <v>-0.56900889601920368</v>
      </c>
      <c r="X5564" s="2">
        <f ca="1"/>
        <v>52.758242444038416</v>
      </c>
      <c r="AG5564" s="2">
        <f ca="1"/>
        <v>0.45076386983415029</v>
      </c>
      <c r="AH5564" s="2" t="str">
        <f ca="1"/>
        <v>Bad</v>
      </c>
    </row>
    <row r="5565" spans="2:34" x14ac:dyDescent="0.2">
      <c r="B5565" s="2">
        <f ca="1"/>
        <v>0.60784716419802143</v>
      </c>
      <c r="O5565" s="2">
        <f ca="1"/>
        <v>-0.31268405035559438</v>
      </c>
      <c r="X5565" s="2">
        <f ca="1"/>
        <v>78.267788534310199</v>
      </c>
      <c r="AG5565" s="2">
        <f ca="1"/>
        <v>0.7591443131560105</v>
      </c>
      <c r="AH5565" s="2" t="str">
        <f ca="1"/>
        <v>Bad</v>
      </c>
    </row>
    <row r="5566" spans="2:34" x14ac:dyDescent="0.2">
      <c r="B5566" s="2">
        <f ca="1"/>
        <v>0.90326390238643173</v>
      </c>
      <c r="O5566" s="2">
        <f ca="1"/>
        <v>0.49872183121740082</v>
      </c>
      <c r="X5566" s="2">
        <f ca="1"/>
        <v>49.525233917024252</v>
      </c>
      <c r="AG5566" s="2">
        <f ca="1"/>
        <v>0.5815668384901127</v>
      </c>
      <c r="AH5566" s="2" t="str">
        <f ca="1"/>
        <v>Bad</v>
      </c>
    </row>
    <row r="5567" spans="2:34" x14ac:dyDescent="0.2">
      <c r="B5567" s="2">
        <f ca="1"/>
        <v>0.60514802645615151</v>
      </c>
      <c r="O5567" s="2">
        <f ca="1"/>
        <v>-0.22602366491969239</v>
      </c>
      <c r="X5567" s="2">
        <f ca="1"/>
        <v>79.963049642096436</v>
      </c>
      <c r="AG5567" s="2">
        <f ca="1"/>
        <v>0.31152395809065236</v>
      </c>
      <c r="AH5567" s="2" t="str">
        <f ca="1"/>
        <v>OK</v>
      </c>
    </row>
    <row r="5568" spans="2:34" x14ac:dyDescent="0.2">
      <c r="B5568" s="2">
        <f ca="1"/>
        <v>0.38802311540232282</v>
      </c>
      <c r="O5568" s="2">
        <f ca="1"/>
        <v>0.29018094004687534</v>
      </c>
      <c r="X5568" s="2">
        <f ca="1"/>
        <v>60.889600322075701</v>
      </c>
      <c r="AG5568" s="2">
        <f ca="1"/>
        <v>0.45321008193696888</v>
      </c>
      <c r="AH5568" s="2" t="str">
        <f ca="1"/>
        <v>Bad</v>
      </c>
    </row>
    <row r="5569" spans="2:34" x14ac:dyDescent="0.2">
      <c r="B5569" s="2">
        <f ca="1"/>
        <v>0.22861689371942817</v>
      </c>
      <c r="O5569" s="2">
        <f ca="1"/>
        <v>-8.6300999512791757E-2</v>
      </c>
      <c r="X5569" s="2">
        <f ca="1"/>
        <v>92.055840651908696</v>
      </c>
      <c r="AG5569" s="2">
        <f ca="1"/>
        <v>0.49091631076602482</v>
      </c>
      <c r="AH5569" s="2" t="str">
        <f ca="1"/>
        <v>Bad</v>
      </c>
    </row>
    <row r="5570" spans="2:34" x14ac:dyDescent="0.2">
      <c r="B5570" s="2">
        <f ca="1"/>
        <v>0.83903719242409558</v>
      </c>
      <c r="O5570" s="2">
        <f ca="1"/>
        <v>-0.66961999401917205</v>
      </c>
      <c r="X5570" s="2">
        <f ca="1"/>
        <v>65.793294489147286</v>
      </c>
      <c r="AG5570" s="2">
        <f ca="1"/>
        <v>0.29684234272347831</v>
      </c>
      <c r="AH5570" s="2" t="str">
        <f ca="1"/>
        <v>OK</v>
      </c>
    </row>
    <row r="5571" spans="2:34" x14ac:dyDescent="0.2">
      <c r="B5571" s="2">
        <f ca="1"/>
        <v>0.2117004788854806</v>
      </c>
      <c r="O5571" s="2">
        <f ca="1"/>
        <v>0.88861492667549158</v>
      </c>
      <c r="X5571" s="2">
        <f ca="1"/>
        <v>49.209827873287544</v>
      </c>
      <c r="AG5571" s="2">
        <f ca="1"/>
        <v>0.33660904668270342</v>
      </c>
      <c r="AH5571" s="2" t="str">
        <f ca="1"/>
        <v>OK</v>
      </c>
    </row>
    <row r="5572" spans="2:34" x14ac:dyDescent="0.2">
      <c r="B5572" s="2">
        <f ca="1"/>
        <v>0.16629765069754976</v>
      </c>
      <c r="O5572" s="2">
        <f ca="1"/>
        <v>-9.6056992568429506E-2</v>
      </c>
      <c r="X5572" s="2">
        <f ca="1"/>
        <v>57.01091972585327</v>
      </c>
      <c r="AG5572" s="2">
        <f ca="1"/>
        <v>0.42316868672458119</v>
      </c>
      <c r="AH5572" s="2" t="str">
        <f ca="1"/>
        <v>Bad</v>
      </c>
    </row>
    <row r="5573" spans="2:34" x14ac:dyDescent="0.2">
      <c r="B5573" s="2">
        <f ca="1"/>
        <v>0.38682093139129292</v>
      </c>
      <c r="O5573" s="2">
        <f ca="1"/>
        <v>-1.5457221113099362</v>
      </c>
      <c r="X5573" s="2">
        <f ca="1"/>
        <v>29.472815427724804</v>
      </c>
      <c r="AG5573" s="2">
        <f ca="1"/>
        <v>0.38327666044649122</v>
      </c>
      <c r="AH5573" s="2" t="str">
        <f ca="1"/>
        <v>OK</v>
      </c>
    </row>
    <row r="5574" spans="2:34" x14ac:dyDescent="0.2">
      <c r="B5574" s="2">
        <f ca="1"/>
        <v>0.58003577659214489</v>
      </c>
      <c r="O5574" s="2">
        <f ca="1"/>
        <v>-1.3270365976790665E-2</v>
      </c>
      <c r="X5574" s="2">
        <f ca="1"/>
        <v>69.148405951760154</v>
      </c>
      <c r="AG5574" s="2">
        <f ca="1"/>
        <v>0.81998642480338479</v>
      </c>
      <c r="AH5574" s="2" t="str">
        <f ca="1"/>
        <v>Bad</v>
      </c>
    </row>
    <row r="5575" spans="2:34" x14ac:dyDescent="0.2">
      <c r="B5575" s="2">
        <f ca="1"/>
        <v>0.41878519307625184</v>
      </c>
      <c r="O5575" s="2">
        <f ca="1"/>
        <v>-4.6048361838036969E-2</v>
      </c>
      <c r="X5575" s="2">
        <f ca="1"/>
        <v>45.363137489995545</v>
      </c>
      <c r="AG5575" s="2">
        <f ca="1"/>
        <v>0.64605391614751295</v>
      </c>
      <c r="AH5575" s="2" t="str">
        <f ca="1"/>
        <v>Bad</v>
      </c>
    </row>
    <row r="5576" spans="2:34" x14ac:dyDescent="0.2">
      <c r="B5576" s="2">
        <f ca="1"/>
        <v>0.23528542810647868</v>
      </c>
      <c r="O5576" s="2">
        <f ca="1"/>
        <v>0.77381943303277356</v>
      </c>
      <c r="X5576" s="2">
        <f ca="1"/>
        <v>44.14912191489563</v>
      </c>
      <c r="AG5576" s="2">
        <f ca="1"/>
        <v>0.22294551543179542</v>
      </c>
      <c r="AH5576" s="2" t="str">
        <f ca="1"/>
        <v>OK</v>
      </c>
    </row>
    <row r="5577" spans="2:34" x14ac:dyDescent="0.2">
      <c r="B5577" s="2">
        <f ca="1"/>
        <v>6.7822267114252544E-2</v>
      </c>
      <c r="O5577" s="2">
        <f ca="1"/>
        <v>-4.697882538652777E-2</v>
      </c>
      <c r="X5577" s="2">
        <f ca="1"/>
        <v>50.934478345694018</v>
      </c>
      <c r="AG5577" s="2">
        <f ca="1"/>
        <v>2.2989442862966003E-2</v>
      </c>
      <c r="AH5577" s="2" t="str">
        <f ca="1"/>
        <v>Good</v>
      </c>
    </row>
    <row r="5578" spans="2:34" x14ac:dyDescent="0.2">
      <c r="B5578" s="2">
        <f ca="1"/>
        <v>4.7543934151452527E-2</v>
      </c>
      <c r="O5578" s="2">
        <f ca="1"/>
        <v>-0.41243234590606265</v>
      </c>
      <c r="X5578" s="2">
        <f ca="1"/>
        <v>93.794628942317374</v>
      </c>
      <c r="AG5578" s="2">
        <f ca="1"/>
        <v>0.78659349546917556</v>
      </c>
      <c r="AH5578" s="2" t="str">
        <f ca="1"/>
        <v>Bad</v>
      </c>
    </row>
    <row r="5579" spans="2:34" x14ac:dyDescent="0.2">
      <c r="B5579" s="2">
        <f ca="1"/>
        <v>0.70552769839724716</v>
      </c>
      <c r="O5579" s="2">
        <f ca="1"/>
        <v>0.76612134513099772</v>
      </c>
      <c r="X5579" s="2">
        <f ca="1"/>
        <v>29.319184044705633</v>
      </c>
      <c r="AG5579" s="2">
        <f ca="1"/>
        <v>0.25653669848404048</v>
      </c>
      <c r="AH5579" s="2" t="str">
        <f ca="1"/>
        <v>OK</v>
      </c>
    </row>
    <row r="5580" spans="2:34" x14ac:dyDescent="0.2">
      <c r="B5580" s="2">
        <f ca="1"/>
        <v>0.85597033794318933</v>
      </c>
      <c r="O5580" s="2">
        <f ca="1"/>
        <v>-0.83877567141178522</v>
      </c>
      <c r="X5580" s="2">
        <f ca="1"/>
        <v>52.678947124431318</v>
      </c>
      <c r="AG5580" s="2">
        <f ca="1"/>
        <v>0.98213734606269321</v>
      </c>
      <c r="AH5580" s="2" t="str">
        <f ca="1"/>
        <v>Bad</v>
      </c>
    </row>
    <row r="5581" spans="2:34" x14ac:dyDescent="0.2">
      <c r="B5581" s="2">
        <f ca="1"/>
        <v>0.1715786790318754</v>
      </c>
      <c r="O5581" s="2">
        <f ca="1"/>
        <v>1.3089400470203025</v>
      </c>
      <c r="X5581" s="2">
        <f ca="1"/>
        <v>44.493751585259346</v>
      </c>
      <c r="AG5581" s="2">
        <f ca="1"/>
        <v>0.64047685523333442</v>
      </c>
      <c r="AH5581" s="2" t="str">
        <f ca="1"/>
        <v>Bad</v>
      </c>
    </row>
    <row r="5582" spans="2:34" x14ac:dyDescent="0.2">
      <c r="B5582" s="2">
        <f ca="1"/>
        <v>0.48953491588196019</v>
      </c>
      <c r="O5582" s="2">
        <f ca="1"/>
        <v>1.1295766832710308</v>
      </c>
      <c r="X5582" s="2">
        <f ca="1"/>
        <v>51.875767126739348</v>
      </c>
      <c r="AG5582" s="2">
        <f ca="1"/>
        <v>0.67351995163559852</v>
      </c>
      <c r="AH5582" s="2" t="str">
        <f ca="1"/>
        <v>Bad</v>
      </c>
    </row>
    <row r="5583" spans="2:34" x14ac:dyDescent="0.2">
      <c r="B5583" s="2">
        <f ca="1"/>
        <v>0.74405528718370384</v>
      </c>
      <c r="O5583" s="2">
        <f ca="1"/>
        <v>0.20108772343057299</v>
      </c>
      <c r="X5583" s="2">
        <f ca="1"/>
        <v>61.055972962553341</v>
      </c>
      <c r="AG5583" s="2">
        <f ca="1"/>
        <v>0.80556523322901197</v>
      </c>
      <c r="AH5583" s="2" t="str">
        <f ca="1"/>
        <v>Bad</v>
      </c>
    </row>
    <row r="5584" spans="2:34" x14ac:dyDescent="0.2">
      <c r="B5584" s="2">
        <f ca="1"/>
        <v>0.44734581877276924</v>
      </c>
      <c r="O5584" s="2">
        <f ca="1"/>
        <v>-0.58121128280944234</v>
      </c>
      <c r="X5584" s="2">
        <f ca="1"/>
        <v>45.665210447787025</v>
      </c>
      <c r="AG5584" s="2">
        <f ca="1"/>
        <v>0.40896671828047371</v>
      </c>
      <c r="AH5584" s="2" t="str">
        <f ca="1"/>
        <v>Bad</v>
      </c>
    </row>
    <row r="5585" spans="2:34" x14ac:dyDescent="0.2">
      <c r="B5585" s="2">
        <f ca="1"/>
        <v>0.19038826349973004</v>
      </c>
      <c r="O5585" s="2">
        <f ca="1"/>
        <v>-0.84773105445098573</v>
      </c>
      <c r="X5585" s="2">
        <f ca="1"/>
        <v>55.237701821175847</v>
      </c>
      <c r="AG5585" s="2">
        <f ca="1"/>
        <v>0.31023684043094835</v>
      </c>
      <c r="AH5585" s="2" t="str">
        <f ca="1"/>
        <v>OK</v>
      </c>
    </row>
    <row r="5586" spans="2:34" x14ac:dyDescent="0.2">
      <c r="B5586" s="2">
        <f ca="1"/>
        <v>0.52038111389052588</v>
      </c>
      <c r="O5586" s="2">
        <f ca="1"/>
        <v>1.2891407054908228</v>
      </c>
      <c r="X5586" s="2">
        <f ca="1"/>
        <v>51.472315487614424</v>
      </c>
      <c r="AG5586" s="2">
        <f ca="1"/>
        <v>0.71988170315328714</v>
      </c>
      <c r="AH5586" s="2" t="str">
        <f ca="1"/>
        <v>Bad</v>
      </c>
    </row>
    <row r="5587" spans="2:34" x14ac:dyDescent="0.2">
      <c r="B5587" s="2">
        <f ca="1"/>
        <v>0.30334664398087563</v>
      </c>
      <c r="O5587" s="2">
        <f ca="1"/>
        <v>1.5586469346752572</v>
      </c>
      <c r="X5587" s="2">
        <f ca="1"/>
        <v>52.203625105121525</v>
      </c>
      <c r="AG5587" s="2">
        <f ca="1"/>
        <v>0.85255900492591596</v>
      </c>
      <c r="AH5587" s="2" t="str">
        <f ca="1"/>
        <v>Bad</v>
      </c>
    </row>
    <row r="5588" spans="2:34" x14ac:dyDescent="0.2">
      <c r="B5588" s="2">
        <f ca="1"/>
        <v>0.86611331994812746</v>
      </c>
      <c r="O5588" s="2">
        <f ca="1"/>
        <v>0.17555036330621543</v>
      </c>
      <c r="X5588" s="2">
        <f ca="1"/>
        <v>79.50432793315025</v>
      </c>
      <c r="AG5588" s="2">
        <f ca="1"/>
        <v>0.42059809249864966</v>
      </c>
      <c r="AH5588" s="2" t="str">
        <f ca="1"/>
        <v>Bad</v>
      </c>
    </row>
    <row r="5589" spans="2:34" x14ac:dyDescent="0.2">
      <c r="B5589" s="2">
        <f ca="1"/>
        <v>0.53918786024514787</v>
      </c>
      <c r="O5589" s="2">
        <f ca="1"/>
        <v>-0.53507138018735001</v>
      </c>
      <c r="X5589" s="2">
        <f ca="1"/>
        <v>30.495872707154639</v>
      </c>
      <c r="AG5589" s="2">
        <f ca="1"/>
        <v>0.96944510097593528</v>
      </c>
      <c r="AH5589" s="2" t="str">
        <f ca="1"/>
        <v>Bad</v>
      </c>
    </row>
    <row r="5590" spans="2:34" x14ac:dyDescent="0.2">
      <c r="B5590" s="2">
        <f ca="1"/>
        <v>0.11449792419103888</v>
      </c>
      <c r="O5590" s="2">
        <f ca="1"/>
        <v>-9.5706028004614974E-2</v>
      </c>
      <c r="X5590" s="2">
        <f ca="1"/>
        <v>41.202381895251278</v>
      </c>
      <c r="AG5590" s="2">
        <f ca="1"/>
        <v>0.28201368297023</v>
      </c>
      <c r="AH5590" s="2" t="str">
        <f ca="1"/>
        <v>OK</v>
      </c>
    </row>
    <row r="5591" spans="2:34" x14ac:dyDescent="0.2">
      <c r="B5591" s="2">
        <f ca="1"/>
        <v>0.57147772706746602</v>
      </c>
      <c r="O5591" s="2">
        <f ca="1"/>
        <v>-9.4160175592279946E-2</v>
      </c>
      <c r="X5591" s="2">
        <f ca="1"/>
        <v>66.605261452335228</v>
      </c>
      <c r="AG5591" s="2">
        <f ca="1"/>
        <v>0.20482775927013708</v>
      </c>
      <c r="AH5591" s="2" t="str">
        <f ca="1"/>
        <v>OK</v>
      </c>
    </row>
    <row r="5592" spans="2:34" x14ac:dyDescent="0.2">
      <c r="B5592" s="2">
        <f ca="1"/>
        <v>0.53890956875482132</v>
      </c>
      <c r="O5592" s="2">
        <f ca="1"/>
        <v>0.74804244266271025</v>
      </c>
      <c r="X5592" s="2">
        <f ca="1"/>
        <v>62.00672859032467</v>
      </c>
      <c r="AG5592" s="2">
        <f ca="1"/>
        <v>0.29820732794773774</v>
      </c>
      <c r="AH5592" s="2" t="str">
        <f ca="1"/>
        <v>OK</v>
      </c>
    </row>
    <row r="5593" spans="2:34" x14ac:dyDescent="0.2">
      <c r="B5593" s="2">
        <f ca="1"/>
        <v>0.43757536542599218</v>
      </c>
      <c r="O5593" s="2">
        <f ca="1"/>
        <v>0.55499563913124406</v>
      </c>
      <c r="X5593" s="2">
        <f ca="1"/>
        <v>79.922760493540068</v>
      </c>
      <c r="AG5593" s="2">
        <f ca="1"/>
        <v>0.14081549682664196</v>
      </c>
      <c r="AH5593" s="2" t="str">
        <f ca="1"/>
        <v>OK</v>
      </c>
    </row>
    <row r="5594" spans="2:34" x14ac:dyDescent="0.2">
      <c r="B5594" s="2">
        <f ca="1"/>
        <v>0.84566247383309934</v>
      </c>
      <c r="O5594" s="2">
        <f ca="1"/>
        <v>1.3013424592162186</v>
      </c>
      <c r="X5594" s="2">
        <f ca="1"/>
        <v>78.544828649200184</v>
      </c>
      <c r="AG5594" s="2">
        <f ca="1"/>
        <v>0.63052419046334629</v>
      </c>
      <c r="AH5594" s="2" t="str">
        <f ca="1"/>
        <v>Bad</v>
      </c>
    </row>
    <row r="5595" spans="2:34" x14ac:dyDescent="0.2">
      <c r="B5595" s="2">
        <f ca="1"/>
        <v>8.9726725961159604E-2</v>
      </c>
      <c r="O5595" s="2">
        <f ca="1"/>
        <v>-1.4705925848365038</v>
      </c>
      <c r="X5595" s="2">
        <f ca="1"/>
        <v>72.384188791936765</v>
      </c>
      <c r="AG5595" s="2">
        <f ca="1"/>
        <v>0.35098624480559337</v>
      </c>
      <c r="AH5595" s="2" t="str">
        <f ca="1"/>
        <v>OK</v>
      </c>
    </row>
    <row r="5596" spans="2:34" x14ac:dyDescent="0.2">
      <c r="B5596" s="2">
        <f ca="1"/>
        <v>9.8894584951225939E-2</v>
      </c>
      <c r="O5596" s="2">
        <f ca="1"/>
        <v>-0.81922859402145964</v>
      </c>
      <c r="X5596" s="2">
        <f ca="1"/>
        <v>60.444150457030318</v>
      </c>
      <c r="AG5596" s="2">
        <f ca="1"/>
        <v>0.90320186279332115</v>
      </c>
      <c r="AH5596" s="2" t="str">
        <f ca="1"/>
        <v>Bad</v>
      </c>
    </row>
    <row r="5597" spans="2:34" x14ac:dyDescent="0.2">
      <c r="B5597" s="2">
        <f ca="1"/>
        <v>0.8847874508797211</v>
      </c>
      <c r="O5597" s="2">
        <f ca="1"/>
        <v>0.57496509833974452</v>
      </c>
      <c r="X5597" s="2">
        <f ca="1"/>
        <v>67.421828150541742</v>
      </c>
      <c r="AG5597" s="2">
        <f ca="1"/>
        <v>0.66915688704297205</v>
      </c>
      <c r="AH5597" s="2" t="str">
        <f ca="1"/>
        <v>Bad</v>
      </c>
    </row>
    <row r="5598" spans="2:34" x14ac:dyDescent="0.2">
      <c r="B5598" s="2">
        <f ca="1"/>
        <v>0.35816761728115165</v>
      </c>
      <c r="O5598" s="2">
        <f ca="1"/>
        <v>0.89962439149567597</v>
      </c>
      <c r="X5598" s="2">
        <f ca="1"/>
        <v>43.966226685516418</v>
      </c>
      <c r="AG5598" s="2">
        <f ca="1"/>
        <v>0.75385482872899701</v>
      </c>
      <c r="AH5598" s="2" t="str">
        <f ca="1"/>
        <v>Bad</v>
      </c>
    </row>
    <row r="5599" spans="2:34" x14ac:dyDescent="0.2">
      <c r="B5599" s="2">
        <f ca="1"/>
        <v>0.37273327380498422</v>
      </c>
      <c r="O5599" s="2">
        <f ca="1"/>
        <v>-1.2975993915166066</v>
      </c>
      <c r="X5599" s="2">
        <f ca="1"/>
        <v>101.93006169240279</v>
      </c>
      <c r="AG5599" s="2">
        <f ca="1"/>
        <v>5.2560020014935871E-2</v>
      </c>
      <c r="AH5599" s="2" t="str">
        <f ca="1"/>
        <v>OK</v>
      </c>
    </row>
    <row r="5600" spans="2:34" x14ac:dyDescent="0.2">
      <c r="B5600" s="2">
        <f ca="1"/>
        <v>0.34819800257102251</v>
      </c>
      <c r="O5600" s="2">
        <f ca="1"/>
        <v>-0.78773580041432512</v>
      </c>
      <c r="X5600" s="2">
        <f ca="1"/>
        <v>57.545860016619052</v>
      </c>
      <c r="AG5600" s="2">
        <f ca="1"/>
        <v>7.860023941971761E-2</v>
      </c>
      <c r="AH5600" s="2" t="str">
        <f ca="1"/>
        <v>OK</v>
      </c>
    </row>
    <row r="5601" spans="2:34" x14ac:dyDescent="0.2">
      <c r="B5601" s="2">
        <f ca="1"/>
        <v>2.460095863369971E-2</v>
      </c>
      <c r="O5601" s="2">
        <f ca="1"/>
        <v>0.65123014771623711</v>
      </c>
      <c r="X5601" s="2">
        <f ca="1"/>
        <v>78.378116077986817</v>
      </c>
      <c r="AG5601" s="2">
        <f ca="1"/>
        <v>0.40164669086363536</v>
      </c>
      <c r="AH5601" s="2" t="str">
        <f ca="1"/>
        <v>Bad</v>
      </c>
    </row>
    <row r="5602" spans="2:34" x14ac:dyDescent="0.2">
      <c r="B5602" s="2">
        <f ca="1"/>
        <v>0.73719372325378951</v>
      </c>
      <c r="O5602" s="2">
        <f ca="1"/>
        <v>-0.77997867288548051</v>
      </c>
      <c r="X5602" s="2">
        <f ca="1"/>
        <v>51.665337493502072</v>
      </c>
      <c r="AG5602" s="2">
        <f ca="1"/>
        <v>0.70891219298141439</v>
      </c>
      <c r="AH5602" s="2" t="str">
        <f ca="1"/>
        <v>Bad</v>
      </c>
    </row>
    <row r="5603" spans="2:34" x14ac:dyDescent="0.2">
      <c r="B5603" s="2">
        <f ca="1"/>
        <v>0.72183127403774128</v>
      </c>
      <c r="O5603" s="2">
        <f ca="1"/>
        <v>-0.10848686886561497</v>
      </c>
      <c r="X5603" s="2">
        <f ca="1"/>
        <v>80.025468262157204</v>
      </c>
      <c r="AG5603" s="2">
        <f ca="1"/>
        <v>5.6433251915985139E-2</v>
      </c>
      <c r="AH5603" s="2" t="str">
        <f ca="1"/>
        <v>OK</v>
      </c>
    </row>
    <row r="5604" spans="2:34" x14ac:dyDescent="0.2">
      <c r="B5604" s="2">
        <f ca="1"/>
        <v>0.36273940230924184</v>
      </c>
      <c r="O5604" s="2">
        <f ca="1"/>
        <v>0.37022359689224865</v>
      </c>
      <c r="X5604" s="2">
        <f ca="1"/>
        <v>31.767310946854067</v>
      </c>
      <c r="AG5604" s="2">
        <f ca="1"/>
        <v>0.95128236277584177</v>
      </c>
      <c r="AH5604" s="2" t="str">
        <f ca="1"/>
        <v>Bad</v>
      </c>
    </row>
    <row r="5605" spans="2:34" x14ac:dyDescent="0.2">
      <c r="B5605" s="2">
        <f ca="1"/>
        <v>5.3951120209724701E-2</v>
      </c>
      <c r="O5605" s="2">
        <f ca="1"/>
        <v>-9.5110908815614681E-2</v>
      </c>
      <c r="X5605" s="2">
        <f ca="1"/>
        <v>51.630250765527428</v>
      </c>
      <c r="AG5605" s="2">
        <f ca="1"/>
        <v>0.56828817519661801</v>
      </c>
      <c r="AH5605" s="2" t="str">
        <f ca="1"/>
        <v>Bad</v>
      </c>
    </row>
    <row r="5606" spans="2:34" x14ac:dyDescent="0.2">
      <c r="B5606" s="2">
        <f ca="1"/>
        <v>0.78275327321323629</v>
      </c>
      <c r="O5606" s="2">
        <f ca="1"/>
        <v>-0.98491006627079269</v>
      </c>
      <c r="X5606" s="2">
        <f ca="1"/>
        <v>31.253017039624243</v>
      </c>
      <c r="AG5606" s="2">
        <f ca="1"/>
        <v>0.16376341053524457</v>
      </c>
      <c r="AH5606" s="2" t="str">
        <f ca="1"/>
        <v>OK</v>
      </c>
    </row>
    <row r="5607" spans="2:34" x14ac:dyDescent="0.2">
      <c r="B5607" s="2">
        <f ca="1"/>
        <v>0.51859559139514078</v>
      </c>
      <c r="O5607" s="2">
        <f ca="1"/>
        <v>2.0259197392528869</v>
      </c>
      <c r="X5607" s="2">
        <f ca="1"/>
        <v>64.140543050766098</v>
      </c>
      <c r="AG5607" s="2">
        <f ca="1"/>
        <v>0.31149373182991313</v>
      </c>
      <c r="AH5607" s="2" t="str">
        <f ca="1"/>
        <v>OK</v>
      </c>
    </row>
    <row r="5608" spans="2:34" x14ac:dyDescent="0.2">
      <c r="B5608" s="2">
        <f ca="1"/>
        <v>0.61069400673280594</v>
      </c>
      <c r="O5608" s="2">
        <f ca="1"/>
        <v>1.1098412790162648</v>
      </c>
      <c r="X5608" s="2">
        <f ca="1"/>
        <v>49.189680504773506</v>
      </c>
      <c r="AG5608" s="2">
        <f ca="1"/>
        <v>0.69666882979161637</v>
      </c>
      <c r="AH5608" s="2" t="str">
        <f ca="1"/>
        <v>Bad</v>
      </c>
    </row>
    <row r="5609" spans="2:34" x14ac:dyDescent="0.2">
      <c r="B5609" s="2">
        <f ca="1"/>
        <v>0.14590544869469491</v>
      </c>
      <c r="O5609" s="2">
        <f ca="1"/>
        <v>-1.0228415873526076</v>
      </c>
      <c r="X5609" s="2">
        <f ca="1"/>
        <v>40.731671022219018</v>
      </c>
      <c r="AG5609" s="2">
        <f ca="1"/>
        <v>0.28228320783239025</v>
      </c>
      <c r="AH5609" s="2" t="str">
        <f ca="1"/>
        <v>OK</v>
      </c>
    </row>
    <row r="5610" spans="2:34" x14ac:dyDescent="0.2">
      <c r="B5610" s="2">
        <f ca="1"/>
        <v>0.79891691255732433</v>
      </c>
      <c r="O5610" s="2">
        <f ca="1"/>
        <v>-0.755797340657827</v>
      </c>
      <c r="X5610" s="2">
        <f ca="1"/>
        <v>46.873456987995169</v>
      </c>
      <c r="AG5610" s="2">
        <f ca="1"/>
        <v>0.34514354771439382</v>
      </c>
      <c r="AH5610" s="2" t="str">
        <f ca="1"/>
        <v>OK</v>
      </c>
    </row>
    <row r="5611" spans="2:34" x14ac:dyDescent="0.2">
      <c r="B5611" s="2">
        <f ca="1"/>
        <v>0.99341111145808769</v>
      </c>
      <c r="O5611" s="2">
        <f ca="1"/>
        <v>0.48450202437574552</v>
      </c>
      <c r="X5611" s="2">
        <f ca="1"/>
        <v>49.584910930199953</v>
      </c>
      <c r="AG5611" s="2">
        <f ca="1"/>
        <v>0.42156786628625542</v>
      </c>
      <c r="AH5611" s="2" t="str">
        <f ca="1"/>
        <v>Bad</v>
      </c>
    </row>
    <row r="5612" spans="2:34" x14ac:dyDescent="0.2">
      <c r="B5612" s="2">
        <f ca="1"/>
        <v>0.49707929367386994</v>
      </c>
      <c r="O5612" s="2">
        <f ca="1"/>
        <v>-1.0283780454571814</v>
      </c>
      <c r="X5612" s="2">
        <f ca="1"/>
        <v>29.75019306767113</v>
      </c>
      <c r="AG5612" s="2">
        <f ca="1"/>
        <v>0.68239849978042</v>
      </c>
      <c r="AH5612" s="2" t="str">
        <f ca="1"/>
        <v>Bad</v>
      </c>
    </row>
    <row r="5613" spans="2:34" x14ac:dyDescent="0.2">
      <c r="B5613" s="2">
        <f ca="1"/>
        <v>0.8668147320292916</v>
      </c>
      <c r="O5613" s="2">
        <f ca="1"/>
        <v>0.75379229446080098</v>
      </c>
      <c r="X5613" s="2">
        <f ca="1"/>
        <v>33.526284497855222</v>
      </c>
      <c r="AG5613" s="2">
        <f ca="1"/>
        <v>0.56294617950929537</v>
      </c>
      <c r="AH5613" s="2" t="str">
        <f ca="1"/>
        <v>Bad</v>
      </c>
    </row>
    <row r="5614" spans="2:34" x14ac:dyDescent="0.2">
      <c r="B5614" s="2">
        <f ca="1"/>
        <v>0.29263857529426951</v>
      </c>
      <c r="O5614" s="2">
        <f ca="1"/>
        <v>2.3613382957061742</v>
      </c>
      <c r="X5614" s="2">
        <f ca="1"/>
        <v>25.860980228065038</v>
      </c>
      <c r="AG5614" s="2">
        <f ca="1"/>
        <v>0.26838830340276165</v>
      </c>
      <c r="AH5614" s="2" t="str">
        <f ca="1"/>
        <v>OK</v>
      </c>
    </row>
    <row r="5615" spans="2:34" x14ac:dyDescent="0.2">
      <c r="B5615" s="2">
        <f ca="1"/>
        <v>0.98266589004738947</v>
      </c>
      <c r="O5615" s="2">
        <f ca="1"/>
        <v>0.51344128969130376</v>
      </c>
      <c r="X5615" s="2">
        <f ca="1"/>
        <v>27.934153994844998</v>
      </c>
      <c r="AG5615" s="2">
        <f ca="1"/>
        <v>0.80428330217289279</v>
      </c>
      <c r="AH5615" s="2" t="str">
        <f ca="1"/>
        <v>Bad</v>
      </c>
    </row>
    <row r="5616" spans="2:34" x14ac:dyDescent="0.2">
      <c r="B5616" s="2">
        <f ca="1"/>
        <v>0.78741084377242476</v>
      </c>
      <c r="O5616" s="2">
        <f ca="1"/>
        <v>-0.76770302262075163</v>
      </c>
      <c r="X5616" s="2">
        <f ca="1"/>
        <v>45.270677596241143</v>
      </c>
      <c r="AG5616" s="2">
        <f ca="1"/>
        <v>0.15146542257602769</v>
      </c>
      <c r="AH5616" s="2" t="str">
        <f ca="1"/>
        <v>OK</v>
      </c>
    </row>
    <row r="5617" spans="2:34" x14ac:dyDescent="0.2">
      <c r="B5617" s="2">
        <f ca="1"/>
        <v>0.95119778095554697</v>
      </c>
      <c r="O5617" s="2">
        <f ca="1"/>
        <v>-0.28001578904816338</v>
      </c>
      <c r="X5617" s="2">
        <f ca="1"/>
        <v>33.014838532292906</v>
      </c>
      <c r="AG5617" s="2">
        <f ca="1"/>
        <v>0.73654160817681569</v>
      </c>
      <c r="AH5617" s="2" t="str">
        <f ca="1"/>
        <v>Bad</v>
      </c>
    </row>
    <row r="5618" spans="2:34" x14ac:dyDescent="0.2">
      <c r="B5618" s="2">
        <f ca="1"/>
        <v>0.45300389996763513</v>
      </c>
      <c r="O5618" s="2">
        <f ca="1"/>
        <v>-1.0203777401674281</v>
      </c>
      <c r="X5618" s="2">
        <f ca="1"/>
        <v>25.692296623555407</v>
      </c>
      <c r="AG5618" s="2">
        <f ca="1"/>
        <v>0.75901052669887314</v>
      </c>
      <c r="AH5618" s="2" t="str">
        <f ca="1"/>
        <v>Bad</v>
      </c>
    </row>
    <row r="5619" spans="2:34" x14ac:dyDescent="0.2">
      <c r="B5619" s="2">
        <f ca="1"/>
        <v>0.50587107617407412</v>
      </c>
      <c r="O5619" s="2">
        <f ca="1"/>
        <v>-1.2815258454814431</v>
      </c>
      <c r="X5619" s="2">
        <f ca="1"/>
        <v>62.750823173006779</v>
      </c>
      <c r="AG5619" s="2">
        <f ca="1"/>
        <v>0.44524792869171592</v>
      </c>
      <c r="AH5619" s="2" t="str">
        <f ca="1"/>
        <v>Bad</v>
      </c>
    </row>
    <row r="5620" spans="2:34" x14ac:dyDescent="0.2">
      <c r="B5620" s="2">
        <f ca="1"/>
        <v>0.53274432459304921</v>
      </c>
      <c r="O5620" s="2">
        <f ca="1"/>
        <v>-0.72380269320038637</v>
      </c>
      <c r="X5620" s="2">
        <f ca="1"/>
        <v>57.681674973877968</v>
      </c>
      <c r="AG5620" s="2">
        <f ca="1"/>
        <v>0.31442787048756493</v>
      </c>
      <c r="AH5620" s="2" t="str">
        <f ca="1"/>
        <v>OK</v>
      </c>
    </row>
    <row r="5621" spans="2:34" x14ac:dyDescent="0.2">
      <c r="B5621" s="2">
        <f ca="1"/>
        <v>0.44188630326580935</v>
      </c>
      <c r="O5621" s="2">
        <f ca="1"/>
        <v>0.1935177059859878</v>
      </c>
      <c r="X5621" s="2">
        <f ca="1"/>
        <v>42.800669990229437</v>
      </c>
      <c r="AG5621" s="2">
        <f ca="1"/>
        <v>8.435104522164405E-2</v>
      </c>
      <c r="AH5621" s="2" t="str">
        <f ca="1"/>
        <v>OK</v>
      </c>
    </row>
    <row r="5622" spans="2:34" x14ac:dyDescent="0.2">
      <c r="B5622" s="2">
        <f ca="1"/>
        <v>0.64143241120690453</v>
      </c>
      <c r="O5622" s="2">
        <f ca="1"/>
        <v>-0.30683793442990953</v>
      </c>
      <c r="X5622" s="2">
        <f ca="1"/>
        <v>37.790623719243698</v>
      </c>
      <c r="AG5622" s="2">
        <f ca="1"/>
        <v>0.4519541290044844</v>
      </c>
      <c r="AH5622" s="2" t="str">
        <f ca="1"/>
        <v>Bad</v>
      </c>
    </row>
    <row r="5623" spans="2:34" x14ac:dyDescent="0.2">
      <c r="B5623" s="2">
        <f ca="1"/>
        <v>0.66342672553526771</v>
      </c>
      <c r="O5623" s="2">
        <f ca="1"/>
        <v>0.90671842462160146</v>
      </c>
      <c r="X5623" s="2">
        <f ca="1"/>
        <v>35.67010680578597</v>
      </c>
      <c r="AG5623" s="2">
        <f ca="1"/>
        <v>0.15476912282732669</v>
      </c>
      <c r="AH5623" s="2" t="str">
        <f ca="1"/>
        <v>OK</v>
      </c>
    </row>
    <row r="5624" spans="2:34" x14ac:dyDescent="0.2">
      <c r="B5624" s="2">
        <f ca="1"/>
        <v>0.54830812139902418</v>
      </c>
      <c r="O5624" s="2">
        <f ca="1"/>
        <v>1.3026922701111421</v>
      </c>
      <c r="X5624" s="2">
        <f ca="1"/>
        <v>83.136992591339705</v>
      </c>
      <c r="AG5624" s="2">
        <f ca="1"/>
        <v>0.34857997821401643</v>
      </c>
      <c r="AH5624" s="2" t="str">
        <f ca="1"/>
        <v>OK</v>
      </c>
    </row>
    <row r="5625" spans="2:34" x14ac:dyDescent="0.2">
      <c r="B5625" s="2">
        <f ca="1"/>
        <v>0.12359444939386965</v>
      </c>
      <c r="O5625" s="2">
        <f ca="1"/>
        <v>-1.5353033720595239</v>
      </c>
      <c r="X5625" s="2">
        <f ca="1"/>
        <v>36.926257069417488</v>
      </c>
      <c r="AG5625" s="2">
        <f ca="1"/>
        <v>6.3598503400409623E-2</v>
      </c>
      <c r="AH5625" s="2" t="str">
        <f ca="1"/>
        <v>OK</v>
      </c>
    </row>
    <row r="5626" spans="2:34" x14ac:dyDescent="0.2">
      <c r="B5626" s="2">
        <f ca="1"/>
        <v>0.74576635482901432</v>
      </c>
      <c r="O5626" s="2">
        <f ca="1"/>
        <v>-1.0612251600683644</v>
      </c>
      <c r="X5626" s="2">
        <f ca="1"/>
        <v>83.951791306451696</v>
      </c>
      <c r="AG5626" s="2">
        <f ca="1"/>
        <v>2.6646293073829153E-2</v>
      </c>
      <c r="AH5626" s="2" t="str">
        <f ca="1"/>
        <v>Good</v>
      </c>
    </row>
    <row r="5627" spans="2:34" x14ac:dyDescent="0.2">
      <c r="B5627" s="2">
        <f ca="1"/>
        <v>0.44677600618217728</v>
      </c>
      <c r="O5627" s="2">
        <f ca="1"/>
        <v>-1.0656389154319912</v>
      </c>
      <c r="X5627" s="2">
        <f ca="1"/>
        <v>55.935810992356167</v>
      </c>
      <c r="AG5627" s="2">
        <f ca="1"/>
        <v>0.24173681738275699</v>
      </c>
      <c r="AH5627" s="2" t="str">
        <f ca="1"/>
        <v>OK</v>
      </c>
    </row>
    <row r="5628" spans="2:34" x14ac:dyDescent="0.2">
      <c r="B5628" s="2">
        <f ca="1"/>
        <v>0.14812529348490955</v>
      </c>
      <c r="O5628" s="2">
        <f ca="1"/>
        <v>0.99333803779184315</v>
      </c>
      <c r="X5628" s="2">
        <f ca="1"/>
        <v>40.136405547457983</v>
      </c>
      <c r="AG5628" s="2">
        <f ca="1"/>
        <v>0.71711237730510846</v>
      </c>
      <c r="AH5628" s="2" t="str">
        <f ca="1"/>
        <v>Bad</v>
      </c>
    </row>
    <row r="5629" spans="2:34" x14ac:dyDescent="0.2">
      <c r="B5629" s="2">
        <f ca="1"/>
        <v>0.86214477302344839</v>
      </c>
      <c r="O5629" s="2">
        <f ca="1"/>
        <v>9.3548844349365057E-2</v>
      </c>
      <c r="X5629" s="2">
        <f ca="1"/>
        <v>23.27304278920662</v>
      </c>
      <c r="AG5629" s="2">
        <f ca="1"/>
        <v>0.14644556519469742</v>
      </c>
      <c r="AH5629" s="2" t="str">
        <f ca="1"/>
        <v>OK</v>
      </c>
    </row>
    <row r="5630" spans="2:34" x14ac:dyDescent="0.2">
      <c r="B5630" s="2">
        <f ca="1"/>
        <v>0.54854963851316296</v>
      </c>
      <c r="O5630" s="2">
        <f ca="1"/>
        <v>-1.1585764580220901</v>
      </c>
      <c r="X5630" s="2">
        <f ca="1"/>
        <v>47.702349733561007</v>
      </c>
      <c r="AG5630" s="2">
        <f ca="1"/>
        <v>0.69878686650490884</v>
      </c>
      <c r="AH5630" s="2" t="str">
        <f ca="1"/>
        <v>Bad</v>
      </c>
    </row>
    <row r="5631" spans="2:34" x14ac:dyDescent="0.2">
      <c r="B5631" s="2">
        <f ca="1"/>
        <v>0.15709890586454178</v>
      </c>
      <c r="O5631" s="2">
        <f ca="1"/>
        <v>0.36104378569945772</v>
      </c>
      <c r="X5631" s="2">
        <f ca="1"/>
        <v>24.156255581906887</v>
      </c>
      <c r="AG5631" s="2">
        <f ca="1"/>
        <v>0.5846033324395199</v>
      </c>
      <c r="AH5631" s="2" t="str">
        <f ca="1"/>
        <v>Bad</v>
      </c>
    </row>
    <row r="5632" spans="2:34" x14ac:dyDescent="0.2">
      <c r="B5632" s="2">
        <f ca="1"/>
        <v>0.65675425774205909</v>
      </c>
      <c r="O5632" s="2">
        <f ca="1"/>
        <v>0.16392886395169134</v>
      </c>
      <c r="X5632" s="2">
        <f ca="1"/>
        <v>38.555273574948778</v>
      </c>
      <c r="AG5632" s="2">
        <f ca="1"/>
        <v>0.55751826858627873</v>
      </c>
      <c r="AH5632" s="2" t="str">
        <f ca="1"/>
        <v>Bad</v>
      </c>
    </row>
    <row r="5633" spans="2:34" x14ac:dyDescent="0.2">
      <c r="B5633" s="2">
        <f ca="1"/>
        <v>0.25419894902717188</v>
      </c>
      <c r="O5633" s="2">
        <f ca="1"/>
        <v>1.5304960574836239</v>
      </c>
      <c r="X5633" s="2">
        <f ca="1"/>
        <v>53.881413315557047</v>
      </c>
      <c r="AG5633" s="2">
        <f ca="1"/>
        <v>0.59439599222380046</v>
      </c>
      <c r="AH5633" s="2" t="str">
        <f ca="1"/>
        <v>Bad</v>
      </c>
    </row>
    <row r="5634" spans="2:34" x14ac:dyDescent="0.2">
      <c r="B5634" s="2">
        <f ca="1"/>
        <v>0.74518534574606532</v>
      </c>
      <c r="O5634" s="2">
        <f ca="1"/>
        <v>0.14989429534756396</v>
      </c>
      <c r="X5634" s="2">
        <f ca="1"/>
        <v>39.807801443344253</v>
      </c>
      <c r="AG5634" s="2">
        <f ca="1"/>
        <v>0.50991991946889326</v>
      </c>
      <c r="AH5634" s="2" t="str">
        <f ca="1"/>
        <v>Bad</v>
      </c>
    </row>
    <row r="5635" spans="2:34" x14ac:dyDescent="0.2">
      <c r="B5635" s="2">
        <f ca="1"/>
        <v>0.56469818483807832</v>
      </c>
      <c r="O5635" s="2">
        <f ca="1"/>
        <v>-1.6145692423787996</v>
      </c>
      <c r="X5635" s="2">
        <f ca="1"/>
        <v>34.641649639671584</v>
      </c>
      <c r="AG5635" s="2">
        <f ca="1"/>
        <v>0.27574579842263436</v>
      </c>
      <c r="AH5635" s="2" t="str">
        <f ca="1"/>
        <v>OK</v>
      </c>
    </row>
    <row r="5636" spans="2:34" x14ac:dyDescent="0.2">
      <c r="B5636" s="2">
        <f ca="1"/>
        <v>0.49796047061643511</v>
      </c>
      <c r="O5636" s="2">
        <f ca="1"/>
        <v>-1.2512347751917603</v>
      </c>
      <c r="X5636" s="2">
        <f ca="1"/>
        <v>60.402924933105517</v>
      </c>
      <c r="AG5636" s="2">
        <f ca="1"/>
        <v>0.73814286497340365</v>
      </c>
      <c r="AH5636" s="2" t="str">
        <f ca="1"/>
        <v>Bad</v>
      </c>
    </row>
    <row r="5637" spans="2:34" x14ac:dyDescent="0.2">
      <c r="B5637" s="2">
        <f ca="1"/>
        <v>0.71478489491710229</v>
      </c>
      <c r="O5637" s="2">
        <f ca="1"/>
        <v>0.79371001987649703</v>
      </c>
      <c r="X5637" s="2">
        <f ca="1"/>
        <v>63.440570766749516</v>
      </c>
      <c r="AG5637" s="2">
        <f ca="1"/>
        <v>0.24409445448990996</v>
      </c>
      <c r="AH5637" s="2" t="str">
        <f ca="1"/>
        <v>OK</v>
      </c>
    </row>
    <row r="5638" spans="2:34" x14ac:dyDescent="0.2">
      <c r="B5638" s="2">
        <f ca="1"/>
        <v>0.67489083788773074</v>
      </c>
      <c r="O5638" s="2">
        <f ca="1"/>
        <v>-0.67517449517911399</v>
      </c>
      <c r="X5638" s="2">
        <f ca="1"/>
        <v>46.593977648759939</v>
      </c>
      <c r="AG5638" s="2">
        <f ca="1"/>
        <v>0.20120122536852469</v>
      </c>
      <c r="AH5638" s="2" t="str">
        <f ca="1"/>
        <v>OK</v>
      </c>
    </row>
    <row r="5639" spans="2:34" x14ac:dyDescent="0.2">
      <c r="B5639" s="2">
        <f ca="1"/>
        <v>0.5137415345875358</v>
      </c>
      <c r="O5639" s="2">
        <f ca="1"/>
        <v>-0.16110087416823254</v>
      </c>
      <c r="X5639" s="2">
        <f ca="1"/>
        <v>63.487844253694874</v>
      </c>
      <c r="AG5639" s="2">
        <f ca="1"/>
        <v>0.32905656983327813</v>
      </c>
      <c r="AH5639" s="2" t="str">
        <f ca="1"/>
        <v>OK</v>
      </c>
    </row>
    <row r="5640" spans="2:34" x14ac:dyDescent="0.2">
      <c r="B5640" s="2">
        <f ca="1"/>
        <v>0.30756180173851377</v>
      </c>
      <c r="O5640" s="2">
        <f ca="1"/>
        <v>-1.0177671297548234</v>
      </c>
      <c r="X5640" s="2">
        <f ca="1"/>
        <v>60.638497713860176</v>
      </c>
      <c r="AG5640" s="2">
        <f ca="1"/>
        <v>0.83333136796012197</v>
      </c>
      <c r="AH5640" s="2" t="str">
        <f ca="1"/>
        <v>Bad</v>
      </c>
    </row>
    <row r="5641" spans="2:34" x14ac:dyDescent="0.2">
      <c r="B5641" s="2">
        <f ca="1"/>
        <v>0.17890082796439755</v>
      </c>
      <c r="O5641" s="2">
        <f ca="1"/>
        <v>0.50976448120740137</v>
      </c>
      <c r="X5641" s="2">
        <f ca="1"/>
        <v>41.948845973030345</v>
      </c>
      <c r="AG5641" s="2">
        <f ca="1"/>
        <v>0.23034082906968445</v>
      </c>
      <c r="AH5641" s="2" t="str">
        <f ca="1"/>
        <v>OK</v>
      </c>
    </row>
    <row r="5642" spans="2:34" x14ac:dyDescent="0.2">
      <c r="B5642" s="2">
        <f ca="1"/>
        <v>0.62332030695841545</v>
      </c>
      <c r="O5642" s="2">
        <f ca="1"/>
        <v>0.39925771944345795</v>
      </c>
      <c r="X5642" s="2">
        <f ca="1"/>
        <v>88.61858723573377</v>
      </c>
      <c r="AG5642" s="2">
        <f ca="1"/>
        <v>0.75491157324782465</v>
      </c>
      <c r="AH5642" s="2" t="str">
        <f ca="1"/>
        <v>Bad</v>
      </c>
    </row>
    <row r="5643" spans="2:34" x14ac:dyDescent="0.2">
      <c r="B5643" s="2">
        <f ca="1"/>
        <v>0.34125350569743729</v>
      </c>
      <c r="O5643" s="2">
        <f ca="1"/>
        <v>2.0791663615363141</v>
      </c>
      <c r="X5643" s="2">
        <f ca="1"/>
        <v>33.811049820621264</v>
      </c>
      <c r="AG5643" s="2">
        <f ca="1"/>
        <v>0.3888669799060489</v>
      </c>
      <c r="AH5643" s="2" t="str">
        <f ca="1"/>
        <v>OK</v>
      </c>
    </row>
    <row r="5644" spans="2:34" x14ac:dyDescent="0.2">
      <c r="B5644" s="2">
        <f ca="1"/>
        <v>0.98458810220564685</v>
      </c>
      <c r="O5644" s="2">
        <f ca="1"/>
        <v>0.88386249462496902</v>
      </c>
      <c r="X5644" s="2">
        <f ca="1"/>
        <v>35.818784314780913</v>
      </c>
      <c r="AG5644" s="2">
        <f ca="1"/>
        <v>0.41537766630769668</v>
      </c>
      <c r="AH5644" s="2" t="str">
        <f ca="1"/>
        <v>Bad</v>
      </c>
    </row>
    <row r="5645" spans="2:34" x14ac:dyDescent="0.2">
      <c r="B5645" s="2">
        <f ca="1"/>
        <v>0.74399452241774489</v>
      </c>
      <c r="O5645" s="2">
        <f ca="1"/>
        <v>-0.47857674042487275</v>
      </c>
      <c r="X5645" s="2">
        <f ca="1"/>
        <v>54.745091853287406</v>
      </c>
      <c r="AG5645" s="2">
        <f ca="1"/>
        <v>0.15833128330555057</v>
      </c>
      <c r="AH5645" s="2" t="str">
        <f ca="1"/>
        <v>OK</v>
      </c>
    </row>
    <row r="5646" spans="2:34" x14ac:dyDescent="0.2">
      <c r="B5646" s="2">
        <f ca="1"/>
        <v>0.59005073493630711</v>
      </c>
      <c r="O5646" s="2">
        <f ca="1"/>
        <v>0.10536354118289275</v>
      </c>
      <c r="X5646" s="2">
        <f ca="1"/>
        <v>66.39860458009548</v>
      </c>
      <c r="AG5646" s="2">
        <f ca="1"/>
        <v>0.39124585431305103</v>
      </c>
      <c r="AH5646" s="2" t="str">
        <f ca="1"/>
        <v>OK</v>
      </c>
    </row>
    <row r="5647" spans="2:34" x14ac:dyDescent="0.2">
      <c r="B5647" s="2">
        <f ca="1"/>
        <v>7.7529493553696316E-3</v>
      </c>
      <c r="O5647" s="2">
        <f ca="1"/>
        <v>-0.27409579529667383</v>
      </c>
      <c r="X5647" s="2">
        <f ca="1"/>
        <v>36.276946792405965</v>
      </c>
      <c r="AG5647" s="2">
        <f ca="1"/>
        <v>0.20790019868656295</v>
      </c>
      <c r="AH5647" s="2" t="str">
        <f ca="1"/>
        <v>OK</v>
      </c>
    </row>
    <row r="5648" spans="2:34" x14ac:dyDescent="0.2">
      <c r="B5648" s="2">
        <f ca="1"/>
        <v>0.83098449280800946</v>
      </c>
      <c r="O5648" s="2">
        <f ca="1"/>
        <v>0.27961921735349499</v>
      </c>
      <c r="X5648" s="2">
        <f ca="1"/>
        <v>51.350192254302165</v>
      </c>
      <c r="AG5648" s="2">
        <f ca="1"/>
        <v>0.54477792204776221</v>
      </c>
      <c r="AH5648" s="2" t="str">
        <f ca="1"/>
        <v>Bad</v>
      </c>
    </row>
    <row r="5649" spans="2:34" x14ac:dyDescent="0.2">
      <c r="B5649" s="2">
        <f ca="1"/>
        <v>0.87063842598715446</v>
      </c>
      <c r="O5649" s="2">
        <f ca="1"/>
        <v>0.71576342679512217</v>
      </c>
      <c r="X5649" s="2">
        <f ca="1"/>
        <v>76.601691460048812</v>
      </c>
      <c r="AG5649" s="2">
        <f ca="1"/>
        <v>0.6262081148463956</v>
      </c>
      <c r="AH5649" s="2" t="str">
        <f ca="1"/>
        <v>Bad</v>
      </c>
    </row>
    <row r="5650" spans="2:34" x14ac:dyDescent="0.2">
      <c r="B5650" s="2">
        <f ca="1"/>
        <v>0.28562261242075349</v>
      </c>
      <c r="O5650" s="2">
        <f ca="1"/>
        <v>0.70545632462223939</v>
      </c>
      <c r="X5650" s="2">
        <f ca="1"/>
        <v>37.081715951290242</v>
      </c>
      <c r="AG5650" s="2">
        <f ca="1"/>
        <v>0.46383814054381101</v>
      </c>
      <c r="AH5650" s="2" t="str">
        <f ca="1"/>
        <v>Bad</v>
      </c>
    </row>
    <row r="5651" spans="2:34" x14ac:dyDescent="0.2">
      <c r="B5651" s="2">
        <f ca="1"/>
        <v>0.57000827181414948</v>
      </c>
      <c r="O5651" s="2">
        <f ca="1"/>
        <v>-0.32341784844318405</v>
      </c>
      <c r="X5651" s="2">
        <f ca="1"/>
        <v>44.42922372397895</v>
      </c>
      <c r="AG5651" s="2">
        <f ca="1"/>
        <v>0.58552837707596406</v>
      </c>
      <c r="AH5651" s="2" t="str">
        <f ca="1"/>
        <v>Bad</v>
      </c>
    </row>
    <row r="5652" spans="2:34" x14ac:dyDescent="0.2">
      <c r="B5652" s="2">
        <f ca="1"/>
        <v>0.96456752331841478</v>
      </c>
      <c r="O5652" s="2">
        <f ca="1"/>
        <v>-1.2227647727123196</v>
      </c>
      <c r="X5652" s="2">
        <f ca="1"/>
        <v>72.278320932234536</v>
      </c>
      <c r="AG5652" s="2">
        <f ca="1"/>
        <v>0.79678176398629996</v>
      </c>
      <c r="AH5652" s="2" t="str">
        <f ca="1"/>
        <v>Bad</v>
      </c>
    </row>
    <row r="5653" spans="2:34" x14ac:dyDescent="0.2">
      <c r="B5653" s="2">
        <f ca="1"/>
        <v>0.32496426035235015</v>
      </c>
      <c r="O5653" s="2">
        <f ca="1"/>
        <v>1.0076454092761897</v>
      </c>
      <c r="X5653" s="2">
        <f ca="1"/>
        <v>23.626732403718496</v>
      </c>
      <c r="AG5653" s="2">
        <f ca="1"/>
        <v>0.1057003497093616</v>
      </c>
      <c r="AH5653" s="2" t="str">
        <f ca="1"/>
        <v>OK</v>
      </c>
    </row>
    <row r="5654" spans="2:34" x14ac:dyDescent="0.2">
      <c r="B5654" s="2">
        <f ca="1"/>
        <v>0.48912804451802105</v>
      </c>
      <c r="O5654" s="2">
        <f ca="1"/>
        <v>1.6420997759973337</v>
      </c>
      <c r="X5654" s="2">
        <f ca="1"/>
        <v>59.212260567744806</v>
      </c>
      <c r="AG5654" s="2">
        <f ca="1"/>
        <v>0.42076731148616653</v>
      </c>
      <c r="AH5654" s="2" t="str">
        <f ca="1"/>
        <v>Bad</v>
      </c>
    </row>
    <row r="5655" spans="2:34" x14ac:dyDescent="0.2">
      <c r="B5655" s="2">
        <f ca="1"/>
        <v>0.53517507537271958</v>
      </c>
      <c r="O5655" s="2">
        <f ca="1"/>
        <v>-4.3193614971405454E-2</v>
      </c>
      <c r="X5655" s="2">
        <f ca="1"/>
        <v>19.515401792710414</v>
      </c>
      <c r="AG5655" s="2">
        <f ca="1"/>
        <v>0.90025753466542957</v>
      </c>
      <c r="AH5655" s="2" t="str">
        <f ca="1"/>
        <v>Bad</v>
      </c>
    </row>
    <row r="5656" spans="2:34" x14ac:dyDescent="0.2">
      <c r="B5656" s="2">
        <f ca="1"/>
        <v>0.29503324909296458</v>
      </c>
      <c r="O5656" s="2">
        <f ca="1"/>
        <v>2.0791800476414606</v>
      </c>
      <c r="X5656" s="2">
        <f ca="1"/>
        <v>65.297027319694493</v>
      </c>
      <c r="AG5656" s="2">
        <f ca="1"/>
        <v>0.10004207099057605</v>
      </c>
      <c r="AH5656" s="2" t="str">
        <f ca="1"/>
        <v>OK</v>
      </c>
    </row>
    <row r="5657" spans="2:34" x14ac:dyDescent="0.2">
      <c r="B5657" s="2">
        <f ca="1"/>
        <v>0.3801280787433865</v>
      </c>
      <c r="O5657" s="2">
        <f ca="1"/>
        <v>-0.44874816637696502</v>
      </c>
      <c r="X5657" s="2">
        <f ca="1"/>
        <v>55.999099052294497</v>
      </c>
      <c r="AG5657" s="2">
        <f ca="1"/>
        <v>0.95995149764108056</v>
      </c>
      <c r="AH5657" s="2" t="str">
        <f ca="1"/>
        <v>Bad</v>
      </c>
    </row>
    <row r="5658" spans="2:34" x14ac:dyDescent="0.2">
      <c r="B5658" s="2">
        <f ca="1"/>
        <v>0.60025342693583728</v>
      </c>
      <c r="O5658" s="2">
        <f ca="1"/>
        <v>5.6182401589755671E-3</v>
      </c>
      <c r="X5658" s="2">
        <f ca="1"/>
        <v>39.975313793811566</v>
      </c>
      <c r="AG5658" s="2">
        <f ca="1"/>
        <v>7.3315343676535472E-2</v>
      </c>
      <c r="AH5658" s="2" t="str">
        <f ca="1"/>
        <v>OK</v>
      </c>
    </row>
    <row r="5659" spans="2:34" x14ac:dyDescent="0.2">
      <c r="B5659" s="2">
        <f ca="1"/>
        <v>0.88137629326806555</v>
      </c>
      <c r="O5659" s="2">
        <f ca="1"/>
        <v>0.70778385902443353</v>
      </c>
      <c r="X5659" s="2">
        <f ca="1"/>
        <v>50.229668548358042</v>
      </c>
      <c r="AG5659" s="2">
        <f ca="1"/>
        <v>0.3565627660125319</v>
      </c>
      <c r="AH5659" s="2" t="str">
        <f ca="1"/>
        <v>OK</v>
      </c>
    </row>
    <row r="5660" spans="2:34" x14ac:dyDescent="0.2">
      <c r="B5660" s="2">
        <f ca="1"/>
        <v>0.42519647972616603</v>
      </c>
      <c r="O5660" s="2">
        <f ca="1"/>
        <v>0.68686632361430811</v>
      </c>
      <c r="X5660" s="2">
        <f ca="1"/>
        <v>55.130817770344642</v>
      </c>
      <c r="AG5660" s="2">
        <f ca="1"/>
        <v>0.29576815705530879</v>
      </c>
      <c r="AH5660" s="2" t="str">
        <f ca="1"/>
        <v>OK</v>
      </c>
    </row>
    <row r="5661" spans="2:34" x14ac:dyDescent="0.2">
      <c r="B5661" s="2">
        <f ca="1"/>
        <v>0.49919363172062092</v>
      </c>
      <c r="O5661" s="2">
        <f ca="1"/>
        <v>-1.1293558163952666</v>
      </c>
      <c r="X5661" s="2">
        <f ca="1"/>
        <v>31.409933191199194</v>
      </c>
      <c r="AG5661" s="2">
        <f ca="1"/>
        <v>0.78447467588795883</v>
      </c>
      <c r="AH5661" s="2" t="str">
        <f ca="1"/>
        <v>Bad</v>
      </c>
    </row>
    <row r="5662" spans="2:34" x14ac:dyDescent="0.2">
      <c r="B5662" s="2">
        <f ca="1"/>
        <v>0.60251348987124675</v>
      </c>
      <c r="O5662" s="2">
        <f ca="1"/>
        <v>0.26691741295401228</v>
      </c>
      <c r="X5662" s="2">
        <f ca="1"/>
        <v>81.814242233558971</v>
      </c>
      <c r="AG5662" s="2">
        <f ca="1"/>
        <v>0.86364541066924394</v>
      </c>
      <c r="AH5662" s="2" t="str">
        <f ca="1"/>
        <v>Bad</v>
      </c>
    </row>
    <row r="5663" spans="2:34" x14ac:dyDescent="0.2">
      <c r="B5663" s="2">
        <f ca="1"/>
        <v>0.53427512811412825</v>
      </c>
      <c r="O5663" s="2">
        <f ca="1"/>
        <v>-0.364015409351925</v>
      </c>
      <c r="X5663" s="2">
        <f ca="1"/>
        <v>33.403677974208733</v>
      </c>
      <c r="AG5663" s="2">
        <f ca="1"/>
        <v>0.15157912663935691</v>
      </c>
      <c r="AH5663" s="2" t="str">
        <f ca="1"/>
        <v>OK</v>
      </c>
    </row>
    <row r="5664" spans="2:34" x14ac:dyDescent="0.2">
      <c r="B5664" s="2">
        <f ca="1"/>
        <v>0.65747312433847216</v>
      </c>
      <c r="O5664" s="2">
        <f ca="1"/>
        <v>0.32052957740141808</v>
      </c>
      <c r="X5664" s="2">
        <f ca="1"/>
        <v>72.664683620523235</v>
      </c>
      <c r="AG5664" s="2">
        <f ca="1"/>
        <v>1.585019795054432E-2</v>
      </c>
      <c r="AH5664" s="2" t="str">
        <f ca="1"/>
        <v>Good</v>
      </c>
    </row>
    <row r="5665" spans="2:34" x14ac:dyDescent="0.2">
      <c r="B5665" s="2">
        <f ca="1"/>
        <v>0.38828682253310332</v>
      </c>
      <c r="O5665" s="2">
        <f ca="1"/>
        <v>-0.30695198326504652</v>
      </c>
      <c r="X5665" s="2">
        <f ca="1"/>
        <v>27.391481473184026</v>
      </c>
      <c r="AG5665" s="2">
        <f ca="1"/>
        <v>0.40026291654361801</v>
      </c>
      <c r="AH5665" s="2" t="str">
        <f ca="1"/>
        <v>Bad</v>
      </c>
    </row>
    <row r="5666" spans="2:34" x14ac:dyDescent="0.2">
      <c r="B5666" s="2">
        <f ca="1"/>
        <v>0.22822452345414335</v>
      </c>
      <c r="O5666" s="2">
        <f ca="1"/>
        <v>-0.12433748192220277</v>
      </c>
      <c r="X5666" s="2">
        <f ca="1"/>
        <v>50.28825113541771</v>
      </c>
      <c r="AG5666" s="2">
        <f ca="1"/>
        <v>1.0428584194259294E-2</v>
      </c>
      <c r="AH5666" s="2" t="str">
        <f ca="1"/>
        <v>Good</v>
      </c>
    </row>
    <row r="5667" spans="2:34" x14ac:dyDescent="0.2">
      <c r="B5667" s="2">
        <f ca="1"/>
        <v>0.51506699254325738</v>
      </c>
      <c r="O5667" s="2">
        <f ca="1"/>
        <v>0.69925903232810516</v>
      </c>
      <c r="X5667" s="2">
        <f ca="1"/>
        <v>36.421264145509362</v>
      </c>
      <c r="AG5667" s="2">
        <f ca="1"/>
        <v>0.10389011194694242</v>
      </c>
      <c r="AH5667" s="2" t="str">
        <f ca="1"/>
        <v>OK</v>
      </c>
    </row>
    <row r="5668" spans="2:34" x14ac:dyDescent="0.2">
      <c r="B5668" s="2">
        <f ca="1"/>
        <v>0.93427660684577907</v>
      </c>
      <c r="O5668" s="2">
        <f ca="1"/>
        <v>6.0092606983358367E-2</v>
      </c>
      <c r="X5668" s="2">
        <f ca="1"/>
        <v>68.487426737869413</v>
      </c>
      <c r="AG5668" s="2">
        <f ca="1"/>
        <v>0.71419852802373196</v>
      </c>
      <c r="AH5668" s="2" t="str">
        <f ca="1"/>
        <v>Bad</v>
      </c>
    </row>
    <row r="5669" spans="2:34" x14ac:dyDescent="0.2">
      <c r="B5669" s="2">
        <f ca="1"/>
        <v>0.19392875514557906</v>
      </c>
      <c r="O5669" s="2">
        <f ca="1"/>
        <v>-0.2926242951747936</v>
      </c>
      <c r="X5669" s="2">
        <f ca="1"/>
        <v>60.370536520087498</v>
      </c>
      <c r="AG5669" s="2">
        <f ca="1"/>
        <v>0.31549636533182523</v>
      </c>
      <c r="AH5669" s="2" t="str">
        <f ca="1"/>
        <v>OK</v>
      </c>
    </row>
    <row r="5670" spans="2:34" x14ac:dyDescent="0.2">
      <c r="B5670" s="2">
        <f ca="1"/>
        <v>0.56977148711147918</v>
      </c>
      <c r="O5670" s="2">
        <f ca="1"/>
        <v>1.2909077897797716</v>
      </c>
      <c r="X5670" s="2">
        <f ca="1"/>
        <v>25.56824561627916</v>
      </c>
      <c r="AG5670" s="2">
        <f ca="1"/>
        <v>0.38928876438864468</v>
      </c>
      <c r="AH5670" s="2" t="str">
        <f ca="1"/>
        <v>OK</v>
      </c>
    </row>
    <row r="5671" spans="2:34" x14ac:dyDescent="0.2">
      <c r="B5671" s="2">
        <f ca="1"/>
        <v>0.65027949175141853</v>
      </c>
      <c r="O5671" s="2">
        <f ca="1"/>
        <v>0.34617819072557315</v>
      </c>
      <c r="X5671" s="2">
        <f ca="1"/>
        <v>49.645897392641857</v>
      </c>
      <c r="AG5671" s="2">
        <f ca="1"/>
        <v>0.55072752000869718</v>
      </c>
      <c r="AH5671" s="2" t="str">
        <f ca="1"/>
        <v>Bad</v>
      </c>
    </row>
    <row r="5672" spans="2:34" x14ac:dyDescent="0.2">
      <c r="B5672" s="2">
        <f ca="1"/>
        <v>0.68563307537609131</v>
      </c>
      <c r="O5672" s="2">
        <f ca="1"/>
        <v>1.3084732551073328</v>
      </c>
      <c r="X5672" s="2">
        <f ca="1"/>
        <v>46.895174403978608</v>
      </c>
      <c r="AG5672" s="2">
        <f ca="1"/>
        <v>0.64726148751165336</v>
      </c>
      <c r="AH5672" s="2" t="str">
        <f ca="1"/>
        <v>Bad</v>
      </c>
    </row>
    <row r="5673" spans="2:34" x14ac:dyDescent="0.2">
      <c r="B5673" s="2">
        <f ca="1"/>
        <v>0.39415077069564752</v>
      </c>
      <c r="O5673" s="2">
        <f ca="1"/>
        <v>-0.52116780806625529</v>
      </c>
      <c r="X5673" s="2">
        <f ca="1"/>
        <v>22.606832386287099</v>
      </c>
      <c r="AG5673" s="2">
        <f ca="1"/>
        <v>0.46998025235573238</v>
      </c>
      <c r="AH5673" s="2" t="str">
        <f ca="1"/>
        <v>Bad</v>
      </c>
    </row>
    <row r="5674" spans="2:34" x14ac:dyDescent="0.2">
      <c r="B5674" s="2">
        <f ca="1"/>
        <v>0.20926508439729385</v>
      </c>
      <c r="O5674" s="2">
        <f ca="1"/>
        <v>-0.67374768431033494</v>
      </c>
      <c r="X5674" s="2">
        <f ca="1"/>
        <v>43.091195928111645</v>
      </c>
      <c r="AG5674" s="2">
        <f ca="1"/>
        <v>0.52676735599837032</v>
      </c>
      <c r="AH5674" s="2" t="str">
        <f ca="1"/>
        <v>Bad</v>
      </c>
    </row>
    <row r="5675" spans="2:34" x14ac:dyDescent="0.2">
      <c r="B5675" s="2">
        <f ca="1"/>
        <v>5.702480183658043E-3</v>
      </c>
      <c r="O5675" s="2">
        <f ca="1"/>
        <v>-0.96252378769373359</v>
      </c>
      <c r="X5675" s="2">
        <f ca="1"/>
        <v>73.103696937067241</v>
      </c>
      <c r="AG5675" s="2">
        <f ca="1"/>
        <v>0.88479084924340645</v>
      </c>
      <c r="AH5675" s="2" t="str">
        <f ca="1"/>
        <v>Bad</v>
      </c>
    </row>
    <row r="5676" spans="2:34" x14ac:dyDescent="0.2">
      <c r="B5676" s="2">
        <f ca="1"/>
        <v>0.2352183671643493</v>
      </c>
      <c r="O5676" s="2">
        <f ca="1"/>
        <v>-1.7634657615531908</v>
      </c>
      <c r="X5676" s="2">
        <f ca="1"/>
        <v>37.371558816359197</v>
      </c>
      <c r="AG5676" s="2">
        <f ca="1"/>
        <v>0.85149980916342316</v>
      </c>
      <c r="AH5676" s="2" t="str">
        <f ca="1"/>
        <v>Bad</v>
      </c>
    </row>
    <row r="5677" spans="2:34" x14ac:dyDescent="0.2">
      <c r="B5677" s="2">
        <f ca="1"/>
        <v>0.1598907633038531</v>
      </c>
      <c r="O5677" s="2">
        <f ca="1"/>
        <v>0.14017969952301956</v>
      </c>
      <c r="X5677" s="2">
        <f ca="1"/>
        <v>43.939603839650076</v>
      </c>
      <c r="AG5677" s="2">
        <f ca="1"/>
        <v>1.6846609721483663E-3</v>
      </c>
      <c r="AH5677" s="2" t="str">
        <f ca="1"/>
        <v>Good</v>
      </c>
    </row>
    <row r="5678" spans="2:34" x14ac:dyDescent="0.2">
      <c r="B5678" s="2">
        <f ca="1"/>
        <v>4.5926419611895586E-2</v>
      </c>
      <c r="O5678" s="2">
        <f ca="1"/>
        <v>-0.4505828213200529</v>
      </c>
      <c r="X5678" s="2">
        <f ca="1"/>
        <v>68.168056233795596</v>
      </c>
      <c r="AG5678" s="2">
        <f ca="1"/>
        <v>0.2884140159765598</v>
      </c>
      <c r="AH5678" s="2" t="str">
        <f ca="1"/>
        <v>OK</v>
      </c>
    </row>
    <row r="5679" spans="2:34" x14ac:dyDescent="0.2">
      <c r="B5679" s="2">
        <f ca="1"/>
        <v>0.75989225760573054</v>
      </c>
      <c r="O5679" s="2">
        <f ca="1"/>
        <v>0.77695339624471416</v>
      </c>
      <c r="X5679" s="2">
        <f ca="1"/>
        <v>48.500291342718924</v>
      </c>
      <c r="AG5679" s="2">
        <f ca="1"/>
        <v>5.473734733418234E-2</v>
      </c>
      <c r="AH5679" s="2" t="str">
        <f ca="1"/>
        <v>OK</v>
      </c>
    </row>
    <row r="5680" spans="2:34" x14ac:dyDescent="0.2">
      <c r="B5680" s="2">
        <f ca="1"/>
        <v>0.77307860259092309</v>
      </c>
      <c r="O5680" s="2">
        <f ca="1"/>
        <v>-0.62439691633789118</v>
      </c>
      <c r="X5680" s="2">
        <f ca="1"/>
        <v>24.168981361606821</v>
      </c>
      <c r="AG5680" s="2">
        <f ca="1"/>
        <v>0.65521575009205613</v>
      </c>
      <c r="AH5680" s="2" t="str">
        <f ca="1"/>
        <v>Bad</v>
      </c>
    </row>
    <row r="5681" spans="2:34" x14ac:dyDescent="0.2">
      <c r="B5681" s="2">
        <f ca="1"/>
        <v>0.37573691758615779</v>
      </c>
      <c r="O5681" s="2">
        <f ca="1"/>
        <v>3.2672475873400693</v>
      </c>
      <c r="X5681" s="2">
        <f ca="1"/>
        <v>27.269970785164197</v>
      </c>
      <c r="AG5681" s="2">
        <f ca="1"/>
        <v>0.59995337890142197</v>
      </c>
      <c r="AH5681" s="2" t="str">
        <f ca="1"/>
        <v>Bad</v>
      </c>
    </row>
    <row r="5682" spans="2:34" x14ac:dyDescent="0.2">
      <c r="B5682" s="2">
        <f ca="1"/>
        <v>0.60193742459424815</v>
      </c>
      <c r="O5682" s="2">
        <f ca="1"/>
        <v>-0.76224201390007951</v>
      </c>
      <c r="X5682" s="2">
        <f ca="1"/>
        <v>51.261824553568815</v>
      </c>
      <c r="AG5682" s="2">
        <f ca="1"/>
        <v>0.62008489801547961</v>
      </c>
      <c r="AH5682" s="2" t="str">
        <f ca="1"/>
        <v>Bad</v>
      </c>
    </row>
    <row r="5683" spans="2:34" x14ac:dyDescent="0.2">
      <c r="B5683" s="2">
        <f ca="1"/>
        <v>0.71200293661210656</v>
      </c>
      <c r="O5683" s="2">
        <f ca="1"/>
        <v>-1.2597597297329612</v>
      </c>
      <c r="X5683" s="2">
        <f ca="1"/>
        <v>61.865332141954362</v>
      </c>
      <c r="AG5683" s="2">
        <f ca="1"/>
        <v>0.90206479221899549</v>
      </c>
      <c r="AH5683" s="2" t="str">
        <f ca="1"/>
        <v>Bad</v>
      </c>
    </row>
    <row r="5684" spans="2:34" x14ac:dyDescent="0.2">
      <c r="B5684" s="2">
        <f ca="1"/>
        <v>0.31968598622699496</v>
      </c>
      <c r="O5684" s="2">
        <f ca="1"/>
        <v>-0.35694413530998487</v>
      </c>
      <c r="X5684" s="2">
        <f ca="1"/>
        <v>43.787663177151295</v>
      </c>
      <c r="AG5684" s="2">
        <f ca="1"/>
        <v>0.24656633130201211</v>
      </c>
      <c r="AH5684" s="2" t="str">
        <f ca="1"/>
        <v>OK</v>
      </c>
    </row>
    <row r="5685" spans="2:34" x14ac:dyDescent="0.2">
      <c r="B5685" s="2">
        <f ca="1"/>
        <v>0.95270565543706964</v>
      </c>
      <c r="O5685" s="2">
        <f ca="1"/>
        <v>-3.4359895940241629E-2</v>
      </c>
      <c r="X5685" s="2">
        <f ca="1"/>
        <v>62.567053270421489</v>
      </c>
      <c r="AG5685" s="2">
        <f ca="1"/>
        <v>0.27322654740376606</v>
      </c>
      <c r="AH5685" s="2" t="str">
        <f ca="1"/>
        <v>OK</v>
      </c>
    </row>
    <row r="5686" spans="2:34" x14ac:dyDescent="0.2">
      <c r="B5686" s="2">
        <f ca="1"/>
        <v>0.64802936911756803</v>
      </c>
      <c r="O5686" s="2">
        <f ca="1"/>
        <v>-0.55125534496422968</v>
      </c>
      <c r="X5686" s="2">
        <f ca="1"/>
        <v>57.035239597283265</v>
      </c>
      <c r="AG5686" s="2">
        <f ca="1"/>
        <v>0.55322614966981831</v>
      </c>
      <c r="AH5686" s="2" t="str">
        <f ca="1"/>
        <v>Bad</v>
      </c>
    </row>
    <row r="5687" spans="2:34" x14ac:dyDescent="0.2">
      <c r="B5687" s="2">
        <f ca="1"/>
        <v>0.63316541786384573</v>
      </c>
      <c r="O5687" s="2">
        <f ca="1"/>
        <v>-0.45344437335484133</v>
      </c>
      <c r="X5687" s="2">
        <f ca="1"/>
        <v>56.853971628860535</v>
      </c>
      <c r="AG5687" s="2">
        <f ca="1"/>
        <v>0.67372606373243982</v>
      </c>
      <c r="AH5687" s="2" t="str">
        <f ca="1"/>
        <v>Bad</v>
      </c>
    </row>
    <row r="5688" spans="2:34" x14ac:dyDescent="0.2">
      <c r="B5688" s="2">
        <f ca="1"/>
        <v>0.57237861940680701</v>
      </c>
      <c r="O5688" s="2">
        <f ca="1"/>
        <v>0.41252400028969138</v>
      </c>
      <c r="X5688" s="2">
        <f ca="1"/>
        <v>64.528294831606971</v>
      </c>
      <c r="AG5688" s="2">
        <f ca="1"/>
        <v>0.91150837056641709</v>
      </c>
      <c r="AH5688" s="2" t="str">
        <f ca="1"/>
        <v>Bad</v>
      </c>
    </row>
    <row r="5689" spans="2:34" x14ac:dyDescent="0.2">
      <c r="B5689" s="2">
        <f ca="1"/>
        <v>0.90664192087462303</v>
      </c>
      <c r="O5689" s="2">
        <f ca="1"/>
        <v>-0.6008753314620181</v>
      </c>
      <c r="X5689" s="2">
        <f ca="1"/>
        <v>58.486797348377181</v>
      </c>
      <c r="AG5689" s="2">
        <f ca="1"/>
        <v>9.3785242473761299E-2</v>
      </c>
      <c r="AH5689" s="2" t="str">
        <f ca="1"/>
        <v>OK</v>
      </c>
    </row>
    <row r="5690" spans="2:34" x14ac:dyDescent="0.2">
      <c r="B5690" s="2">
        <f ca="1"/>
        <v>0.10774425409147881</v>
      </c>
      <c r="O5690" s="2">
        <f ca="1"/>
        <v>-0.31790152256817156</v>
      </c>
      <c r="X5690" s="2">
        <f ca="1"/>
        <v>31.16755192651064</v>
      </c>
      <c r="AG5690" s="2">
        <f ca="1"/>
        <v>0.50414388730039228</v>
      </c>
      <c r="AH5690" s="2" t="str">
        <f ca="1"/>
        <v>Bad</v>
      </c>
    </row>
    <row r="5691" spans="2:34" x14ac:dyDescent="0.2">
      <c r="B5691" s="2">
        <f ca="1"/>
        <v>0.18980730802500023</v>
      </c>
      <c r="O5691" s="2">
        <f ca="1"/>
        <v>-1.055675289394987</v>
      </c>
      <c r="X5691" s="2">
        <f ca="1"/>
        <v>39.39084486053801</v>
      </c>
      <c r="AG5691" s="2">
        <f ca="1"/>
        <v>0.22956720486065985</v>
      </c>
      <c r="AH5691" s="2" t="str">
        <f ca="1"/>
        <v>OK</v>
      </c>
    </row>
    <row r="5692" spans="2:34" x14ac:dyDescent="0.2">
      <c r="B5692" s="2">
        <f ca="1"/>
        <v>0.6882582326684541</v>
      </c>
      <c r="O5692" s="2">
        <f ca="1"/>
        <v>0.16263396850023173</v>
      </c>
      <c r="X5692" s="2">
        <f ca="1"/>
        <v>36.655920374621019</v>
      </c>
      <c r="AG5692" s="2">
        <f ca="1"/>
        <v>0.4268010799240749</v>
      </c>
      <c r="AH5692" s="2" t="str">
        <f ca="1"/>
        <v>Bad</v>
      </c>
    </row>
    <row r="5693" spans="2:34" x14ac:dyDescent="0.2">
      <c r="B5693" s="2">
        <f ca="1"/>
        <v>0.68686949177410228</v>
      </c>
      <c r="O5693" s="2">
        <f ca="1"/>
        <v>-1.1302197769319002</v>
      </c>
      <c r="X5693" s="2">
        <f ca="1"/>
        <v>69.782777685997559</v>
      </c>
      <c r="AG5693" s="2">
        <f ca="1"/>
        <v>0.99718119788863779</v>
      </c>
      <c r="AH5693" s="2" t="str">
        <f ca="1"/>
        <v>Bad</v>
      </c>
    </row>
    <row r="5694" spans="2:34" x14ac:dyDescent="0.2">
      <c r="B5694" s="2">
        <f ca="1"/>
        <v>0.58552827399914364</v>
      </c>
      <c r="O5694" s="2">
        <f ca="1"/>
        <v>0.49699885123845827</v>
      </c>
      <c r="X5694" s="2">
        <f ca="1"/>
        <v>65.061170705108864</v>
      </c>
      <c r="AG5694" s="2">
        <f ca="1"/>
        <v>0.3168594304211898</v>
      </c>
      <c r="AH5694" s="2" t="str">
        <f ca="1"/>
        <v>OK</v>
      </c>
    </row>
    <row r="5695" spans="2:34" x14ac:dyDescent="0.2">
      <c r="B5695" s="2">
        <f ca="1"/>
        <v>1.2835097406082019E-2</v>
      </c>
      <c r="O5695" s="2">
        <f ca="1"/>
        <v>-0.48683706301277291</v>
      </c>
      <c r="X5695" s="2">
        <f ca="1"/>
        <v>79.643567547020908</v>
      </c>
      <c r="AG5695" s="2">
        <f ca="1"/>
        <v>0.92210784100845089</v>
      </c>
      <c r="AH5695" s="2" t="str">
        <f ca="1"/>
        <v>Bad</v>
      </c>
    </row>
    <row r="5696" spans="2:34" x14ac:dyDescent="0.2">
      <c r="B5696" s="2">
        <f ca="1"/>
        <v>0.29142576129510145</v>
      </c>
      <c r="O5696" s="2">
        <f ca="1"/>
        <v>1.596215336514399</v>
      </c>
      <c r="X5696" s="2">
        <f ca="1"/>
        <v>51.943379174143089</v>
      </c>
      <c r="AG5696" s="2">
        <f ca="1"/>
        <v>0.7550213968118682</v>
      </c>
      <c r="AH5696" s="2" t="str">
        <f ca="1"/>
        <v>Bad</v>
      </c>
    </row>
    <row r="5697" spans="2:34" x14ac:dyDescent="0.2">
      <c r="B5697" s="2">
        <f ca="1"/>
        <v>0.32079505162546318</v>
      </c>
      <c r="O5697" s="2">
        <f ca="1"/>
        <v>2.0515953355281837</v>
      </c>
      <c r="X5697" s="2">
        <f ca="1"/>
        <v>62.328891810158915</v>
      </c>
      <c r="AG5697" s="2">
        <f ca="1"/>
        <v>0.51199742821669281</v>
      </c>
      <c r="AH5697" s="2" t="str">
        <f ca="1"/>
        <v>Bad</v>
      </c>
    </row>
    <row r="5698" spans="2:34" x14ac:dyDescent="0.2">
      <c r="B5698" s="2">
        <f ca="1"/>
        <v>0.90760760457626</v>
      </c>
      <c r="O5698" s="2">
        <f ca="1"/>
        <v>-0.51362638049991294</v>
      </c>
      <c r="X5698" s="2">
        <f ca="1"/>
        <v>25.974861284000582</v>
      </c>
      <c r="AG5698" s="2">
        <f ca="1"/>
        <v>0.57922068838517937</v>
      </c>
      <c r="AH5698" s="2" t="str">
        <f ca="1"/>
        <v>Bad</v>
      </c>
    </row>
    <row r="5699" spans="2:34" x14ac:dyDescent="0.2">
      <c r="B5699" s="2">
        <f ca="1"/>
        <v>7.7448477358178724E-2</v>
      </c>
      <c r="O5699" s="2">
        <f ca="1"/>
        <v>-1.3062776310760122</v>
      </c>
      <c r="X5699" s="2">
        <f ca="1"/>
        <v>57.766787282857059</v>
      </c>
      <c r="AG5699" s="2">
        <f ca="1"/>
        <v>0.30073092422270764</v>
      </c>
      <c r="AH5699" s="2" t="str">
        <f ca="1"/>
        <v>OK</v>
      </c>
    </row>
    <row r="5700" spans="2:34" x14ac:dyDescent="0.2">
      <c r="B5700" s="2">
        <f ca="1"/>
        <v>0.8922256229540424</v>
      </c>
      <c r="O5700" s="2">
        <f ca="1"/>
        <v>1.0370153019750741</v>
      </c>
      <c r="X5700" s="2">
        <f ca="1"/>
        <v>60.429936723003692</v>
      </c>
      <c r="AG5700" s="2">
        <f ca="1"/>
        <v>0.24102146860576301</v>
      </c>
      <c r="AH5700" s="2" t="str">
        <f ca="1"/>
        <v>OK</v>
      </c>
    </row>
    <row r="5701" spans="2:34" x14ac:dyDescent="0.2">
      <c r="B5701" s="2">
        <f ca="1"/>
        <v>0.92843872537277683</v>
      </c>
      <c r="O5701" s="2">
        <f ca="1"/>
        <v>1.6256474947275448</v>
      </c>
      <c r="X5701" s="2">
        <f ca="1"/>
        <v>35.378755530673615</v>
      </c>
      <c r="AG5701" s="2">
        <f ca="1"/>
        <v>0.47149644145986058</v>
      </c>
      <c r="AH5701" s="2" t="str">
        <f ca="1"/>
        <v>Bad</v>
      </c>
    </row>
    <row r="5702" spans="2:34" x14ac:dyDescent="0.2">
      <c r="B5702" s="2">
        <f ca="1"/>
        <v>0.63014484830776096</v>
      </c>
      <c r="O5702" s="2">
        <f ca="1"/>
        <v>-1.0150063905751221</v>
      </c>
      <c r="X5702" s="2">
        <f ca="1"/>
        <v>73.623271403696094</v>
      </c>
      <c r="AG5702" s="2">
        <f ca="1"/>
        <v>0.43593585311230831</v>
      </c>
      <c r="AH5702" s="2" t="str">
        <f ca="1"/>
        <v>Bad</v>
      </c>
    </row>
    <row r="5703" spans="2:34" x14ac:dyDescent="0.2">
      <c r="B5703" s="2">
        <f ca="1"/>
        <v>0.30344533031675369</v>
      </c>
      <c r="O5703" s="2">
        <f ca="1"/>
        <v>-0.60348745589580877</v>
      </c>
      <c r="X5703" s="2">
        <f ca="1"/>
        <v>50.775639612750766</v>
      </c>
      <c r="AG5703" s="2">
        <f ca="1"/>
        <v>0.98310891517186993</v>
      </c>
      <c r="AH5703" s="2" t="str">
        <f ca="1"/>
        <v>Bad</v>
      </c>
    </row>
    <row r="5704" spans="2:34" x14ac:dyDescent="0.2">
      <c r="B5704" s="2">
        <f ca="1"/>
        <v>0.55188551539334862</v>
      </c>
      <c r="O5704" s="2">
        <f ca="1"/>
        <v>-1.8191136086146167</v>
      </c>
      <c r="X5704" s="2">
        <f ca="1"/>
        <v>77.791942153270142</v>
      </c>
      <c r="AG5704" s="2">
        <f ca="1"/>
        <v>0.71353831908422527</v>
      </c>
      <c r="AH5704" s="2" t="str">
        <f ca="1"/>
        <v>Bad</v>
      </c>
    </row>
    <row r="5705" spans="2:34" x14ac:dyDescent="0.2">
      <c r="B5705" s="2">
        <f ca="1"/>
        <v>0.40491325554426338</v>
      </c>
      <c r="O5705" s="2">
        <f ca="1"/>
        <v>0.88743943107239687</v>
      </c>
      <c r="X5705" s="2">
        <f ca="1"/>
        <v>67.643286752590043</v>
      </c>
      <c r="AG5705" s="2">
        <f ca="1"/>
        <v>0.11271069843875092</v>
      </c>
      <c r="AH5705" s="2" t="str">
        <f ca="1"/>
        <v>OK</v>
      </c>
    </row>
    <row r="5706" spans="2:34" x14ac:dyDescent="0.2">
      <c r="B5706" s="2">
        <f ca="1"/>
        <v>0.15547827346153098</v>
      </c>
      <c r="O5706" s="2">
        <f ca="1"/>
        <v>0.38895363120368953</v>
      </c>
      <c r="X5706" s="2">
        <f ca="1"/>
        <v>49.623992218243998</v>
      </c>
      <c r="AG5706" s="2">
        <f ca="1"/>
        <v>0.15767783089965737</v>
      </c>
      <c r="AH5706" s="2" t="str">
        <f ca="1"/>
        <v>OK</v>
      </c>
    </row>
    <row r="5707" spans="2:34" x14ac:dyDescent="0.2">
      <c r="B5707" s="2">
        <f ca="1"/>
        <v>0.69567612091516295</v>
      </c>
      <c r="O5707" s="2">
        <f ca="1"/>
        <v>1.0624892902111813</v>
      </c>
      <c r="X5707" s="2">
        <f ca="1"/>
        <v>41.61009566584432</v>
      </c>
      <c r="AG5707" s="2">
        <f ca="1"/>
        <v>0.13323847162992264</v>
      </c>
      <c r="AH5707" s="2" t="str">
        <f ca="1"/>
        <v>OK</v>
      </c>
    </row>
    <row r="5708" spans="2:34" x14ac:dyDescent="0.2">
      <c r="B5708" s="2">
        <f ca="1"/>
        <v>0.31945621464250373</v>
      </c>
      <c r="O5708" s="2">
        <f ca="1"/>
        <v>1.2258920877850898</v>
      </c>
      <c r="X5708" s="2">
        <f ca="1"/>
        <v>33.681888188413602</v>
      </c>
      <c r="AG5708" s="2">
        <f ca="1"/>
        <v>0.90112917545834592</v>
      </c>
      <c r="AH5708" s="2" t="str">
        <f ca="1"/>
        <v>Bad</v>
      </c>
    </row>
    <row r="5709" spans="2:34" x14ac:dyDescent="0.2">
      <c r="B5709" s="2">
        <f ca="1"/>
        <v>0.65328035219107305</v>
      </c>
      <c r="O5709" s="2">
        <f ca="1"/>
        <v>-0.50429678290382318</v>
      </c>
      <c r="X5709" s="2">
        <f ca="1"/>
        <v>36.614224299123229</v>
      </c>
      <c r="AG5709" s="2">
        <f ca="1"/>
        <v>0.31046884359981153</v>
      </c>
      <c r="AH5709" s="2" t="str">
        <f ca="1"/>
        <v>OK</v>
      </c>
    </row>
    <row r="5710" spans="2:34" x14ac:dyDescent="0.2">
      <c r="B5710" s="2">
        <f ca="1"/>
        <v>0.26727380707904547</v>
      </c>
      <c r="O5710" s="2">
        <f ca="1"/>
        <v>0.23056262602685132</v>
      </c>
      <c r="X5710" s="2">
        <f ca="1"/>
        <v>61.185501221202216</v>
      </c>
      <c r="AG5710" s="2">
        <f ca="1"/>
        <v>0.10797656938427225</v>
      </c>
      <c r="AH5710" s="2" t="str">
        <f ca="1"/>
        <v>OK</v>
      </c>
    </row>
    <row r="5711" spans="2:34" x14ac:dyDescent="0.2">
      <c r="B5711" s="2">
        <f ca="1"/>
        <v>0.66615846945166335</v>
      </c>
      <c r="O5711" s="2">
        <f ca="1"/>
        <v>-0.27936342691489435</v>
      </c>
      <c r="X5711" s="2">
        <f ca="1"/>
        <v>27.559501506597503</v>
      </c>
      <c r="AG5711" s="2">
        <f ca="1"/>
        <v>0.17247391774872467</v>
      </c>
      <c r="AH5711" s="2" t="str">
        <f ca="1"/>
        <v>OK</v>
      </c>
    </row>
    <row r="5712" spans="2:34" x14ac:dyDescent="0.2">
      <c r="B5712" s="2">
        <f ca="1"/>
        <v>0.70246415559935094</v>
      </c>
      <c r="O5712" s="2">
        <f ca="1"/>
        <v>-0.66609400192794721</v>
      </c>
      <c r="X5712" s="2">
        <f ca="1"/>
        <v>45.845442186558159</v>
      </c>
      <c r="AG5712" s="2">
        <f ca="1"/>
        <v>0.54117933511719207</v>
      </c>
      <c r="AH5712" s="2" t="str">
        <f ca="1"/>
        <v>Bad</v>
      </c>
    </row>
    <row r="5713" spans="2:34" x14ac:dyDescent="0.2">
      <c r="B5713" s="2">
        <f ca="1"/>
        <v>0.72517732640477628</v>
      </c>
      <c r="O5713" s="2">
        <f ca="1"/>
        <v>1.018421511903649</v>
      </c>
      <c r="X5713" s="2">
        <f ca="1"/>
        <v>68.316987904404428</v>
      </c>
      <c r="AG5713" s="2">
        <f ca="1"/>
        <v>0.39524083226710993</v>
      </c>
      <c r="AH5713" s="2" t="str">
        <f ca="1"/>
        <v>OK</v>
      </c>
    </row>
    <row r="5714" spans="2:34" x14ac:dyDescent="0.2">
      <c r="B5714" s="2">
        <f ca="1"/>
        <v>0.84203270491778248</v>
      </c>
      <c r="O5714" s="2">
        <f ca="1"/>
        <v>1.2344518336559065</v>
      </c>
      <c r="X5714" s="2">
        <f ca="1"/>
        <v>83.807062404725343</v>
      </c>
      <c r="AG5714" s="2">
        <f ca="1"/>
        <v>7.828868257044963E-2</v>
      </c>
      <c r="AH5714" s="2" t="str">
        <f ca="1"/>
        <v>OK</v>
      </c>
    </row>
    <row r="5715" spans="2:34" x14ac:dyDescent="0.2">
      <c r="B5715" s="2">
        <f ca="1"/>
        <v>0.8637646930945384</v>
      </c>
      <c r="O5715" s="2">
        <f ca="1"/>
        <v>-0.26885112354409396</v>
      </c>
      <c r="X5715" s="2">
        <f ca="1"/>
        <v>80.115147245860044</v>
      </c>
      <c r="AG5715" s="2">
        <f ca="1"/>
        <v>0.50428554492790933</v>
      </c>
      <c r="AH5715" s="2" t="str">
        <f ca="1"/>
        <v>Bad</v>
      </c>
    </row>
    <row r="5716" spans="2:34" x14ac:dyDescent="0.2">
      <c r="B5716" s="2">
        <f ca="1"/>
        <v>0.93174883457059177</v>
      </c>
      <c r="O5716" s="2">
        <f ca="1"/>
        <v>1.2865334118485121</v>
      </c>
      <c r="X5716" s="2">
        <f ca="1"/>
        <v>33.396308030757496</v>
      </c>
      <c r="AG5716" s="2">
        <f ca="1"/>
        <v>0.1708091267338181</v>
      </c>
      <c r="AH5716" s="2" t="str">
        <f ca="1"/>
        <v>OK</v>
      </c>
    </row>
    <row r="5717" spans="2:34" x14ac:dyDescent="0.2">
      <c r="B5717" s="2">
        <f ca="1"/>
        <v>0.27936274082460821</v>
      </c>
      <c r="O5717" s="2">
        <f ca="1"/>
        <v>-0.25692544462575317</v>
      </c>
      <c r="X5717" s="2">
        <f ca="1"/>
        <v>21.282709268969626</v>
      </c>
      <c r="AG5717" s="2">
        <f ca="1"/>
        <v>0.46434016095945485</v>
      </c>
      <c r="AH5717" s="2" t="str">
        <f ca="1"/>
        <v>Bad</v>
      </c>
    </row>
    <row r="5718" spans="2:34" x14ac:dyDescent="0.2">
      <c r="B5718" s="2">
        <f ca="1"/>
        <v>0.22033172214577101</v>
      </c>
      <c r="O5718" s="2">
        <f ca="1"/>
        <v>-0.57248816791392265</v>
      </c>
      <c r="X5718" s="2">
        <f ca="1"/>
        <v>56.733174896987961</v>
      </c>
      <c r="AG5718" s="2">
        <f ca="1"/>
        <v>0.21041846898284589</v>
      </c>
      <c r="AH5718" s="2" t="str">
        <f ca="1"/>
        <v>OK</v>
      </c>
    </row>
    <row r="5719" spans="2:34" x14ac:dyDescent="0.2">
      <c r="B5719" s="2">
        <f ca="1"/>
        <v>0.6089893744139443</v>
      </c>
      <c r="O5719" s="2">
        <f ca="1"/>
        <v>1.5950842960171139</v>
      </c>
      <c r="X5719" s="2">
        <f ca="1"/>
        <v>61.517224390143298</v>
      </c>
      <c r="AG5719" s="2">
        <f ca="1"/>
        <v>0.73212679468510333</v>
      </c>
      <c r="AH5719" s="2" t="str">
        <f ca="1"/>
        <v>Bad</v>
      </c>
    </row>
    <row r="5720" spans="2:34" x14ac:dyDescent="0.2">
      <c r="B5720" s="2">
        <f ca="1"/>
        <v>0.6921909010299816</v>
      </c>
      <c r="O5720" s="2">
        <f ca="1"/>
        <v>1.5228370513418303</v>
      </c>
      <c r="X5720" s="2">
        <f ca="1"/>
        <v>47.362104182042096</v>
      </c>
      <c r="AG5720" s="2">
        <f ca="1"/>
        <v>0.1537415291198132</v>
      </c>
      <c r="AH5720" s="2" t="str">
        <f ca="1"/>
        <v>OK</v>
      </c>
    </row>
    <row r="5721" spans="2:34" x14ac:dyDescent="0.2">
      <c r="B5721" s="2">
        <f ca="1"/>
        <v>0.46421820159065641</v>
      </c>
      <c r="O5721" s="2">
        <f ca="1"/>
        <v>-1.168685024742089</v>
      </c>
      <c r="X5721" s="2">
        <f ca="1"/>
        <v>45.13168960341509</v>
      </c>
      <c r="AG5721" s="2">
        <f ca="1"/>
        <v>0.7955888514049525</v>
      </c>
      <c r="AH5721" s="2" t="str">
        <f ca="1"/>
        <v>Bad</v>
      </c>
    </row>
    <row r="5722" spans="2:34" x14ac:dyDescent="0.2">
      <c r="B5722" s="2">
        <f ca="1"/>
        <v>0.43774639520872816</v>
      </c>
      <c r="O5722" s="2">
        <f ca="1"/>
        <v>0.31627659154190946</v>
      </c>
      <c r="X5722" s="2">
        <f ca="1"/>
        <v>38.895476912110396</v>
      </c>
      <c r="AG5722" s="2">
        <f ca="1"/>
        <v>0.4089065372373335</v>
      </c>
      <c r="AH5722" s="2" t="str">
        <f ca="1"/>
        <v>Bad</v>
      </c>
    </row>
    <row r="5723" spans="2:34" x14ac:dyDescent="0.2">
      <c r="B5723" s="2">
        <f ca="1"/>
        <v>0.62807957317341168</v>
      </c>
      <c r="O5723" s="2">
        <f ca="1"/>
        <v>-0.78754160007749607</v>
      </c>
      <c r="X5723" s="2">
        <f ca="1"/>
        <v>49.461038802217928</v>
      </c>
      <c r="AG5723" s="2">
        <f ca="1"/>
        <v>4.10383690287488E-2</v>
      </c>
      <c r="AH5723" s="2" t="str">
        <f ca="1"/>
        <v>Good</v>
      </c>
    </row>
    <row r="5724" spans="2:34" x14ac:dyDescent="0.2">
      <c r="B5724" s="2">
        <f ca="1"/>
        <v>0.3476776354832849</v>
      </c>
      <c r="O5724" s="2">
        <f ca="1"/>
        <v>-0.41635757574635052</v>
      </c>
      <c r="X5724" s="2">
        <f ca="1"/>
        <v>98.309647604785937</v>
      </c>
      <c r="AG5724" s="2">
        <f ca="1"/>
        <v>0.30648476586919848</v>
      </c>
      <c r="AH5724" s="2" t="str">
        <f ca="1"/>
        <v>OK</v>
      </c>
    </row>
    <row r="5725" spans="2:34" x14ac:dyDescent="0.2">
      <c r="B5725" s="2">
        <f ca="1"/>
        <v>0.13446768268914067</v>
      </c>
      <c r="O5725" s="2">
        <f ca="1"/>
        <v>0.30293088872847945</v>
      </c>
      <c r="X5725" s="2">
        <f ca="1"/>
        <v>51.565052377393215</v>
      </c>
      <c r="AG5725" s="2">
        <f ca="1"/>
        <v>7.4508359480416786E-2</v>
      </c>
      <c r="AH5725" s="2" t="str">
        <f ca="1"/>
        <v>OK</v>
      </c>
    </row>
    <row r="5726" spans="2:34" x14ac:dyDescent="0.2">
      <c r="B5726" s="2">
        <f ca="1"/>
        <v>0.83275910300576239</v>
      </c>
      <c r="O5726" s="2">
        <f ca="1"/>
        <v>-1.0871241025243079</v>
      </c>
      <c r="X5726" s="2">
        <f ca="1"/>
        <v>32.675179095588298</v>
      </c>
      <c r="AG5726" s="2">
        <f ca="1"/>
        <v>0.26012951634999748</v>
      </c>
      <c r="AH5726" s="2" t="str">
        <f ca="1"/>
        <v>OK</v>
      </c>
    </row>
    <row r="5727" spans="2:34" x14ac:dyDescent="0.2">
      <c r="B5727" s="2">
        <f ca="1"/>
        <v>0.39843515333469148</v>
      </c>
      <c r="O5727" s="2">
        <f ca="1"/>
        <v>1.0175786039120234</v>
      </c>
      <c r="X5727" s="2">
        <f ca="1"/>
        <v>54.589577847441745</v>
      </c>
      <c r="AG5727" s="2">
        <f ca="1"/>
        <v>0.64546188800668358</v>
      </c>
      <c r="AH5727" s="2" t="str">
        <f ca="1"/>
        <v>Bad</v>
      </c>
    </row>
    <row r="5728" spans="2:34" x14ac:dyDescent="0.2">
      <c r="B5728" s="2">
        <f ca="1"/>
        <v>0.407078736828969</v>
      </c>
      <c r="O5728" s="2">
        <f ca="1"/>
        <v>1.5370074327924412</v>
      </c>
      <c r="X5728" s="2">
        <f ca="1"/>
        <v>56.767730206916497</v>
      </c>
      <c r="AG5728" s="2">
        <f ca="1"/>
        <v>0.85149644397363078</v>
      </c>
      <c r="AH5728" s="2" t="str">
        <f ca="1"/>
        <v>Bad</v>
      </c>
    </row>
    <row r="5729" spans="2:34" x14ac:dyDescent="0.2">
      <c r="B5729" s="2">
        <f ca="1"/>
        <v>0.76129291421148904</v>
      </c>
      <c r="O5729" s="2">
        <f ca="1"/>
        <v>-1.1373257583342375</v>
      </c>
      <c r="X5729" s="2">
        <f ca="1"/>
        <v>37.755244435205597</v>
      </c>
      <c r="AG5729" s="2">
        <f ca="1"/>
        <v>0.85616219842801011</v>
      </c>
      <c r="AH5729" s="2" t="str">
        <f ca="1"/>
        <v>Bad</v>
      </c>
    </row>
    <row r="5730" spans="2:34" x14ac:dyDescent="0.2">
      <c r="B5730" s="2">
        <f ca="1"/>
        <v>0.39835151491300369</v>
      </c>
      <c r="O5730" s="2">
        <f ca="1"/>
        <v>1.4692847107798441</v>
      </c>
      <c r="X5730" s="2">
        <f ca="1"/>
        <v>46.260646195225526</v>
      </c>
      <c r="AG5730" s="2">
        <f ca="1"/>
        <v>0.5303473720122589</v>
      </c>
      <c r="AH5730" s="2" t="str">
        <f ca="1"/>
        <v>Bad</v>
      </c>
    </row>
    <row r="5731" spans="2:34" x14ac:dyDescent="0.2">
      <c r="B5731" s="2">
        <f ca="1"/>
        <v>0.17659692303370389</v>
      </c>
      <c r="O5731" s="2">
        <f ca="1"/>
        <v>0.40783731203886053</v>
      </c>
      <c r="X5731" s="2">
        <f ca="1"/>
        <v>65.442625880092905</v>
      </c>
      <c r="AG5731" s="2">
        <f ca="1"/>
        <v>0.67326480364547669</v>
      </c>
      <c r="AH5731" s="2" t="str">
        <f ca="1"/>
        <v>Bad</v>
      </c>
    </row>
    <row r="5732" spans="2:34" x14ac:dyDescent="0.2">
      <c r="B5732" s="2">
        <f ca="1"/>
        <v>0.16928778854695925</v>
      </c>
      <c r="O5732" s="2">
        <f ca="1"/>
        <v>1.5767440986428041</v>
      </c>
      <c r="X5732" s="2">
        <f ca="1"/>
        <v>22.836221055015976</v>
      </c>
      <c r="AG5732" s="2">
        <f ca="1"/>
        <v>0.95012375694615625</v>
      </c>
      <c r="AH5732" s="2" t="str">
        <f ca="1"/>
        <v>Bad</v>
      </c>
    </row>
    <row r="5733" spans="2:34" x14ac:dyDescent="0.2">
      <c r="B5733" s="2">
        <f ca="1"/>
        <v>0.68895979250742512</v>
      </c>
      <c r="O5733" s="2">
        <f ca="1"/>
        <v>1.0538123445565579</v>
      </c>
      <c r="X5733" s="2">
        <f ca="1"/>
        <v>56.77832208839078</v>
      </c>
      <c r="AG5733" s="2">
        <f ca="1"/>
        <v>0.29285696554480389</v>
      </c>
      <c r="AH5733" s="2" t="str">
        <f ca="1"/>
        <v>OK</v>
      </c>
    </row>
    <row r="5734" spans="2:34" x14ac:dyDescent="0.2">
      <c r="B5734" s="2">
        <f ca="1"/>
        <v>0.89309475472268107</v>
      </c>
      <c r="O5734" s="2">
        <f ca="1"/>
        <v>-2.0483784478973943</v>
      </c>
      <c r="X5734" s="2">
        <f ca="1"/>
        <v>57.569443973487758</v>
      </c>
      <c r="AG5734" s="2">
        <f ca="1"/>
        <v>0.2697883433712569</v>
      </c>
      <c r="AH5734" s="2" t="str">
        <f ca="1"/>
        <v>OK</v>
      </c>
    </row>
    <row r="5735" spans="2:34" x14ac:dyDescent="0.2">
      <c r="B5735" s="2">
        <f ca="1"/>
        <v>0.77894348583794137</v>
      </c>
      <c r="O5735" s="2">
        <f ca="1"/>
        <v>-0.93289427353819376</v>
      </c>
      <c r="X5735" s="2">
        <f ca="1"/>
        <v>55.92224198085232</v>
      </c>
      <c r="AG5735" s="2">
        <f ca="1"/>
        <v>0.15802173253925278</v>
      </c>
      <c r="AH5735" s="2" t="str">
        <f ca="1"/>
        <v>OK</v>
      </c>
    </row>
    <row r="5736" spans="2:34" x14ac:dyDescent="0.2">
      <c r="B5736" s="2">
        <f ca="1"/>
        <v>2.5146461441962309E-2</v>
      </c>
      <c r="O5736" s="2">
        <f ca="1"/>
        <v>-1.6155551123616165</v>
      </c>
      <c r="X5736" s="2">
        <f ca="1"/>
        <v>44.344117015712925</v>
      </c>
      <c r="AG5736" s="2">
        <f ca="1"/>
        <v>0.60133433812251491</v>
      </c>
      <c r="AH5736" s="2" t="str">
        <f ca="1"/>
        <v>Bad</v>
      </c>
    </row>
    <row r="5737" spans="2:34" x14ac:dyDescent="0.2">
      <c r="B5737" s="2">
        <f ca="1"/>
        <v>0.98087934399233001</v>
      </c>
      <c r="O5737" s="2">
        <f ca="1"/>
        <v>2.0983841362795856</v>
      </c>
      <c r="X5737" s="2">
        <f ca="1"/>
        <v>63.126563122693824</v>
      </c>
      <c r="AG5737" s="2">
        <f ca="1"/>
        <v>0.93226567437545493</v>
      </c>
      <c r="AH5737" s="2" t="str">
        <f ca="1"/>
        <v>Bad</v>
      </c>
    </row>
    <row r="5738" spans="2:34" x14ac:dyDescent="0.2">
      <c r="B5738" s="2">
        <f ca="1"/>
        <v>0.249248650978807</v>
      </c>
      <c r="O5738" s="2">
        <f ca="1"/>
        <v>0.51593733111820173</v>
      </c>
      <c r="X5738" s="2">
        <f ca="1"/>
        <v>59.424602784547808</v>
      </c>
      <c r="AG5738" s="2">
        <f ca="1"/>
        <v>0.39434131687277341</v>
      </c>
      <c r="AH5738" s="2" t="str">
        <f ca="1"/>
        <v>OK</v>
      </c>
    </row>
    <row r="5739" spans="2:34" x14ac:dyDescent="0.2">
      <c r="B5739" s="2">
        <f ca="1"/>
        <v>0.13550927066985374</v>
      </c>
      <c r="O5739" s="2">
        <f ca="1"/>
        <v>-0.59844497752711556</v>
      </c>
      <c r="X5739" s="2">
        <f ca="1"/>
        <v>55.560309057249462</v>
      </c>
      <c r="AG5739" s="2">
        <f ca="1"/>
        <v>0.10127137075108816</v>
      </c>
      <c r="AH5739" s="2" t="str">
        <f ca="1"/>
        <v>OK</v>
      </c>
    </row>
    <row r="5740" spans="2:34" x14ac:dyDescent="0.2">
      <c r="B5740" s="2">
        <f ca="1"/>
        <v>0.92570250266776521</v>
      </c>
      <c r="O5740" s="2">
        <f ca="1"/>
        <v>-0.27146786926586053</v>
      </c>
      <c r="X5740" s="2">
        <f ca="1"/>
        <v>41.521258980077903</v>
      </c>
      <c r="AG5740" s="2">
        <f ca="1"/>
        <v>0.92477615976799221</v>
      </c>
      <c r="AH5740" s="2" t="str">
        <f ca="1"/>
        <v>Bad</v>
      </c>
    </row>
    <row r="5741" spans="2:34" x14ac:dyDescent="0.2">
      <c r="B5741" s="2">
        <f ca="1"/>
        <v>0.36716361315703394</v>
      </c>
      <c r="O5741" s="2">
        <f ca="1"/>
        <v>-0.12800560238209882</v>
      </c>
      <c r="X5741" s="2">
        <f ca="1"/>
        <v>66.337741212854041</v>
      </c>
      <c r="AG5741" s="2">
        <f ca="1"/>
        <v>0.85964027553132993</v>
      </c>
      <c r="AH5741" s="2" t="str">
        <f ca="1"/>
        <v>Bad</v>
      </c>
    </row>
    <row r="5742" spans="2:34" x14ac:dyDescent="0.2">
      <c r="B5742" s="2">
        <f ca="1"/>
        <v>0.16615323492566714</v>
      </c>
      <c r="O5742" s="2">
        <f ca="1"/>
        <v>9.5481712476357603E-2</v>
      </c>
      <c r="X5742" s="2">
        <f ca="1"/>
        <v>29.569265266089996</v>
      </c>
      <c r="AG5742" s="2">
        <f ca="1"/>
        <v>0.44325077397397705</v>
      </c>
      <c r="AH5742" s="2" t="str">
        <f ca="1"/>
        <v>Bad</v>
      </c>
    </row>
    <row r="5743" spans="2:34" x14ac:dyDescent="0.2">
      <c r="B5743" s="2">
        <f ca="1"/>
        <v>0.26258257004115104</v>
      </c>
      <c r="O5743" s="2">
        <f ca="1"/>
        <v>0.16122307503135425</v>
      </c>
      <c r="X5743" s="2">
        <f ca="1"/>
        <v>51.683184117441535</v>
      </c>
      <c r="AG5743" s="2">
        <f ca="1"/>
        <v>0.32180073064689885</v>
      </c>
      <c r="AH5743" s="2" t="str">
        <f ca="1"/>
        <v>OK</v>
      </c>
    </row>
    <row r="5744" spans="2:34" x14ac:dyDescent="0.2">
      <c r="B5744" s="2">
        <f ca="1"/>
        <v>0.35944848806671348</v>
      </c>
      <c r="O5744" s="2">
        <f ca="1"/>
        <v>0.30424369334963303</v>
      </c>
      <c r="X5744" s="2">
        <f ca="1"/>
        <v>73.793074646405174</v>
      </c>
      <c r="AG5744" s="2">
        <f ca="1"/>
        <v>0.64434288686756025</v>
      </c>
      <c r="AH5744" s="2" t="str">
        <f ca="1"/>
        <v>Bad</v>
      </c>
    </row>
    <row r="5745" spans="2:34" x14ac:dyDescent="0.2">
      <c r="B5745" s="2">
        <f ca="1"/>
        <v>0.93398951118184348</v>
      </c>
      <c r="O5745" s="2">
        <f ca="1"/>
        <v>-0.1721223391598948</v>
      </c>
      <c r="X5745" s="2">
        <f ca="1"/>
        <v>36.292962044068197</v>
      </c>
      <c r="AG5745" s="2">
        <f ca="1"/>
        <v>0.87527138187584907</v>
      </c>
      <c r="AH5745" s="2" t="str">
        <f ca="1"/>
        <v>Bad</v>
      </c>
    </row>
    <row r="5746" spans="2:34" x14ac:dyDescent="0.2">
      <c r="B5746" s="2">
        <f ca="1"/>
        <v>0.97481787255724561</v>
      </c>
      <c r="O5746" s="2">
        <f ca="1"/>
        <v>-1.0062018913720983</v>
      </c>
      <c r="X5746" s="2">
        <f ca="1"/>
        <v>67.19789030956332</v>
      </c>
      <c r="AG5746" s="2">
        <f ca="1"/>
        <v>0.17808856172806276</v>
      </c>
      <c r="AH5746" s="2" t="str">
        <f ca="1"/>
        <v>OK</v>
      </c>
    </row>
    <row r="5747" spans="2:34" x14ac:dyDescent="0.2">
      <c r="B5747" s="2">
        <f ca="1"/>
        <v>0.8812074969630741</v>
      </c>
      <c r="O5747" s="2">
        <f ca="1"/>
        <v>-0.62523817966797057</v>
      </c>
      <c r="X5747" s="2">
        <f ca="1"/>
        <v>47.491993239210018</v>
      </c>
      <c r="AG5747" s="2">
        <f ca="1"/>
        <v>0.67042858603402644</v>
      </c>
      <c r="AH5747" s="2" t="str">
        <f ca="1"/>
        <v>Bad</v>
      </c>
    </row>
    <row r="5748" spans="2:34" x14ac:dyDescent="0.2">
      <c r="B5748" s="2">
        <f ca="1"/>
        <v>0.57834598404416249</v>
      </c>
      <c r="O5748" s="2">
        <f ca="1"/>
        <v>1.3003427378355641</v>
      </c>
      <c r="X5748" s="2">
        <f ca="1"/>
        <v>56.758929080680232</v>
      </c>
      <c r="AG5748" s="2">
        <f ca="1"/>
        <v>0.32463664010633431</v>
      </c>
      <c r="AH5748" s="2" t="str">
        <f ca="1"/>
        <v>OK</v>
      </c>
    </row>
    <row r="5749" spans="2:34" x14ac:dyDescent="0.2">
      <c r="B5749" s="2">
        <f ca="1"/>
        <v>0.36229837189355507</v>
      </c>
      <c r="O5749" s="2">
        <f ca="1"/>
        <v>-0.79784210803668687</v>
      </c>
      <c r="X5749" s="2">
        <f ca="1"/>
        <v>62.67410077086916</v>
      </c>
      <c r="AG5749" s="2">
        <f ca="1"/>
        <v>0.31579457601060046</v>
      </c>
      <c r="AH5749" s="2" t="str">
        <f ca="1"/>
        <v>OK</v>
      </c>
    </row>
    <row r="5750" spans="2:34" x14ac:dyDescent="0.2">
      <c r="B5750" s="2">
        <f ca="1"/>
        <v>0.78259182869502597</v>
      </c>
      <c r="O5750" s="2">
        <f ca="1"/>
        <v>0.23244856321567334</v>
      </c>
      <c r="X5750" s="2">
        <f ca="1"/>
        <v>50.268613701183121</v>
      </c>
      <c r="AG5750" s="2">
        <f ca="1"/>
        <v>3.6059682711075736E-2</v>
      </c>
      <c r="AH5750" s="2" t="str">
        <f ca="1"/>
        <v>Good</v>
      </c>
    </row>
    <row r="5751" spans="2:34" x14ac:dyDescent="0.2">
      <c r="B5751" s="2">
        <f ca="1"/>
        <v>0.20526933354082355</v>
      </c>
      <c r="O5751" s="2">
        <f ca="1"/>
        <v>-0.12589665023533711</v>
      </c>
      <c r="X5751" s="2">
        <f ca="1"/>
        <v>63.197344693024895</v>
      </c>
      <c r="AG5751" s="2">
        <f ca="1"/>
        <v>0.27934906289264516</v>
      </c>
      <c r="AH5751" s="2" t="str">
        <f ca="1"/>
        <v>OK</v>
      </c>
    </row>
    <row r="5752" spans="2:34" x14ac:dyDescent="0.2">
      <c r="B5752" s="2">
        <f ca="1"/>
        <v>0.90263553981589673</v>
      </c>
      <c r="O5752" s="2">
        <f ca="1"/>
        <v>0.85963616206753446</v>
      </c>
      <c r="X5752" s="2">
        <f ca="1"/>
        <v>29.573532748217673</v>
      </c>
      <c r="AG5752" s="2">
        <f ca="1"/>
        <v>0.84018425253866091</v>
      </c>
      <c r="AH5752" s="2" t="str">
        <f ca="1"/>
        <v>Bad</v>
      </c>
    </row>
    <row r="5753" spans="2:34" x14ac:dyDescent="0.2">
      <c r="B5753" s="2">
        <f ca="1"/>
        <v>0.39539394564484365</v>
      </c>
      <c r="O5753" s="2">
        <f ca="1"/>
        <v>-0.52221478385956721</v>
      </c>
      <c r="X5753" s="2">
        <f ca="1"/>
        <v>57.072087222048026</v>
      </c>
      <c r="AG5753" s="2">
        <f ca="1"/>
        <v>0.94107161355981517</v>
      </c>
      <c r="AH5753" s="2" t="str">
        <f ca="1"/>
        <v>Bad</v>
      </c>
    </row>
    <row r="5754" spans="2:34" x14ac:dyDescent="0.2">
      <c r="B5754" s="2">
        <f ca="1"/>
        <v>0.4706858376882499</v>
      </c>
      <c r="O5754" s="2">
        <f ca="1"/>
        <v>-0.53939098436277688</v>
      </c>
      <c r="X5754" s="2">
        <f ca="1"/>
        <v>32.848068574414029</v>
      </c>
      <c r="AG5754" s="2">
        <f ca="1"/>
        <v>0.53937165205315263</v>
      </c>
      <c r="AH5754" s="2" t="str">
        <f ca="1"/>
        <v>Bad</v>
      </c>
    </row>
    <row r="5755" spans="2:34" x14ac:dyDescent="0.2">
      <c r="B5755" s="2">
        <f ca="1"/>
        <v>0.99942364654988181</v>
      </c>
      <c r="O5755" s="2">
        <f ca="1"/>
        <v>-1.0184985762416561</v>
      </c>
      <c r="X5755" s="2">
        <f ca="1"/>
        <v>42.890045070709633</v>
      </c>
      <c r="AG5755" s="2">
        <f ca="1"/>
        <v>0.804448602000982</v>
      </c>
      <c r="AH5755" s="2" t="str">
        <f ca="1"/>
        <v>Bad</v>
      </c>
    </row>
    <row r="5756" spans="2:34" x14ac:dyDescent="0.2">
      <c r="B5756" s="2">
        <f ca="1"/>
        <v>0.11133586408369656</v>
      </c>
      <c r="O5756" s="2">
        <f ca="1"/>
        <v>1.0294148389801625</v>
      </c>
      <c r="X5756" s="2">
        <f ca="1"/>
        <v>56.309230219864943</v>
      </c>
      <c r="AG5756" s="2">
        <f ca="1"/>
        <v>0.15692815709212637</v>
      </c>
      <c r="AH5756" s="2" t="str">
        <f ca="1"/>
        <v>OK</v>
      </c>
    </row>
    <row r="5757" spans="2:34" x14ac:dyDescent="0.2">
      <c r="B5757" s="2">
        <f ca="1"/>
        <v>5.0303745088275953E-3</v>
      </c>
      <c r="O5757" s="2">
        <f ca="1"/>
        <v>-1.6409478654160681</v>
      </c>
      <c r="X5757" s="2">
        <f ca="1"/>
        <v>33.875326958892863</v>
      </c>
      <c r="AG5757" s="2">
        <f ca="1"/>
        <v>0.96749674356658732</v>
      </c>
      <c r="AH5757" s="2" t="str">
        <f ca="1"/>
        <v>Bad</v>
      </c>
    </row>
    <row r="5758" spans="2:34" x14ac:dyDescent="0.2">
      <c r="B5758" s="2">
        <f ca="1"/>
        <v>0.95408857180361073</v>
      </c>
      <c r="O5758" s="2">
        <f ca="1"/>
        <v>0.51320243724746017</v>
      </c>
      <c r="X5758" s="2">
        <f ca="1"/>
        <v>46.697970128046293</v>
      </c>
      <c r="AG5758" s="2">
        <f ca="1"/>
        <v>0.64100742282108003</v>
      </c>
      <c r="AH5758" s="2" t="str">
        <f ca="1"/>
        <v>Bad</v>
      </c>
    </row>
    <row r="5759" spans="2:34" x14ac:dyDescent="0.2">
      <c r="B5759" s="2">
        <f ca="1"/>
        <v>0.70934168049033319</v>
      </c>
      <c r="O5759" s="2">
        <f ca="1"/>
        <v>1.4301695003856829</v>
      </c>
      <c r="X5759" s="2">
        <f ca="1"/>
        <v>34.622485784505358</v>
      </c>
      <c r="AG5759" s="2">
        <f ca="1"/>
        <v>0.90869187978670762</v>
      </c>
      <c r="AH5759" s="2" t="str">
        <f ca="1"/>
        <v>Bad</v>
      </c>
    </row>
    <row r="5760" spans="2:34" x14ac:dyDescent="0.2">
      <c r="B5760" s="2">
        <f ca="1"/>
        <v>0.5741502824434026</v>
      </c>
      <c r="O5760" s="2">
        <f ca="1"/>
        <v>1.2020954400046646</v>
      </c>
      <c r="X5760" s="2">
        <f ca="1"/>
        <v>84.614429478643672</v>
      </c>
      <c r="AG5760" s="2">
        <f ca="1"/>
        <v>0.67628205539685449</v>
      </c>
      <c r="AH5760" s="2" t="str">
        <f ca="1"/>
        <v>Bad</v>
      </c>
    </row>
    <row r="5761" spans="2:34" x14ac:dyDescent="0.2">
      <c r="B5761" s="2">
        <f ca="1"/>
        <v>0.55548653292903105</v>
      </c>
      <c r="O5761" s="2">
        <f ca="1"/>
        <v>-1.2367183610849666</v>
      </c>
      <c r="X5761" s="2">
        <f ca="1"/>
        <v>65.032632169577397</v>
      </c>
      <c r="AG5761" s="2">
        <f ca="1"/>
        <v>0.91874933702326023</v>
      </c>
      <c r="AH5761" s="2" t="str">
        <f ca="1"/>
        <v>Bad</v>
      </c>
    </row>
    <row r="5762" spans="2:34" x14ac:dyDescent="0.2">
      <c r="B5762" s="2">
        <f ca="1"/>
        <v>4.2473568318649235E-2</v>
      </c>
      <c r="O5762" s="2">
        <f ca="1"/>
        <v>0.46954185417966821</v>
      </c>
      <c r="X5762" s="2">
        <f ca="1"/>
        <v>55.85608866147404</v>
      </c>
      <c r="AG5762" s="2">
        <f ca="1"/>
        <v>0.24235390018550351</v>
      </c>
      <c r="AH5762" s="2" t="str">
        <f ca="1"/>
        <v>OK</v>
      </c>
    </row>
    <row r="5763" spans="2:34" x14ac:dyDescent="0.2">
      <c r="B5763" s="2">
        <f ca="1"/>
        <v>0.84288743488225859</v>
      </c>
      <c r="O5763" s="2">
        <f ca="1"/>
        <v>-1.3356129066881366E-2</v>
      </c>
      <c r="X5763" s="2">
        <f ca="1"/>
        <v>70.600680007077486</v>
      </c>
      <c r="AG5763" s="2">
        <f ca="1"/>
        <v>0.53228821522642145</v>
      </c>
      <c r="AH5763" s="2" t="str">
        <f ca="1"/>
        <v>Bad</v>
      </c>
    </row>
    <row r="5764" spans="2:34" x14ac:dyDescent="0.2">
      <c r="B5764" s="2">
        <f ca="1"/>
        <v>0.52144984586579413</v>
      </c>
      <c r="O5764" s="2">
        <f ca="1"/>
        <v>0.78534863225433238</v>
      </c>
      <c r="X5764" s="2">
        <f ca="1"/>
        <v>65.703177718947416</v>
      </c>
      <c r="AG5764" s="2">
        <f ca="1"/>
        <v>0.22438734589887632</v>
      </c>
      <c r="AH5764" s="2" t="str">
        <f ca="1"/>
        <v>OK</v>
      </c>
    </row>
    <row r="5765" spans="2:34" x14ac:dyDescent="0.2">
      <c r="B5765" s="2">
        <f ca="1"/>
        <v>0.80654614599370023</v>
      </c>
      <c r="O5765" s="2">
        <f ca="1"/>
        <v>0.74899617743018454</v>
      </c>
      <c r="X5765" s="2">
        <f ca="1"/>
        <v>59.453152454879515</v>
      </c>
      <c r="AG5765" s="2">
        <f ca="1"/>
        <v>0.29617107900988393</v>
      </c>
      <c r="AH5765" s="2" t="str">
        <f ca="1"/>
        <v>OK</v>
      </c>
    </row>
    <row r="5766" spans="2:34" x14ac:dyDescent="0.2">
      <c r="B5766" s="2">
        <f ca="1"/>
        <v>0.78444954132705136</v>
      </c>
      <c r="O5766" s="2">
        <f ca="1"/>
        <v>-1.082591519366086</v>
      </c>
      <c r="X5766" s="2">
        <f ca="1"/>
        <v>39.239608382812378</v>
      </c>
      <c r="AG5766" s="2">
        <f ca="1"/>
        <v>0.57134626290207291</v>
      </c>
      <c r="AH5766" s="2" t="str">
        <f ca="1"/>
        <v>Bad</v>
      </c>
    </row>
    <row r="5767" spans="2:34" x14ac:dyDescent="0.2">
      <c r="B5767" s="2">
        <f ca="1"/>
        <v>0.12517791168380943</v>
      </c>
      <c r="O5767" s="2">
        <f ca="1"/>
        <v>0.33637797283987947</v>
      </c>
      <c r="X5767" s="2">
        <f ca="1"/>
        <v>79.52721283795502</v>
      </c>
      <c r="AG5767" s="2">
        <f ca="1"/>
        <v>4.711505913233438E-3</v>
      </c>
      <c r="AH5767" s="2" t="str">
        <f ca="1"/>
        <v>Good</v>
      </c>
    </row>
    <row r="5768" spans="2:34" x14ac:dyDescent="0.2">
      <c r="B5768" s="2">
        <f ca="1"/>
        <v>0.15482532695842322</v>
      </c>
      <c r="O5768" s="2">
        <f ca="1"/>
        <v>1.0389480919024427</v>
      </c>
      <c r="X5768" s="2">
        <f ca="1"/>
        <v>43.672603962983445</v>
      </c>
      <c r="AG5768" s="2">
        <f ca="1"/>
        <v>0.42941630411320819</v>
      </c>
      <c r="AH5768" s="2" t="str">
        <f ca="1"/>
        <v>Bad</v>
      </c>
    </row>
    <row r="5769" spans="2:34" x14ac:dyDescent="0.2">
      <c r="B5769" s="2">
        <f ca="1"/>
        <v>0.73998448038488207</v>
      </c>
      <c r="O5769" s="2">
        <f ca="1"/>
        <v>0.61282395438310899</v>
      </c>
      <c r="X5769" s="2">
        <f ca="1"/>
        <v>73.45494977468627</v>
      </c>
      <c r="AG5769" s="2">
        <f ca="1"/>
        <v>0.45975857135373333</v>
      </c>
      <c r="AH5769" s="2" t="str">
        <f ca="1"/>
        <v>Bad</v>
      </c>
    </row>
    <row r="5770" spans="2:34" x14ac:dyDescent="0.2">
      <c r="B5770" s="2">
        <f ca="1"/>
        <v>3.9922601724120987E-2</v>
      </c>
      <c r="O5770" s="2">
        <f ca="1"/>
        <v>-1.8256044729947303</v>
      </c>
      <c r="X5770" s="2">
        <f ca="1"/>
        <v>41.130900086166164</v>
      </c>
      <c r="AG5770" s="2">
        <f ca="1"/>
        <v>0.51049055535939325</v>
      </c>
      <c r="AH5770" s="2" t="str">
        <f ca="1"/>
        <v>Bad</v>
      </c>
    </row>
    <row r="5771" spans="2:34" x14ac:dyDescent="0.2">
      <c r="B5771" s="2">
        <f ca="1"/>
        <v>0.66255302540913452</v>
      </c>
      <c r="O5771" s="2">
        <f ca="1"/>
        <v>0.82724768065680054</v>
      </c>
      <c r="X5771" s="2">
        <f ca="1"/>
        <v>25.49285069923625</v>
      </c>
      <c r="AG5771" s="2">
        <f ca="1"/>
        <v>5.6212113702431177E-2</v>
      </c>
      <c r="AH5771" s="2" t="str">
        <f ca="1"/>
        <v>OK</v>
      </c>
    </row>
    <row r="5772" spans="2:34" x14ac:dyDescent="0.2">
      <c r="B5772" s="2">
        <f ca="1"/>
        <v>7.9914287340327794E-2</v>
      </c>
      <c r="O5772" s="2">
        <f ca="1"/>
        <v>-0.24524728950007871</v>
      </c>
      <c r="X5772" s="2">
        <f ca="1"/>
        <v>37.4396998817233</v>
      </c>
      <c r="AG5772" s="2">
        <f ca="1"/>
        <v>0.60652308153489987</v>
      </c>
      <c r="AH5772" s="2" t="str">
        <f ca="1"/>
        <v>Bad</v>
      </c>
    </row>
    <row r="5773" spans="2:34" x14ac:dyDescent="0.2">
      <c r="B5773" s="2">
        <f ca="1"/>
        <v>0.86985311277770871</v>
      </c>
      <c r="O5773" s="2">
        <f ca="1"/>
        <v>0.9208720232928147</v>
      </c>
      <c r="X5773" s="2">
        <f ca="1"/>
        <v>46.7423244399547</v>
      </c>
      <c r="AG5773" s="2">
        <f ca="1"/>
        <v>0.24699319265208164</v>
      </c>
      <c r="AH5773" s="2" t="str">
        <f ca="1"/>
        <v>OK</v>
      </c>
    </row>
    <row r="5774" spans="2:34" x14ac:dyDescent="0.2">
      <c r="B5774" s="2">
        <f ca="1"/>
        <v>0.10394189230654893</v>
      </c>
      <c r="O5774" s="2">
        <f ca="1"/>
        <v>0.44783236103307866</v>
      </c>
      <c r="X5774" s="2">
        <f ca="1"/>
        <v>54.611279832751087</v>
      </c>
      <c r="AG5774" s="2">
        <f ca="1"/>
        <v>0.39525451808752177</v>
      </c>
      <c r="AH5774" s="2" t="str">
        <f ca="1"/>
        <v>OK</v>
      </c>
    </row>
    <row r="5775" spans="2:34" x14ac:dyDescent="0.2">
      <c r="B5775" s="2">
        <f ca="1"/>
        <v>0.78149526709543093</v>
      </c>
      <c r="O5775" s="2">
        <f ca="1"/>
        <v>0.78139954371885645</v>
      </c>
      <c r="X5775" s="2">
        <f ca="1"/>
        <v>50.195850769431217</v>
      </c>
      <c r="AG5775" s="2">
        <f ca="1"/>
        <v>0.75714556023142499</v>
      </c>
      <c r="AH5775" s="2" t="str">
        <f ca="1"/>
        <v>Bad</v>
      </c>
    </row>
    <row r="5776" spans="2:34" x14ac:dyDescent="0.2">
      <c r="B5776" s="2">
        <f ca="1"/>
        <v>0.79312739564586221</v>
      </c>
      <c r="O5776" s="2">
        <f ca="1"/>
        <v>0.24324309107776299</v>
      </c>
      <c r="X5776" s="2">
        <f ca="1"/>
        <v>33.089572773475368</v>
      </c>
      <c r="AG5776" s="2">
        <f ca="1"/>
        <v>0.66715661041787433</v>
      </c>
      <c r="AH5776" s="2" t="str">
        <f ca="1"/>
        <v>Bad</v>
      </c>
    </row>
    <row r="5777" spans="2:34" x14ac:dyDescent="0.2">
      <c r="B5777" s="2">
        <f ca="1"/>
        <v>0.46915501498628842</v>
      </c>
      <c r="O5777" s="2">
        <f ca="1"/>
        <v>0.62921071338486689</v>
      </c>
      <c r="X5777" s="2">
        <f ca="1"/>
        <v>35.577277890357109</v>
      </c>
      <c r="AG5777" s="2">
        <f ca="1"/>
        <v>0.46162908099054301</v>
      </c>
      <c r="AH5777" s="2" t="str">
        <f ca="1"/>
        <v>Bad</v>
      </c>
    </row>
    <row r="5778" spans="2:34" x14ac:dyDescent="0.2">
      <c r="B5778" s="2">
        <f ca="1"/>
        <v>0.63908985910292215</v>
      </c>
      <c r="O5778" s="2">
        <f ca="1"/>
        <v>-0.31349124239566861</v>
      </c>
      <c r="X5778" s="2">
        <f ca="1"/>
        <v>61.104519035853144</v>
      </c>
      <c r="AG5778" s="2">
        <f ca="1"/>
        <v>0.70639345579228552</v>
      </c>
      <c r="AH5778" s="2" t="str">
        <f ca="1"/>
        <v>Bad</v>
      </c>
    </row>
    <row r="5779" spans="2:34" x14ac:dyDescent="0.2">
      <c r="B5779" s="2">
        <f ca="1"/>
        <v>0.27811905438276452</v>
      </c>
      <c r="O5779" s="2">
        <f ca="1"/>
        <v>-1.4924615001014852</v>
      </c>
      <c r="X5779" s="2">
        <f ca="1"/>
        <v>37.060886231802613</v>
      </c>
      <c r="AG5779" s="2">
        <f ca="1"/>
        <v>0.24731619586848885</v>
      </c>
      <c r="AH5779" s="2" t="str">
        <f ca="1"/>
        <v>OK</v>
      </c>
    </row>
    <row r="5780" spans="2:34" x14ac:dyDescent="0.2">
      <c r="B5780" s="2">
        <f ca="1"/>
        <v>0.48135310195306857</v>
      </c>
      <c r="O5780" s="2">
        <f ca="1"/>
        <v>-0.17182765672714728</v>
      </c>
      <c r="X5780" s="2">
        <f ca="1"/>
        <v>38.742582667509112</v>
      </c>
      <c r="AG5780" s="2">
        <f ca="1"/>
        <v>0.13655591947369583</v>
      </c>
      <c r="AH5780" s="2" t="str">
        <f ca="1"/>
        <v>OK</v>
      </c>
    </row>
    <row r="5781" spans="2:34" x14ac:dyDescent="0.2">
      <c r="B5781" s="2">
        <f ca="1"/>
        <v>0.57386352442613275</v>
      </c>
      <c r="O5781" s="2">
        <f ca="1"/>
        <v>0.57313993896077964</v>
      </c>
      <c r="X5781" s="2">
        <f ca="1"/>
        <v>41.63210595710823</v>
      </c>
      <c r="AG5781" s="2">
        <f ca="1"/>
        <v>0.57549417870944275</v>
      </c>
      <c r="AH5781" s="2" t="str">
        <f ca="1"/>
        <v>Bad</v>
      </c>
    </row>
    <row r="5782" spans="2:34" x14ac:dyDescent="0.2">
      <c r="B5782" s="2">
        <f ca="1"/>
        <v>0.96100905641279355</v>
      </c>
      <c r="O5782" s="2">
        <f ca="1"/>
        <v>2.4474688597416784E-2</v>
      </c>
      <c r="X5782" s="2">
        <f ca="1"/>
        <v>51.340006001014132</v>
      </c>
      <c r="AG5782" s="2">
        <f ca="1"/>
        <v>0.63210444494807438</v>
      </c>
      <c r="AH5782" s="2" t="str">
        <f ca="1"/>
        <v>Bad</v>
      </c>
    </row>
    <row r="5783" spans="2:34" x14ac:dyDescent="0.2">
      <c r="B5783" s="2">
        <f ca="1"/>
        <v>0.38158841199893434</v>
      </c>
      <c r="O5783" s="2">
        <f ca="1"/>
        <v>1.6480327078429751</v>
      </c>
      <c r="X5783" s="2">
        <f ca="1"/>
        <v>40.055129063487669</v>
      </c>
      <c r="AG5783" s="2">
        <f ca="1"/>
        <v>0.42070029854279145</v>
      </c>
      <c r="AH5783" s="2" t="str">
        <f ca="1"/>
        <v>Bad</v>
      </c>
    </row>
    <row r="5784" spans="2:34" x14ac:dyDescent="0.2">
      <c r="B5784" s="2">
        <f ca="1"/>
        <v>0.20315788007951618</v>
      </c>
      <c r="O5784" s="2">
        <f ca="1"/>
        <v>1.2601694627890792</v>
      </c>
      <c r="X5784" s="2">
        <f ca="1"/>
        <v>40.809922329122671</v>
      </c>
      <c r="AG5784" s="2">
        <f ca="1"/>
        <v>8.4383531277021584E-2</v>
      </c>
      <c r="AH5784" s="2" t="str">
        <f ca="1"/>
        <v>OK</v>
      </c>
    </row>
    <row r="5785" spans="2:34" x14ac:dyDescent="0.2">
      <c r="B5785" s="2">
        <f ca="1"/>
        <v>0.12055442495698387</v>
      </c>
      <c r="O5785" s="2">
        <f ca="1"/>
        <v>1.140671684163348</v>
      </c>
      <c r="X5785" s="2">
        <f ca="1"/>
        <v>68.697320293289977</v>
      </c>
      <c r="AG5785" s="2">
        <f ca="1"/>
        <v>3.3109714994128625E-2</v>
      </c>
      <c r="AH5785" s="2" t="str">
        <f ca="1"/>
        <v>Good</v>
      </c>
    </row>
    <row r="5786" spans="2:34" x14ac:dyDescent="0.2">
      <c r="B5786" s="2">
        <f ca="1"/>
        <v>0.29391023629676738</v>
      </c>
      <c r="O5786" s="2">
        <f ca="1"/>
        <v>0.44070225187932521</v>
      </c>
      <c r="X5786" s="2">
        <f ca="1"/>
        <v>48.292432544458386</v>
      </c>
      <c r="AG5786" s="2">
        <f ca="1"/>
        <v>0.25814302318674875</v>
      </c>
      <c r="AH5786" s="2" t="str">
        <f ca="1"/>
        <v>OK</v>
      </c>
    </row>
    <row r="5787" spans="2:34" x14ac:dyDescent="0.2">
      <c r="B5787" s="2">
        <f ca="1"/>
        <v>3.9669021909860547E-2</v>
      </c>
      <c r="O5787" s="2">
        <f ca="1"/>
        <v>1.0069004292564432</v>
      </c>
      <c r="X5787" s="2">
        <f ca="1"/>
        <v>79.636608938322254</v>
      </c>
      <c r="AG5787" s="2">
        <f ca="1"/>
        <v>0.75210606285644999</v>
      </c>
      <c r="AH5787" s="2" t="str">
        <f ca="1"/>
        <v>Bad</v>
      </c>
    </row>
    <row r="5788" spans="2:34" x14ac:dyDescent="0.2">
      <c r="B5788" s="2">
        <f ca="1"/>
        <v>0.17573875783000115</v>
      </c>
      <c r="O5788" s="2">
        <f ca="1"/>
        <v>-0.57860010293774289</v>
      </c>
      <c r="X5788" s="2">
        <f ca="1"/>
        <v>21.962099853651438</v>
      </c>
      <c r="AG5788" s="2">
        <f ca="1"/>
        <v>0.99142640317533304</v>
      </c>
      <c r="AH5788" s="2" t="str">
        <f ca="1"/>
        <v>Bad</v>
      </c>
    </row>
    <row r="5789" spans="2:34" x14ac:dyDescent="0.2">
      <c r="B5789" s="2">
        <f ca="1"/>
        <v>0.69079677380108939</v>
      </c>
      <c r="O5789" s="2">
        <f ca="1"/>
        <v>-5.7314544809660889E-2</v>
      </c>
      <c r="X5789" s="2">
        <f ca="1"/>
        <v>41.066062063385729</v>
      </c>
      <c r="AG5789" s="2">
        <f ca="1"/>
        <v>0.19310489027690703</v>
      </c>
      <c r="AH5789" s="2" t="str">
        <f ca="1"/>
        <v>OK</v>
      </c>
    </row>
    <row r="5790" spans="2:34" x14ac:dyDescent="0.2">
      <c r="B5790" s="2">
        <f ca="1"/>
        <v>0.50637942983363482</v>
      </c>
      <c r="O5790" s="2">
        <f ca="1"/>
        <v>1.5067473040395425</v>
      </c>
      <c r="X5790" s="2">
        <f ca="1"/>
        <v>36.043086807725452</v>
      </c>
      <c r="AG5790" s="2">
        <f ca="1"/>
        <v>0.99101964683802191</v>
      </c>
      <c r="AH5790" s="2" t="str">
        <f ca="1"/>
        <v>Bad</v>
      </c>
    </row>
    <row r="5791" spans="2:34" x14ac:dyDescent="0.2">
      <c r="B5791" s="2">
        <f ca="1"/>
        <v>0.15039002396312373</v>
      </c>
      <c r="O5791" s="2">
        <f ca="1"/>
        <v>2.0432251474857837</v>
      </c>
      <c r="X5791" s="2">
        <f ca="1"/>
        <v>33.548586811926654</v>
      </c>
      <c r="AG5791" s="2">
        <f ca="1"/>
        <v>0.4128236493084203</v>
      </c>
      <c r="AH5791" s="2" t="str">
        <f ca="1"/>
        <v>Bad</v>
      </c>
    </row>
    <row r="5792" spans="2:34" x14ac:dyDescent="0.2">
      <c r="B5792" s="2">
        <f ca="1"/>
        <v>0.26384778290752342</v>
      </c>
      <c r="O5792" s="2">
        <f ca="1"/>
        <v>-0.97280842982104865</v>
      </c>
      <c r="X5792" s="2">
        <f ca="1"/>
        <v>45.86478396539745</v>
      </c>
      <c r="AG5792" s="2">
        <f ca="1"/>
        <v>0.80152338618438956</v>
      </c>
      <c r="AH5792" s="2" t="str">
        <f ca="1"/>
        <v>Bad</v>
      </c>
    </row>
    <row r="5793" spans="2:34" x14ac:dyDescent="0.2">
      <c r="B5793" s="2">
        <f ca="1"/>
        <v>0.14482277955153577</v>
      </c>
      <c r="O5793" s="2">
        <f ca="1"/>
        <v>-1.1812492320786883</v>
      </c>
      <c r="X5793" s="2">
        <f ca="1"/>
        <v>49.776758828556225</v>
      </c>
      <c r="AG5793" s="2">
        <f ca="1"/>
        <v>0.21143406636651685</v>
      </c>
      <c r="AH5793" s="2" t="str">
        <f ca="1"/>
        <v>OK</v>
      </c>
    </row>
    <row r="5794" spans="2:34" x14ac:dyDescent="0.2">
      <c r="B5794" s="2">
        <f ca="1"/>
        <v>0.86917742255044139</v>
      </c>
      <c r="O5794" s="2">
        <f ca="1"/>
        <v>-0.77041072092515883</v>
      </c>
      <c r="X5794" s="2">
        <f ca="1"/>
        <v>40.820271353155334</v>
      </c>
      <c r="AG5794" s="2">
        <f ca="1"/>
        <v>0.74531498744762836</v>
      </c>
      <c r="AH5794" s="2" t="str">
        <f ca="1"/>
        <v>Bad</v>
      </c>
    </row>
    <row r="5795" spans="2:34" x14ac:dyDescent="0.2">
      <c r="B5795" s="2">
        <f ca="1"/>
        <v>0.8163177763063878</v>
      </c>
      <c r="O5795" s="2">
        <f ca="1"/>
        <v>1.2687972267158958</v>
      </c>
      <c r="X5795" s="2">
        <f ca="1"/>
        <v>31.427143636940794</v>
      </c>
      <c r="AG5795" s="2">
        <f ca="1"/>
        <v>0.11754569849485463</v>
      </c>
      <c r="AH5795" s="2" t="str">
        <f ca="1"/>
        <v>OK</v>
      </c>
    </row>
    <row r="5796" spans="2:34" x14ac:dyDescent="0.2">
      <c r="B5796" s="2">
        <f ca="1"/>
        <v>0.87887092818879342</v>
      </c>
      <c r="O5796" s="2">
        <f ca="1"/>
        <v>1.7642230824766167</v>
      </c>
      <c r="X5796" s="2">
        <f ca="1"/>
        <v>15.302373900448874</v>
      </c>
      <c r="AG5796" s="2">
        <f ca="1"/>
        <v>0.30442116981336942</v>
      </c>
      <c r="AH5796" s="2" t="str">
        <f ca="1"/>
        <v>OK</v>
      </c>
    </row>
    <row r="5797" spans="2:34" x14ac:dyDescent="0.2">
      <c r="B5797" s="2">
        <f ca="1"/>
        <v>0.32920189119559051</v>
      </c>
      <c r="O5797" s="2">
        <f ca="1"/>
        <v>1.195445882010302</v>
      </c>
      <c r="X5797" s="2">
        <f ca="1"/>
        <v>33.464146450433454</v>
      </c>
      <c r="AG5797" s="2">
        <f ca="1"/>
        <v>0.78083888882801955</v>
      </c>
      <c r="AH5797" s="2" t="str">
        <f ca="1"/>
        <v>Bad</v>
      </c>
    </row>
    <row r="5798" spans="2:34" x14ac:dyDescent="0.2">
      <c r="B5798" s="2">
        <f ca="1"/>
        <v>0.80877187047042698</v>
      </c>
      <c r="O5798" s="2">
        <f ca="1"/>
        <v>1.2316030352185481</v>
      </c>
      <c r="X5798" s="2">
        <f ca="1"/>
        <v>48.01909194098593</v>
      </c>
      <c r="AG5798" s="2">
        <f ca="1"/>
        <v>4.0680802254997817E-2</v>
      </c>
      <c r="AH5798" s="2" t="str">
        <f ca="1"/>
        <v>Good</v>
      </c>
    </row>
    <row r="5799" spans="2:34" x14ac:dyDescent="0.2">
      <c r="B5799" s="2">
        <f ca="1"/>
        <v>0.82539961173850784</v>
      </c>
      <c r="O5799" s="2">
        <f ca="1"/>
        <v>-0.32458042751249677</v>
      </c>
      <c r="X5799" s="2">
        <f ca="1"/>
        <v>47.26138881260453</v>
      </c>
      <c r="AG5799" s="2">
        <f ca="1"/>
        <v>0.44840467433656461</v>
      </c>
      <c r="AH5799" s="2" t="str">
        <f ca="1"/>
        <v>Bad</v>
      </c>
    </row>
    <row r="5800" spans="2:34" x14ac:dyDescent="0.2">
      <c r="B5800" s="2">
        <f ca="1"/>
        <v>1.334427292181406E-2</v>
      </c>
      <c r="O5800" s="2">
        <f ca="1"/>
        <v>0.28398985593162746</v>
      </c>
      <c r="X5800" s="2">
        <f ca="1"/>
        <v>48.447099220401185</v>
      </c>
      <c r="AG5800" s="2">
        <f ca="1"/>
        <v>0.9344184545839247</v>
      </c>
      <c r="AH5800" s="2" t="str">
        <f ca="1"/>
        <v>Bad</v>
      </c>
    </row>
    <row r="5801" spans="2:34" x14ac:dyDescent="0.2">
      <c r="B5801" s="2">
        <f ca="1"/>
        <v>0.31117876779147968</v>
      </c>
      <c r="O5801" s="2">
        <f ca="1"/>
        <v>0.15226161230189392</v>
      </c>
      <c r="X5801" s="2">
        <f ca="1"/>
        <v>53.83447502929446</v>
      </c>
      <c r="AG5801" s="2">
        <f ca="1"/>
        <v>0.39791062180635661</v>
      </c>
      <c r="AH5801" s="2" t="str">
        <f ca="1"/>
        <v>OK</v>
      </c>
    </row>
    <row r="5802" spans="2:34" x14ac:dyDescent="0.2">
      <c r="B5802" s="2">
        <f ca="1"/>
        <v>0.24318828951887039</v>
      </c>
      <c r="O5802" s="2">
        <f ca="1"/>
        <v>1.5211659009820666E-3</v>
      </c>
      <c r="X5802" s="2">
        <f ca="1"/>
        <v>57.592865479941644</v>
      </c>
      <c r="AG5802" s="2">
        <f ca="1"/>
        <v>0.29124051970267306</v>
      </c>
      <c r="AH5802" s="2" t="str">
        <f ca="1"/>
        <v>OK</v>
      </c>
    </row>
    <row r="5803" spans="2:34" x14ac:dyDescent="0.2">
      <c r="B5803" s="2">
        <f ca="1"/>
        <v>0.34278357923196889</v>
      </c>
      <c r="O5803" s="2">
        <f ca="1"/>
        <v>0.59480467062308418</v>
      </c>
      <c r="X5803" s="2">
        <f ca="1"/>
        <v>32.278613255200533</v>
      </c>
      <c r="AG5803" s="2">
        <f ca="1"/>
        <v>0.47039678589659228</v>
      </c>
      <c r="AH5803" s="2" t="str">
        <f ca="1"/>
        <v>Bad</v>
      </c>
    </row>
    <row r="5804" spans="2:34" x14ac:dyDescent="0.2">
      <c r="B5804" s="2">
        <f ca="1"/>
        <v>0.86976918961520222</v>
      </c>
      <c r="O5804" s="2">
        <f ca="1"/>
        <v>0.77482134904462174</v>
      </c>
      <c r="X5804" s="2">
        <f ca="1"/>
        <v>37.367244800378494</v>
      </c>
      <c r="AG5804" s="2">
        <f ca="1"/>
        <v>0.15681363048954911</v>
      </c>
      <c r="AH5804" s="2" t="str">
        <f ca="1"/>
        <v>OK</v>
      </c>
    </row>
    <row r="5805" spans="2:34" x14ac:dyDescent="0.2">
      <c r="B5805" s="2">
        <f ca="1"/>
        <v>0.15577774723542248</v>
      </c>
      <c r="O5805" s="2">
        <f ca="1"/>
        <v>-1.0230592770708435</v>
      </c>
      <c r="X5805" s="2">
        <f ca="1"/>
        <v>22.546510698796197</v>
      </c>
      <c r="AG5805" s="2">
        <f ca="1"/>
        <v>0.99376654353788307</v>
      </c>
      <c r="AH5805" s="2" t="str">
        <f ca="1"/>
        <v>Bad</v>
      </c>
    </row>
    <row r="5806" spans="2:34" x14ac:dyDescent="0.2">
      <c r="B5806" s="2">
        <f ca="1"/>
        <v>0.74743614476626719</v>
      </c>
      <c r="O5806" s="2">
        <f ca="1"/>
        <v>0.37209780492209543</v>
      </c>
      <c r="X5806" s="2">
        <f ca="1"/>
        <v>71.00626388691596</v>
      </c>
      <c r="AG5806" s="2">
        <f ca="1"/>
        <v>0.59391592197748166</v>
      </c>
      <c r="AH5806" s="2" t="str">
        <f ca="1"/>
        <v>Bad</v>
      </c>
    </row>
    <row r="5807" spans="2:34" x14ac:dyDescent="0.2">
      <c r="B5807" s="2">
        <f ca="1"/>
        <v>0.35699198177917513</v>
      </c>
      <c r="O5807" s="2">
        <f ca="1"/>
        <v>0.16237071875191411</v>
      </c>
      <c r="X5807" s="2">
        <f ca="1"/>
        <v>83.557633570353701</v>
      </c>
      <c r="AG5807" s="2">
        <f ca="1"/>
        <v>0.18480803588580574</v>
      </c>
      <c r="AH5807" s="2" t="str">
        <f ca="1"/>
        <v>OK</v>
      </c>
    </row>
    <row r="5808" spans="2:34" x14ac:dyDescent="0.2">
      <c r="B5808" s="2">
        <f ca="1"/>
        <v>0.69754160275649446</v>
      </c>
      <c r="O5808" s="2">
        <f ca="1"/>
        <v>-0.20982693949502806</v>
      </c>
      <c r="X5808" s="2">
        <f ca="1"/>
        <v>53.690785083502334</v>
      </c>
      <c r="AG5808" s="2">
        <f ca="1"/>
        <v>0.49513960192983997</v>
      </c>
      <c r="AH5808" s="2" t="str">
        <f ca="1"/>
        <v>Bad</v>
      </c>
    </row>
    <row r="5809" spans="2:34" x14ac:dyDescent="0.2">
      <c r="B5809" s="2">
        <f ca="1"/>
        <v>0.57138604417109651</v>
      </c>
      <c r="O5809" s="2">
        <f ca="1"/>
        <v>1.9195163094327543</v>
      </c>
      <c r="X5809" s="2">
        <f ca="1"/>
        <v>52.073327804346967</v>
      </c>
      <c r="AG5809" s="2">
        <f ca="1"/>
        <v>0.1167495453049483</v>
      </c>
      <c r="AH5809" s="2" t="str">
        <f ca="1"/>
        <v>OK</v>
      </c>
    </row>
    <row r="5810" spans="2:34" x14ac:dyDescent="0.2">
      <c r="B5810" s="2">
        <f ca="1"/>
        <v>0.32547114712235548</v>
      </c>
      <c r="O5810" s="2">
        <f ca="1"/>
        <v>0.29863981680908874</v>
      </c>
      <c r="X5810" s="2">
        <f ca="1"/>
        <v>67.773040049973005</v>
      </c>
      <c r="AG5810" s="2">
        <f ca="1"/>
        <v>0.71657207439792692</v>
      </c>
      <c r="AH5810" s="2" t="str">
        <f ca="1"/>
        <v>Bad</v>
      </c>
    </row>
    <row r="5811" spans="2:34" x14ac:dyDescent="0.2">
      <c r="B5811" s="2">
        <f ca="1"/>
        <v>9.4105369974873732E-2</v>
      </c>
      <c r="O5811" s="2">
        <f ca="1"/>
        <v>1.5357434506073835</v>
      </c>
      <c r="X5811" s="2">
        <f ca="1"/>
        <v>40.354891651752062</v>
      </c>
      <c r="AG5811" s="2">
        <f ca="1"/>
        <v>0.26086099236047988</v>
      </c>
      <c r="AH5811" s="2" t="str">
        <f ca="1"/>
        <v>OK</v>
      </c>
    </row>
    <row r="5812" spans="2:34" x14ac:dyDescent="0.2">
      <c r="B5812" s="2">
        <f ca="1"/>
        <v>0.16932570495202515</v>
      </c>
      <c r="O5812" s="2">
        <f ca="1"/>
        <v>-0.79543248727386096</v>
      </c>
      <c r="X5812" s="2">
        <f ca="1"/>
        <v>41.276355223268681</v>
      </c>
      <c r="AG5812" s="2">
        <f ca="1"/>
        <v>5.5513828355361783E-2</v>
      </c>
      <c r="AH5812" s="2" t="str">
        <f ca="1"/>
        <v>OK</v>
      </c>
    </row>
    <row r="5813" spans="2:34" x14ac:dyDescent="0.2">
      <c r="B5813" s="2">
        <f ca="1"/>
        <v>0.50269428381600001</v>
      </c>
      <c r="O5813" s="2">
        <f ca="1"/>
        <v>0.77324811914819125</v>
      </c>
      <c r="X5813" s="2">
        <f ca="1"/>
        <v>50.314529993717755</v>
      </c>
      <c r="AG5813" s="2">
        <f ca="1"/>
        <v>4.3966003764163153E-2</v>
      </c>
      <c r="AH5813" s="2" t="str">
        <f ca="1"/>
        <v>Good</v>
      </c>
    </row>
    <row r="5814" spans="2:34" x14ac:dyDescent="0.2">
      <c r="B5814" s="2">
        <f ca="1"/>
        <v>0.20927953846225722</v>
      </c>
      <c r="O5814" s="2">
        <f ca="1"/>
        <v>1.885732797888519</v>
      </c>
      <c r="X5814" s="2">
        <f ca="1"/>
        <v>25.772547773027725</v>
      </c>
      <c r="AG5814" s="2">
        <f ca="1"/>
        <v>0.43329562925259268</v>
      </c>
      <c r="AH5814" s="2" t="str">
        <f ca="1"/>
        <v>Bad</v>
      </c>
    </row>
    <row r="5815" spans="2:34" x14ac:dyDescent="0.2">
      <c r="B5815" s="2">
        <f ca="1"/>
        <v>0.27418132148899277</v>
      </c>
      <c r="O5815" s="2">
        <f ca="1"/>
        <v>-2.3090609106205719</v>
      </c>
      <c r="X5815" s="2">
        <f ca="1"/>
        <v>50.494495313590988</v>
      </c>
      <c r="AG5815" s="2">
        <f ca="1"/>
        <v>0.46679183791656853</v>
      </c>
      <c r="AH5815" s="2" t="str">
        <f ca="1"/>
        <v>Bad</v>
      </c>
    </row>
    <row r="5816" spans="2:34" x14ac:dyDescent="0.2">
      <c r="B5816" s="2">
        <f ca="1"/>
        <v>0.76383164068886344</v>
      </c>
      <c r="O5816" s="2">
        <f ca="1"/>
        <v>-1.1096704709768694</v>
      </c>
      <c r="X5816" s="2">
        <f ca="1"/>
        <v>36.82810161867328</v>
      </c>
      <c r="AG5816" s="2">
        <f ca="1"/>
        <v>0.95503520825730193</v>
      </c>
      <c r="AH5816" s="2" t="str">
        <f ca="1"/>
        <v>Bad</v>
      </c>
    </row>
    <row r="5817" spans="2:34" x14ac:dyDescent="0.2">
      <c r="B5817" s="2">
        <f ca="1"/>
        <v>3.5311739084612936E-2</v>
      </c>
      <c r="O5817" s="2">
        <f ca="1"/>
        <v>-0.14135235463112072</v>
      </c>
      <c r="X5817" s="2">
        <f ca="1"/>
        <v>67.150774164340049</v>
      </c>
      <c r="AG5817" s="2">
        <f ca="1"/>
        <v>0.47349170073279745</v>
      </c>
      <c r="AH5817" s="2" t="str">
        <f ca="1"/>
        <v>Bad</v>
      </c>
    </row>
    <row r="5818" spans="2:34" x14ac:dyDescent="0.2">
      <c r="B5818" s="2">
        <f ca="1"/>
        <v>0.87366285638329577</v>
      </c>
      <c r="O5818" s="2">
        <f ca="1"/>
        <v>0.52322232391955392</v>
      </c>
      <c r="X5818" s="2">
        <f ca="1"/>
        <v>58.116036363813336</v>
      </c>
      <c r="AG5818" s="2">
        <f ca="1"/>
        <v>0.50002410687767829</v>
      </c>
      <c r="AH5818" s="2" t="str">
        <f ca="1"/>
        <v>Bad</v>
      </c>
    </row>
    <row r="5819" spans="2:34" x14ac:dyDescent="0.2">
      <c r="B5819" s="2">
        <f ca="1"/>
        <v>0.73521658280422097</v>
      </c>
      <c r="O5819" s="2">
        <f ca="1"/>
        <v>2.8305026141639957</v>
      </c>
      <c r="X5819" s="2">
        <f ca="1"/>
        <v>49.588122753876021</v>
      </c>
      <c r="AG5819" s="2">
        <f ca="1"/>
        <v>0.78874110178383106</v>
      </c>
      <c r="AH5819" s="2" t="str">
        <f ca="1"/>
        <v>Bad</v>
      </c>
    </row>
    <row r="5820" spans="2:34" x14ac:dyDescent="0.2">
      <c r="B5820" s="2">
        <f ca="1"/>
        <v>0.38969336589337322</v>
      </c>
      <c r="O5820" s="2">
        <f ca="1"/>
        <v>0.33391302297050823</v>
      </c>
      <c r="X5820" s="2">
        <f ca="1"/>
        <v>69.033724347954262</v>
      </c>
      <c r="AG5820" s="2">
        <f ca="1"/>
        <v>0.75252304559611982</v>
      </c>
      <c r="AH5820" s="2" t="str">
        <f ca="1"/>
        <v>Bad</v>
      </c>
    </row>
    <row r="5821" spans="2:34" x14ac:dyDescent="0.2">
      <c r="B5821" s="2">
        <f ca="1"/>
        <v>0.8435884576321131</v>
      </c>
      <c r="O5821" s="2">
        <f ca="1"/>
        <v>1.4941973670374911</v>
      </c>
      <c r="X5821" s="2">
        <f ca="1"/>
        <v>42.742929584342605</v>
      </c>
      <c r="AG5821" s="2">
        <f ca="1"/>
        <v>0.46163922580122296</v>
      </c>
      <c r="AH5821" s="2" t="str">
        <f ca="1"/>
        <v>Bad</v>
      </c>
    </row>
    <row r="5822" spans="2:34" x14ac:dyDescent="0.2">
      <c r="B5822" s="2">
        <f ca="1"/>
        <v>0.89335138888775201</v>
      </c>
      <c r="O5822" s="2">
        <f ca="1"/>
        <v>-0.30550081634740928</v>
      </c>
      <c r="X5822" s="2">
        <f ca="1"/>
        <v>52.254930281839918</v>
      </c>
      <c r="AG5822" s="2">
        <f ca="1"/>
        <v>0.40249669111808584</v>
      </c>
      <c r="AH5822" s="2" t="str">
        <f ca="1"/>
        <v>Bad</v>
      </c>
    </row>
    <row r="5823" spans="2:34" x14ac:dyDescent="0.2">
      <c r="B5823" s="2">
        <f ca="1"/>
        <v>0.46824205816691533</v>
      </c>
      <c r="O5823" s="2">
        <f ca="1"/>
        <v>-0.12917751209661765</v>
      </c>
      <c r="X5823" s="2">
        <f ca="1"/>
        <v>52.16555164524442</v>
      </c>
      <c r="AG5823" s="2">
        <f ca="1"/>
        <v>0.13062937668428898</v>
      </c>
      <c r="AH5823" s="2" t="str">
        <f ca="1"/>
        <v>OK</v>
      </c>
    </row>
    <row r="5824" spans="2:34" x14ac:dyDescent="0.2">
      <c r="B5824" s="2">
        <f ca="1"/>
        <v>0.39851447780479554</v>
      </c>
      <c r="O5824" s="2">
        <f ca="1"/>
        <v>-1.3879960912710725</v>
      </c>
      <c r="X5824" s="2">
        <f ca="1"/>
        <v>43.929731746200069</v>
      </c>
      <c r="AG5824" s="2">
        <f ca="1"/>
        <v>0.92746737648701472</v>
      </c>
      <c r="AH5824" s="2" t="str">
        <f ca="1"/>
        <v>Bad</v>
      </c>
    </row>
    <row r="5825" spans="2:34" x14ac:dyDescent="0.2">
      <c r="B5825" s="2">
        <f ca="1"/>
        <v>0.27664425529188907</v>
      </c>
      <c r="O5825" s="2">
        <f ca="1"/>
        <v>-1.7550080975593738</v>
      </c>
      <c r="X5825" s="2">
        <f ca="1"/>
        <v>40.923921309513759</v>
      </c>
      <c r="AG5825" s="2">
        <f ca="1"/>
        <v>0.93258712617032002</v>
      </c>
      <c r="AH5825" s="2" t="str">
        <f ca="1"/>
        <v>Bad</v>
      </c>
    </row>
    <row r="5826" spans="2:34" x14ac:dyDescent="0.2">
      <c r="B5826" s="2">
        <f ca="1"/>
        <v>0.3772067620756876</v>
      </c>
      <c r="O5826" s="2">
        <f ca="1"/>
        <v>-1.8548101321100532</v>
      </c>
      <c r="X5826" s="2">
        <f ca="1"/>
        <v>77.016240983318554</v>
      </c>
      <c r="AG5826" s="2">
        <f ca="1"/>
        <v>0.91666824787185552</v>
      </c>
      <c r="AH5826" s="2" t="str">
        <f ca="1"/>
        <v>Bad</v>
      </c>
    </row>
    <row r="5827" spans="2:34" x14ac:dyDescent="0.2">
      <c r="B5827" s="2">
        <f ca="1"/>
        <v>1.4915951251492698E-2</v>
      </c>
      <c r="O5827" s="2">
        <f ca="1"/>
        <v>0.39997945288573228</v>
      </c>
      <c r="X5827" s="2">
        <f ca="1"/>
        <v>73.62214517022224</v>
      </c>
      <c r="AG5827" s="2">
        <f ca="1"/>
        <v>0.89286839279189345</v>
      </c>
      <c r="AH5827" s="2" t="str">
        <f ca="1"/>
        <v>Bad</v>
      </c>
    </row>
    <row r="5828" spans="2:34" x14ac:dyDescent="0.2">
      <c r="B5828" s="2">
        <f ca="1"/>
        <v>0.22100846333238455</v>
      </c>
      <c r="O5828" s="2">
        <f ca="1"/>
        <v>0.33108936700839292</v>
      </c>
      <c r="X5828" s="2">
        <f ca="1"/>
        <v>40.00578251791741</v>
      </c>
      <c r="AG5828" s="2">
        <f ca="1"/>
        <v>0.38343705381978066</v>
      </c>
      <c r="AH5828" s="2" t="str">
        <f ca="1"/>
        <v>OK</v>
      </c>
    </row>
    <row r="5829" spans="2:34" x14ac:dyDescent="0.2">
      <c r="B5829" s="2">
        <f ca="1"/>
        <v>0.87282238082882846</v>
      </c>
      <c r="O5829" s="2">
        <f ca="1"/>
        <v>-0.27832900136514754</v>
      </c>
      <c r="X5829" s="2">
        <f ca="1"/>
        <v>37.439696543261313</v>
      </c>
      <c r="AG5829" s="2">
        <f ca="1"/>
        <v>0.8806355553494567</v>
      </c>
      <c r="AH5829" s="2" t="str">
        <f ca="1"/>
        <v>Bad</v>
      </c>
    </row>
    <row r="5830" spans="2:34" x14ac:dyDescent="0.2">
      <c r="B5830" s="2">
        <f ca="1"/>
        <v>0.62689608765042792</v>
      </c>
      <c r="O5830" s="2">
        <f ca="1"/>
        <v>0.78103850707841438</v>
      </c>
      <c r="X5830" s="2">
        <f ca="1"/>
        <v>50.261281227759262</v>
      </c>
      <c r="AG5830" s="2">
        <f ca="1"/>
        <v>0.71610330009805989</v>
      </c>
      <c r="AH5830" s="2" t="str">
        <f ca="1"/>
        <v>Bad</v>
      </c>
    </row>
    <row r="5831" spans="2:34" x14ac:dyDescent="0.2">
      <c r="B5831" s="2">
        <f ca="1"/>
        <v>0.74655692576305044</v>
      </c>
      <c r="O5831" s="2">
        <f ca="1"/>
        <v>0.59140812101355766</v>
      </c>
      <c r="X5831" s="2">
        <f ca="1"/>
        <v>100.21678020857135</v>
      </c>
      <c r="AG5831" s="2">
        <f ca="1"/>
        <v>0.67244312523922845</v>
      </c>
      <c r="AH5831" s="2" t="str">
        <f ca="1"/>
        <v>Bad</v>
      </c>
    </row>
    <row r="5832" spans="2:34" x14ac:dyDescent="0.2">
      <c r="B5832" s="2">
        <f ca="1"/>
        <v>2.0553298207620863E-2</v>
      </c>
      <c r="O5832" s="2">
        <f ca="1"/>
        <v>-0.21994707256802354</v>
      </c>
      <c r="X5832" s="2">
        <f ca="1"/>
        <v>49.337836329545752</v>
      </c>
      <c r="AG5832" s="2">
        <f ca="1"/>
        <v>0.66988292643681269</v>
      </c>
      <c r="AH5832" s="2" t="str">
        <f ca="1"/>
        <v>Bad</v>
      </c>
    </row>
    <row r="5833" spans="2:34" x14ac:dyDescent="0.2">
      <c r="B5833" s="2">
        <f ca="1"/>
        <v>0.91654924734164323</v>
      </c>
      <c r="O5833" s="2">
        <f ca="1"/>
        <v>0.72112539020318678</v>
      </c>
      <c r="X5833" s="2">
        <f ca="1"/>
        <v>63.086170932224803</v>
      </c>
      <c r="AG5833" s="2">
        <f ca="1"/>
        <v>0.38474923020043095</v>
      </c>
      <c r="AH5833" s="2" t="str">
        <f ca="1"/>
        <v>OK</v>
      </c>
    </row>
    <row r="5834" spans="2:34" x14ac:dyDescent="0.2">
      <c r="B5834" s="2">
        <f ca="1"/>
        <v>0.82695017196814757</v>
      </c>
      <c r="O5834" s="2">
        <f ca="1"/>
        <v>-0.9135245744272632</v>
      </c>
      <c r="X5834" s="2">
        <f ca="1"/>
        <v>40.615661262626531</v>
      </c>
      <c r="AG5834" s="2">
        <f ca="1"/>
        <v>0.41724736903230375</v>
      </c>
      <c r="AH5834" s="2" t="str">
        <f ca="1"/>
        <v>Bad</v>
      </c>
    </row>
    <row r="5835" spans="2:34" x14ac:dyDescent="0.2">
      <c r="B5835" s="2">
        <f ca="1"/>
        <v>0.64833802862255352</v>
      </c>
      <c r="O5835" s="2">
        <f ca="1"/>
        <v>-0.7067391273472301</v>
      </c>
      <c r="X5835" s="2">
        <f ca="1"/>
        <v>32.683473050295987</v>
      </c>
      <c r="AG5835" s="2">
        <f ca="1"/>
        <v>0.67019373015453709</v>
      </c>
      <c r="AH5835" s="2" t="str">
        <f ca="1"/>
        <v>Bad</v>
      </c>
    </row>
    <row r="5836" spans="2:34" x14ac:dyDescent="0.2">
      <c r="B5836" s="2">
        <f ca="1"/>
        <v>0.34148551495107782</v>
      </c>
      <c r="O5836" s="2">
        <f ca="1"/>
        <v>-0.54312652019744345</v>
      </c>
      <c r="X5836" s="2">
        <f ca="1"/>
        <v>51.71236308349863</v>
      </c>
      <c r="AG5836" s="2">
        <f ca="1"/>
        <v>0.54975417697874263</v>
      </c>
      <c r="AH5836" s="2" t="str">
        <f ca="1"/>
        <v>Bad</v>
      </c>
    </row>
    <row r="5837" spans="2:34" x14ac:dyDescent="0.2">
      <c r="B5837" s="2">
        <f ca="1"/>
        <v>0.18007912030036621</v>
      </c>
      <c r="O5837" s="2">
        <f ca="1"/>
        <v>1.1294563739371888</v>
      </c>
      <c r="X5837" s="2">
        <f ca="1"/>
        <v>41.129671677876509</v>
      </c>
      <c r="AG5837" s="2">
        <f ca="1"/>
        <v>0.15588783976113718</v>
      </c>
      <c r="AH5837" s="2" t="str">
        <f ca="1"/>
        <v>OK</v>
      </c>
    </row>
    <row r="5838" spans="2:34" x14ac:dyDescent="0.2">
      <c r="B5838" s="2">
        <f ca="1"/>
        <v>0.47152184301220923</v>
      </c>
      <c r="O5838" s="2">
        <f ca="1"/>
        <v>0.54685086907012581</v>
      </c>
      <c r="X5838" s="2">
        <f ca="1"/>
        <v>75.607296755494573</v>
      </c>
      <c r="AG5838" s="2">
        <f ca="1"/>
        <v>0.20742726937966749</v>
      </c>
      <c r="AH5838" s="2" t="str">
        <f ca="1"/>
        <v>OK</v>
      </c>
    </row>
    <row r="5839" spans="2:34" x14ac:dyDescent="0.2">
      <c r="B5839" s="2">
        <f ca="1"/>
        <v>0.15234562078805736</v>
      </c>
      <c r="O5839" s="2">
        <f ca="1"/>
        <v>0.76896330690739711</v>
      </c>
      <c r="X5839" s="2">
        <f ca="1"/>
        <v>53.260785222522252</v>
      </c>
      <c r="AG5839" s="2">
        <f ca="1"/>
        <v>0.42284818494901111</v>
      </c>
      <c r="AH5839" s="2" t="str">
        <f ca="1"/>
        <v>Bad</v>
      </c>
    </row>
    <row r="5840" spans="2:34" x14ac:dyDescent="0.2">
      <c r="B5840" s="2">
        <f ca="1"/>
        <v>0.55761718412124672</v>
      </c>
      <c r="O5840" s="2">
        <f ca="1"/>
        <v>-0.85595216657570028</v>
      </c>
      <c r="X5840" s="2">
        <f ca="1"/>
        <v>114.9675058903868</v>
      </c>
      <c r="AG5840" s="2">
        <f ca="1"/>
        <v>0.13256853792329415</v>
      </c>
      <c r="AH5840" s="2" t="str">
        <f ca="1"/>
        <v>OK</v>
      </c>
    </row>
    <row r="5841" spans="2:34" x14ac:dyDescent="0.2">
      <c r="B5841" s="2">
        <f ca="1"/>
        <v>0.82271529861355264</v>
      </c>
      <c r="O5841" s="2">
        <f ca="1"/>
        <v>0.28149653253562607</v>
      </c>
      <c r="X5841" s="2">
        <f ca="1"/>
        <v>45.470346842009008</v>
      </c>
      <c r="AG5841" s="2">
        <f ca="1"/>
        <v>0.3944480137629065</v>
      </c>
      <c r="AH5841" s="2" t="str">
        <f ca="1"/>
        <v>OK</v>
      </c>
    </row>
    <row r="5842" spans="2:34" x14ac:dyDescent="0.2">
      <c r="B5842" s="2">
        <f ca="1"/>
        <v>7.010914765226417E-2</v>
      </c>
      <c r="O5842" s="2">
        <f ca="1"/>
        <v>-1.4024322919078103</v>
      </c>
      <c r="X5842" s="2">
        <f ca="1"/>
        <v>60.68499878409704</v>
      </c>
      <c r="AG5842" s="2">
        <f ca="1"/>
        <v>0.73191266587351556</v>
      </c>
      <c r="AH5842" s="2" t="str">
        <f ca="1"/>
        <v>Bad</v>
      </c>
    </row>
    <row r="5843" spans="2:34" x14ac:dyDescent="0.2">
      <c r="B5843" s="2">
        <f ca="1"/>
        <v>0.64549543655240749</v>
      </c>
      <c r="O5843" s="2">
        <f ca="1"/>
        <v>1.4554335348025387</v>
      </c>
      <c r="X5843" s="2">
        <f ca="1"/>
        <v>52.061229414819735</v>
      </c>
      <c r="AG5843" s="2">
        <f ca="1"/>
        <v>0.93045340995129111</v>
      </c>
      <c r="AH5843" s="2" t="str">
        <f ca="1"/>
        <v>Bad</v>
      </c>
    </row>
    <row r="5844" spans="2:34" x14ac:dyDescent="0.2">
      <c r="B5844" s="2">
        <f ca="1"/>
        <v>0.42753111454036841</v>
      </c>
      <c r="O5844" s="2">
        <f ca="1"/>
        <v>-0.77445732556626645</v>
      </c>
      <c r="X5844" s="2">
        <f ca="1"/>
        <v>32.961811780673933</v>
      </c>
      <c r="AG5844" s="2">
        <f ca="1"/>
        <v>0.63395839026729206</v>
      </c>
      <c r="AH5844" s="2" t="str">
        <f ca="1"/>
        <v>Bad</v>
      </c>
    </row>
    <row r="5845" spans="2:34" x14ac:dyDescent="0.2">
      <c r="B5845" s="2">
        <f ca="1"/>
        <v>0.31794439966344723</v>
      </c>
      <c r="O5845" s="2">
        <f ca="1"/>
        <v>0.16379437678641326</v>
      </c>
      <c r="X5845" s="2">
        <f ca="1"/>
        <v>53.129394503182787</v>
      </c>
      <c r="AG5845" s="2">
        <f ca="1"/>
        <v>0.17802340989611509</v>
      </c>
      <c r="AH5845" s="2" t="str">
        <f ca="1"/>
        <v>OK</v>
      </c>
    </row>
    <row r="5846" spans="2:34" x14ac:dyDescent="0.2">
      <c r="B5846" s="2">
        <f ca="1"/>
        <v>0.12996417181416264</v>
      </c>
      <c r="O5846" s="2">
        <f ca="1"/>
        <v>0.75616642330788719</v>
      </c>
      <c r="X5846" s="2">
        <f ca="1"/>
        <v>101.27551959534772</v>
      </c>
      <c r="AG5846" s="2">
        <f ca="1"/>
        <v>0.50042849319654703</v>
      </c>
      <c r="AH5846" s="2" t="str">
        <f ca="1"/>
        <v>Bad</v>
      </c>
    </row>
    <row r="5847" spans="2:34" x14ac:dyDescent="0.2">
      <c r="B5847" s="2">
        <f ca="1"/>
        <v>0.53518567299384778</v>
      </c>
      <c r="O5847" s="2">
        <f ca="1"/>
        <v>-1.7128232495350861E-2</v>
      </c>
      <c r="X5847" s="2">
        <f ca="1"/>
        <v>30.600872725985955</v>
      </c>
      <c r="AG5847" s="2">
        <f ca="1"/>
        <v>0.81263329611272606</v>
      </c>
      <c r="AH5847" s="2" t="str">
        <f ca="1"/>
        <v>Bad</v>
      </c>
    </row>
    <row r="5848" spans="2:34" x14ac:dyDescent="0.2">
      <c r="B5848" s="2">
        <f ca="1"/>
        <v>0.64081103463671751</v>
      </c>
      <c r="O5848" s="2">
        <f ca="1"/>
        <v>0.40007696069746634</v>
      </c>
      <c r="X5848" s="2">
        <f ca="1"/>
        <v>59.901583476376075</v>
      </c>
      <c r="AG5848" s="2">
        <f ca="1"/>
        <v>0.60522587550832285</v>
      </c>
      <c r="AH5848" s="2" t="str">
        <f ca="1"/>
        <v>Bad</v>
      </c>
    </row>
    <row r="5849" spans="2:34" x14ac:dyDescent="0.2">
      <c r="B5849" s="2">
        <f ca="1"/>
        <v>0.90075609009571278</v>
      </c>
      <c r="O5849" s="2">
        <f ca="1"/>
        <v>-1.0101242555797307</v>
      </c>
      <c r="X5849" s="2">
        <f ca="1"/>
        <v>30.612375149541045</v>
      </c>
      <c r="AG5849" s="2">
        <f ca="1"/>
        <v>0.41447217397389413</v>
      </c>
      <c r="AH5849" s="2" t="str">
        <f ca="1"/>
        <v>Bad</v>
      </c>
    </row>
    <row r="5850" spans="2:34" x14ac:dyDescent="0.2">
      <c r="B5850" s="2">
        <f ca="1"/>
        <v>0.29295604327141334</v>
      </c>
      <c r="O5850" s="2">
        <f ca="1"/>
        <v>-0.62218148581166943</v>
      </c>
      <c r="X5850" s="2">
        <f ca="1"/>
        <v>52.378357502731319</v>
      </c>
      <c r="AG5850" s="2">
        <f ca="1"/>
        <v>0.10101372411630449</v>
      </c>
      <c r="AH5850" s="2" t="str">
        <f ca="1"/>
        <v>OK</v>
      </c>
    </row>
    <row r="5851" spans="2:34" x14ac:dyDescent="0.2">
      <c r="B5851" s="2">
        <f ca="1"/>
        <v>0.50533338112668669</v>
      </c>
      <c r="O5851" s="2">
        <f ca="1"/>
        <v>0.13612096618265984</v>
      </c>
      <c r="X5851" s="2">
        <f ca="1"/>
        <v>89.043406419091369</v>
      </c>
      <c r="AG5851" s="2">
        <f ca="1"/>
        <v>0.74600657826571726</v>
      </c>
      <c r="AH5851" s="2" t="str">
        <f ca="1"/>
        <v>Bad</v>
      </c>
    </row>
    <row r="5852" spans="2:34" x14ac:dyDescent="0.2">
      <c r="B5852" s="2">
        <f ca="1"/>
        <v>0.55196848737053839</v>
      </c>
      <c r="O5852" s="2">
        <f ca="1"/>
        <v>-0.57105143645243384</v>
      </c>
      <c r="X5852" s="2">
        <f ca="1"/>
        <v>28.812784120597563</v>
      </c>
      <c r="AG5852" s="2">
        <f ca="1"/>
        <v>0.9245269772511886</v>
      </c>
      <c r="AH5852" s="2" t="str">
        <f ca="1"/>
        <v>Bad</v>
      </c>
    </row>
    <row r="5853" spans="2:34" x14ac:dyDescent="0.2">
      <c r="B5853" s="2">
        <f ca="1"/>
        <v>0.55335134139886599</v>
      </c>
      <c r="O5853" s="2">
        <f ca="1"/>
        <v>0.19925714462943803</v>
      </c>
      <c r="X5853" s="2">
        <f ca="1"/>
        <v>48.488195064615624</v>
      </c>
      <c r="AG5853" s="2">
        <f ca="1"/>
        <v>5.6033818809468672E-2</v>
      </c>
      <c r="AH5853" s="2" t="str">
        <f ca="1"/>
        <v>OK</v>
      </c>
    </row>
    <row r="5854" spans="2:34" x14ac:dyDescent="0.2">
      <c r="B5854" s="2">
        <f ca="1"/>
        <v>0.3055393397324111</v>
      </c>
      <c r="O5854" s="2">
        <f ca="1"/>
        <v>0.68956107532827704</v>
      </c>
      <c r="X5854" s="2">
        <f ca="1"/>
        <v>30.220523881418909</v>
      </c>
      <c r="AG5854" s="2">
        <f ca="1"/>
        <v>0.47843524775036639</v>
      </c>
      <c r="AH5854" s="2" t="str">
        <f ca="1"/>
        <v>Bad</v>
      </c>
    </row>
    <row r="5855" spans="2:34" x14ac:dyDescent="0.2">
      <c r="B5855" s="2">
        <f ca="1"/>
        <v>0.48917425869141362</v>
      </c>
      <c r="O5855" s="2">
        <f ca="1"/>
        <v>0.72541138603295696</v>
      </c>
      <c r="X5855" s="2">
        <f ca="1"/>
        <v>46.053017922675963</v>
      </c>
      <c r="AG5855" s="2">
        <f ca="1"/>
        <v>0.88658736366120694</v>
      </c>
      <c r="AH5855" s="2" t="str">
        <f ca="1"/>
        <v>Bad</v>
      </c>
    </row>
    <row r="5856" spans="2:34" x14ac:dyDescent="0.2">
      <c r="B5856" s="2">
        <f ca="1"/>
        <v>0.4752902434567392</v>
      </c>
      <c r="O5856" s="2">
        <f ca="1"/>
        <v>-1.9036223085914397</v>
      </c>
      <c r="X5856" s="2">
        <f ca="1"/>
        <v>41.80713026644915</v>
      </c>
      <c r="AG5856" s="2">
        <f ca="1"/>
        <v>5.6706420085401055E-2</v>
      </c>
      <c r="AH5856" s="2" t="str">
        <f ca="1"/>
        <v>OK</v>
      </c>
    </row>
    <row r="5857" spans="2:34" x14ac:dyDescent="0.2">
      <c r="B5857" s="2">
        <f ca="1"/>
        <v>2.8832602917305383E-2</v>
      </c>
      <c r="O5857" s="2">
        <f ca="1"/>
        <v>-0.42334232834821811</v>
      </c>
      <c r="X5857" s="2">
        <f ca="1"/>
        <v>42.969961120302187</v>
      </c>
      <c r="AG5857" s="2">
        <f ca="1"/>
        <v>0.33456613383861278</v>
      </c>
      <c r="AH5857" s="2" t="str">
        <f ca="1"/>
        <v>OK</v>
      </c>
    </row>
    <row r="5858" spans="2:34" x14ac:dyDescent="0.2">
      <c r="B5858" s="2">
        <f ca="1"/>
        <v>0.39086608274392631</v>
      </c>
      <c r="O5858" s="2">
        <f ca="1"/>
        <v>-0.84140396737394629</v>
      </c>
      <c r="X5858" s="2">
        <f ca="1"/>
        <v>44.606215931682428</v>
      </c>
      <c r="AG5858" s="2">
        <f ca="1"/>
        <v>0.18793698291527305</v>
      </c>
      <c r="AH5858" s="2" t="str">
        <f ca="1"/>
        <v>OK</v>
      </c>
    </row>
    <row r="5859" spans="2:34" x14ac:dyDescent="0.2">
      <c r="B5859" s="2">
        <f ca="1"/>
        <v>0.63579463760668053</v>
      </c>
      <c r="O5859" s="2">
        <f ca="1"/>
        <v>1.8236317689086201</v>
      </c>
      <c r="X5859" s="2">
        <f ca="1"/>
        <v>59.33471327234848</v>
      </c>
      <c r="AG5859" s="2">
        <f ca="1"/>
        <v>0.65464412520840654</v>
      </c>
      <c r="AH5859" s="2" t="str">
        <f ca="1"/>
        <v>Bad</v>
      </c>
    </row>
    <row r="5860" spans="2:34" x14ac:dyDescent="0.2">
      <c r="B5860" s="2">
        <f ca="1"/>
        <v>0.57193220771944286</v>
      </c>
      <c r="O5860" s="2">
        <f ca="1"/>
        <v>-1.5487884205418423</v>
      </c>
      <c r="X5860" s="2">
        <f ca="1"/>
        <v>85.327642897068543</v>
      </c>
      <c r="AG5860" s="2">
        <f ca="1"/>
        <v>0.23972961837449724</v>
      </c>
      <c r="AH5860" s="2" t="str">
        <f ca="1"/>
        <v>OK</v>
      </c>
    </row>
    <row r="5861" spans="2:34" x14ac:dyDescent="0.2">
      <c r="B5861" s="2">
        <f ca="1"/>
        <v>0.17641178196367102</v>
      </c>
      <c r="O5861" s="2">
        <f ca="1"/>
        <v>0.67384091327607409</v>
      </c>
      <c r="X5861" s="2">
        <f ca="1"/>
        <v>36.173505805087963</v>
      </c>
      <c r="AG5861" s="2">
        <f ca="1"/>
        <v>0.35854216626634727</v>
      </c>
      <c r="AH5861" s="2" t="str">
        <f ca="1"/>
        <v>OK</v>
      </c>
    </row>
    <row r="5862" spans="2:34" x14ac:dyDescent="0.2">
      <c r="B5862" s="2">
        <f ca="1"/>
        <v>0.66906801103163183</v>
      </c>
      <c r="O5862" s="2">
        <f ca="1"/>
        <v>0.32331754448644934</v>
      </c>
      <c r="X5862" s="2">
        <f ca="1"/>
        <v>43.322428893866416</v>
      </c>
      <c r="AG5862" s="2">
        <f ca="1"/>
        <v>0.55499361484719523</v>
      </c>
      <c r="AH5862" s="2" t="str">
        <f ca="1"/>
        <v>Bad</v>
      </c>
    </row>
    <row r="5863" spans="2:34" x14ac:dyDescent="0.2">
      <c r="B5863" s="2">
        <f ca="1"/>
        <v>0.90854168884712982</v>
      </c>
      <c r="O5863" s="2">
        <f ca="1"/>
        <v>0.1430307275791515</v>
      </c>
      <c r="X5863" s="2">
        <f ca="1"/>
        <v>39.668112158920103</v>
      </c>
      <c r="AG5863" s="2">
        <f ca="1"/>
        <v>0.36599693122336974</v>
      </c>
      <c r="AH5863" s="2" t="str">
        <f ca="1"/>
        <v>OK</v>
      </c>
    </row>
    <row r="5864" spans="2:34" x14ac:dyDescent="0.2">
      <c r="B5864" s="2">
        <f ca="1"/>
        <v>0.89361875682461922</v>
      </c>
      <c r="O5864" s="2">
        <f ca="1"/>
        <v>-0.99026362274657798</v>
      </c>
      <c r="X5864" s="2">
        <f ca="1"/>
        <v>79.615452506513535</v>
      </c>
      <c r="AG5864" s="2">
        <f ca="1"/>
        <v>0.49994323888898351</v>
      </c>
      <c r="AH5864" s="2" t="str">
        <f ca="1"/>
        <v>Bad</v>
      </c>
    </row>
    <row r="5865" spans="2:34" x14ac:dyDescent="0.2">
      <c r="B5865" s="2">
        <f ca="1"/>
        <v>0.99085538223859748</v>
      </c>
      <c r="O5865" s="2">
        <f ca="1"/>
        <v>1.4315547940383262</v>
      </c>
      <c r="X5865" s="2">
        <f ca="1"/>
        <v>43.656991223214312</v>
      </c>
      <c r="AG5865" s="2">
        <f ca="1"/>
        <v>0.26412514440524104</v>
      </c>
      <c r="AH5865" s="2" t="str">
        <f ca="1"/>
        <v>OK</v>
      </c>
    </row>
    <row r="5866" spans="2:34" x14ac:dyDescent="0.2">
      <c r="B5866" s="2">
        <f ca="1"/>
        <v>0.93315749224786404</v>
      </c>
      <c r="O5866" s="2">
        <f ca="1"/>
        <v>0.14588531556917986</v>
      </c>
      <c r="X5866" s="2">
        <f ca="1"/>
        <v>52.663651785600351</v>
      </c>
      <c r="AG5866" s="2">
        <f ca="1"/>
        <v>0.74889777768098931</v>
      </c>
      <c r="AH5866" s="2" t="str">
        <f ca="1"/>
        <v>Bad</v>
      </c>
    </row>
    <row r="5867" spans="2:34" x14ac:dyDescent="0.2">
      <c r="B5867" s="2">
        <f ca="1"/>
        <v>0.92255693793149351</v>
      </c>
      <c r="O5867" s="2">
        <f ca="1"/>
        <v>0.26109027064039481</v>
      </c>
      <c r="X5867" s="2">
        <f ca="1"/>
        <v>34.671171596865079</v>
      </c>
      <c r="AG5867" s="2">
        <f ca="1"/>
        <v>0.36790978166539423</v>
      </c>
      <c r="AH5867" s="2" t="str">
        <f ca="1"/>
        <v>OK</v>
      </c>
    </row>
    <row r="5868" spans="2:34" x14ac:dyDescent="0.2">
      <c r="B5868" s="2">
        <f ca="1"/>
        <v>0.33650133877390176</v>
      </c>
      <c r="O5868" s="2">
        <f ca="1"/>
        <v>0.42485192959071522</v>
      </c>
      <c r="X5868" s="2">
        <f ca="1"/>
        <v>36.865109328350698</v>
      </c>
      <c r="AG5868" s="2">
        <f ca="1"/>
        <v>0.50527624437027452</v>
      </c>
      <c r="AH5868" s="2" t="str">
        <f ca="1"/>
        <v>Bad</v>
      </c>
    </row>
    <row r="5869" spans="2:34" x14ac:dyDescent="0.2">
      <c r="B5869" s="2">
        <f ca="1"/>
        <v>5.9183242089464683E-2</v>
      </c>
      <c r="O5869" s="2">
        <f ca="1"/>
        <v>-0.53002198539250733</v>
      </c>
      <c r="X5869" s="2">
        <f ca="1"/>
        <v>50.321422234381252</v>
      </c>
      <c r="AG5869" s="2">
        <f ca="1"/>
        <v>0.52653343186533608</v>
      </c>
      <c r="AH5869" s="2" t="str">
        <f ca="1"/>
        <v>Bad</v>
      </c>
    </row>
    <row r="5870" spans="2:34" x14ac:dyDescent="0.2">
      <c r="B5870" s="2">
        <f ca="1"/>
        <v>6.89828993340178E-2</v>
      </c>
      <c r="O5870" s="2">
        <f ca="1"/>
        <v>-0.22637193943661821</v>
      </c>
      <c r="X5870" s="2">
        <f ca="1"/>
        <v>44.227233643851271</v>
      </c>
      <c r="AG5870" s="2">
        <f ca="1"/>
        <v>0.96016592386531086</v>
      </c>
      <c r="AH5870" s="2" t="str">
        <f ca="1"/>
        <v>Bad</v>
      </c>
    </row>
    <row r="5871" spans="2:34" x14ac:dyDescent="0.2">
      <c r="B5871" s="2">
        <f ca="1"/>
        <v>0.1204259760557429</v>
      </c>
      <c r="O5871" s="2">
        <f ca="1"/>
        <v>0.94915904875185764</v>
      </c>
      <c r="X5871" s="2">
        <f ca="1"/>
        <v>31.623594063969588</v>
      </c>
      <c r="AG5871" s="2">
        <f ca="1"/>
        <v>0.61226248472119504</v>
      </c>
      <c r="AH5871" s="2" t="str">
        <f ca="1"/>
        <v>Bad</v>
      </c>
    </row>
    <row r="5872" spans="2:34" x14ac:dyDescent="0.2">
      <c r="B5872" s="2">
        <f ca="1"/>
        <v>0.4406355739361878</v>
      </c>
      <c r="O5872" s="2">
        <f ca="1"/>
        <v>0.2681773456248327</v>
      </c>
      <c r="X5872" s="2">
        <f ca="1"/>
        <v>64.995866188807</v>
      </c>
      <c r="AG5872" s="2">
        <f ca="1"/>
        <v>0.27541857368514955</v>
      </c>
      <c r="AH5872" s="2" t="str">
        <f ca="1"/>
        <v>OK</v>
      </c>
    </row>
    <row r="5873" spans="2:34" x14ac:dyDescent="0.2">
      <c r="B5873" s="2">
        <f ca="1"/>
        <v>0.80301893299107663</v>
      </c>
      <c r="O5873" s="2">
        <f ca="1"/>
        <v>7.4353645186809897E-2</v>
      </c>
      <c r="X5873" s="2">
        <f ca="1"/>
        <v>52.737153841069507</v>
      </c>
      <c r="AG5873" s="2">
        <f ca="1"/>
        <v>0.63221900639328998</v>
      </c>
      <c r="AH5873" s="2" t="str">
        <f ca="1"/>
        <v>Bad</v>
      </c>
    </row>
    <row r="5874" spans="2:34" x14ac:dyDescent="0.2">
      <c r="B5874" s="2">
        <f ca="1"/>
        <v>0.8034759805449887</v>
      </c>
      <c r="O5874" s="2">
        <f ca="1"/>
        <v>-0.61212389099580966</v>
      </c>
      <c r="X5874" s="2">
        <f ca="1"/>
        <v>66.72227624835547</v>
      </c>
      <c r="AG5874" s="2">
        <f ca="1"/>
        <v>0.70206137321430839</v>
      </c>
      <c r="AH5874" s="2" t="str">
        <f ca="1"/>
        <v>Bad</v>
      </c>
    </row>
    <row r="5875" spans="2:34" x14ac:dyDescent="0.2">
      <c r="B5875" s="2">
        <f ca="1"/>
        <v>0.35187809390901958</v>
      </c>
      <c r="O5875" s="2">
        <f ca="1"/>
        <v>0.73372027035589504</v>
      </c>
      <c r="X5875" s="2">
        <f ca="1"/>
        <v>36.463736327326508</v>
      </c>
      <c r="AG5875" s="2">
        <f ca="1"/>
        <v>0.8958210998609224</v>
      </c>
      <c r="AH5875" s="2" t="str">
        <f ca="1"/>
        <v>Bad</v>
      </c>
    </row>
    <row r="5876" spans="2:34" x14ac:dyDescent="0.2">
      <c r="B5876" s="2">
        <f ca="1"/>
        <v>0.23653486904271803</v>
      </c>
      <c r="O5876" s="2">
        <f ca="1"/>
        <v>-0.79996862619830955</v>
      </c>
      <c r="X5876" s="2">
        <f ca="1"/>
        <v>58.741964719118585</v>
      </c>
      <c r="AG5876" s="2">
        <f ca="1"/>
        <v>0.90489807940658884</v>
      </c>
      <c r="AH5876" s="2" t="str">
        <f ca="1"/>
        <v>Bad</v>
      </c>
    </row>
    <row r="5877" spans="2:34" x14ac:dyDescent="0.2">
      <c r="B5877" s="2">
        <f ca="1"/>
        <v>0.95199958782555916</v>
      </c>
      <c r="O5877" s="2">
        <f ca="1"/>
        <v>-1.4490015021763809</v>
      </c>
      <c r="X5877" s="2">
        <f ca="1"/>
        <v>45.09776329127223</v>
      </c>
      <c r="AG5877" s="2">
        <f ca="1"/>
        <v>0.75363281297769458</v>
      </c>
      <c r="AH5877" s="2" t="str">
        <f ca="1"/>
        <v>Bad</v>
      </c>
    </row>
    <row r="5878" spans="2:34" x14ac:dyDescent="0.2">
      <c r="B5878" s="2">
        <f ca="1"/>
        <v>0.29322060930794569</v>
      </c>
      <c r="O5878" s="2">
        <f ca="1"/>
        <v>-0.73495117428441492</v>
      </c>
      <c r="X5878" s="2">
        <f ca="1"/>
        <v>39.637466846348602</v>
      </c>
      <c r="AG5878" s="2">
        <f ca="1"/>
        <v>0.56343145949500917</v>
      </c>
      <c r="AH5878" s="2" t="str">
        <f ca="1"/>
        <v>Bad</v>
      </c>
    </row>
    <row r="5879" spans="2:34" x14ac:dyDescent="0.2">
      <c r="B5879" s="2">
        <f ca="1"/>
        <v>0.5218386257371046</v>
      </c>
      <c r="O5879" s="2">
        <f ca="1"/>
        <v>0.16665391989098763</v>
      </c>
      <c r="X5879" s="2">
        <f ca="1"/>
        <v>49.927530521617328</v>
      </c>
      <c r="AG5879" s="2">
        <f ca="1"/>
        <v>0.50501194092920665</v>
      </c>
      <c r="AH5879" s="2" t="str">
        <f ca="1"/>
        <v>Bad</v>
      </c>
    </row>
    <row r="5880" spans="2:34" x14ac:dyDescent="0.2">
      <c r="B5880" s="2">
        <f ca="1"/>
        <v>0.35258219242985755</v>
      </c>
      <c r="O5880" s="2">
        <f ca="1"/>
        <v>1.3925627128251361</v>
      </c>
      <c r="X5880" s="2">
        <f ca="1"/>
        <v>49.808247232103454</v>
      </c>
      <c r="AG5880" s="2">
        <f ca="1"/>
        <v>0.20190452286745764</v>
      </c>
      <c r="AH5880" s="2" t="str">
        <f ca="1"/>
        <v>OK</v>
      </c>
    </row>
    <row r="5881" spans="2:34" x14ac:dyDescent="0.2">
      <c r="B5881" s="2">
        <f ca="1"/>
        <v>0.63207755972759694</v>
      </c>
      <c r="O5881" s="2">
        <f ca="1"/>
        <v>-1.6556688394091277</v>
      </c>
      <c r="X5881" s="2">
        <f ca="1"/>
        <v>55.681475253738938</v>
      </c>
      <c r="AG5881" s="2">
        <f ca="1"/>
        <v>0.90553751406011207</v>
      </c>
      <c r="AH5881" s="2" t="str">
        <f ca="1"/>
        <v>Bad</v>
      </c>
    </row>
    <row r="5882" spans="2:34" x14ac:dyDescent="0.2">
      <c r="B5882" s="2">
        <f ca="1"/>
        <v>0.15097736369664694</v>
      </c>
      <c r="O5882" s="2">
        <f ca="1"/>
        <v>-0.45727163346351374</v>
      </c>
      <c r="X5882" s="2">
        <f ca="1"/>
        <v>52.077967261064259</v>
      </c>
      <c r="AG5882" s="2">
        <f ca="1"/>
        <v>0.5313035904874619</v>
      </c>
      <c r="AH5882" s="2" t="str">
        <f ca="1"/>
        <v>Bad</v>
      </c>
    </row>
    <row r="5883" spans="2:34" x14ac:dyDescent="0.2">
      <c r="B5883" s="2">
        <f ca="1"/>
        <v>0.97345589958413448</v>
      </c>
      <c r="O5883" s="2">
        <f ca="1"/>
        <v>-5.1255373786204331E-2</v>
      </c>
      <c r="X5883" s="2">
        <f ca="1"/>
        <v>53.564254874801797</v>
      </c>
      <c r="AG5883" s="2">
        <f ca="1"/>
        <v>0.9330456958766522</v>
      </c>
      <c r="AH5883" s="2" t="str">
        <f ca="1"/>
        <v>Bad</v>
      </c>
    </row>
    <row r="5884" spans="2:34" x14ac:dyDescent="0.2">
      <c r="B5884" s="2">
        <f ca="1"/>
        <v>0.63506707934224327</v>
      </c>
      <c r="O5884" s="2">
        <f ca="1"/>
        <v>-1.8238719933531984</v>
      </c>
      <c r="X5884" s="2">
        <f ca="1"/>
        <v>21.997569694571048</v>
      </c>
      <c r="AG5884" s="2">
        <f ca="1"/>
        <v>0.70800621679207598</v>
      </c>
      <c r="AH5884" s="2" t="str">
        <f ca="1"/>
        <v>Bad</v>
      </c>
    </row>
    <row r="5885" spans="2:34" x14ac:dyDescent="0.2">
      <c r="B5885" s="2">
        <f ca="1"/>
        <v>0.80622515154722896</v>
      </c>
      <c r="O5885" s="2">
        <f ca="1"/>
        <v>1.7424334429949615</v>
      </c>
      <c r="X5885" s="2">
        <f ca="1"/>
        <v>51.035158565687169</v>
      </c>
      <c r="AG5885" s="2">
        <f ca="1"/>
        <v>0.28206798566321623</v>
      </c>
      <c r="AH5885" s="2" t="str">
        <f ca="1"/>
        <v>OK</v>
      </c>
    </row>
    <row r="5886" spans="2:34" x14ac:dyDescent="0.2">
      <c r="B5886" s="2">
        <f ca="1"/>
        <v>0.29734922326597935</v>
      </c>
      <c r="O5886" s="2">
        <f ca="1"/>
        <v>-0.24848356261477533</v>
      </c>
      <c r="X5886" s="2">
        <f ca="1"/>
        <v>30.400685804546207</v>
      </c>
      <c r="AG5886" s="2">
        <f ca="1"/>
        <v>0.50658979334128018</v>
      </c>
      <c r="AH5886" s="2" t="str">
        <f ca="1"/>
        <v>Bad</v>
      </c>
    </row>
    <row r="5887" spans="2:34" x14ac:dyDescent="0.2">
      <c r="B5887" s="2">
        <f ca="1"/>
        <v>0.68050363372567224</v>
      </c>
      <c r="O5887" s="2">
        <f ca="1"/>
        <v>-0.60802710270620497</v>
      </c>
      <c r="X5887" s="2">
        <f ca="1"/>
        <v>29.514728475742089</v>
      </c>
      <c r="AG5887" s="2">
        <f ca="1"/>
        <v>0.38899951524332121</v>
      </c>
      <c r="AH5887" s="2" t="str">
        <f ca="1"/>
        <v>OK</v>
      </c>
    </row>
    <row r="5888" spans="2:34" x14ac:dyDescent="0.2">
      <c r="B5888" s="2">
        <f ca="1"/>
        <v>0.1594449110698517</v>
      </c>
      <c r="O5888" s="2">
        <f ca="1"/>
        <v>-0.64438862751298009</v>
      </c>
      <c r="X5888" s="2">
        <f ca="1"/>
        <v>36.582994042146566</v>
      </c>
      <c r="AG5888" s="2">
        <f ca="1"/>
        <v>0.60419830148920473</v>
      </c>
      <c r="AH5888" s="2" t="str">
        <f ca="1"/>
        <v>Bad</v>
      </c>
    </row>
    <row r="5889" spans="2:34" x14ac:dyDescent="0.2">
      <c r="B5889" s="2">
        <f ca="1"/>
        <v>0.78103687890719642</v>
      </c>
      <c r="O5889" s="2">
        <f ca="1"/>
        <v>-6.6771179174158632E-2</v>
      </c>
      <c r="X5889" s="2">
        <f ca="1"/>
        <v>42.122740124691447</v>
      </c>
      <c r="AG5889" s="2">
        <f ca="1"/>
        <v>0.58656317364007449</v>
      </c>
      <c r="AH5889" s="2" t="str">
        <f ca="1"/>
        <v>Bad</v>
      </c>
    </row>
    <row r="5890" spans="2:34" x14ac:dyDescent="0.2">
      <c r="B5890" s="2">
        <f ca="1"/>
        <v>0.10839259040901039</v>
      </c>
      <c r="O5890" s="2">
        <f ca="1"/>
        <v>-1.1865680136547794</v>
      </c>
      <c r="X5890" s="2">
        <f ca="1"/>
        <v>74.147968385024228</v>
      </c>
      <c r="AG5890" s="2">
        <f ca="1"/>
        <v>0.17390277357774919</v>
      </c>
      <c r="AH5890" s="2" t="str">
        <f ca="1"/>
        <v>OK</v>
      </c>
    </row>
    <row r="5891" spans="2:34" x14ac:dyDescent="0.2">
      <c r="B5891" s="2">
        <f ca="1"/>
        <v>0.47643386621745076</v>
      </c>
      <c r="O5891" s="2">
        <f ca="1"/>
        <v>1.5925205259678874</v>
      </c>
      <c r="X5891" s="2">
        <f ca="1"/>
        <v>75.444770370504003</v>
      </c>
      <c r="AG5891" s="2">
        <f ca="1"/>
        <v>0.18297505656087831</v>
      </c>
      <c r="AH5891" s="2" t="str">
        <f ca="1"/>
        <v>OK</v>
      </c>
    </row>
    <row r="5892" spans="2:34" x14ac:dyDescent="0.2">
      <c r="B5892" s="2">
        <f ca="1"/>
        <v>0.99318329482710688</v>
      </c>
      <c r="O5892" s="2">
        <f ca="1"/>
        <v>0.41042454660603012</v>
      </c>
      <c r="X5892" s="2">
        <f ca="1"/>
        <v>51.421809760659457</v>
      </c>
      <c r="AG5892" s="2">
        <f ca="1"/>
        <v>1.7067669986016165E-2</v>
      </c>
      <c r="AH5892" s="2" t="str">
        <f ca="1"/>
        <v>Good</v>
      </c>
    </row>
    <row r="5893" spans="2:34" x14ac:dyDescent="0.2">
      <c r="B5893" s="2">
        <f ca="1"/>
        <v>1.3634779069088276E-2</v>
      </c>
      <c r="O5893" s="2">
        <f ca="1"/>
        <v>-1.2109869747353854</v>
      </c>
      <c r="X5893" s="2">
        <f ca="1"/>
        <v>66.140446503653379</v>
      </c>
      <c r="AG5893" s="2">
        <f ca="1"/>
        <v>0.30258308344612583</v>
      </c>
      <c r="AH5893" s="2" t="str">
        <f ca="1"/>
        <v>OK</v>
      </c>
    </row>
    <row r="5894" spans="2:34" x14ac:dyDescent="0.2">
      <c r="B5894" s="2">
        <f ca="1"/>
        <v>0.96086446041079543</v>
      </c>
      <c r="O5894" s="2">
        <f ca="1"/>
        <v>-1.0947042346684623</v>
      </c>
      <c r="X5894" s="2">
        <f ca="1"/>
        <v>49.152406685060328</v>
      </c>
      <c r="AG5894" s="2">
        <f ca="1"/>
        <v>0.36789203683612981</v>
      </c>
      <c r="AH5894" s="2" t="str">
        <f ca="1"/>
        <v>OK</v>
      </c>
    </row>
    <row r="5895" spans="2:34" x14ac:dyDescent="0.2">
      <c r="B5895" s="2">
        <f ca="1"/>
        <v>0.83957292018490426</v>
      </c>
      <c r="O5895" s="2">
        <f ca="1"/>
        <v>-0.2587935780380527</v>
      </c>
      <c r="X5895" s="2">
        <f ca="1"/>
        <v>35.959828174058465</v>
      </c>
      <c r="AG5895" s="2">
        <f ca="1"/>
        <v>3.7463836127183514E-2</v>
      </c>
      <c r="AH5895" s="2" t="str">
        <f ca="1"/>
        <v>Good</v>
      </c>
    </row>
    <row r="5896" spans="2:34" x14ac:dyDescent="0.2">
      <c r="B5896" s="2">
        <f ca="1"/>
        <v>6.1982712710853205E-2</v>
      </c>
      <c r="O5896" s="2">
        <f ca="1"/>
        <v>0.15296227765530274</v>
      </c>
      <c r="X5896" s="2">
        <f ca="1"/>
        <v>40.599743261291998</v>
      </c>
      <c r="AG5896" s="2">
        <f ca="1"/>
        <v>0.69871488674081084</v>
      </c>
      <c r="AH5896" s="2" t="str">
        <f ca="1"/>
        <v>Bad</v>
      </c>
    </row>
    <row r="5897" spans="2:34" x14ac:dyDescent="0.2">
      <c r="B5897" s="2">
        <f ca="1"/>
        <v>0.72173156606190303</v>
      </c>
      <c r="O5897" s="2">
        <f ca="1"/>
        <v>-4.8180234540220329E-2</v>
      </c>
      <c r="X5897" s="2">
        <f ca="1"/>
        <v>42.056224582250124</v>
      </c>
      <c r="AG5897" s="2">
        <f ca="1"/>
        <v>0.17786319240227599</v>
      </c>
      <c r="AH5897" s="2" t="str">
        <f ca="1"/>
        <v>OK</v>
      </c>
    </row>
    <row r="5898" spans="2:34" x14ac:dyDescent="0.2">
      <c r="B5898" s="2">
        <f ca="1"/>
        <v>0.27189315369647105</v>
      </c>
      <c r="O5898" s="2">
        <f ca="1"/>
        <v>1.0643706139190239</v>
      </c>
      <c r="X5898" s="2">
        <f ca="1"/>
        <v>80.667930844820575</v>
      </c>
      <c r="AG5898" s="2">
        <f ca="1"/>
        <v>0.57314684902096347</v>
      </c>
      <c r="AH5898" s="2" t="str">
        <f ca="1"/>
        <v>Bad</v>
      </c>
    </row>
    <row r="5899" spans="2:34" x14ac:dyDescent="0.2">
      <c r="B5899" s="2">
        <f ca="1"/>
        <v>7.3250267383158763E-2</v>
      </c>
      <c r="O5899" s="2">
        <f ca="1"/>
        <v>0.52096753272490437</v>
      </c>
      <c r="X5899" s="2">
        <f ca="1"/>
        <v>40.493383202488467</v>
      </c>
      <c r="AG5899" s="2">
        <f ca="1"/>
        <v>0.55809379965416817</v>
      </c>
      <c r="AH5899" s="2" t="str">
        <f ca="1"/>
        <v>Bad</v>
      </c>
    </row>
    <row r="5900" spans="2:34" x14ac:dyDescent="0.2">
      <c r="B5900" s="2">
        <f ca="1"/>
        <v>0.86346660493512895</v>
      </c>
      <c r="O5900" s="2">
        <f ca="1"/>
        <v>-1.1013164934939605</v>
      </c>
      <c r="X5900" s="2">
        <f ca="1"/>
        <v>80.33622624179101</v>
      </c>
      <c r="AG5900" s="2">
        <f ca="1"/>
        <v>0.71656122438294267</v>
      </c>
      <c r="AH5900" s="2" t="str">
        <f ca="1"/>
        <v>Bad</v>
      </c>
    </row>
    <row r="5901" spans="2:34" x14ac:dyDescent="0.2">
      <c r="B5901" s="2">
        <f ca="1"/>
        <v>0.512146385850071</v>
      </c>
      <c r="O5901" s="2">
        <f ca="1"/>
        <v>1.0228830127701236</v>
      </c>
      <c r="X5901" s="2">
        <f ca="1"/>
        <v>41.49298502312184</v>
      </c>
      <c r="AG5901" s="2">
        <f ca="1"/>
        <v>0.83077097115942333</v>
      </c>
      <c r="AH5901" s="2" t="str">
        <f ca="1"/>
        <v>Bad</v>
      </c>
    </row>
    <row r="5902" spans="2:34" x14ac:dyDescent="0.2">
      <c r="B5902" s="2">
        <f ca="1"/>
        <v>0.8860229696689339</v>
      </c>
      <c r="O5902" s="2">
        <f ca="1"/>
        <v>-0.55126574570736764</v>
      </c>
      <c r="X5902" s="2">
        <f ca="1"/>
        <v>46.50399454180576</v>
      </c>
      <c r="AG5902" s="2">
        <f ca="1"/>
        <v>0.70445510846746795</v>
      </c>
      <c r="AH5902" s="2" t="str">
        <f ca="1"/>
        <v>Bad</v>
      </c>
    </row>
    <row r="5903" spans="2:34" x14ac:dyDescent="0.2">
      <c r="B5903" s="2">
        <f ca="1"/>
        <v>0.20629364256391836</v>
      </c>
      <c r="O5903" s="2">
        <f ca="1"/>
        <v>-1.7186923411877568</v>
      </c>
      <c r="X5903" s="2">
        <f ca="1"/>
        <v>49.681792104939063</v>
      </c>
      <c r="AG5903" s="2">
        <f ca="1"/>
        <v>0.5627816525027729</v>
      </c>
      <c r="AH5903" s="2" t="str">
        <f ca="1"/>
        <v>Bad</v>
      </c>
    </row>
    <row r="5904" spans="2:34" x14ac:dyDescent="0.2">
      <c r="B5904" s="2">
        <f ca="1"/>
        <v>0.47952769265659945</v>
      </c>
      <c r="O5904" s="2">
        <f ca="1"/>
        <v>-2.123894214090003</v>
      </c>
      <c r="X5904" s="2">
        <f ca="1"/>
        <v>33.219754537150713</v>
      </c>
      <c r="AG5904" s="2">
        <f ca="1"/>
        <v>0.82341086433910315</v>
      </c>
      <c r="AH5904" s="2" t="str">
        <f ca="1"/>
        <v>Bad</v>
      </c>
    </row>
    <row r="5905" spans="2:34" x14ac:dyDescent="0.2">
      <c r="B5905" s="2">
        <f ca="1"/>
        <v>9.1739328678068555E-2</v>
      </c>
      <c r="O5905" s="2">
        <f ca="1"/>
        <v>-1.9510799343418361</v>
      </c>
      <c r="X5905" s="2">
        <f ca="1"/>
        <v>50.574666873958208</v>
      </c>
      <c r="AG5905" s="2">
        <f ca="1"/>
        <v>0.26015409921609178</v>
      </c>
      <c r="AH5905" s="2" t="str">
        <f ca="1"/>
        <v>OK</v>
      </c>
    </row>
    <row r="5906" spans="2:34" x14ac:dyDescent="0.2">
      <c r="B5906" s="2">
        <f ca="1"/>
        <v>0.94192941300477373</v>
      </c>
      <c r="O5906" s="2">
        <f ca="1"/>
        <v>0.5464230337932906</v>
      </c>
      <c r="X5906" s="2">
        <f ca="1"/>
        <v>74.97913658906684</v>
      </c>
      <c r="AG5906" s="2">
        <f ca="1"/>
        <v>0.40808412963300467</v>
      </c>
      <c r="AH5906" s="2" t="str">
        <f ca="1"/>
        <v>Bad</v>
      </c>
    </row>
    <row r="5907" spans="2:34" x14ac:dyDescent="0.2">
      <c r="B5907" s="2">
        <f ca="1"/>
        <v>0.15072448375704917</v>
      </c>
      <c r="O5907" s="2">
        <f ca="1"/>
        <v>0.15093619858758969</v>
      </c>
      <c r="X5907" s="2">
        <f ca="1"/>
        <v>54.194189260092863</v>
      </c>
      <c r="AG5907" s="2">
        <f ca="1"/>
        <v>0.97580597893896748</v>
      </c>
      <c r="AH5907" s="2" t="str">
        <f ca="1"/>
        <v>Bad</v>
      </c>
    </row>
    <row r="5908" spans="2:34" x14ac:dyDescent="0.2">
      <c r="B5908" s="2">
        <f ca="1"/>
        <v>0.46014220216085855</v>
      </c>
      <c r="O5908" s="2">
        <f ca="1"/>
        <v>7.0475090003152732E-2</v>
      </c>
      <c r="X5908" s="2">
        <f ca="1"/>
        <v>39.786344188879639</v>
      </c>
      <c r="AG5908" s="2">
        <f ca="1"/>
        <v>0.6261617782551181</v>
      </c>
      <c r="AH5908" s="2" t="str">
        <f ca="1"/>
        <v>Bad</v>
      </c>
    </row>
    <row r="5909" spans="2:34" x14ac:dyDescent="0.2">
      <c r="B5909" s="2">
        <f ca="1"/>
        <v>0.18197377497911593</v>
      </c>
      <c r="O5909" s="2">
        <f ca="1"/>
        <v>-1.402782016663064</v>
      </c>
      <c r="X5909" s="2">
        <f ca="1"/>
        <v>45.621509263315573</v>
      </c>
      <c r="AG5909" s="2">
        <f ca="1"/>
        <v>0.4076167898595684</v>
      </c>
      <c r="AH5909" s="2" t="str">
        <f ca="1"/>
        <v>Bad</v>
      </c>
    </row>
    <row r="5910" spans="2:34" x14ac:dyDescent="0.2">
      <c r="B5910" s="2">
        <f ca="1"/>
        <v>0.32398600952228462</v>
      </c>
      <c r="O5910" s="2">
        <f ca="1"/>
        <v>-0.85583476712720108</v>
      </c>
      <c r="X5910" s="2">
        <f ca="1"/>
        <v>32.994016929207682</v>
      </c>
      <c r="AG5910" s="2">
        <f ca="1"/>
        <v>0.10738025620060143</v>
      </c>
      <c r="AH5910" s="2" t="str">
        <f ca="1"/>
        <v>OK</v>
      </c>
    </row>
    <row r="5911" spans="2:34" x14ac:dyDescent="0.2">
      <c r="B5911" s="2">
        <f ca="1"/>
        <v>0.51586675513573277</v>
      </c>
      <c r="O5911" s="2">
        <f ca="1"/>
        <v>0.9421950894869463</v>
      </c>
      <c r="X5911" s="2">
        <f ca="1"/>
        <v>75.911357804377374</v>
      </c>
      <c r="AG5911" s="2">
        <f ca="1"/>
        <v>0.66152209174773824</v>
      </c>
      <c r="AH5911" s="2" t="str">
        <f ca="1"/>
        <v>Bad</v>
      </c>
    </row>
    <row r="5912" spans="2:34" x14ac:dyDescent="0.2">
      <c r="B5912" s="2">
        <f ca="1"/>
        <v>0.14049273140861507</v>
      </c>
      <c r="O5912" s="2">
        <f ca="1"/>
        <v>-0.40035218987388888</v>
      </c>
      <c r="X5912" s="2">
        <f ca="1"/>
        <v>38.73173523611019</v>
      </c>
      <c r="AG5912" s="2">
        <f ca="1"/>
        <v>0.50660336221816094</v>
      </c>
      <c r="AH5912" s="2" t="str">
        <f ca="1"/>
        <v>Bad</v>
      </c>
    </row>
    <row r="5913" spans="2:34" x14ac:dyDescent="0.2">
      <c r="B5913" s="2">
        <f ca="1"/>
        <v>0.79221740125367512</v>
      </c>
      <c r="O5913" s="2">
        <f ca="1"/>
        <v>-2.4460355333184948E-2</v>
      </c>
      <c r="X5913" s="2">
        <f ca="1"/>
        <v>60.394163707194515</v>
      </c>
      <c r="AG5913" s="2">
        <f ca="1"/>
        <v>0.98911407585637035</v>
      </c>
      <c r="AH5913" s="2" t="str">
        <f ca="1"/>
        <v>Bad</v>
      </c>
    </row>
    <row r="5914" spans="2:34" x14ac:dyDescent="0.2">
      <c r="B5914" s="2">
        <f ca="1"/>
        <v>0.77912863441153712</v>
      </c>
      <c r="O5914" s="2">
        <f ca="1"/>
        <v>2.1153760764325029</v>
      </c>
      <c r="X5914" s="2">
        <f ca="1"/>
        <v>74.821536757831723</v>
      </c>
      <c r="AG5914" s="2">
        <f ca="1"/>
        <v>0.38976695780310444</v>
      </c>
      <c r="AH5914" s="2" t="str">
        <f ca="1"/>
        <v>OK</v>
      </c>
    </row>
    <row r="5915" spans="2:34" x14ac:dyDescent="0.2">
      <c r="B5915" s="2">
        <f ca="1"/>
        <v>0.97813829263035856</v>
      </c>
      <c r="O5915" s="2">
        <f ca="1"/>
        <v>0.29755722951332625</v>
      </c>
      <c r="X5915" s="2">
        <f ca="1"/>
        <v>60.853318363587469</v>
      </c>
      <c r="AG5915" s="2">
        <f ca="1"/>
        <v>0.16415156895933114</v>
      </c>
      <c r="AH5915" s="2" t="str">
        <f ca="1"/>
        <v>OK</v>
      </c>
    </row>
    <row r="5916" spans="2:34" x14ac:dyDescent="0.2">
      <c r="B5916" s="2">
        <f ca="1"/>
        <v>0.59802066995242797</v>
      </c>
      <c r="O5916" s="2">
        <f ca="1"/>
        <v>1.0880552116221178</v>
      </c>
      <c r="X5916" s="2">
        <f ca="1"/>
        <v>33.586488281370947</v>
      </c>
      <c r="AG5916" s="2">
        <f ca="1"/>
        <v>0.48789116169411173</v>
      </c>
      <c r="AH5916" s="2" t="str">
        <f ca="1"/>
        <v>Bad</v>
      </c>
    </row>
    <row r="5917" spans="2:34" x14ac:dyDescent="0.2">
      <c r="B5917" s="2">
        <f ca="1"/>
        <v>0.9384468774351411</v>
      </c>
      <c r="O5917" s="2">
        <f ca="1"/>
        <v>-0.95897675623283418</v>
      </c>
      <c r="X5917" s="2">
        <f ca="1"/>
        <v>43.74268675263216</v>
      </c>
      <c r="AG5917" s="2">
        <f ca="1"/>
        <v>0.27537057734891546</v>
      </c>
      <c r="AH5917" s="2" t="str">
        <f ca="1"/>
        <v>OK</v>
      </c>
    </row>
    <row r="5918" spans="2:34" x14ac:dyDescent="0.2">
      <c r="B5918" s="2">
        <f ca="1"/>
        <v>0.51326156383214383</v>
      </c>
      <c r="O5918" s="2">
        <f ca="1"/>
        <v>-1.4088414033513972</v>
      </c>
      <c r="X5918" s="2">
        <f ca="1"/>
        <v>79.957045101070079</v>
      </c>
      <c r="AG5918" s="2">
        <f ca="1"/>
        <v>0.9860197467869134</v>
      </c>
      <c r="AH5918" s="2" t="str">
        <f ca="1"/>
        <v>Bad</v>
      </c>
    </row>
    <row r="5919" spans="2:34" x14ac:dyDescent="0.2">
      <c r="B5919" s="2">
        <f ca="1"/>
        <v>0.54877297477224829</v>
      </c>
      <c r="O5919" s="2">
        <f ca="1"/>
        <v>-1.2046126065065412</v>
      </c>
      <c r="X5919" s="2">
        <f ca="1"/>
        <v>49.099862697196961</v>
      </c>
      <c r="AG5919" s="2">
        <f ca="1"/>
        <v>0.77230565509285776</v>
      </c>
      <c r="AH5919" s="2" t="str">
        <f ca="1"/>
        <v>Bad</v>
      </c>
    </row>
    <row r="5920" spans="2:34" x14ac:dyDescent="0.2">
      <c r="B5920" s="2">
        <f ca="1"/>
        <v>0.18489072241198046</v>
      </c>
      <c r="O5920" s="2">
        <f ca="1"/>
        <v>0.83307017800112326</v>
      </c>
      <c r="X5920" s="2">
        <f ca="1"/>
        <v>40.475872114524662</v>
      </c>
      <c r="AG5920" s="2">
        <f ca="1"/>
        <v>0.98265797675363786</v>
      </c>
      <c r="AH5920" s="2" t="str">
        <f ca="1"/>
        <v>Bad</v>
      </c>
    </row>
    <row r="5921" spans="2:34" x14ac:dyDescent="0.2">
      <c r="B5921" s="2">
        <f ca="1"/>
        <v>0.42974594289791845</v>
      </c>
      <c r="O5921" s="2">
        <f ca="1"/>
        <v>-0.1229031626442819</v>
      </c>
      <c r="X5921" s="2">
        <f ca="1"/>
        <v>52.071714485938728</v>
      </c>
      <c r="AG5921" s="2">
        <f ca="1"/>
        <v>0.25345637859044667</v>
      </c>
      <c r="AH5921" s="2" t="str">
        <f ca="1"/>
        <v>OK</v>
      </c>
    </row>
    <row r="5922" spans="2:34" x14ac:dyDescent="0.2">
      <c r="B5922" s="2">
        <f ca="1"/>
        <v>0.41751803541961574</v>
      </c>
      <c r="O5922" s="2">
        <f ca="1"/>
        <v>-0.40476748446370692</v>
      </c>
      <c r="X5922" s="2">
        <f ca="1"/>
        <v>27.036334087762619</v>
      </c>
      <c r="AG5922" s="2">
        <f ca="1"/>
        <v>0.3275478193529664</v>
      </c>
      <c r="AH5922" s="2" t="str">
        <f ca="1"/>
        <v>OK</v>
      </c>
    </row>
    <row r="5923" spans="2:34" x14ac:dyDescent="0.2">
      <c r="B5923" s="2">
        <f ca="1"/>
        <v>0.59761608895554152</v>
      </c>
      <c r="O5923" s="2">
        <f ca="1"/>
        <v>1.2477638711335368</v>
      </c>
      <c r="X5923" s="2">
        <f ca="1"/>
        <v>35.179572569266298</v>
      </c>
      <c r="AG5923" s="2">
        <f ca="1"/>
        <v>0.42850496510090186</v>
      </c>
      <c r="AH5923" s="2" t="str">
        <f ca="1"/>
        <v>Bad</v>
      </c>
    </row>
    <row r="5924" spans="2:34" x14ac:dyDescent="0.2">
      <c r="B5924" s="2">
        <f ca="1"/>
        <v>9.3334364895875321E-2</v>
      </c>
      <c r="O5924" s="2">
        <f ca="1"/>
        <v>-0.37860731974295403</v>
      </c>
      <c r="X5924" s="2">
        <f ca="1"/>
        <v>64.983319365612559</v>
      </c>
      <c r="AG5924" s="2">
        <f ca="1"/>
        <v>0.92318922678095405</v>
      </c>
      <c r="AH5924" s="2" t="str">
        <f ca="1"/>
        <v>Bad</v>
      </c>
    </row>
    <row r="5925" spans="2:34" x14ac:dyDescent="0.2">
      <c r="B5925" s="2">
        <f ca="1"/>
        <v>0.54094337961773498</v>
      </c>
      <c r="O5925" s="2">
        <f ca="1"/>
        <v>2.1140513925622249</v>
      </c>
      <c r="X5925" s="2">
        <f ca="1"/>
        <v>44.220391716390836</v>
      </c>
      <c r="AG5925" s="2">
        <f ca="1"/>
        <v>0.61614900473383427</v>
      </c>
      <c r="AH5925" s="2" t="str">
        <f ca="1"/>
        <v>Bad</v>
      </c>
    </row>
    <row r="5926" spans="2:34" x14ac:dyDescent="0.2">
      <c r="B5926" s="2">
        <f ca="1"/>
        <v>0.43034952129054305</v>
      </c>
      <c r="O5926" s="2">
        <f ca="1"/>
        <v>0.28503104473876256</v>
      </c>
      <c r="X5926" s="2">
        <f ca="1"/>
        <v>58.413128024090241</v>
      </c>
      <c r="AG5926" s="2">
        <f ca="1"/>
        <v>0.48000740390198215</v>
      </c>
      <c r="AH5926" s="2" t="str">
        <f ca="1"/>
        <v>Bad</v>
      </c>
    </row>
    <row r="5927" spans="2:34" x14ac:dyDescent="0.2">
      <c r="B5927" s="2">
        <f ca="1"/>
        <v>9.7799193897280201E-2</v>
      </c>
      <c r="O5927" s="2">
        <f ca="1"/>
        <v>0.25763457203043999</v>
      </c>
      <c r="X5927" s="2">
        <f ca="1"/>
        <v>49.198061295827443</v>
      </c>
      <c r="AG5927" s="2">
        <f ca="1"/>
        <v>0.61616480807534235</v>
      </c>
      <c r="AH5927" s="2" t="str">
        <f ca="1"/>
        <v>Bad</v>
      </c>
    </row>
    <row r="5928" spans="2:34" x14ac:dyDescent="0.2">
      <c r="B5928" s="2">
        <f ca="1"/>
        <v>0.23447124668061781</v>
      </c>
      <c r="O5928" s="2">
        <f ca="1"/>
        <v>1.3345959793313498</v>
      </c>
      <c r="X5928" s="2">
        <f ca="1"/>
        <v>35.101745332475701</v>
      </c>
      <c r="AG5928" s="2">
        <f ca="1"/>
        <v>0.99663749042347516</v>
      </c>
      <c r="AH5928" s="2" t="str">
        <f ca="1"/>
        <v>Bad</v>
      </c>
    </row>
    <row r="5929" spans="2:34" x14ac:dyDescent="0.2">
      <c r="B5929" s="2">
        <f ca="1"/>
        <v>2.3388252499978002E-2</v>
      </c>
      <c r="O5929" s="2">
        <f ca="1"/>
        <v>0.4980485333466439</v>
      </c>
      <c r="X5929" s="2">
        <f ca="1"/>
        <v>32.208512417750534</v>
      </c>
      <c r="AG5929" s="2">
        <f ca="1"/>
        <v>0.57508308506566341</v>
      </c>
      <c r="AH5929" s="2" t="str">
        <f ca="1"/>
        <v>Bad</v>
      </c>
    </row>
    <row r="5930" spans="2:34" x14ac:dyDescent="0.2">
      <c r="B5930" s="2">
        <f ca="1"/>
        <v>0.76312973311162091</v>
      </c>
      <c r="O5930" s="2">
        <f ca="1"/>
        <v>1.7962762646948228E-3</v>
      </c>
      <c r="X5930" s="2">
        <f ca="1"/>
        <v>54.906233057657204</v>
      </c>
      <c r="AG5930" s="2">
        <f ca="1"/>
        <v>0.36934161561681522</v>
      </c>
      <c r="AH5930" s="2" t="str">
        <f ca="1"/>
        <v>OK</v>
      </c>
    </row>
    <row r="5931" spans="2:34" x14ac:dyDescent="0.2">
      <c r="B5931" s="2">
        <f ca="1"/>
        <v>0.68266453972741648</v>
      </c>
      <c r="O5931" s="2">
        <f ca="1"/>
        <v>-0.90743220263037871</v>
      </c>
      <c r="X5931" s="2">
        <f ca="1"/>
        <v>38.820999067102598</v>
      </c>
      <c r="AG5931" s="2">
        <f ca="1"/>
        <v>1.0112615628563582E-3</v>
      </c>
      <c r="AH5931" s="2" t="str">
        <f ca="1"/>
        <v>Good</v>
      </c>
    </row>
    <row r="5932" spans="2:34" x14ac:dyDescent="0.2">
      <c r="B5932" s="2">
        <f ca="1"/>
        <v>0.64484132535957461</v>
      </c>
      <c r="O5932" s="2">
        <f ca="1"/>
        <v>-0.4600983239245155</v>
      </c>
      <c r="X5932" s="2">
        <f ca="1"/>
        <v>62.395027580785083</v>
      </c>
      <c r="AG5932" s="2">
        <f ca="1"/>
        <v>0.18301602843019071</v>
      </c>
      <c r="AH5932" s="2" t="str">
        <f ca="1"/>
        <v>OK</v>
      </c>
    </row>
    <row r="5933" spans="2:34" x14ac:dyDescent="0.2">
      <c r="B5933" s="2">
        <f ca="1"/>
        <v>0.58058705265554411</v>
      </c>
      <c r="O5933" s="2">
        <f ca="1"/>
        <v>0.68435143204193694</v>
      </c>
      <c r="X5933" s="2">
        <f ca="1"/>
        <v>54.444708048767644</v>
      </c>
      <c r="AG5933" s="2">
        <f ca="1"/>
        <v>0.31086633767336247</v>
      </c>
      <c r="AH5933" s="2" t="str">
        <f ca="1"/>
        <v>OK</v>
      </c>
    </row>
    <row r="5934" spans="2:34" x14ac:dyDescent="0.2">
      <c r="B5934" s="2">
        <f ca="1"/>
        <v>0.42972848141862441</v>
      </c>
      <c r="O5934" s="2">
        <f ca="1"/>
        <v>1.4988052302495225</v>
      </c>
      <c r="X5934" s="2">
        <f ca="1"/>
        <v>28.09312412255801</v>
      </c>
      <c r="AG5934" s="2">
        <f ca="1"/>
        <v>0.41741854320591321</v>
      </c>
      <c r="AH5934" s="2" t="str">
        <f ca="1"/>
        <v>Bad</v>
      </c>
    </row>
    <row r="5935" spans="2:34" x14ac:dyDescent="0.2">
      <c r="B5935" s="2">
        <f ca="1"/>
        <v>0.74723161412311478</v>
      </c>
      <c r="O5935" s="2">
        <f ca="1"/>
        <v>-1.5996063345856983</v>
      </c>
      <c r="X5935" s="2">
        <f ca="1"/>
        <v>37.363092039764055</v>
      </c>
      <c r="AG5935" s="2">
        <f ca="1"/>
        <v>0.69052292482518007</v>
      </c>
      <c r="AH5935" s="2" t="str">
        <f ca="1"/>
        <v>Bad</v>
      </c>
    </row>
    <row r="5936" spans="2:34" x14ac:dyDescent="0.2">
      <c r="B5936" s="2">
        <f ca="1"/>
        <v>0.21064049683445241</v>
      </c>
      <c r="O5936" s="2">
        <f ca="1"/>
        <v>-0.42339531466082742</v>
      </c>
      <c r="X5936" s="2">
        <f ca="1"/>
        <v>30.624619609708368</v>
      </c>
      <c r="AG5936" s="2">
        <f ca="1"/>
        <v>0.13319862197490706</v>
      </c>
      <c r="AH5936" s="2" t="str">
        <f ca="1"/>
        <v>OK</v>
      </c>
    </row>
    <row r="5937" spans="2:34" x14ac:dyDescent="0.2">
      <c r="B5937" s="2">
        <f ca="1"/>
        <v>0.14188194239826535</v>
      </c>
      <c r="O5937" s="2">
        <f ca="1"/>
        <v>-1.5065713739285451</v>
      </c>
      <c r="X5937" s="2">
        <f ca="1"/>
        <v>51.594540571042309</v>
      </c>
      <c r="AG5937" s="2">
        <f ca="1"/>
        <v>0.77268277152835441</v>
      </c>
      <c r="AH5937" s="2" t="str">
        <f ca="1"/>
        <v>Bad</v>
      </c>
    </row>
    <row r="5938" spans="2:34" x14ac:dyDescent="0.2">
      <c r="B5938" s="2">
        <f ca="1"/>
        <v>0.88353678395534052</v>
      </c>
      <c r="O5938" s="2">
        <f ca="1"/>
        <v>-7.6283613425373945E-2</v>
      </c>
      <c r="X5938" s="2">
        <f ca="1"/>
        <v>41.537337530644962</v>
      </c>
      <c r="AG5938" s="2">
        <f ca="1"/>
        <v>0.40316022111224181</v>
      </c>
      <c r="AH5938" s="2" t="str">
        <f ca="1"/>
        <v>Bad</v>
      </c>
    </row>
    <row r="5939" spans="2:34" x14ac:dyDescent="0.2">
      <c r="B5939" s="2">
        <f ca="1"/>
        <v>0.63211469232782602</v>
      </c>
      <c r="O5939" s="2">
        <f ca="1"/>
        <v>-1.3955335708706944</v>
      </c>
      <c r="X5939" s="2">
        <f ca="1"/>
        <v>21.50265481801091</v>
      </c>
      <c r="AG5939" s="2">
        <f ca="1"/>
        <v>0.90881226165288442</v>
      </c>
      <c r="AH5939" s="2" t="str">
        <f ca="1"/>
        <v>Bad</v>
      </c>
    </row>
    <row r="5940" spans="2:34" x14ac:dyDescent="0.2">
      <c r="B5940" s="2">
        <f ca="1"/>
        <v>0.12492669777200782</v>
      </c>
      <c r="O5940" s="2">
        <f ca="1"/>
        <v>0.8848282168861894</v>
      </c>
      <c r="X5940" s="2">
        <f ca="1"/>
        <v>27.858594876525235</v>
      </c>
      <c r="AG5940" s="2">
        <f ca="1"/>
        <v>0.60350169054206759</v>
      </c>
      <c r="AH5940" s="2" t="str">
        <f ca="1"/>
        <v>Bad</v>
      </c>
    </row>
    <row r="5941" spans="2:34" x14ac:dyDescent="0.2">
      <c r="B5941" s="2">
        <f ca="1"/>
        <v>5.7744686626182595E-2</v>
      </c>
      <c r="O5941" s="2">
        <f ca="1"/>
        <v>0.35911083973742691</v>
      </c>
      <c r="X5941" s="2">
        <f ca="1"/>
        <v>60.562909959349184</v>
      </c>
      <c r="AG5941" s="2">
        <f ca="1"/>
        <v>0.89612404640993937</v>
      </c>
      <c r="AH5941" s="2" t="str">
        <f ca="1"/>
        <v>Bad</v>
      </c>
    </row>
    <row r="5942" spans="2:34" x14ac:dyDescent="0.2">
      <c r="B5942" s="2">
        <f ca="1"/>
        <v>0.98132967705766649</v>
      </c>
      <c r="O5942" s="2">
        <f ca="1"/>
        <v>-2.1956077968328218</v>
      </c>
      <c r="X5942" s="2">
        <f ca="1"/>
        <v>36.346881311300464</v>
      </c>
      <c r="AG5942" s="2">
        <f ca="1"/>
        <v>0.94256813110454862</v>
      </c>
      <c r="AH5942" s="2" t="str">
        <f ca="1"/>
        <v>Bad</v>
      </c>
    </row>
    <row r="5943" spans="2:34" x14ac:dyDescent="0.2">
      <c r="B5943" s="2">
        <f ca="1"/>
        <v>0.50685614592061934</v>
      </c>
      <c r="O5943" s="2">
        <f ca="1"/>
        <v>-0.10046893761418431</v>
      </c>
      <c r="X5943" s="2">
        <f ca="1"/>
        <v>61.895434204373316</v>
      </c>
      <c r="AG5943" s="2">
        <f ca="1"/>
        <v>0.25486512913553172</v>
      </c>
      <c r="AH5943" s="2" t="str">
        <f ca="1"/>
        <v>OK</v>
      </c>
    </row>
    <row r="5944" spans="2:34" x14ac:dyDescent="0.2">
      <c r="B5944" s="2">
        <f ca="1"/>
        <v>0.20491142696205422</v>
      </c>
      <c r="O5944" s="2">
        <f ca="1"/>
        <v>0.38228810163580063</v>
      </c>
      <c r="X5944" s="2">
        <f ca="1"/>
        <v>39.996129682887975</v>
      </c>
      <c r="AG5944" s="2">
        <f ca="1"/>
        <v>0.39628044022955855</v>
      </c>
      <c r="AH5944" s="2" t="str">
        <f ca="1"/>
        <v>OK</v>
      </c>
    </row>
    <row r="5945" spans="2:34" x14ac:dyDescent="0.2">
      <c r="B5945" s="2">
        <f ca="1"/>
        <v>0.99670066402244295</v>
      </c>
      <c r="O5945" s="2">
        <f ca="1"/>
        <v>1.1011667040416993</v>
      </c>
      <c r="X5945" s="2">
        <f ca="1"/>
        <v>64.283797789950512</v>
      </c>
      <c r="AG5945" s="2">
        <f ca="1"/>
        <v>0.71456280789917015</v>
      </c>
      <c r="AH5945" s="2" t="str">
        <f ca="1"/>
        <v>Bad</v>
      </c>
    </row>
    <row r="5946" spans="2:34" x14ac:dyDescent="0.2">
      <c r="B5946" s="2">
        <f ca="1"/>
        <v>0.61148927384259499</v>
      </c>
      <c r="O5946" s="2">
        <f ca="1"/>
        <v>4.0922436654517544E-2</v>
      </c>
      <c r="X5946" s="2">
        <f ca="1"/>
        <v>33.565051085363379</v>
      </c>
      <c r="AG5946" s="2">
        <f ca="1"/>
        <v>0.55812151278931932</v>
      </c>
      <c r="AH5946" s="2" t="str">
        <f ca="1"/>
        <v>Bad</v>
      </c>
    </row>
    <row r="5947" spans="2:34" x14ac:dyDescent="0.2">
      <c r="B5947" s="2">
        <f ca="1"/>
        <v>0.22418007542247342</v>
      </c>
      <c r="O5947" s="2">
        <f ca="1"/>
        <v>-0.1480395667816827</v>
      </c>
      <c r="X5947" s="2">
        <f ca="1"/>
        <v>59.882930178936064</v>
      </c>
      <c r="AG5947" s="2">
        <f ca="1"/>
        <v>0.14255484646996197</v>
      </c>
      <c r="AH5947" s="2" t="str">
        <f ca="1"/>
        <v>OK</v>
      </c>
    </row>
    <row r="5948" spans="2:34" x14ac:dyDescent="0.2">
      <c r="B5948" s="2">
        <f ca="1"/>
        <v>6.9906789448548556E-2</v>
      </c>
      <c r="O5948" s="2">
        <f ca="1"/>
        <v>-0.84250606180167076</v>
      </c>
      <c r="X5948" s="2">
        <f ca="1"/>
        <v>40.92323335850034</v>
      </c>
      <c r="AG5948" s="2">
        <f ca="1"/>
        <v>0.75440807898811313</v>
      </c>
      <c r="AH5948" s="2" t="str">
        <f ca="1"/>
        <v>Bad</v>
      </c>
    </row>
    <row r="5949" spans="2:34" x14ac:dyDescent="0.2">
      <c r="B5949" s="2">
        <f ca="1"/>
        <v>0.12118981899621373</v>
      </c>
      <c r="O5949" s="2">
        <f ca="1"/>
        <v>-0.41679102308108779</v>
      </c>
      <c r="X5949" s="2">
        <f ca="1"/>
        <v>53.362712493288377</v>
      </c>
      <c r="AG5949" s="2">
        <f ca="1"/>
        <v>0.54671914712260916</v>
      </c>
      <c r="AH5949" s="2" t="str">
        <f ca="1"/>
        <v>Bad</v>
      </c>
    </row>
    <row r="5950" spans="2:34" x14ac:dyDescent="0.2">
      <c r="B5950" s="2">
        <f ca="1"/>
        <v>0.53310358130757618</v>
      </c>
      <c r="O5950" s="2">
        <f ca="1"/>
        <v>-0.90663826127621405</v>
      </c>
      <c r="X5950" s="2">
        <f ca="1"/>
        <v>35.032024581721998</v>
      </c>
      <c r="AG5950" s="2">
        <f ca="1"/>
        <v>0.47556894001576699</v>
      </c>
      <c r="AH5950" s="2" t="str">
        <f ca="1"/>
        <v>Bad</v>
      </c>
    </row>
    <row r="5951" spans="2:34" x14ac:dyDescent="0.2">
      <c r="B5951" s="2">
        <f ca="1"/>
        <v>0.12749609179687349</v>
      </c>
      <c r="O5951" s="2">
        <f ca="1"/>
        <v>-0.33834926717653735</v>
      </c>
      <c r="X5951" s="2">
        <f ca="1"/>
        <v>81.873955143920654</v>
      </c>
      <c r="AG5951" s="2">
        <f ca="1"/>
        <v>0.30057569860835165</v>
      </c>
      <c r="AH5951" s="2" t="str">
        <f ca="1"/>
        <v>OK</v>
      </c>
    </row>
    <row r="5952" spans="2:34" x14ac:dyDescent="0.2">
      <c r="B5952" s="2">
        <f ca="1"/>
        <v>0.43769590058670205</v>
      </c>
      <c r="O5952" s="2">
        <f ca="1"/>
        <v>0.55217869375336015</v>
      </c>
      <c r="X5952" s="2">
        <f ca="1"/>
        <v>65.441146072697819</v>
      </c>
      <c r="AG5952" s="2">
        <f ca="1"/>
        <v>8.8887579921901771E-2</v>
      </c>
      <c r="AH5952" s="2" t="str">
        <f ca="1"/>
        <v>OK</v>
      </c>
    </row>
    <row r="5953" spans="2:34" x14ac:dyDescent="0.2">
      <c r="B5953" s="2">
        <f ca="1"/>
        <v>0.43733274915537912</v>
      </c>
      <c r="O5953" s="2">
        <f ca="1"/>
        <v>-0.53542737973872312</v>
      </c>
      <c r="X5953" s="2">
        <f ca="1"/>
        <v>53.235726147888272</v>
      </c>
      <c r="AG5953" s="2">
        <f ca="1"/>
        <v>0.3564620509377816</v>
      </c>
      <c r="AH5953" s="2" t="str">
        <f ca="1"/>
        <v>OK</v>
      </c>
    </row>
    <row r="5954" spans="2:34" x14ac:dyDescent="0.2">
      <c r="B5954" s="2">
        <f ca="1"/>
        <v>0.82635438299845942</v>
      </c>
      <c r="O5954" s="2">
        <f ca="1"/>
        <v>-1.1288397819505527</v>
      </c>
      <c r="X5954" s="2">
        <f ca="1"/>
        <v>37.231748002150439</v>
      </c>
      <c r="AG5954" s="2">
        <f ca="1"/>
        <v>0.31661126792855976</v>
      </c>
      <c r="AH5954" s="2" t="str">
        <f ca="1"/>
        <v>OK</v>
      </c>
    </row>
    <row r="5955" spans="2:34" x14ac:dyDescent="0.2">
      <c r="B5955" s="2">
        <f ca="1"/>
        <v>0.20675288562464744</v>
      </c>
      <c r="O5955" s="2">
        <f ca="1"/>
        <v>2.2483289995017408</v>
      </c>
      <c r="X5955" s="2">
        <f ca="1"/>
        <v>67.733999010020483</v>
      </c>
      <c r="AG5955" s="2">
        <f ca="1"/>
        <v>0.94231143016195884</v>
      </c>
      <c r="AH5955" s="2" t="str">
        <f ca="1"/>
        <v>Bad</v>
      </c>
    </row>
    <row r="5956" spans="2:34" x14ac:dyDescent="0.2">
      <c r="B5956" s="2">
        <f ca="1"/>
        <v>0.81737163023917336</v>
      </c>
      <c r="O5956" s="2">
        <f ca="1"/>
        <v>-5.6838781249263136E-2</v>
      </c>
      <c r="X5956" s="2">
        <f ca="1"/>
        <v>65.782703326149104</v>
      </c>
      <c r="AG5956" s="2">
        <f ca="1"/>
        <v>0.86339485557057838</v>
      </c>
      <c r="AH5956" s="2" t="str">
        <f ca="1"/>
        <v>Bad</v>
      </c>
    </row>
    <row r="5957" spans="2:34" x14ac:dyDescent="0.2">
      <c r="B5957" s="2">
        <f ca="1"/>
        <v>0.65640123156390096</v>
      </c>
      <c r="O5957" s="2">
        <f ca="1"/>
        <v>8.2325922727148251E-3</v>
      </c>
      <c r="X5957" s="2">
        <f ca="1"/>
        <v>28.201140811103112</v>
      </c>
      <c r="AG5957" s="2">
        <f ca="1"/>
        <v>0.57058115317609892</v>
      </c>
      <c r="AH5957" s="2" t="str">
        <f ca="1"/>
        <v>Bad</v>
      </c>
    </row>
    <row r="5958" spans="2:34" x14ac:dyDescent="0.2">
      <c r="B5958" s="2">
        <f ca="1"/>
        <v>0.25963316269429737</v>
      </c>
      <c r="O5958" s="2">
        <f ca="1"/>
        <v>0.79268714574768673</v>
      </c>
      <c r="X5958" s="2">
        <f ca="1"/>
        <v>48.565943770124065</v>
      </c>
      <c r="AG5958" s="2">
        <f ca="1"/>
        <v>0.79920389735644237</v>
      </c>
      <c r="AH5958" s="2" t="str">
        <f ca="1"/>
        <v>Bad</v>
      </c>
    </row>
    <row r="5959" spans="2:34" x14ac:dyDescent="0.2">
      <c r="B5959" s="2">
        <f ca="1"/>
        <v>0.19679191955840913</v>
      </c>
      <c r="O5959" s="2">
        <f ca="1"/>
        <v>0.14694883246545251</v>
      </c>
      <c r="X5959" s="2">
        <f ca="1"/>
        <v>63.44922619561325</v>
      </c>
      <c r="AG5959" s="2">
        <f ca="1"/>
        <v>0.2023157599122789</v>
      </c>
      <c r="AH5959" s="2" t="str">
        <f ca="1"/>
        <v>OK</v>
      </c>
    </row>
    <row r="5960" spans="2:34" x14ac:dyDescent="0.2">
      <c r="B5960" s="2">
        <f ca="1"/>
        <v>0.65930269477445669</v>
      </c>
      <c r="O5960" s="2">
        <f ca="1"/>
        <v>0.94874880215826252</v>
      </c>
      <c r="X5960" s="2">
        <f ca="1"/>
        <v>57.370932107083263</v>
      </c>
      <c r="AG5960" s="2">
        <f ca="1"/>
        <v>0.47999353249326893</v>
      </c>
      <c r="AH5960" s="2" t="str">
        <f ca="1"/>
        <v>Bad</v>
      </c>
    </row>
    <row r="5961" spans="2:34" x14ac:dyDescent="0.2">
      <c r="B5961" s="2">
        <f ca="1"/>
        <v>0.51803495410632872</v>
      </c>
      <c r="O5961" s="2">
        <f ca="1"/>
        <v>-1.8595034545450131</v>
      </c>
      <c r="X5961" s="2">
        <f ca="1"/>
        <v>47.144447691122821</v>
      </c>
      <c r="AG5961" s="2">
        <f ca="1"/>
        <v>0.51018359428029858</v>
      </c>
      <c r="AH5961" s="2" t="str">
        <f ca="1"/>
        <v>Bad</v>
      </c>
    </row>
    <row r="5962" spans="2:34" x14ac:dyDescent="0.2">
      <c r="B5962" s="2">
        <f ca="1"/>
        <v>9.9077157794567716E-2</v>
      </c>
      <c r="O5962" s="2">
        <f ca="1"/>
        <v>0.74587373115938416</v>
      </c>
      <c r="X5962" s="2">
        <f ca="1"/>
        <v>32.650261458319086</v>
      </c>
      <c r="AG5962" s="2">
        <f ca="1"/>
        <v>0.254910443901045</v>
      </c>
      <c r="AH5962" s="2" t="str">
        <f ca="1"/>
        <v>OK</v>
      </c>
    </row>
    <row r="5963" spans="2:34" x14ac:dyDescent="0.2">
      <c r="B5963" s="2">
        <f ca="1"/>
        <v>0.40695301621242219</v>
      </c>
      <c r="O5963" s="2">
        <f ca="1"/>
        <v>-0.22020115816084912</v>
      </c>
      <c r="X5963" s="2">
        <f ca="1"/>
        <v>32.184261468260871</v>
      </c>
      <c r="AG5963" s="2">
        <f ca="1"/>
        <v>0.56380005759796736</v>
      </c>
      <c r="AH5963" s="2" t="str">
        <f ca="1"/>
        <v>Bad</v>
      </c>
    </row>
    <row r="5964" spans="2:34" x14ac:dyDescent="0.2">
      <c r="B5964" s="2">
        <f ca="1"/>
        <v>0.49607047772757729</v>
      </c>
      <c r="O5964" s="2">
        <f ca="1"/>
        <v>-1.8794039739053332</v>
      </c>
      <c r="X5964" s="2">
        <f ca="1"/>
        <v>35.578702486021086</v>
      </c>
      <c r="AG5964" s="2">
        <f ca="1"/>
        <v>0.15901919528475927</v>
      </c>
      <c r="AH5964" s="2" t="str">
        <f ca="1"/>
        <v>OK</v>
      </c>
    </row>
    <row r="5965" spans="2:34" x14ac:dyDescent="0.2">
      <c r="B5965" s="2">
        <f ca="1"/>
        <v>0.28981283366519861</v>
      </c>
      <c r="O5965" s="2">
        <f ca="1"/>
        <v>1.4056566515256712</v>
      </c>
      <c r="X5965" s="2">
        <f ca="1"/>
        <v>85.276189740273452</v>
      </c>
      <c r="AG5965" s="2">
        <f ca="1"/>
        <v>0.93046198672202451</v>
      </c>
      <c r="AH5965" s="2" t="str">
        <f ca="1"/>
        <v>Bad</v>
      </c>
    </row>
    <row r="5966" spans="2:34" x14ac:dyDescent="0.2">
      <c r="B5966" s="2">
        <f ca="1"/>
        <v>0.62111213762169104</v>
      </c>
      <c r="O5966" s="2">
        <f ca="1"/>
        <v>-0.16382104084975918</v>
      </c>
      <c r="X5966" s="2">
        <f ca="1"/>
        <v>37.89174231534102</v>
      </c>
      <c r="AG5966" s="2">
        <f ca="1"/>
        <v>0.33984104903957491</v>
      </c>
      <c r="AH5966" s="2" t="str">
        <f ca="1"/>
        <v>OK</v>
      </c>
    </row>
    <row r="5967" spans="2:34" x14ac:dyDescent="0.2">
      <c r="B5967" s="2">
        <f ca="1"/>
        <v>0.83263568398353294</v>
      </c>
      <c r="O5967" s="2">
        <f ca="1"/>
        <v>-0.74496855651823013</v>
      </c>
      <c r="X5967" s="2">
        <f ca="1"/>
        <v>59.634298888206231</v>
      </c>
      <c r="AG5967" s="2">
        <f ca="1"/>
        <v>0.57274033194251373</v>
      </c>
      <c r="AH5967" s="2" t="str">
        <f ca="1"/>
        <v>Bad</v>
      </c>
    </row>
    <row r="5968" spans="2:34" x14ac:dyDescent="0.2">
      <c r="B5968" s="2">
        <f ca="1"/>
        <v>0.39596332830270131</v>
      </c>
      <c r="O5968" s="2">
        <f ca="1"/>
        <v>-0.13538764455097274</v>
      </c>
      <c r="X5968" s="2">
        <f ca="1"/>
        <v>34.481552586021984</v>
      </c>
      <c r="AG5968" s="2">
        <f ca="1"/>
        <v>0.94234722344463662</v>
      </c>
      <c r="AH5968" s="2" t="str">
        <f ca="1"/>
        <v>Bad</v>
      </c>
    </row>
    <row r="5969" spans="2:34" x14ac:dyDescent="0.2">
      <c r="B5969" s="2">
        <f ca="1"/>
        <v>0.43623989140835073</v>
      </c>
      <c r="O5969" s="2">
        <f ca="1"/>
        <v>-9.8136054107462803E-2</v>
      </c>
      <c r="X5969" s="2">
        <f ca="1"/>
        <v>63.018867007475265</v>
      </c>
      <c r="AG5969" s="2">
        <f ca="1"/>
        <v>0.88973365002056992</v>
      </c>
      <c r="AH5969" s="2" t="str">
        <f ca="1"/>
        <v>Bad</v>
      </c>
    </row>
    <row r="5970" spans="2:34" x14ac:dyDescent="0.2">
      <c r="B5970" s="2">
        <f ca="1"/>
        <v>0.74308507795136847</v>
      </c>
      <c r="O5970" s="2">
        <f ca="1"/>
        <v>0.37533892737857721</v>
      </c>
      <c r="X5970" s="2">
        <f ca="1"/>
        <v>47.173586033902069</v>
      </c>
      <c r="AG5970" s="2">
        <f ca="1"/>
        <v>0.67445273363624669</v>
      </c>
      <c r="AH5970" s="2" t="str">
        <f ca="1"/>
        <v>Bad</v>
      </c>
    </row>
    <row r="5971" spans="2:34" x14ac:dyDescent="0.2">
      <c r="B5971" s="2">
        <f ca="1"/>
        <v>0.1229307911161579</v>
      </c>
      <c r="O5971" s="2">
        <f ca="1"/>
        <v>-1.233799254064895</v>
      </c>
      <c r="X5971" s="2">
        <f ca="1"/>
        <v>58.535250496518316</v>
      </c>
      <c r="AG5971" s="2">
        <f ca="1"/>
        <v>0.47573529068236731</v>
      </c>
      <c r="AH5971" s="2" t="str">
        <f ca="1"/>
        <v>Bad</v>
      </c>
    </row>
    <row r="5972" spans="2:34" x14ac:dyDescent="0.2">
      <c r="B5972" s="2">
        <f ca="1"/>
        <v>3.6651553974204942E-2</v>
      </c>
      <c r="O5972" s="2">
        <f ca="1"/>
        <v>7.3075044083128746E-2</v>
      </c>
      <c r="X5972" s="2">
        <f ca="1"/>
        <v>48.147704713567705</v>
      </c>
      <c r="AG5972" s="2">
        <f ca="1"/>
        <v>0.51111294474547897</v>
      </c>
      <c r="AH5972" s="2" t="str">
        <f ca="1"/>
        <v>Bad</v>
      </c>
    </row>
    <row r="5973" spans="2:34" x14ac:dyDescent="0.2">
      <c r="B5973" s="2">
        <f ca="1"/>
        <v>0.67895713115335177</v>
      </c>
      <c r="O5973" s="2">
        <f ca="1"/>
        <v>-0.4748416111916568</v>
      </c>
      <c r="X5973" s="2">
        <f ca="1"/>
        <v>46.681728860124394</v>
      </c>
      <c r="AG5973" s="2">
        <f ca="1"/>
        <v>0.30683201904646751</v>
      </c>
      <c r="AH5973" s="2" t="str">
        <f ca="1"/>
        <v>OK</v>
      </c>
    </row>
    <row r="5974" spans="2:34" x14ac:dyDescent="0.2">
      <c r="B5974" s="2">
        <f ca="1"/>
        <v>0.39469109536075897</v>
      </c>
      <c r="O5974" s="2">
        <f ca="1"/>
        <v>-0.16155654282449977</v>
      </c>
      <c r="X5974" s="2">
        <f ca="1"/>
        <v>29.133914353134642</v>
      </c>
      <c r="AG5974" s="2">
        <f ca="1"/>
        <v>2.9548617326351501E-2</v>
      </c>
      <c r="AH5974" s="2" t="str">
        <f ca="1"/>
        <v>Good</v>
      </c>
    </row>
    <row r="5975" spans="2:34" x14ac:dyDescent="0.2">
      <c r="B5975" s="2">
        <f ca="1"/>
        <v>0.75208416913667642</v>
      </c>
      <c r="O5975" s="2">
        <f ca="1"/>
        <v>0.61775107463233891</v>
      </c>
      <c r="X5975" s="2">
        <f ca="1"/>
        <v>44.937222439327797</v>
      </c>
      <c r="AG5975" s="2">
        <f ca="1"/>
        <v>0.54373896829045543</v>
      </c>
      <c r="AH5975" s="2" t="str">
        <f ca="1"/>
        <v>Bad</v>
      </c>
    </row>
    <row r="5976" spans="2:34" x14ac:dyDescent="0.2">
      <c r="B5976" s="2">
        <f ca="1"/>
        <v>0.96276492564101956</v>
      </c>
      <c r="O5976" s="2">
        <f ca="1"/>
        <v>1.5874243686854606</v>
      </c>
      <c r="X5976" s="2">
        <f ca="1"/>
        <v>25.733675090775606</v>
      </c>
      <c r="AG5976" s="2">
        <f ca="1"/>
        <v>0.85689778718815712</v>
      </c>
      <c r="AH5976" s="2" t="str">
        <f ca="1"/>
        <v>Bad</v>
      </c>
    </row>
    <row r="5977" spans="2:34" x14ac:dyDescent="0.2">
      <c r="B5977" s="2">
        <f ca="1"/>
        <v>0.6775020814483661</v>
      </c>
      <c r="O5977" s="2">
        <f ca="1"/>
        <v>0.10267330396155853</v>
      </c>
      <c r="X5977" s="2">
        <f ca="1"/>
        <v>30.675302780353498</v>
      </c>
      <c r="AG5977" s="2">
        <f ca="1"/>
        <v>0.81193021942889887</v>
      </c>
      <c r="AH5977" s="2" t="str">
        <f ca="1"/>
        <v>Bad</v>
      </c>
    </row>
    <row r="5978" spans="2:34" x14ac:dyDescent="0.2">
      <c r="B5978" s="2">
        <f ca="1"/>
        <v>9.694389467546638E-2</v>
      </c>
      <c r="O5978" s="2">
        <f ca="1"/>
        <v>0.21968284926839499</v>
      </c>
      <c r="X5978" s="2">
        <f ca="1"/>
        <v>57.696241275159323</v>
      </c>
      <c r="AG5978" s="2">
        <f ca="1"/>
        <v>5.2671202817167639E-2</v>
      </c>
      <c r="AH5978" s="2" t="str">
        <f ca="1"/>
        <v>OK</v>
      </c>
    </row>
    <row r="5979" spans="2:34" x14ac:dyDescent="0.2">
      <c r="B5979" s="2">
        <f ca="1"/>
        <v>8.3755449884581168E-2</v>
      </c>
      <c r="O5979" s="2">
        <f ca="1"/>
        <v>-0.47582369364123983</v>
      </c>
      <c r="X5979" s="2">
        <f ca="1"/>
        <v>15.888422349827513</v>
      </c>
      <c r="AG5979" s="2">
        <f ca="1"/>
        <v>0.39943970232041948</v>
      </c>
      <c r="AH5979" s="2" t="str">
        <f ca="1"/>
        <v>OK</v>
      </c>
    </row>
    <row r="5980" spans="2:34" x14ac:dyDescent="0.2">
      <c r="B5980" s="2">
        <f ca="1"/>
        <v>0.9582044957177176</v>
      </c>
      <c r="O5980" s="2">
        <f ca="1"/>
        <v>-1.5840758963217889</v>
      </c>
      <c r="X5980" s="2">
        <f ca="1"/>
        <v>60.262780083006014</v>
      </c>
      <c r="AG5980" s="2">
        <f ca="1"/>
        <v>0.87979475816291242</v>
      </c>
      <c r="AH5980" s="2" t="str">
        <f ca="1"/>
        <v>Bad</v>
      </c>
    </row>
    <row r="5981" spans="2:34" x14ac:dyDescent="0.2">
      <c r="B5981" s="2">
        <f ca="1"/>
        <v>0.91940963276351306</v>
      </c>
      <c r="O5981" s="2">
        <f ca="1"/>
        <v>-1.7308914126404435</v>
      </c>
      <c r="X5981" s="2">
        <f ca="1"/>
        <v>47.825788121418896</v>
      </c>
      <c r="AG5981" s="2">
        <f ca="1"/>
        <v>1.3447492103692671E-2</v>
      </c>
      <c r="AH5981" s="2" t="str">
        <f ca="1"/>
        <v>Good</v>
      </c>
    </row>
    <row r="5982" spans="2:34" x14ac:dyDescent="0.2">
      <c r="B5982" s="2">
        <f ca="1"/>
        <v>0.47837590950179809</v>
      </c>
      <c r="O5982" s="2">
        <f ca="1"/>
        <v>2.1976227470225613E-2</v>
      </c>
      <c r="X5982" s="2">
        <f ca="1"/>
        <v>76.305332207070961</v>
      </c>
      <c r="AG5982" s="2">
        <f ca="1"/>
        <v>0.85343481120761489</v>
      </c>
      <c r="AH5982" s="2" t="str">
        <f ca="1"/>
        <v>Bad</v>
      </c>
    </row>
    <row r="5983" spans="2:34" x14ac:dyDescent="0.2">
      <c r="B5983" s="2">
        <f ca="1"/>
        <v>0.49388628996990813</v>
      </c>
      <c r="O5983" s="2">
        <f ca="1"/>
        <v>-1.4139081602389028</v>
      </c>
      <c r="X5983" s="2">
        <f ca="1"/>
        <v>104.72661630335809</v>
      </c>
      <c r="AG5983" s="2">
        <f ca="1"/>
        <v>0.30158235827901558</v>
      </c>
      <c r="AH5983" s="2" t="str">
        <f ca="1"/>
        <v>OK</v>
      </c>
    </row>
    <row r="5984" spans="2:34" x14ac:dyDescent="0.2">
      <c r="B5984" s="2">
        <f ca="1"/>
        <v>0.63622993298536845</v>
      </c>
      <c r="O5984" s="2">
        <f ca="1"/>
        <v>0.38057988964677136</v>
      </c>
      <c r="X5984" s="2">
        <f ca="1"/>
        <v>33.363535769201469</v>
      </c>
      <c r="AG5984" s="2">
        <f ca="1"/>
        <v>3.6289070819863101E-2</v>
      </c>
      <c r="AH5984" s="2" t="str">
        <f ca="1"/>
        <v>Good</v>
      </c>
    </row>
    <row r="5985" spans="2:34" x14ac:dyDescent="0.2">
      <c r="B5985" s="2">
        <f ca="1"/>
        <v>0.81769947787430608</v>
      </c>
      <c r="O5985" s="2">
        <f ca="1"/>
        <v>0.32181112680276297</v>
      </c>
      <c r="X5985" s="2">
        <f ca="1"/>
        <v>70.741881162370291</v>
      </c>
      <c r="AG5985" s="2">
        <f ca="1"/>
        <v>0.98880037181933855</v>
      </c>
      <c r="AH5985" s="2" t="str">
        <f ca="1"/>
        <v>Bad</v>
      </c>
    </row>
    <row r="5986" spans="2:34" x14ac:dyDescent="0.2">
      <c r="B5986" s="2">
        <f ca="1"/>
        <v>0.22527729397001561</v>
      </c>
      <c r="O5986" s="2">
        <f ca="1"/>
        <v>-0.63838181871441668</v>
      </c>
      <c r="X5986" s="2">
        <f ca="1"/>
        <v>43.955249731728152</v>
      </c>
      <c r="AG5986" s="2">
        <f ca="1"/>
        <v>0.77625323857787287</v>
      </c>
      <c r="AH5986" s="2" t="str">
        <f ca="1"/>
        <v>Bad</v>
      </c>
    </row>
    <row r="5987" spans="2:34" x14ac:dyDescent="0.2">
      <c r="B5987" s="2">
        <f ca="1"/>
        <v>0.71544662819918581</v>
      </c>
      <c r="O5987" s="2">
        <f ca="1"/>
        <v>-0.1616271412330684</v>
      </c>
      <c r="X5987" s="2">
        <f ca="1"/>
        <v>29.936612061048603</v>
      </c>
      <c r="AG5987" s="2">
        <f ca="1"/>
        <v>0.29739833432046781</v>
      </c>
      <c r="AH5987" s="2" t="str">
        <f ca="1"/>
        <v>OK</v>
      </c>
    </row>
    <row r="5988" spans="2:34" x14ac:dyDescent="0.2">
      <c r="B5988" s="2">
        <f ca="1"/>
        <v>0.6100459120751931</v>
      </c>
      <c r="O5988" s="2">
        <f ca="1"/>
        <v>-1.2437229587815311E-2</v>
      </c>
      <c r="X5988" s="2">
        <f ca="1"/>
        <v>35.719167640011939</v>
      </c>
      <c r="AG5988" s="2">
        <f ca="1"/>
        <v>0.10632752315895755</v>
      </c>
      <c r="AH5988" s="2" t="str">
        <f ca="1"/>
        <v>OK</v>
      </c>
    </row>
    <row r="5989" spans="2:34" x14ac:dyDescent="0.2">
      <c r="B5989" s="2">
        <f ca="1"/>
        <v>0.49855491557686737</v>
      </c>
      <c r="O5989" s="2">
        <f ca="1"/>
        <v>1.514989296566277</v>
      </c>
      <c r="X5989" s="2">
        <f ca="1"/>
        <v>39.5017061896718</v>
      </c>
      <c r="AG5989" s="2">
        <f ca="1"/>
        <v>0.10109813171909998</v>
      </c>
      <c r="AH5989" s="2" t="str">
        <f ca="1"/>
        <v>OK</v>
      </c>
    </row>
    <row r="5990" spans="2:34" x14ac:dyDescent="0.2">
      <c r="B5990" s="2">
        <f ca="1"/>
        <v>0.38043820954663787</v>
      </c>
      <c r="O5990" s="2">
        <f ca="1"/>
        <v>1.3186175633824422</v>
      </c>
      <c r="X5990" s="2">
        <f ca="1"/>
        <v>63.692037527482668</v>
      </c>
      <c r="AG5990" s="2">
        <f ca="1"/>
        <v>0.85949503145179795</v>
      </c>
      <c r="AH5990" s="2" t="str">
        <f ca="1"/>
        <v>Bad</v>
      </c>
    </row>
    <row r="5991" spans="2:34" x14ac:dyDescent="0.2">
      <c r="B5991" s="2">
        <f ca="1"/>
        <v>0.26427872252914608</v>
      </c>
      <c r="O5991" s="2">
        <f ca="1"/>
        <v>2.0332634816806205</v>
      </c>
      <c r="X5991" s="2">
        <f ca="1"/>
        <v>44.550664364046774</v>
      </c>
      <c r="AG5991" s="2">
        <f ca="1"/>
        <v>0.15971200082425541</v>
      </c>
      <c r="AH5991" s="2" t="str">
        <f ca="1"/>
        <v>OK</v>
      </c>
    </row>
    <row r="5992" spans="2:34" x14ac:dyDescent="0.2">
      <c r="B5992" s="2">
        <f ca="1"/>
        <v>0.6917545582424296</v>
      </c>
      <c r="O5992" s="2">
        <f ca="1"/>
        <v>0.1688487482349175</v>
      </c>
      <c r="X5992" s="2">
        <f ca="1"/>
        <v>32.006892416228084</v>
      </c>
      <c r="AG5992" s="2">
        <f ca="1"/>
        <v>0.30389142516694445</v>
      </c>
      <c r="AH5992" s="2" t="str">
        <f ca="1"/>
        <v>OK</v>
      </c>
    </row>
    <row r="5993" spans="2:34" x14ac:dyDescent="0.2">
      <c r="B5993" s="2">
        <f ca="1"/>
        <v>0.63818896136912251</v>
      </c>
      <c r="O5993" s="2">
        <f ca="1"/>
        <v>1.4418816907867151</v>
      </c>
      <c r="X5993" s="2">
        <f ca="1"/>
        <v>56.68201447794884</v>
      </c>
      <c r="AG5993" s="2">
        <f ca="1"/>
        <v>0.55662757332528101</v>
      </c>
      <c r="AH5993" s="2" t="str">
        <f ca="1"/>
        <v>Bad</v>
      </c>
    </row>
    <row r="5994" spans="2:34" x14ac:dyDescent="0.2">
      <c r="B5994" s="2">
        <f ca="1"/>
        <v>0.36244344663049932</v>
      </c>
      <c r="O5994" s="2">
        <f ca="1"/>
        <v>-7.849999079706832E-2</v>
      </c>
      <c r="X5994" s="2">
        <f ca="1"/>
        <v>30.944948038032862</v>
      </c>
      <c r="AG5994" s="2">
        <f ca="1"/>
        <v>0.5025018564142798</v>
      </c>
      <c r="AH5994" s="2" t="str">
        <f ca="1"/>
        <v>Bad</v>
      </c>
    </row>
    <row r="5995" spans="2:34" x14ac:dyDescent="0.2">
      <c r="B5995" s="2">
        <f ca="1"/>
        <v>0.10228582518505003</v>
      </c>
      <c r="O5995" s="2">
        <f ca="1"/>
        <v>-0.41263151570991258</v>
      </c>
      <c r="X5995" s="2">
        <f ca="1"/>
        <v>34.789475566385292</v>
      </c>
      <c r="AG5995" s="2">
        <f ca="1"/>
        <v>0.40415298627993201</v>
      </c>
      <c r="AH5995" s="2" t="str">
        <f ca="1"/>
        <v>Bad</v>
      </c>
    </row>
    <row r="5996" spans="2:34" x14ac:dyDescent="0.2">
      <c r="B5996" s="2">
        <f ca="1"/>
        <v>0.95915703285335052</v>
      </c>
      <c r="O5996" s="2">
        <f ca="1"/>
        <v>0.53783997209369017</v>
      </c>
      <c r="X5996" s="2">
        <f ca="1"/>
        <v>61.547094164385577</v>
      </c>
      <c r="AG5996" s="2">
        <f ca="1"/>
        <v>0.73621925518436382</v>
      </c>
      <c r="AH5996" s="2" t="str">
        <f ca="1"/>
        <v>Bad</v>
      </c>
    </row>
    <row r="5997" spans="2:34" x14ac:dyDescent="0.2">
      <c r="B5997" s="2">
        <f ca="1"/>
        <v>0.98200837887366998</v>
      </c>
      <c r="O5997" s="2">
        <f ca="1"/>
        <v>1.3635758929578454</v>
      </c>
      <c r="X5997" s="2">
        <f ca="1"/>
        <v>63.999887722038771</v>
      </c>
      <c r="AG5997" s="2">
        <f ca="1"/>
        <v>0.28174355460184897</v>
      </c>
      <c r="AH5997" s="2" t="str">
        <f ca="1"/>
        <v>OK</v>
      </c>
    </row>
    <row r="5998" spans="2:34" x14ac:dyDescent="0.2">
      <c r="B5998" s="2">
        <f ca="1"/>
        <v>0.99528747985684429</v>
      </c>
      <c r="O5998" s="2">
        <f ca="1"/>
        <v>0.72334209723080733</v>
      </c>
      <c r="X5998" s="2">
        <f ca="1"/>
        <v>62.124871771495165</v>
      </c>
      <c r="AG5998" s="2">
        <f ca="1"/>
        <v>0.62728538775038789</v>
      </c>
      <c r="AH5998" s="2" t="str">
        <f ca="1"/>
        <v>Bad</v>
      </c>
    </row>
    <row r="5999" spans="2:34" x14ac:dyDescent="0.2">
      <c r="B5999" s="2">
        <f ca="1"/>
        <v>6.2689474909680909E-2</v>
      </c>
      <c r="O5999" s="2">
        <f ca="1"/>
        <v>0.38065901672709634</v>
      </c>
      <c r="X5999" s="2">
        <f ca="1"/>
        <v>59.160821318328587</v>
      </c>
      <c r="AG5999" s="2">
        <f ca="1"/>
        <v>3.5931296710603577E-2</v>
      </c>
      <c r="AH5999" s="2" t="str">
        <f ca="1"/>
        <v>Good</v>
      </c>
    </row>
    <row r="6000" spans="2:34" x14ac:dyDescent="0.2">
      <c r="B6000" s="2">
        <f ca="1"/>
        <v>0.23671724090195445</v>
      </c>
      <c r="O6000" s="2">
        <f ca="1"/>
        <v>0.90166049429769224</v>
      </c>
      <c r="X6000" s="2">
        <f ca="1"/>
        <v>31.312282522177529</v>
      </c>
      <c r="AG6000" s="2">
        <f ca="1"/>
        <v>0.42592499288708341</v>
      </c>
      <c r="AH6000" s="2" t="str">
        <f ca="1"/>
        <v>Bad</v>
      </c>
    </row>
    <row r="6001" spans="2:34" x14ac:dyDescent="0.2">
      <c r="B6001" s="2">
        <f ca="1"/>
        <v>0.67384828941069763</v>
      </c>
      <c r="O6001" s="2">
        <f ca="1"/>
        <v>-2.6016124556987248</v>
      </c>
      <c r="X6001" s="2">
        <f ca="1"/>
        <v>49.868099948624554</v>
      </c>
      <c r="AG6001" s="2">
        <f ca="1"/>
        <v>2.6024980158055655E-2</v>
      </c>
      <c r="AH6001" s="2" t="str">
        <f ca="1"/>
        <v>Good</v>
      </c>
    </row>
    <row r="6002" spans="2:34" x14ac:dyDescent="0.2">
      <c r="B6002" s="2">
        <f ca="1"/>
        <v>8.8487027751187108E-2</v>
      </c>
      <c r="O6002" s="2">
        <f ca="1"/>
        <v>1.1078435674663247</v>
      </c>
      <c r="X6002" s="2">
        <f ca="1"/>
        <v>69.872248208106456</v>
      </c>
      <c r="AG6002" s="2">
        <f ca="1"/>
        <v>0.66283932270854518</v>
      </c>
      <c r="AH6002" s="2" t="str">
        <f ca="1"/>
        <v>Bad</v>
      </c>
    </row>
    <row r="6003" spans="2:34" x14ac:dyDescent="0.2">
      <c r="B6003" s="2">
        <f ca="1"/>
        <v>0.87936578499213436</v>
      </c>
      <c r="O6003" s="2">
        <f ca="1"/>
        <v>-1.3625249982730758</v>
      </c>
      <c r="X6003" s="2">
        <f ca="1"/>
        <v>44.829540951531676</v>
      </c>
      <c r="AG6003" s="2">
        <f ca="1"/>
        <v>0.83804952996735738</v>
      </c>
      <c r="AH6003" s="2" t="str">
        <f ca="1"/>
        <v>Bad</v>
      </c>
    </row>
    <row r="6004" spans="2:34" x14ac:dyDescent="0.2">
      <c r="B6004" s="2">
        <f ca="1"/>
        <v>0.66227064008009151</v>
      </c>
      <c r="O6004" s="2">
        <f ca="1"/>
        <v>0.98707985595581549</v>
      </c>
      <c r="X6004" s="2">
        <f ca="1"/>
        <v>30.452569441299637</v>
      </c>
      <c r="AG6004" s="2">
        <f ca="1"/>
        <v>0.62127546676511769</v>
      </c>
      <c r="AH6004" s="2" t="str">
        <f ca="1"/>
        <v>Bad</v>
      </c>
    </row>
    <row r="6005" spans="2:34" x14ac:dyDescent="0.2">
      <c r="B6005" s="2">
        <f ca="1"/>
        <v>0.72574796183965207</v>
      </c>
      <c r="O6005" s="2">
        <f ca="1"/>
        <v>1.0582777036252542</v>
      </c>
      <c r="X6005" s="2">
        <f ca="1"/>
        <v>39.2099053407631</v>
      </c>
      <c r="AG6005" s="2">
        <f ca="1"/>
        <v>0.46686439684660841</v>
      </c>
      <c r="AH6005" s="2" t="str">
        <f ca="1"/>
        <v>Bad</v>
      </c>
    </row>
    <row r="6006" spans="2:34" x14ac:dyDescent="0.2">
      <c r="B6006" s="2">
        <f ca="1"/>
        <v>0.1059809038408932</v>
      </c>
      <c r="O6006" s="2">
        <f ca="1"/>
        <v>0.2154717437426365</v>
      </c>
      <c r="X6006" s="2">
        <f ca="1"/>
        <v>46.285981778216367</v>
      </c>
      <c r="AG6006" s="2">
        <f ca="1"/>
        <v>0.14288543148738442</v>
      </c>
      <c r="AH6006" s="2" t="str">
        <f ca="1"/>
        <v>OK</v>
      </c>
    </row>
    <row r="6007" spans="2:34" x14ac:dyDescent="0.2">
      <c r="B6007" s="2">
        <f ca="1"/>
        <v>0.61008168895645842</v>
      </c>
      <c r="O6007" s="2">
        <f ca="1"/>
        <v>-1.0182835694492309</v>
      </c>
      <c r="X6007" s="2">
        <f ca="1"/>
        <v>70.069509279983905</v>
      </c>
      <c r="AG6007" s="2">
        <f ca="1"/>
        <v>0.70728418879826238</v>
      </c>
      <c r="AH6007" s="2" t="str">
        <f ca="1"/>
        <v>Bad</v>
      </c>
    </row>
    <row r="6008" spans="2:34" x14ac:dyDescent="0.2">
      <c r="B6008" s="2">
        <f ca="1"/>
        <v>0.58027934083238208</v>
      </c>
      <c r="O6008" s="2">
        <f ca="1"/>
        <v>-0.53906340705472866</v>
      </c>
      <c r="X6008" s="2">
        <f ca="1"/>
        <v>37.925962218834528</v>
      </c>
      <c r="AG6008" s="2">
        <f ca="1"/>
        <v>0.63422890952779021</v>
      </c>
      <c r="AH6008" s="2" t="str">
        <f ca="1"/>
        <v>Bad</v>
      </c>
    </row>
    <row r="6009" spans="2:34" x14ac:dyDescent="0.2">
      <c r="B6009" s="2">
        <f ca="1"/>
        <v>0.66465643150212173</v>
      </c>
      <c r="O6009" s="2">
        <f ca="1"/>
        <v>-1.9774476603585072</v>
      </c>
      <c r="X6009" s="2">
        <f ca="1"/>
        <v>28.490241352049246</v>
      </c>
      <c r="AG6009" s="2">
        <f ca="1"/>
        <v>0.71041499067939551</v>
      </c>
      <c r="AH6009" s="2" t="str">
        <f ca="1"/>
        <v>Bad</v>
      </c>
    </row>
    <row r="6010" spans="2:34" x14ac:dyDescent="0.2">
      <c r="B6010" s="2">
        <f ca="1"/>
        <v>0.72793995144105472</v>
      </c>
      <c r="O6010" s="2">
        <f ca="1"/>
        <v>0.99343771344213228</v>
      </c>
      <c r="X6010" s="2">
        <f ca="1"/>
        <v>66.305084289031058</v>
      </c>
      <c r="AG6010" s="2">
        <f ca="1"/>
        <v>0.46012802949778209</v>
      </c>
      <c r="AH6010" s="2" t="str">
        <f ca="1"/>
        <v>Bad</v>
      </c>
    </row>
    <row r="6011" spans="2:34" x14ac:dyDescent="0.2">
      <c r="B6011" s="2">
        <f ca="1"/>
        <v>0.46593010966090032</v>
      </c>
      <c r="O6011" s="2">
        <f ca="1"/>
        <v>2.0239392049935558</v>
      </c>
      <c r="X6011" s="2">
        <f ca="1"/>
        <v>47.039424443371452</v>
      </c>
      <c r="AG6011" s="2">
        <f ca="1"/>
        <v>0.63165630291851138</v>
      </c>
      <c r="AH6011" s="2" t="str">
        <f ca="1"/>
        <v>Bad</v>
      </c>
    </row>
    <row r="6012" spans="2:34" x14ac:dyDescent="0.2">
      <c r="B6012" s="2">
        <f ca="1"/>
        <v>0.79993150335710306</v>
      </c>
      <c r="O6012" s="2">
        <f ca="1"/>
        <v>-0.65381982955043327</v>
      </c>
      <c r="X6012" s="2">
        <f ca="1"/>
        <v>34.63478815408476</v>
      </c>
      <c r="AG6012" s="2">
        <f ca="1"/>
        <v>0.33054898509483732</v>
      </c>
      <c r="AH6012" s="2" t="str">
        <f ca="1"/>
        <v>OK</v>
      </c>
    </row>
    <row r="6013" spans="2:34" x14ac:dyDescent="0.2">
      <c r="B6013" s="2">
        <f ca="1"/>
        <v>0.86640332235863249</v>
      </c>
      <c r="O6013" s="2">
        <f ca="1"/>
        <v>-0.24769721043684303</v>
      </c>
      <c r="X6013" s="2">
        <f ca="1"/>
        <v>70.012932844127889</v>
      </c>
      <c r="AG6013" s="2">
        <f ca="1"/>
        <v>0.96969444520073611</v>
      </c>
      <c r="AH6013" s="2" t="str">
        <f ca="1"/>
        <v>Bad</v>
      </c>
    </row>
    <row r="6014" spans="2:34" x14ac:dyDescent="0.2">
      <c r="B6014" s="2">
        <f ca="1"/>
        <v>0.72669743827570121</v>
      </c>
      <c r="O6014" s="2">
        <f ca="1"/>
        <v>-0.51993061093932369</v>
      </c>
      <c r="X6014" s="2">
        <f ca="1"/>
        <v>43.512520431732241</v>
      </c>
      <c r="AG6014" s="2">
        <f ca="1"/>
        <v>0.3365808635780605</v>
      </c>
      <c r="AH6014" s="2" t="str">
        <f ca="1"/>
        <v>OK</v>
      </c>
    </row>
    <row r="6015" spans="2:34" x14ac:dyDescent="0.2">
      <c r="B6015" s="2">
        <f ca="1"/>
        <v>0.57285888038215416</v>
      </c>
      <c r="O6015" s="2">
        <f ca="1"/>
        <v>-0.9776873850026454</v>
      </c>
      <c r="X6015" s="2">
        <f ca="1"/>
        <v>54.849202010258892</v>
      </c>
      <c r="AG6015" s="2">
        <f ca="1"/>
        <v>0.25475699661205464</v>
      </c>
      <c r="AH6015" s="2" t="str">
        <f ca="1"/>
        <v>OK</v>
      </c>
    </row>
    <row r="6016" spans="2:34" x14ac:dyDescent="0.2">
      <c r="B6016" s="2">
        <f ca="1"/>
        <v>0.2480571785984933</v>
      </c>
      <c r="O6016" s="2">
        <f ca="1"/>
        <v>5.6236860599020319E-2</v>
      </c>
      <c r="X6016" s="2">
        <f ca="1"/>
        <v>49.057771281822227</v>
      </c>
      <c r="AG6016" s="2">
        <f ca="1"/>
        <v>0.87597658793569666</v>
      </c>
      <c r="AH6016" s="2" t="str">
        <f ca="1"/>
        <v>Bad</v>
      </c>
    </row>
    <row r="6017" spans="2:34" x14ac:dyDescent="0.2">
      <c r="B6017" s="2">
        <f ca="1"/>
        <v>0.64902281353602986</v>
      </c>
      <c r="O6017" s="2">
        <f ca="1"/>
        <v>0.67635407825984917</v>
      </c>
      <c r="X6017" s="2">
        <f ca="1"/>
        <v>54.639062760852049</v>
      </c>
      <c r="AG6017" s="2">
        <f ca="1"/>
        <v>0.49526750197794089</v>
      </c>
      <c r="AH6017" s="2" t="str">
        <f ca="1"/>
        <v>Bad</v>
      </c>
    </row>
    <row r="6018" spans="2:34" x14ac:dyDescent="0.2">
      <c r="B6018" s="2">
        <f ca="1"/>
        <v>0.24863636813374357</v>
      </c>
      <c r="O6018" s="2">
        <f ca="1"/>
        <v>-1.8149503644158749</v>
      </c>
      <c r="X6018" s="2">
        <f ca="1"/>
        <v>64.148434468351795</v>
      </c>
      <c r="AG6018" s="2">
        <f ca="1"/>
        <v>0.64614042167928076</v>
      </c>
      <c r="AH6018" s="2" t="str">
        <f ca="1"/>
        <v>Bad</v>
      </c>
    </row>
    <row r="6019" spans="2:34" x14ac:dyDescent="0.2">
      <c r="B6019" s="2">
        <f ca="1"/>
        <v>0.31907167691540095</v>
      </c>
      <c r="O6019" s="2">
        <f ca="1"/>
        <v>1.1179551364855134</v>
      </c>
      <c r="X6019" s="2">
        <f ca="1"/>
        <v>64.502777927493781</v>
      </c>
      <c r="AG6019" s="2">
        <f ca="1"/>
        <v>0.22924348433480768</v>
      </c>
      <c r="AH6019" s="2" t="str">
        <f ca="1"/>
        <v>OK</v>
      </c>
    </row>
    <row r="6020" spans="2:34" x14ac:dyDescent="0.2">
      <c r="B6020" s="2">
        <f ca="1"/>
        <v>0.4503490291722374</v>
      </c>
      <c r="O6020" s="2">
        <f ca="1"/>
        <v>-1.0026871267106401</v>
      </c>
      <c r="X6020" s="2">
        <f ca="1"/>
        <v>56.958447945943426</v>
      </c>
      <c r="AG6020" s="2">
        <f ca="1"/>
        <v>0.45946810863461063</v>
      </c>
      <c r="AH6020" s="2" t="str">
        <f ca="1"/>
        <v>Bad</v>
      </c>
    </row>
    <row r="6021" spans="2:34" x14ac:dyDescent="0.2">
      <c r="B6021" s="2">
        <f ca="1"/>
        <v>0.58302909768232491</v>
      </c>
      <c r="O6021" s="2">
        <f ca="1"/>
        <v>-0.93356786723297303</v>
      </c>
      <c r="X6021" s="2">
        <f ca="1"/>
        <v>38.453337748110926</v>
      </c>
      <c r="AG6021" s="2">
        <f ca="1"/>
        <v>0.65313113244374121</v>
      </c>
      <c r="AH6021" s="2" t="str">
        <f ca="1"/>
        <v>Bad</v>
      </c>
    </row>
    <row r="6022" spans="2:34" x14ac:dyDescent="0.2">
      <c r="B6022" s="2">
        <f ca="1"/>
        <v>0.72302155513432309</v>
      </c>
      <c r="O6022" s="2">
        <f ca="1"/>
        <v>-0.81058658285987484</v>
      </c>
      <c r="X6022" s="2">
        <f ca="1"/>
        <v>33.805229660406347</v>
      </c>
      <c r="AG6022" s="2">
        <f ca="1"/>
        <v>0.11535600100840071</v>
      </c>
      <c r="AH6022" s="2" t="str">
        <f ca="1"/>
        <v>OK</v>
      </c>
    </row>
    <row r="6023" spans="2:34" x14ac:dyDescent="0.2">
      <c r="B6023" s="2">
        <f ca="1"/>
        <v>0.8580002199292327</v>
      </c>
      <c r="O6023" s="2">
        <f ca="1"/>
        <v>-0.38328087545737738</v>
      </c>
      <c r="X6023" s="2">
        <f ca="1"/>
        <v>67.837456942756603</v>
      </c>
      <c r="AG6023" s="2">
        <f ca="1"/>
        <v>0.30477433299871182</v>
      </c>
      <c r="AH6023" s="2" t="str">
        <f ca="1"/>
        <v>OK</v>
      </c>
    </row>
    <row r="6024" spans="2:34" x14ac:dyDescent="0.2">
      <c r="B6024" s="2">
        <f ca="1"/>
        <v>0.35014100026847417</v>
      </c>
      <c r="O6024" s="2">
        <f ca="1"/>
        <v>0.84543891359373002</v>
      </c>
      <c r="X6024" s="2">
        <f ca="1"/>
        <v>34.125914193860531</v>
      </c>
      <c r="AG6024" s="2">
        <f ca="1"/>
        <v>0.91694349014396037</v>
      </c>
      <c r="AH6024" s="2" t="str">
        <f ca="1"/>
        <v>Bad</v>
      </c>
    </row>
    <row r="6025" spans="2:34" x14ac:dyDescent="0.2">
      <c r="B6025" s="2">
        <f ca="1"/>
        <v>0.18119027759283068</v>
      </c>
      <c r="O6025" s="2">
        <f ca="1"/>
        <v>-2.6206382759234849E-2</v>
      </c>
      <c r="X6025" s="2">
        <f ca="1"/>
        <v>46.091720212386385</v>
      </c>
      <c r="AG6025" s="2">
        <f ca="1"/>
        <v>2.7413504915849041E-2</v>
      </c>
      <c r="AH6025" s="2" t="str">
        <f ca="1"/>
        <v>Good</v>
      </c>
    </row>
    <row r="6026" spans="2:34" x14ac:dyDescent="0.2">
      <c r="B6026" s="2">
        <f ca="1"/>
        <v>0.34179019640360142</v>
      </c>
      <c r="O6026" s="2">
        <f ca="1"/>
        <v>9.8527982026210298E-2</v>
      </c>
      <c r="X6026" s="2">
        <f ca="1"/>
        <v>65.38510926121306</v>
      </c>
      <c r="AG6026" s="2">
        <f ca="1"/>
        <v>0.79956800429807484</v>
      </c>
      <c r="AH6026" s="2" t="str">
        <f ca="1"/>
        <v>Bad</v>
      </c>
    </row>
    <row r="6027" spans="2:34" x14ac:dyDescent="0.2">
      <c r="B6027" s="2">
        <f ca="1"/>
        <v>0.46928610318609842</v>
      </c>
      <c r="O6027" s="2">
        <f ca="1"/>
        <v>-1.0144065207726676</v>
      </c>
      <c r="X6027" s="2">
        <f ca="1"/>
        <v>71.090752590766215</v>
      </c>
      <c r="AG6027" s="2">
        <f ca="1"/>
        <v>0.99545034730346615</v>
      </c>
      <c r="AH6027" s="2" t="str">
        <f ca="1"/>
        <v>Bad</v>
      </c>
    </row>
    <row r="6028" spans="2:34" x14ac:dyDescent="0.2">
      <c r="B6028" s="2">
        <f ca="1"/>
        <v>0.28309323639193695</v>
      </c>
      <c r="O6028" s="2">
        <f ca="1"/>
        <v>5.9087921418433761E-2</v>
      </c>
      <c r="X6028" s="2">
        <f ca="1"/>
        <v>57.806595559335456</v>
      </c>
      <c r="AG6028" s="2">
        <f ca="1"/>
        <v>0.61816568918483283</v>
      </c>
      <c r="AH6028" s="2" t="str">
        <f ca="1"/>
        <v>Bad</v>
      </c>
    </row>
    <row r="6029" spans="2:34" x14ac:dyDescent="0.2">
      <c r="B6029" s="2">
        <f ca="1"/>
        <v>0.691391474685914</v>
      </c>
      <c r="O6029" s="2">
        <f ca="1"/>
        <v>-1.2814428899176413</v>
      </c>
      <c r="X6029" s="2">
        <f ca="1"/>
        <v>17.778341770750199</v>
      </c>
      <c r="AG6029" s="2">
        <f ca="1"/>
        <v>0.5578935706270296</v>
      </c>
      <c r="AH6029" s="2" t="str">
        <f ca="1"/>
        <v>Bad</v>
      </c>
    </row>
    <row r="6030" spans="2:34" x14ac:dyDescent="0.2">
      <c r="B6030" s="2">
        <f ca="1"/>
        <v>0.96378779696617123</v>
      </c>
      <c r="O6030" s="2">
        <f ca="1"/>
        <v>2.1415295194522574</v>
      </c>
      <c r="X6030" s="2">
        <f ca="1"/>
        <v>46.015619464323763</v>
      </c>
      <c r="AG6030" s="2">
        <f ca="1"/>
        <v>0.67338649415498142</v>
      </c>
      <c r="AH6030" s="2" t="str">
        <f ca="1"/>
        <v>Bad</v>
      </c>
    </row>
    <row r="6031" spans="2:34" x14ac:dyDescent="0.2">
      <c r="B6031" s="2">
        <f ca="1"/>
        <v>0.80619934311808561</v>
      </c>
      <c r="O6031" s="2">
        <f ca="1"/>
        <v>0.40763673255682181</v>
      </c>
      <c r="X6031" s="2">
        <f ca="1"/>
        <v>39.901922356687002</v>
      </c>
      <c r="AG6031" s="2">
        <f ca="1"/>
        <v>0.56869990976251006</v>
      </c>
      <c r="AH6031" s="2" t="str">
        <f ca="1"/>
        <v>Bad</v>
      </c>
    </row>
    <row r="6032" spans="2:34" x14ac:dyDescent="0.2">
      <c r="B6032" s="2">
        <f ca="1"/>
        <v>6.8267354238942479E-2</v>
      </c>
      <c r="O6032" s="2">
        <f ca="1"/>
        <v>0.53053994418767148</v>
      </c>
      <c r="X6032" s="2">
        <f ca="1"/>
        <v>55.915850279947165</v>
      </c>
      <c r="AG6032" s="2">
        <f ca="1"/>
        <v>0.8500190270703627</v>
      </c>
      <c r="AH6032" s="2" t="str">
        <f ca="1"/>
        <v>Bad</v>
      </c>
    </row>
    <row r="6033" spans="2:34" x14ac:dyDescent="0.2">
      <c r="B6033" s="2">
        <f ca="1"/>
        <v>0.25990006091646389</v>
      </c>
      <c r="O6033" s="2">
        <f ca="1"/>
        <v>-0.11971089965705366</v>
      </c>
      <c r="X6033" s="2">
        <f ca="1"/>
        <v>29.114788265377296</v>
      </c>
      <c r="AG6033" s="2">
        <f ca="1"/>
        <v>0.60514106699887704</v>
      </c>
      <c r="AH6033" s="2" t="str">
        <f ca="1"/>
        <v>Bad</v>
      </c>
    </row>
    <row r="6034" spans="2:34" x14ac:dyDescent="0.2">
      <c r="B6034" s="2">
        <f ca="1"/>
        <v>0.31052254112554145</v>
      </c>
      <c r="O6034" s="2">
        <f ca="1"/>
        <v>-0.48806446021850169</v>
      </c>
      <c r="X6034" s="2">
        <f ca="1"/>
        <v>35.871323611200914</v>
      </c>
      <c r="AG6034" s="2">
        <f ca="1"/>
        <v>0.72840465381834507</v>
      </c>
      <c r="AH6034" s="2" t="str">
        <f ca="1"/>
        <v>Bad</v>
      </c>
    </row>
    <row r="6035" spans="2:34" x14ac:dyDescent="0.2">
      <c r="B6035" s="2">
        <f ca="1"/>
        <v>0.80576784686447911</v>
      </c>
      <c r="O6035" s="2">
        <f ca="1"/>
        <v>-0.90030368810920069</v>
      </c>
      <c r="X6035" s="2">
        <f ca="1"/>
        <v>56.213868631010712</v>
      </c>
      <c r="AG6035" s="2">
        <f ca="1"/>
        <v>7.4573626281289052E-2</v>
      </c>
      <c r="AH6035" s="2" t="str">
        <f ca="1"/>
        <v>OK</v>
      </c>
    </row>
    <row r="6036" spans="2:34" x14ac:dyDescent="0.2">
      <c r="B6036" s="2">
        <f ca="1"/>
        <v>0.52223540572793259</v>
      </c>
      <c r="O6036" s="2">
        <f ca="1"/>
        <v>0.96831469049250196</v>
      </c>
      <c r="X6036" s="2">
        <f ca="1"/>
        <v>64.036142184293567</v>
      </c>
      <c r="AG6036" s="2">
        <f ca="1"/>
        <v>0.10531549144615027</v>
      </c>
      <c r="AH6036" s="2" t="str">
        <f ca="1"/>
        <v>OK</v>
      </c>
    </row>
    <row r="6037" spans="2:34" x14ac:dyDescent="0.2">
      <c r="B6037" s="2">
        <f ca="1"/>
        <v>0.78883895875294097</v>
      </c>
      <c r="O6037" s="2">
        <f ca="1"/>
        <v>0.29283698405877506</v>
      </c>
      <c r="X6037" s="2">
        <f ca="1"/>
        <v>45.628581101845882</v>
      </c>
      <c r="AG6037" s="2">
        <f ca="1"/>
        <v>0.41464033450330584</v>
      </c>
      <c r="AH6037" s="2" t="str">
        <f ca="1"/>
        <v>Bad</v>
      </c>
    </row>
    <row r="6038" spans="2:34" x14ac:dyDescent="0.2">
      <c r="B6038" s="2">
        <f ca="1"/>
        <v>0.89679261082748707</v>
      </c>
      <c r="O6038" s="2">
        <f ca="1"/>
        <v>-0.36746654430488296</v>
      </c>
      <c r="X6038" s="2">
        <f ca="1"/>
        <v>49.7256813859019</v>
      </c>
      <c r="AG6038" s="2">
        <f ca="1"/>
        <v>0.78253882030256894</v>
      </c>
      <c r="AH6038" s="2" t="str">
        <f ca="1"/>
        <v>Bad</v>
      </c>
    </row>
    <row r="6039" spans="2:34" x14ac:dyDescent="0.2">
      <c r="B6039" s="2">
        <f ca="1"/>
        <v>0.99844859607985637</v>
      </c>
      <c r="O6039" s="2">
        <f ca="1"/>
        <v>-0.66750331722588396</v>
      </c>
      <c r="X6039" s="2">
        <f ca="1"/>
        <v>18.419173881162255</v>
      </c>
      <c r="AG6039" s="2">
        <f ca="1"/>
        <v>0.69031640287804463</v>
      </c>
      <c r="AH6039" s="2" t="str">
        <f ca="1"/>
        <v>Bad</v>
      </c>
    </row>
    <row r="6040" spans="2:34" x14ac:dyDescent="0.2">
      <c r="B6040" s="2">
        <f ca="1"/>
        <v>0.10206448726320816</v>
      </c>
      <c r="O6040" s="2">
        <f ca="1"/>
        <v>1.1991217125331806</v>
      </c>
      <c r="X6040" s="2">
        <f ca="1"/>
        <v>60.972003501068087</v>
      </c>
      <c r="AG6040" s="2">
        <f ca="1"/>
        <v>5.2427665523879785E-2</v>
      </c>
      <c r="AH6040" s="2" t="str">
        <f ca="1"/>
        <v>OK</v>
      </c>
    </row>
    <row r="6041" spans="2:34" x14ac:dyDescent="0.2">
      <c r="B6041" s="2">
        <f ca="1"/>
        <v>0.36001598833473136</v>
      </c>
      <c r="O6041" s="2">
        <f ca="1"/>
        <v>1.7857817411018737</v>
      </c>
      <c r="X6041" s="2">
        <f ca="1"/>
        <v>47.371809978643867</v>
      </c>
      <c r="AG6041" s="2">
        <f ca="1"/>
        <v>0.1689342686868569</v>
      </c>
      <c r="AH6041" s="2" t="str">
        <f ca="1"/>
        <v>OK</v>
      </c>
    </row>
    <row r="6042" spans="2:34" x14ac:dyDescent="0.2">
      <c r="B6042" s="2">
        <f ca="1"/>
        <v>0.3554757527754473</v>
      </c>
      <c r="O6042" s="2">
        <f ca="1"/>
        <v>8.6436441061913491E-2</v>
      </c>
      <c r="X6042" s="2">
        <f ca="1"/>
        <v>59.751869131027533</v>
      </c>
      <c r="AG6042" s="2">
        <f ca="1"/>
        <v>0.9366686908296209</v>
      </c>
      <c r="AH6042" s="2" t="str">
        <f ca="1"/>
        <v>Bad</v>
      </c>
    </row>
    <row r="6043" spans="2:34" x14ac:dyDescent="0.2">
      <c r="B6043" s="2">
        <f ca="1"/>
        <v>2.2067686121890029E-2</v>
      </c>
      <c r="O6043" s="2">
        <f ca="1"/>
        <v>-0.79512205313290807</v>
      </c>
      <c r="X6043" s="2">
        <f ca="1"/>
        <v>56.591508622784488</v>
      </c>
      <c r="AG6043" s="2">
        <f ca="1"/>
        <v>0.52938186957591538</v>
      </c>
      <c r="AH6043" s="2" t="str">
        <f ca="1"/>
        <v>Bad</v>
      </c>
    </row>
    <row r="6044" spans="2:34" x14ac:dyDescent="0.2">
      <c r="B6044" s="2">
        <f ca="1"/>
        <v>0.16946495275824236</v>
      </c>
      <c r="O6044" s="2">
        <f ca="1"/>
        <v>0.42911207411425895</v>
      </c>
      <c r="X6044" s="2">
        <f ca="1"/>
        <v>40.293564745298276</v>
      </c>
      <c r="AG6044" s="2">
        <f ca="1"/>
        <v>0.40886862887978448</v>
      </c>
      <c r="AH6044" s="2" t="str">
        <f ca="1"/>
        <v>Bad</v>
      </c>
    </row>
    <row r="6045" spans="2:34" x14ac:dyDescent="0.2">
      <c r="B6045" s="2">
        <f ca="1"/>
        <v>0.93206784009258903</v>
      </c>
      <c r="O6045" s="2">
        <f ca="1"/>
        <v>-0.43539951540231553</v>
      </c>
      <c r="X6045" s="2">
        <f ca="1"/>
        <v>42.177463961494801</v>
      </c>
      <c r="AG6045" s="2">
        <f ca="1"/>
        <v>0.11551212537505906</v>
      </c>
      <c r="AH6045" s="2" t="str">
        <f ca="1"/>
        <v>OK</v>
      </c>
    </row>
    <row r="6046" spans="2:34" x14ac:dyDescent="0.2">
      <c r="B6046" s="2">
        <f ca="1"/>
        <v>0.94505293267286228</v>
      </c>
      <c r="O6046" s="2">
        <f ca="1"/>
        <v>-0.54148889998823091</v>
      </c>
      <c r="X6046" s="2">
        <f ca="1"/>
        <v>105.86874740052153</v>
      </c>
      <c r="AG6046" s="2">
        <f ca="1"/>
        <v>0.51041577543746164</v>
      </c>
      <c r="AH6046" s="2" t="str">
        <f ca="1"/>
        <v>Bad</v>
      </c>
    </row>
    <row r="6047" spans="2:34" x14ac:dyDescent="0.2">
      <c r="B6047" s="2">
        <f ca="1"/>
        <v>0.11225547159149096</v>
      </c>
      <c r="O6047" s="2">
        <f ca="1"/>
        <v>-0.15625407755989995</v>
      </c>
      <c r="X6047" s="2">
        <f ca="1"/>
        <v>35.276460147231148</v>
      </c>
      <c r="AG6047" s="2">
        <f ca="1"/>
        <v>0.18302943492292467</v>
      </c>
      <c r="AH6047" s="2" t="str">
        <f ca="1"/>
        <v>OK</v>
      </c>
    </row>
    <row r="6048" spans="2:34" x14ac:dyDescent="0.2">
      <c r="B6048" s="2">
        <f ca="1"/>
        <v>0.64213774932776735</v>
      </c>
      <c r="O6048" s="2">
        <f ca="1"/>
        <v>1.8087877435619166</v>
      </c>
      <c r="X6048" s="2">
        <f ca="1"/>
        <v>57.065455903083908</v>
      </c>
      <c r="AG6048" s="2">
        <f ca="1"/>
        <v>0.70404913441539496</v>
      </c>
      <c r="AH6048" s="2" t="str">
        <f ca="1"/>
        <v>Bad</v>
      </c>
    </row>
    <row r="6049" spans="2:34" x14ac:dyDescent="0.2">
      <c r="B6049" s="2">
        <f ca="1"/>
        <v>0.40403752446544838</v>
      </c>
      <c r="O6049" s="2">
        <f ca="1"/>
        <v>0.3799533846676863</v>
      </c>
      <c r="X6049" s="2">
        <f ca="1"/>
        <v>32.667760331244835</v>
      </c>
      <c r="AG6049" s="2">
        <f ca="1"/>
        <v>0.20791842554764761</v>
      </c>
      <c r="AH6049" s="2" t="str">
        <f ca="1"/>
        <v>OK</v>
      </c>
    </row>
    <row r="6050" spans="2:34" x14ac:dyDescent="0.2">
      <c r="B6050" s="2">
        <f ca="1"/>
        <v>0.14096846952079001</v>
      </c>
      <c r="O6050" s="2">
        <f ca="1"/>
        <v>-0.49984308091892904</v>
      </c>
      <c r="X6050" s="2">
        <f ca="1"/>
        <v>55.558504017440605</v>
      </c>
      <c r="AG6050" s="2">
        <f ca="1"/>
        <v>0.82963919941635034</v>
      </c>
      <c r="AH6050" s="2" t="str">
        <f ca="1"/>
        <v>Bad</v>
      </c>
    </row>
    <row r="6051" spans="2:34" x14ac:dyDescent="0.2">
      <c r="B6051" s="2">
        <f ca="1"/>
        <v>0.51739107893037217</v>
      </c>
      <c r="O6051" s="2">
        <f ca="1"/>
        <v>-0.2758102814910996</v>
      </c>
      <c r="X6051" s="2">
        <f ca="1"/>
        <v>43.815850617431309</v>
      </c>
      <c r="AG6051" s="2">
        <f ca="1"/>
        <v>5.2208580792067805E-2</v>
      </c>
      <c r="AH6051" s="2" t="str">
        <f ca="1"/>
        <v>OK</v>
      </c>
    </row>
    <row r="6052" spans="2:34" x14ac:dyDescent="0.2">
      <c r="B6052" s="2">
        <f ca="1"/>
        <v>0.79661499240869826</v>
      </c>
      <c r="O6052" s="2">
        <f ca="1"/>
        <v>-1.5945073465222237</v>
      </c>
      <c r="X6052" s="2">
        <f ca="1"/>
        <v>61.981491684225418</v>
      </c>
      <c r="AG6052" s="2">
        <f ca="1"/>
        <v>0.43222689204638054</v>
      </c>
      <c r="AH6052" s="2" t="str">
        <f ca="1"/>
        <v>Bad</v>
      </c>
    </row>
    <row r="6053" spans="2:34" x14ac:dyDescent="0.2">
      <c r="B6053" s="2">
        <f ca="1"/>
        <v>8.3349715670024693E-2</v>
      </c>
      <c r="O6053" s="2">
        <f ca="1"/>
        <v>-3.092661948702268</v>
      </c>
      <c r="X6053" s="2">
        <f ca="1"/>
        <v>57.294276295467832</v>
      </c>
      <c r="AG6053" s="2">
        <f ca="1"/>
        <v>0.29655896824103611</v>
      </c>
      <c r="AH6053" s="2" t="str">
        <f ca="1"/>
        <v>OK</v>
      </c>
    </row>
    <row r="6054" spans="2:34" x14ac:dyDescent="0.2">
      <c r="B6054" s="2">
        <f ca="1"/>
        <v>0.36044840945002132</v>
      </c>
      <c r="O6054" s="2">
        <f ca="1"/>
        <v>-1.5571692117152969</v>
      </c>
      <c r="X6054" s="2">
        <f ca="1"/>
        <v>42.546214616209937</v>
      </c>
      <c r="AG6054" s="2">
        <f ca="1"/>
        <v>0.47774993145158695</v>
      </c>
      <c r="AH6054" s="2" t="str">
        <f ca="1"/>
        <v>Bad</v>
      </c>
    </row>
    <row r="6055" spans="2:34" x14ac:dyDescent="0.2">
      <c r="B6055" s="2">
        <f ca="1"/>
        <v>0.51958128215801791</v>
      </c>
      <c r="O6055" s="2">
        <f ca="1"/>
        <v>0.14426414519322769</v>
      </c>
      <c r="X6055" s="2">
        <f ca="1"/>
        <v>37.342490608196691</v>
      </c>
      <c r="AG6055" s="2">
        <f ca="1"/>
        <v>0.30295979534549433</v>
      </c>
      <c r="AH6055" s="2" t="str">
        <f ca="1"/>
        <v>OK</v>
      </c>
    </row>
    <row r="6056" spans="2:34" x14ac:dyDescent="0.2">
      <c r="B6056" s="2">
        <f ca="1"/>
        <v>0.19949093394363238</v>
      </c>
      <c r="O6056" s="2">
        <f ca="1"/>
        <v>-1.1902201650101669</v>
      </c>
      <c r="X6056" s="2">
        <f ca="1"/>
        <v>78.051667647826349</v>
      </c>
      <c r="AG6056" s="2">
        <f ca="1"/>
        <v>0.21097773632844263</v>
      </c>
      <c r="AH6056" s="2" t="str">
        <f ca="1"/>
        <v>OK</v>
      </c>
    </row>
    <row r="6057" spans="2:34" x14ac:dyDescent="0.2">
      <c r="B6057" s="2">
        <f ca="1"/>
        <v>0.66263997975248801</v>
      </c>
      <c r="O6057" s="2">
        <f ca="1"/>
        <v>1.5772491757879614</v>
      </c>
      <c r="X6057" s="2">
        <f ca="1"/>
        <v>56.648937651176198</v>
      </c>
      <c r="AG6057" s="2">
        <f ca="1"/>
        <v>0.15503940961725071</v>
      </c>
      <c r="AH6057" s="2" t="str">
        <f ca="1"/>
        <v>OK</v>
      </c>
    </row>
    <row r="6058" spans="2:34" x14ac:dyDescent="0.2">
      <c r="B6058" s="2">
        <f ca="1"/>
        <v>0.45423278623233543</v>
      </c>
      <c r="O6058" s="2">
        <f ca="1"/>
        <v>-0.72767482003896233</v>
      </c>
      <c r="X6058" s="2">
        <f ca="1"/>
        <v>67.147374159014163</v>
      </c>
      <c r="AG6058" s="2">
        <f ca="1"/>
        <v>0.49887657803315677</v>
      </c>
      <c r="AH6058" s="2" t="str">
        <f ca="1"/>
        <v>Bad</v>
      </c>
    </row>
    <row r="6059" spans="2:34" x14ac:dyDescent="0.2">
      <c r="B6059" s="2">
        <f ca="1"/>
        <v>0.56387659091886522</v>
      </c>
      <c r="O6059" s="2">
        <f ca="1"/>
        <v>1.2464374200088346</v>
      </c>
      <c r="X6059" s="2">
        <f ca="1"/>
        <v>43.518366629668023</v>
      </c>
      <c r="AG6059" s="2">
        <f ca="1"/>
        <v>0.58128765716602215</v>
      </c>
      <c r="AH6059" s="2" t="str">
        <f ca="1"/>
        <v>Bad</v>
      </c>
    </row>
    <row r="6060" spans="2:34" x14ac:dyDescent="0.2">
      <c r="B6060" s="2">
        <f ca="1"/>
        <v>7.2560182357155778E-2</v>
      </c>
      <c r="O6060" s="2">
        <f ca="1"/>
        <v>-1.8314024814793677</v>
      </c>
      <c r="X6060" s="2">
        <f ca="1"/>
        <v>44.269889850540487</v>
      </c>
      <c r="AG6060" s="2">
        <f ca="1"/>
        <v>0.29505234556278004</v>
      </c>
      <c r="AH6060" s="2" t="str">
        <f ca="1"/>
        <v>OK</v>
      </c>
    </row>
    <row r="6061" spans="2:34" x14ac:dyDescent="0.2">
      <c r="B6061" s="2">
        <f ca="1"/>
        <v>0.76209394080653281</v>
      </c>
      <c r="O6061" s="2">
        <f ca="1"/>
        <v>0.2153913286247941</v>
      </c>
      <c r="X6061" s="2">
        <f ca="1"/>
        <v>37.964877626095614</v>
      </c>
      <c r="AG6061" s="2">
        <f ca="1"/>
        <v>0.14384627705837572</v>
      </c>
      <c r="AH6061" s="2" t="str">
        <f ca="1"/>
        <v>OK</v>
      </c>
    </row>
    <row r="6062" spans="2:34" x14ac:dyDescent="0.2">
      <c r="B6062" s="2">
        <f ca="1"/>
        <v>0.22231506163112447</v>
      </c>
      <c r="O6062" s="2">
        <f ca="1"/>
        <v>-0.22826357173993411</v>
      </c>
      <c r="X6062" s="2">
        <f ca="1"/>
        <v>39.155645482910238</v>
      </c>
      <c r="AG6062" s="2">
        <f ca="1"/>
        <v>0.84604626647475234</v>
      </c>
      <c r="AH6062" s="2" t="str">
        <f ca="1"/>
        <v>Bad</v>
      </c>
    </row>
    <row r="6063" spans="2:34" x14ac:dyDescent="0.2">
      <c r="B6063" s="2">
        <f ca="1"/>
        <v>0.36098660875468069</v>
      </c>
      <c r="O6063" s="2">
        <f ca="1"/>
        <v>-2.1143365918169303</v>
      </c>
      <c r="X6063" s="2">
        <f ca="1"/>
        <v>61.06622569885181</v>
      </c>
      <c r="AG6063" s="2">
        <f ca="1"/>
        <v>0.20163410542342874</v>
      </c>
      <c r="AH6063" s="2" t="str">
        <f ca="1"/>
        <v>OK</v>
      </c>
    </row>
    <row r="6064" spans="2:34" x14ac:dyDescent="0.2">
      <c r="B6064" s="2">
        <f ca="1"/>
        <v>0.70155987334614767</v>
      </c>
      <c r="O6064" s="2">
        <f ca="1"/>
        <v>-0.3231304450131352</v>
      </c>
      <c r="X6064" s="2">
        <f ca="1"/>
        <v>49.580498794850136</v>
      </c>
      <c r="AG6064" s="2">
        <f ca="1"/>
        <v>0.93642842789709269</v>
      </c>
      <c r="AH6064" s="2" t="str">
        <f ca="1"/>
        <v>Bad</v>
      </c>
    </row>
    <row r="6065" spans="2:34" x14ac:dyDescent="0.2">
      <c r="B6065" s="2">
        <f ca="1"/>
        <v>2.489807212827011E-2</v>
      </c>
      <c r="O6065" s="2">
        <f ca="1"/>
        <v>0.20500118429130518</v>
      </c>
      <c r="X6065" s="2">
        <f ca="1"/>
        <v>49.121314998738882</v>
      </c>
      <c r="AG6065" s="2">
        <f ca="1"/>
        <v>0.46965384656671572</v>
      </c>
      <c r="AH6065" s="2" t="str">
        <f ca="1"/>
        <v>Bad</v>
      </c>
    </row>
    <row r="6066" spans="2:34" x14ac:dyDescent="0.2">
      <c r="B6066" s="2">
        <f ca="1"/>
        <v>0.86668074801413719</v>
      </c>
      <c r="O6066" s="2">
        <f ca="1"/>
        <v>-0.23571542152714495</v>
      </c>
      <c r="X6066" s="2">
        <f ca="1"/>
        <v>43.736954326369322</v>
      </c>
      <c r="AG6066" s="2">
        <f ca="1"/>
        <v>0.11461353215228676</v>
      </c>
      <c r="AH6066" s="2" t="str">
        <f ca="1"/>
        <v>OK</v>
      </c>
    </row>
    <row r="6067" spans="2:34" x14ac:dyDescent="0.2">
      <c r="B6067" s="2">
        <f ca="1"/>
        <v>0.7895301605289835</v>
      </c>
      <c r="O6067" s="2">
        <f ca="1"/>
        <v>-1.7045136400380521</v>
      </c>
      <c r="X6067" s="2">
        <f ca="1"/>
        <v>44.340102755208633</v>
      </c>
      <c r="AG6067" s="2">
        <f ca="1"/>
        <v>0.84903586730532821</v>
      </c>
      <c r="AH6067" s="2" t="str">
        <f ca="1"/>
        <v>Bad</v>
      </c>
    </row>
    <row r="6068" spans="2:34" x14ac:dyDescent="0.2">
      <c r="B6068" s="2">
        <f ca="1"/>
        <v>0.37347941909863414</v>
      </c>
      <c r="O6068" s="2">
        <f ca="1"/>
        <v>-1.4708368618776553</v>
      </c>
      <c r="X6068" s="2">
        <f ca="1"/>
        <v>73.957490135738254</v>
      </c>
      <c r="AG6068" s="2">
        <f ca="1"/>
        <v>0.85575723302092532</v>
      </c>
      <c r="AH6068" s="2" t="str">
        <f ca="1"/>
        <v>Bad</v>
      </c>
    </row>
    <row r="6069" spans="2:34" x14ac:dyDescent="0.2">
      <c r="B6069" s="2">
        <f ca="1"/>
        <v>0.6373566264074626</v>
      </c>
      <c r="O6069" s="2">
        <f ca="1"/>
        <v>-0.94786248514321492</v>
      </c>
      <c r="X6069" s="2">
        <f ca="1"/>
        <v>101.65853745591305</v>
      </c>
      <c r="AG6069" s="2">
        <f ca="1"/>
        <v>0.87787751176918527</v>
      </c>
      <c r="AH6069" s="2" t="str">
        <f ca="1"/>
        <v>Bad</v>
      </c>
    </row>
    <row r="6070" spans="2:34" x14ac:dyDescent="0.2">
      <c r="B6070" s="2">
        <f ca="1"/>
        <v>0.87439072902182646</v>
      </c>
      <c r="O6070" s="2">
        <f ca="1"/>
        <v>-1.1255200349090846</v>
      </c>
      <c r="X6070" s="2">
        <f ca="1"/>
        <v>99.28155744665429</v>
      </c>
      <c r="AG6070" s="2">
        <f ca="1"/>
        <v>0.56668368430284022</v>
      </c>
      <c r="AH6070" s="2" t="str">
        <f ca="1"/>
        <v>Bad</v>
      </c>
    </row>
    <row r="6071" spans="2:34" x14ac:dyDescent="0.2">
      <c r="B6071" s="2">
        <f ca="1"/>
        <v>0.98283694021828771</v>
      </c>
      <c r="O6071" s="2">
        <f ca="1"/>
        <v>-6.4678631987098306E-2</v>
      </c>
      <c r="X6071" s="2">
        <f ca="1"/>
        <v>24.213504204033324</v>
      </c>
      <c r="AG6071" s="2">
        <f ca="1"/>
        <v>1.6735404193647607E-2</v>
      </c>
      <c r="AH6071" s="2" t="str">
        <f ca="1"/>
        <v>Good</v>
      </c>
    </row>
    <row r="6072" spans="2:34" x14ac:dyDescent="0.2">
      <c r="B6072" s="2">
        <f ca="1"/>
        <v>1.0371982878047303E-2</v>
      </c>
      <c r="O6072" s="2">
        <f ca="1"/>
        <v>-0.32448286184122788</v>
      </c>
      <c r="X6072" s="2">
        <f ca="1"/>
        <v>50.891727355565102</v>
      </c>
      <c r="AG6072" s="2">
        <f ca="1"/>
        <v>0.19690976457381559</v>
      </c>
      <c r="AH6072" s="2" t="str">
        <f ca="1"/>
        <v>OK</v>
      </c>
    </row>
    <row r="6073" spans="2:34" x14ac:dyDescent="0.2">
      <c r="B6073" s="2">
        <f ca="1"/>
        <v>0.23566561225516702</v>
      </c>
      <c r="O6073" s="2">
        <f ca="1"/>
        <v>0.94075296258784824</v>
      </c>
      <c r="X6073" s="2">
        <f ca="1"/>
        <v>34.381330407954152</v>
      </c>
      <c r="AG6073" s="2">
        <f ca="1"/>
        <v>0.69674461465038973</v>
      </c>
      <c r="AH6073" s="2" t="str">
        <f ca="1"/>
        <v>Bad</v>
      </c>
    </row>
    <row r="6074" spans="2:34" x14ac:dyDescent="0.2">
      <c r="B6074" s="2">
        <f ca="1"/>
        <v>0.33036349627270911</v>
      </c>
      <c r="O6074" s="2">
        <f ca="1"/>
        <v>0.66360702630919222</v>
      </c>
      <c r="X6074" s="2">
        <f ca="1"/>
        <v>46.335951117748337</v>
      </c>
      <c r="AG6074" s="2">
        <f ca="1"/>
        <v>0.8575505270172481</v>
      </c>
      <c r="AH6074" s="2" t="str">
        <f ca="1"/>
        <v>Bad</v>
      </c>
    </row>
    <row r="6075" spans="2:34" x14ac:dyDescent="0.2">
      <c r="B6075" s="2">
        <f ca="1"/>
        <v>3.1124444822221209E-2</v>
      </c>
      <c r="O6075" s="2">
        <f ca="1"/>
        <v>-1.8235098877500631</v>
      </c>
      <c r="X6075" s="2">
        <f ca="1"/>
        <v>38.782713153650597</v>
      </c>
      <c r="AG6075" s="2">
        <f ca="1"/>
        <v>0.16827935795517157</v>
      </c>
      <c r="AH6075" s="2" t="str">
        <f ca="1"/>
        <v>OK</v>
      </c>
    </row>
    <row r="6076" spans="2:34" x14ac:dyDescent="0.2">
      <c r="B6076" s="2">
        <f ca="1"/>
        <v>8.376383347022176E-2</v>
      </c>
      <c r="O6076" s="2">
        <f ca="1"/>
        <v>0.74706475793700766</v>
      </c>
      <c r="X6076" s="2">
        <f ca="1"/>
        <v>39.514346707715944</v>
      </c>
      <c r="AG6076" s="2">
        <f ca="1"/>
        <v>0.27998680143935784</v>
      </c>
      <c r="AH6076" s="2" t="str">
        <f ca="1"/>
        <v>OK</v>
      </c>
    </row>
    <row r="6077" spans="2:34" x14ac:dyDescent="0.2">
      <c r="B6077" s="2">
        <f ca="1"/>
        <v>0.1332959479673459</v>
      </c>
      <c r="O6077" s="2">
        <f ca="1"/>
        <v>7.3243659204300315E-2</v>
      </c>
      <c r="X6077" s="2">
        <f ca="1"/>
        <v>53.398587200844069</v>
      </c>
      <c r="AG6077" s="2">
        <f ca="1"/>
        <v>0.14729619827589358</v>
      </c>
      <c r="AH6077" s="2" t="str">
        <f ca="1"/>
        <v>OK</v>
      </c>
    </row>
    <row r="6078" spans="2:34" x14ac:dyDescent="0.2">
      <c r="B6078" s="2">
        <f ca="1"/>
        <v>0.80625090191589655</v>
      </c>
      <c r="O6078" s="2">
        <f ca="1"/>
        <v>0.91207157302826969</v>
      </c>
      <c r="X6078" s="2">
        <f ca="1"/>
        <v>42.980962048052959</v>
      </c>
      <c r="AG6078" s="2">
        <f ca="1"/>
        <v>0.2099443132579879</v>
      </c>
      <c r="AH6078" s="2" t="str">
        <f ca="1"/>
        <v>OK</v>
      </c>
    </row>
    <row r="6079" spans="2:34" x14ac:dyDescent="0.2">
      <c r="B6079" s="2">
        <f ca="1"/>
        <v>0.55446143912227774</v>
      </c>
      <c r="O6079" s="2">
        <f ca="1"/>
        <v>-1.6382693738969536</v>
      </c>
      <c r="X6079" s="2">
        <f ca="1"/>
        <v>34.69945903842298</v>
      </c>
      <c r="AG6079" s="2">
        <f ca="1"/>
        <v>0.52261771163025528</v>
      </c>
      <c r="AH6079" s="2" t="str">
        <f ca="1"/>
        <v>Bad</v>
      </c>
    </row>
    <row r="6080" spans="2:34" x14ac:dyDescent="0.2">
      <c r="B6080" s="2">
        <f ca="1"/>
        <v>0.33633181218633412</v>
      </c>
      <c r="O6080" s="2">
        <f ca="1"/>
        <v>0.45543928415020646</v>
      </c>
      <c r="X6080" s="2">
        <f ca="1"/>
        <v>45.377491411581133</v>
      </c>
      <c r="AG6080" s="2">
        <f ca="1"/>
        <v>0.46685844465454784</v>
      </c>
      <c r="AH6080" s="2" t="str">
        <f ca="1"/>
        <v>Bad</v>
      </c>
    </row>
    <row r="6081" spans="2:34" x14ac:dyDescent="0.2">
      <c r="B6081" s="2">
        <f ca="1"/>
        <v>0.44923950727541162</v>
      </c>
      <c r="O6081" s="2">
        <f ca="1"/>
        <v>0.51240084752495774</v>
      </c>
      <c r="X6081" s="2">
        <f ca="1"/>
        <v>33.726116929144958</v>
      </c>
      <c r="AG6081" s="2">
        <f ca="1"/>
        <v>0.63292358175384966</v>
      </c>
      <c r="AH6081" s="2" t="str">
        <f ca="1"/>
        <v>Bad</v>
      </c>
    </row>
    <row r="6082" spans="2:34" x14ac:dyDescent="0.2">
      <c r="B6082" s="2">
        <f ca="1"/>
        <v>0.94297723349626206</v>
      </c>
      <c r="O6082" s="2">
        <f ca="1"/>
        <v>-0.16227948722671603</v>
      </c>
      <c r="X6082" s="2">
        <f ca="1"/>
        <v>58.667540832271207</v>
      </c>
      <c r="AG6082" s="2">
        <f ca="1"/>
        <v>0.1724808006280345</v>
      </c>
      <c r="AH6082" s="2" t="str">
        <f ca="1"/>
        <v>OK</v>
      </c>
    </row>
    <row r="6083" spans="2:34" x14ac:dyDescent="0.2">
      <c r="B6083" s="2">
        <f ca="1"/>
        <v>0.19922623551700536</v>
      </c>
      <c r="O6083" s="2">
        <f ca="1"/>
        <v>-1.8934706393627208</v>
      </c>
      <c r="X6083" s="2">
        <f ca="1"/>
        <v>68.005146833608791</v>
      </c>
      <c r="AG6083" s="2">
        <f ca="1"/>
        <v>0.93248540281755998</v>
      </c>
      <c r="AH6083" s="2" t="str">
        <f ca="1"/>
        <v>Bad</v>
      </c>
    </row>
    <row r="6084" spans="2:34" x14ac:dyDescent="0.2">
      <c r="B6084" s="2">
        <f ca="1"/>
        <v>0.69204194908322192</v>
      </c>
      <c r="O6084" s="2">
        <f ca="1"/>
        <v>-0.24961793656526096</v>
      </c>
      <c r="X6084" s="2">
        <f ca="1"/>
        <v>67.786286138615836</v>
      </c>
      <c r="AG6084" s="2">
        <f ca="1"/>
        <v>0.62925339611237319</v>
      </c>
      <c r="AH6084" s="2" t="str">
        <f ca="1"/>
        <v>Bad</v>
      </c>
    </row>
    <row r="6085" spans="2:34" x14ac:dyDescent="0.2">
      <c r="B6085" s="2">
        <f ca="1"/>
        <v>0.56064308266263363</v>
      </c>
      <c r="O6085" s="2">
        <f ca="1"/>
        <v>0.56459827240105631</v>
      </c>
      <c r="X6085" s="2">
        <f ca="1"/>
        <v>94.521563052107609</v>
      </c>
      <c r="AG6085" s="2">
        <f ca="1"/>
        <v>0.84299990865625007</v>
      </c>
      <c r="AH6085" s="2" t="str">
        <f ca="1"/>
        <v>Bad</v>
      </c>
    </row>
    <row r="6086" spans="2:34" x14ac:dyDescent="0.2">
      <c r="B6086" s="2">
        <f ca="1"/>
        <v>0.32687908607632221</v>
      </c>
      <c r="O6086" s="2">
        <f ca="1"/>
        <v>-2.9658319691445514</v>
      </c>
      <c r="X6086" s="2">
        <f ca="1"/>
        <v>41.148339283905003</v>
      </c>
      <c r="AG6086" s="2">
        <f ca="1"/>
        <v>0.71637328345670026</v>
      </c>
      <c r="AH6086" s="2" t="str">
        <f ca="1"/>
        <v>Bad</v>
      </c>
    </row>
    <row r="6087" spans="2:34" x14ac:dyDescent="0.2">
      <c r="B6087" s="2">
        <f ca="1"/>
        <v>0.54806844653529541</v>
      </c>
      <c r="O6087" s="2">
        <f ca="1"/>
        <v>0.40206450089206347</v>
      </c>
      <c r="X6087" s="2">
        <f ca="1"/>
        <v>48.148590961236735</v>
      </c>
      <c r="AG6087" s="2">
        <f ca="1"/>
        <v>0.67478352803760511</v>
      </c>
      <c r="AH6087" s="2" t="str">
        <f ca="1"/>
        <v>Bad</v>
      </c>
    </row>
    <row r="6088" spans="2:34" x14ac:dyDescent="0.2">
      <c r="B6088" s="2">
        <f ca="1"/>
        <v>0.75292535110201264</v>
      </c>
      <c r="O6088" s="2">
        <f ca="1"/>
        <v>0.18029969109602215</v>
      </c>
      <c r="X6088" s="2">
        <f ca="1"/>
        <v>48.227929209973809</v>
      </c>
      <c r="AG6088" s="2">
        <f ca="1"/>
        <v>0.16533594826514753</v>
      </c>
      <c r="AH6088" s="2" t="str">
        <f ca="1"/>
        <v>OK</v>
      </c>
    </row>
    <row r="6089" spans="2:34" x14ac:dyDescent="0.2">
      <c r="B6089" s="2">
        <f ca="1"/>
        <v>0.28415384333871074</v>
      </c>
      <c r="O6089" s="2">
        <f ca="1"/>
        <v>2.0160058547890389</v>
      </c>
      <c r="X6089" s="2">
        <f ca="1"/>
        <v>26.112429957521975</v>
      </c>
      <c r="AG6089" s="2">
        <f ca="1"/>
        <v>0.920612578735581</v>
      </c>
      <c r="AH6089" s="2" t="str">
        <f ca="1"/>
        <v>Bad</v>
      </c>
    </row>
    <row r="6090" spans="2:34" x14ac:dyDescent="0.2">
      <c r="B6090" s="2">
        <f ca="1"/>
        <v>0.65023380363011074</v>
      </c>
      <c r="O6090" s="2">
        <f ca="1"/>
        <v>0.47295079719720357</v>
      </c>
      <c r="X6090" s="2">
        <f ca="1"/>
        <v>40.236435854914546</v>
      </c>
      <c r="AG6090" s="2">
        <f ca="1"/>
        <v>0.55794556855492905</v>
      </c>
      <c r="AH6090" s="2" t="str">
        <f ca="1"/>
        <v>Bad</v>
      </c>
    </row>
    <row r="6091" spans="2:34" x14ac:dyDescent="0.2">
      <c r="B6091" s="2">
        <f ca="1"/>
        <v>0.71776666717651061</v>
      </c>
      <c r="O6091" s="2">
        <f ca="1"/>
        <v>0.20021800970143591</v>
      </c>
      <c r="X6091" s="2">
        <f ca="1"/>
        <v>19.691712313241577</v>
      </c>
      <c r="AG6091" s="2">
        <f ca="1"/>
        <v>0.35492357599948643</v>
      </c>
      <c r="AH6091" s="2" t="str">
        <f ca="1"/>
        <v>OK</v>
      </c>
    </row>
    <row r="6092" spans="2:34" x14ac:dyDescent="0.2">
      <c r="B6092" s="2">
        <f ca="1"/>
        <v>0.66436420265461105</v>
      </c>
      <c r="O6092" s="2">
        <f ca="1"/>
        <v>0.99666605175094669</v>
      </c>
      <c r="X6092" s="2">
        <f ca="1"/>
        <v>38.327516558452317</v>
      </c>
      <c r="AG6092" s="2">
        <f ca="1"/>
        <v>0.10988856493804344</v>
      </c>
      <c r="AH6092" s="2" t="str">
        <f ca="1"/>
        <v>OK</v>
      </c>
    </row>
    <row r="6093" spans="2:34" x14ac:dyDescent="0.2">
      <c r="B6093" s="2">
        <f ca="1"/>
        <v>0.85135101214589382</v>
      </c>
      <c r="O6093" s="2">
        <f ca="1"/>
        <v>-0.93728041498883607</v>
      </c>
      <c r="X6093" s="2">
        <f ca="1"/>
        <v>37.363394360078118</v>
      </c>
      <c r="AG6093" s="2">
        <f ca="1"/>
        <v>0.30699267086386972</v>
      </c>
      <c r="AH6093" s="2" t="str">
        <f ca="1"/>
        <v>OK</v>
      </c>
    </row>
    <row r="6094" spans="2:34" x14ac:dyDescent="0.2">
      <c r="B6094" s="2">
        <f ca="1"/>
        <v>0.1257717472197255</v>
      </c>
      <c r="O6094" s="2">
        <f ca="1"/>
        <v>-1.5414651256943723</v>
      </c>
      <c r="X6094" s="2">
        <f ca="1"/>
        <v>37.994225575149997</v>
      </c>
      <c r="AG6094" s="2">
        <f ca="1"/>
        <v>0.63513178194994313</v>
      </c>
      <c r="AH6094" s="2" t="str">
        <f ca="1"/>
        <v>Bad</v>
      </c>
    </row>
    <row r="6095" spans="2:34" x14ac:dyDescent="0.2">
      <c r="B6095" s="2">
        <f ca="1"/>
        <v>6.8273921401004856E-2</v>
      </c>
      <c r="O6095" s="2">
        <f ca="1"/>
        <v>1.2407822004525255</v>
      </c>
      <c r="X6095" s="2">
        <f ca="1"/>
        <v>34.174999308095181</v>
      </c>
      <c r="AG6095" s="2">
        <f ca="1"/>
        <v>0.23394644007839149</v>
      </c>
      <c r="AH6095" s="2" t="str">
        <f ca="1"/>
        <v>OK</v>
      </c>
    </row>
    <row r="6096" spans="2:34" x14ac:dyDescent="0.2">
      <c r="B6096" s="2">
        <f ca="1"/>
        <v>0.45782296747597062</v>
      </c>
      <c r="O6096" s="2">
        <f ca="1"/>
        <v>-0.72033478113080807</v>
      </c>
      <c r="X6096" s="2">
        <f ca="1"/>
        <v>48.662055868754521</v>
      </c>
      <c r="AG6096" s="2">
        <f ca="1"/>
        <v>0.58222955901900786</v>
      </c>
      <c r="AH6096" s="2" t="str">
        <f ca="1"/>
        <v>Bad</v>
      </c>
    </row>
    <row r="6097" spans="2:34" x14ac:dyDescent="0.2">
      <c r="B6097" s="2">
        <f ca="1"/>
        <v>0.25584673615390208</v>
      </c>
      <c r="O6097" s="2">
        <f ca="1"/>
        <v>1.667189648542156</v>
      </c>
      <c r="X6097" s="2">
        <f ca="1"/>
        <v>58.954171628121451</v>
      </c>
      <c r="AG6097" s="2">
        <f ca="1"/>
        <v>0.42326610961223232</v>
      </c>
      <c r="AH6097" s="2" t="str">
        <f ca="1"/>
        <v>Bad</v>
      </c>
    </row>
    <row r="6098" spans="2:34" x14ac:dyDescent="0.2">
      <c r="B6098" s="2">
        <f ca="1"/>
        <v>0.49887643053344433</v>
      </c>
      <c r="O6098" s="2">
        <f ca="1"/>
        <v>-1.7527548515482967</v>
      </c>
      <c r="X6098" s="2">
        <f ca="1"/>
        <v>67.510313127740545</v>
      </c>
      <c r="AG6098" s="2">
        <f ca="1"/>
        <v>0.53797057210399846</v>
      </c>
      <c r="AH6098" s="2" t="str">
        <f ca="1"/>
        <v>Bad</v>
      </c>
    </row>
    <row r="6099" spans="2:34" x14ac:dyDescent="0.2">
      <c r="B6099" s="2">
        <f ca="1"/>
        <v>0.70438469740740906</v>
      </c>
      <c r="O6099" s="2">
        <f ca="1"/>
        <v>7.8159710486563186E-2</v>
      </c>
      <c r="X6099" s="2">
        <f ca="1"/>
        <v>53.261067409057034</v>
      </c>
      <c r="AG6099" s="2">
        <f ca="1"/>
        <v>0.17686829937026505</v>
      </c>
      <c r="AH6099" s="2" t="str">
        <f ca="1"/>
        <v>OK</v>
      </c>
    </row>
    <row r="6100" spans="2:34" x14ac:dyDescent="0.2">
      <c r="B6100" s="2">
        <f ca="1"/>
        <v>0.33254881653730761</v>
      </c>
      <c r="O6100" s="2">
        <f ca="1"/>
        <v>0.62212328153968055</v>
      </c>
      <c r="X6100" s="2">
        <f ca="1"/>
        <v>43.628753564279108</v>
      </c>
      <c r="AG6100" s="2">
        <f ca="1"/>
        <v>0.25451202521270577</v>
      </c>
      <c r="AH6100" s="2" t="str">
        <f ca="1"/>
        <v>OK</v>
      </c>
    </row>
    <row r="6101" spans="2:34" x14ac:dyDescent="0.2">
      <c r="B6101" s="2">
        <f ca="1"/>
        <v>0.79510172931324008</v>
      </c>
      <c r="O6101" s="2">
        <f ca="1"/>
        <v>0.99588538173918417</v>
      </c>
      <c r="X6101" s="2">
        <f ca="1"/>
        <v>75.343820941574279</v>
      </c>
      <c r="AG6101" s="2">
        <f ca="1"/>
        <v>0.6035102664200569</v>
      </c>
      <c r="AH6101" s="2" t="str">
        <f ca="1"/>
        <v>Bad</v>
      </c>
    </row>
    <row r="6102" spans="2:34" x14ac:dyDescent="0.2">
      <c r="B6102" s="2">
        <f ca="1"/>
        <v>0.57787546601718032</v>
      </c>
      <c r="O6102" s="2">
        <f ca="1"/>
        <v>-0.86673057308882984</v>
      </c>
      <c r="X6102" s="2">
        <f ca="1"/>
        <v>32.208266206390363</v>
      </c>
      <c r="AG6102" s="2">
        <f ca="1"/>
        <v>0.6935639555550388</v>
      </c>
      <c r="AH6102" s="2" t="str">
        <f ca="1"/>
        <v>Bad</v>
      </c>
    </row>
    <row r="6103" spans="2:34" x14ac:dyDescent="0.2">
      <c r="B6103" s="2">
        <f ca="1"/>
        <v>0.59243032090661352</v>
      </c>
      <c r="O6103" s="2">
        <f ca="1"/>
        <v>1.3585131031553102</v>
      </c>
      <c r="X6103" s="2">
        <f ca="1"/>
        <v>52.302679529039899</v>
      </c>
      <c r="AG6103" s="2">
        <f ca="1"/>
        <v>0.37969791350765814</v>
      </c>
      <c r="AH6103" s="2" t="str">
        <f ca="1"/>
        <v>OK</v>
      </c>
    </row>
    <row r="6104" spans="2:34" x14ac:dyDescent="0.2">
      <c r="B6104" s="2">
        <f ca="1"/>
        <v>0.15879437893377646</v>
      </c>
      <c r="O6104" s="2">
        <f ca="1"/>
        <v>-0.24194131794272691</v>
      </c>
      <c r="X6104" s="2">
        <f ca="1"/>
        <v>40.72632700886416</v>
      </c>
      <c r="AG6104" s="2">
        <f ca="1"/>
        <v>6.093670426116371E-2</v>
      </c>
      <c r="AH6104" s="2" t="str">
        <f ca="1"/>
        <v>OK</v>
      </c>
    </row>
    <row r="6105" spans="2:34" x14ac:dyDescent="0.2">
      <c r="B6105" s="2">
        <f ca="1"/>
        <v>0.49984940596476202</v>
      </c>
      <c r="O6105" s="2">
        <f ca="1"/>
        <v>1.3803592541296898</v>
      </c>
      <c r="X6105" s="2">
        <f ca="1"/>
        <v>70.459134949602046</v>
      </c>
      <c r="AG6105" s="2">
        <f ca="1"/>
        <v>0.3523853890269073</v>
      </c>
      <c r="AH6105" s="2" t="str">
        <f ca="1"/>
        <v>OK</v>
      </c>
    </row>
    <row r="6106" spans="2:34" x14ac:dyDescent="0.2">
      <c r="B6106" s="2">
        <f ca="1"/>
        <v>0.42130233154522623</v>
      </c>
      <c r="O6106" s="2">
        <f ca="1"/>
        <v>-7.0441411797339287E-2</v>
      </c>
      <c r="X6106" s="2">
        <f ca="1"/>
        <v>35.968045684272603</v>
      </c>
      <c r="AG6106" s="2">
        <f ca="1"/>
        <v>0.67192483785652235</v>
      </c>
      <c r="AH6106" s="2" t="str">
        <f ca="1"/>
        <v>Bad</v>
      </c>
    </row>
    <row r="6107" spans="2:34" x14ac:dyDescent="0.2">
      <c r="B6107" s="2">
        <f ca="1"/>
        <v>7.3438636348866604E-2</v>
      </c>
      <c r="O6107" s="2">
        <f ca="1"/>
        <v>0.50168815450290238</v>
      </c>
      <c r="X6107" s="2">
        <f ca="1"/>
        <v>24.690308138743422</v>
      </c>
      <c r="AG6107" s="2">
        <f ca="1"/>
        <v>0.3290709048206315</v>
      </c>
      <c r="AH6107" s="2" t="str">
        <f ca="1"/>
        <v>OK</v>
      </c>
    </row>
    <row r="6108" spans="2:34" x14ac:dyDescent="0.2">
      <c r="B6108" s="2">
        <f ca="1"/>
        <v>0.7895763291213016</v>
      </c>
      <c r="O6108" s="2">
        <f ca="1"/>
        <v>-0.6061874048779532</v>
      </c>
      <c r="X6108" s="2">
        <f ca="1"/>
        <v>42.911517407865851</v>
      </c>
      <c r="AG6108" s="2">
        <f ca="1"/>
        <v>0.32874900339312374</v>
      </c>
      <c r="AH6108" s="2" t="str">
        <f ca="1"/>
        <v>OK</v>
      </c>
    </row>
    <row r="6109" spans="2:34" x14ac:dyDescent="0.2">
      <c r="B6109" s="2">
        <f ca="1"/>
        <v>0.44781669980543026</v>
      </c>
      <c r="O6109" s="2">
        <f ca="1"/>
        <v>0.13417551221665702</v>
      </c>
      <c r="X6109" s="2">
        <f ca="1"/>
        <v>16.237791705327798</v>
      </c>
      <c r="AG6109" s="2">
        <f ca="1"/>
        <v>7.0975671939364604E-2</v>
      </c>
      <c r="AH6109" s="2" t="str">
        <f ca="1"/>
        <v>OK</v>
      </c>
    </row>
    <row r="6110" spans="2:34" x14ac:dyDescent="0.2">
      <c r="B6110" s="2">
        <f ca="1"/>
        <v>5.2046621400218873E-2</v>
      </c>
      <c r="O6110" s="2">
        <f ca="1"/>
        <v>0.77733273054371554</v>
      </c>
      <c r="X6110" s="2">
        <f ca="1"/>
        <v>29.518635488988028</v>
      </c>
      <c r="AG6110" s="2">
        <f ca="1"/>
        <v>0.56380023201901075</v>
      </c>
      <c r="AH6110" s="2" t="str">
        <f ca="1"/>
        <v>Bad</v>
      </c>
    </row>
    <row r="6111" spans="2:34" x14ac:dyDescent="0.2">
      <c r="B6111" s="2">
        <f ca="1"/>
        <v>0.2610330765744493</v>
      </c>
      <c r="O6111" s="2">
        <f ca="1"/>
        <v>9.3637517721364527E-2</v>
      </c>
      <c r="X6111" s="2">
        <f ca="1"/>
        <v>42.713198397802842</v>
      </c>
      <c r="AG6111" s="2">
        <f ca="1"/>
        <v>0.88297448297069758</v>
      </c>
      <c r="AH6111" s="2" t="str">
        <f ca="1"/>
        <v>Bad</v>
      </c>
    </row>
    <row r="6112" spans="2:34" x14ac:dyDescent="0.2">
      <c r="B6112" s="2">
        <f ca="1"/>
        <v>0.16817354874810864</v>
      </c>
      <c r="O6112" s="2">
        <f ca="1"/>
        <v>0.21809687526786742</v>
      </c>
      <c r="X6112" s="2">
        <f ca="1"/>
        <v>34.304638955222188</v>
      </c>
      <c r="AG6112" s="2">
        <f ca="1"/>
        <v>0.31486152737131157</v>
      </c>
      <c r="AH6112" s="2" t="str">
        <f ca="1"/>
        <v>OK</v>
      </c>
    </row>
    <row r="6113" spans="2:34" x14ac:dyDescent="0.2">
      <c r="B6113" s="2">
        <f ca="1"/>
        <v>0.88663779727928227</v>
      </c>
      <c r="O6113" s="2">
        <f ca="1"/>
        <v>-0.53995075915528268</v>
      </c>
      <c r="X6113" s="2">
        <f ca="1"/>
        <v>36.958717445916903</v>
      </c>
      <c r="AG6113" s="2">
        <f ca="1"/>
        <v>0.8411978614174338</v>
      </c>
      <c r="AH6113" s="2" t="str">
        <f ca="1"/>
        <v>Bad</v>
      </c>
    </row>
    <row r="6114" spans="2:34" x14ac:dyDescent="0.2">
      <c r="B6114" s="2">
        <f ca="1"/>
        <v>9.0854681846861407E-3</v>
      </c>
      <c r="O6114" s="2">
        <f ca="1"/>
        <v>0.70579550979249972</v>
      </c>
      <c r="X6114" s="2">
        <f ca="1"/>
        <v>42.166444202700433</v>
      </c>
      <c r="AG6114" s="2">
        <f ca="1"/>
        <v>0.77454409916563627</v>
      </c>
      <c r="AH6114" s="2" t="str">
        <f ca="1"/>
        <v>Bad</v>
      </c>
    </row>
    <row r="6115" spans="2:34" x14ac:dyDescent="0.2">
      <c r="B6115" s="2">
        <f ca="1"/>
        <v>0.29750562668189229</v>
      </c>
      <c r="O6115" s="2">
        <f ca="1"/>
        <v>1.0339092691275267</v>
      </c>
      <c r="X6115" s="2">
        <f ca="1"/>
        <v>48.474239302848552</v>
      </c>
      <c r="AG6115" s="2">
        <f ca="1"/>
        <v>0.8488907792565199</v>
      </c>
      <c r="AH6115" s="2" t="str">
        <f ca="1"/>
        <v>Bad</v>
      </c>
    </row>
    <row r="6116" spans="2:34" x14ac:dyDescent="0.2">
      <c r="B6116" s="2">
        <f ca="1"/>
        <v>2.4716498893254002E-2</v>
      </c>
      <c r="O6116" s="2">
        <f ca="1"/>
        <v>-6.2577601112411604E-2</v>
      </c>
      <c r="X6116" s="2">
        <f ca="1"/>
        <v>60.084532237828043</v>
      </c>
      <c r="AG6116" s="2">
        <f ca="1"/>
        <v>0.35235141757769584</v>
      </c>
      <c r="AH6116" s="2" t="str">
        <f ca="1"/>
        <v>OK</v>
      </c>
    </row>
    <row r="6117" spans="2:34" x14ac:dyDescent="0.2">
      <c r="B6117" s="2">
        <f ca="1"/>
        <v>0.78008271307666921</v>
      </c>
      <c r="O6117" s="2">
        <f ca="1"/>
        <v>-0.63857262522066127</v>
      </c>
      <c r="X6117" s="2">
        <f ca="1"/>
        <v>91.823382502825524</v>
      </c>
      <c r="AG6117" s="2">
        <f ca="1"/>
        <v>0.83974359106909424</v>
      </c>
      <c r="AH6117" s="2" t="str">
        <f ca="1"/>
        <v>Bad</v>
      </c>
    </row>
    <row r="6118" spans="2:34" x14ac:dyDescent="0.2">
      <c r="B6118" s="2">
        <f ca="1"/>
        <v>0.59982247231011576</v>
      </c>
      <c r="O6118" s="2">
        <f ca="1"/>
        <v>-1.2029967553639909</v>
      </c>
      <c r="X6118" s="2">
        <f ca="1"/>
        <v>20.761956255572787</v>
      </c>
      <c r="AG6118" s="2">
        <f ca="1"/>
        <v>0.73941948279688874</v>
      </c>
      <c r="AH6118" s="2" t="str">
        <f ca="1"/>
        <v>Bad</v>
      </c>
    </row>
    <row r="6119" spans="2:34" x14ac:dyDescent="0.2">
      <c r="B6119" s="2">
        <f ca="1"/>
        <v>0.64985270687858954</v>
      </c>
      <c r="O6119" s="2">
        <f ca="1"/>
        <v>-0.42885865794144756</v>
      </c>
      <c r="X6119" s="2">
        <f ca="1"/>
        <v>92.673676964931815</v>
      </c>
      <c r="AG6119" s="2">
        <f ca="1"/>
        <v>0.64838420895465965</v>
      </c>
      <c r="AH6119" s="2" t="str">
        <f ca="1"/>
        <v>Bad</v>
      </c>
    </row>
    <row r="6120" spans="2:34" x14ac:dyDescent="0.2">
      <c r="B6120" s="2">
        <f ca="1"/>
        <v>0.15229721543263186</v>
      </c>
      <c r="O6120" s="2">
        <f ca="1"/>
        <v>-1.5628646366157149E-2</v>
      </c>
      <c r="X6120" s="2">
        <f ca="1"/>
        <v>85.90219146479734</v>
      </c>
      <c r="AG6120" s="2">
        <f ca="1"/>
        <v>8.8178302785179019E-2</v>
      </c>
      <c r="AH6120" s="2" t="str">
        <f ca="1"/>
        <v>OK</v>
      </c>
    </row>
    <row r="6121" spans="2:34" x14ac:dyDescent="0.2">
      <c r="B6121" s="2">
        <f ca="1"/>
        <v>0.77007251843159308</v>
      </c>
      <c r="O6121" s="2">
        <f ca="1"/>
        <v>-0.22215326404149308</v>
      </c>
      <c r="X6121" s="2">
        <f ca="1"/>
        <v>57.664044610602204</v>
      </c>
      <c r="AG6121" s="2">
        <f ca="1"/>
        <v>0.59293712246000729</v>
      </c>
      <c r="AH6121" s="2" t="str">
        <f ca="1"/>
        <v>Bad</v>
      </c>
    </row>
    <row r="6122" spans="2:34" x14ac:dyDescent="0.2">
      <c r="B6122" s="2">
        <f ca="1"/>
        <v>0.23198045439480386</v>
      </c>
      <c r="O6122" s="2">
        <f ca="1"/>
        <v>0.20734132429625576</v>
      </c>
      <c r="X6122" s="2">
        <f ca="1"/>
        <v>69.340422877806674</v>
      </c>
      <c r="AG6122" s="2">
        <f ca="1"/>
        <v>7.7413757356438406E-2</v>
      </c>
      <c r="AH6122" s="2" t="str">
        <f ca="1"/>
        <v>OK</v>
      </c>
    </row>
    <row r="6123" spans="2:34" x14ac:dyDescent="0.2">
      <c r="B6123" s="2">
        <f ca="1"/>
        <v>0.64243476079006667</v>
      </c>
      <c r="O6123" s="2">
        <f ca="1"/>
        <v>-0.30189340460157099</v>
      </c>
      <c r="X6123" s="2">
        <f ca="1"/>
        <v>79.829150017160373</v>
      </c>
      <c r="AG6123" s="2">
        <f ca="1"/>
        <v>9.2654810553122857E-2</v>
      </c>
      <c r="AH6123" s="2" t="str">
        <f ca="1"/>
        <v>OK</v>
      </c>
    </row>
    <row r="6124" spans="2:34" x14ac:dyDescent="0.2">
      <c r="B6124" s="2">
        <f ca="1"/>
        <v>0.63276136373211256</v>
      </c>
      <c r="O6124" s="2">
        <f ca="1"/>
        <v>1.6268398404254201</v>
      </c>
      <c r="X6124" s="2">
        <f ca="1"/>
        <v>43.335384090647217</v>
      </c>
      <c r="AG6124" s="2">
        <f ca="1"/>
        <v>0.82582251243393379</v>
      </c>
      <c r="AH6124" s="2" t="str">
        <f ca="1"/>
        <v>Bad</v>
      </c>
    </row>
    <row r="6125" spans="2:34" x14ac:dyDescent="0.2">
      <c r="B6125" s="2">
        <f ca="1"/>
        <v>0.79487997169462954</v>
      </c>
      <c r="O6125" s="2">
        <f ca="1"/>
        <v>0.75819848498426379</v>
      </c>
      <c r="X6125" s="2">
        <f ca="1"/>
        <v>25.958265403669998</v>
      </c>
      <c r="AG6125" s="2">
        <f ca="1"/>
        <v>4.417844181677677E-2</v>
      </c>
      <c r="AH6125" s="2" t="str">
        <f ca="1"/>
        <v>Good</v>
      </c>
    </row>
    <row r="6126" spans="2:34" x14ac:dyDescent="0.2">
      <c r="B6126" s="2">
        <f ca="1"/>
        <v>0.21662121030293924</v>
      </c>
      <c r="O6126" s="2">
        <f ca="1"/>
        <v>4.5676827435011967E-2</v>
      </c>
      <c r="X6126" s="2">
        <f ca="1"/>
        <v>27.231046511392023</v>
      </c>
      <c r="AG6126" s="2">
        <f ca="1"/>
        <v>0.67829668889509453</v>
      </c>
      <c r="AH6126" s="2" t="str">
        <f ca="1"/>
        <v>Bad</v>
      </c>
    </row>
    <row r="6127" spans="2:34" x14ac:dyDescent="0.2">
      <c r="B6127" s="2">
        <f ca="1"/>
        <v>0.16449688172085519</v>
      </c>
      <c r="O6127" s="2">
        <f ca="1"/>
        <v>0.28767380325622927</v>
      </c>
      <c r="X6127" s="2">
        <f ca="1"/>
        <v>43.111655188621889</v>
      </c>
      <c r="AG6127" s="2">
        <f ca="1"/>
        <v>0.80054409374821889</v>
      </c>
      <c r="AH6127" s="2" t="str">
        <f ca="1"/>
        <v>Bad</v>
      </c>
    </row>
    <row r="6128" spans="2:34" x14ac:dyDescent="0.2">
      <c r="B6128" s="2">
        <f ca="1"/>
        <v>0.81970972891953808</v>
      </c>
      <c r="O6128" s="2">
        <f ca="1"/>
        <v>-2.2633564813213134</v>
      </c>
      <c r="X6128" s="2">
        <f ca="1"/>
        <v>40.938379499296182</v>
      </c>
      <c r="AG6128" s="2">
        <f ca="1"/>
        <v>2.6853316672871719E-2</v>
      </c>
      <c r="AH6128" s="2" t="str">
        <f ca="1"/>
        <v>Good</v>
      </c>
    </row>
    <row r="6129" spans="2:34" x14ac:dyDescent="0.2">
      <c r="B6129" s="2">
        <f ca="1"/>
        <v>3.2674549309043455E-2</v>
      </c>
      <c r="O6129" s="2">
        <f ca="1"/>
        <v>-0.29839890796918978</v>
      </c>
      <c r="X6129" s="2">
        <f ca="1"/>
        <v>46.667058920228698</v>
      </c>
      <c r="AG6129" s="2">
        <f ca="1"/>
        <v>0.13474580891490184</v>
      </c>
      <c r="AH6129" s="2" t="str">
        <f ca="1"/>
        <v>OK</v>
      </c>
    </row>
    <row r="6130" spans="2:34" x14ac:dyDescent="0.2">
      <c r="B6130" s="2">
        <f ca="1"/>
        <v>0.80641267795075189</v>
      </c>
      <c r="O6130" s="2">
        <f ca="1"/>
        <v>-0.56780441797827508</v>
      </c>
      <c r="X6130" s="2">
        <f ca="1"/>
        <v>66.604314497409746</v>
      </c>
      <c r="AG6130" s="2">
        <f ca="1"/>
        <v>9.3871637925670992E-2</v>
      </c>
      <c r="AH6130" s="2" t="str">
        <f ca="1"/>
        <v>OK</v>
      </c>
    </row>
    <row r="6131" spans="2:34" x14ac:dyDescent="0.2">
      <c r="B6131" s="2">
        <f ca="1"/>
        <v>0.62552775931391036</v>
      </c>
      <c r="O6131" s="2">
        <f ca="1"/>
        <v>-0.54775886158271592</v>
      </c>
      <c r="X6131" s="2">
        <f ca="1"/>
        <v>40.711654884114097</v>
      </c>
      <c r="AG6131" s="2">
        <f ca="1"/>
        <v>0.49732260922864113</v>
      </c>
      <c r="AH6131" s="2" t="str">
        <f ca="1"/>
        <v>Bad</v>
      </c>
    </row>
    <row r="6132" spans="2:34" x14ac:dyDescent="0.2">
      <c r="B6132" s="2">
        <f ca="1"/>
        <v>6.459905994805859E-2</v>
      </c>
      <c r="O6132" s="2">
        <f ca="1"/>
        <v>1.6000313128408277</v>
      </c>
      <c r="X6132" s="2">
        <f ca="1"/>
        <v>81.94949779634328</v>
      </c>
      <c r="AG6132" s="2">
        <f ca="1"/>
        <v>0.56340675708120624</v>
      </c>
      <c r="AH6132" s="2" t="str">
        <f ca="1"/>
        <v>Bad</v>
      </c>
    </row>
    <row r="6133" spans="2:34" x14ac:dyDescent="0.2">
      <c r="B6133" s="2">
        <f ca="1"/>
        <v>0.58128513919831004</v>
      </c>
      <c r="O6133" s="2">
        <f ca="1"/>
        <v>-0.68855675046273135</v>
      </c>
      <c r="X6133" s="2">
        <f ca="1"/>
        <v>31.088677419152862</v>
      </c>
      <c r="AG6133" s="2">
        <f ca="1"/>
        <v>0.53456999669410332</v>
      </c>
      <c r="AH6133" s="2" t="str">
        <f ca="1"/>
        <v>Bad</v>
      </c>
    </row>
    <row r="6134" spans="2:34" x14ac:dyDescent="0.2">
      <c r="B6134" s="2">
        <f ca="1"/>
        <v>5.6392369796602893E-2</v>
      </c>
      <c r="O6134" s="2">
        <f ca="1"/>
        <v>0.13182905722464169</v>
      </c>
      <c r="X6134" s="2">
        <f ca="1"/>
        <v>86.426119845891662</v>
      </c>
      <c r="AG6134" s="2">
        <f ca="1"/>
        <v>0.94105683712141786</v>
      </c>
      <c r="AH6134" s="2" t="str">
        <f ca="1"/>
        <v>Bad</v>
      </c>
    </row>
    <row r="6135" spans="2:34" x14ac:dyDescent="0.2">
      <c r="B6135" s="2">
        <f ca="1"/>
        <v>0.76699540370919439</v>
      </c>
      <c r="O6135" s="2">
        <f ca="1"/>
        <v>0.57562484698541205</v>
      </c>
      <c r="X6135" s="2">
        <f ca="1"/>
        <v>42.738718224066226</v>
      </c>
      <c r="AG6135" s="2">
        <f ca="1"/>
        <v>0.94568653430968919</v>
      </c>
      <c r="AH6135" s="2" t="str">
        <f ca="1"/>
        <v>Bad</v>
      </c>
    </row>
    <row r="6136" spans="2:34" x14ac:dyDescent="0.2">
      <c r="B6136" s="2">
        <f ca="1"/>
        <v>0.13325017265841255</v>
      </c>
      <c r="O6136" s="2">
        <f ca="1"/>
        <v>-3.7167222758963586E-2</v>
      </c>
      <c r="X6136" s="2">
        <f ca="1"/>
        <v>48.075588782457288</v>
      </c>
      <c r="AG6136" s="2">
        <f ca="1"/>
        <v>0.19501555110467872</v>
      </c>
      <c r="AH6136" s="2" t="str">
        <f ca="1"/>
        <v>OK</v>
      </c>
    </row>
    <row r="6137" spans="2:34" x14ac:dyDescent="0.2">
      <c r="B6137" s="2">
        <f ca="1"/>
        <v>0.63751438903175428</v>
      </c>
      <c r="O6137" s="2">
        <f ca="1"/>
        <v>-1.1330587231822811</v>
      </c>
      <c r="X6137" s="2">
        <f ca="1"/>
        <v>60.286394279711182</v>
      </c>
      <c r="AG6137" s="2">
        <f ca="1"/>
        <v>0.49612759190518951</v>
      </c>
      <c r="AH6137" s="2" t="str">
        <f ca="1"/>
        <v>Bad</v>
      </c>
    </row>
    <row r="6138" spans="2:34" x14ac:dyDescent="0.2">
      <c r="B6138" s="2">
        <f ca="1"/>
        <v>0.19169613698928756</v>
      </c>
      <c r="O6138" s="2">
        <f ca="1"/>
        <v>-1.6352355796924216</v>
      </c>
      <c r="X6138" s="2">
        <f ca="1"/>
        <v>35.446795955019752</v>
      </c>
      <c r="AG6138" s="2">
        <f ca="1"/>
        <v>0.99259790953841298</v>
      </c>
      <c r="AH6138" s="2" t="str">
        <f ca="1"/>
        <v>Bad</v>
      </c>
    </row>
    <row r="6139" spans="2:34" x14ac:dyDescent="0.2">
      <c r="B6139" s="2">
        <f ca="1"/>
        <v>0.87165699287525356</v>
      </c>
      <c r="O6139" s="2">
        <f ca="1"/>
        <v>-1.5196533877935334</v>
      </c>
      <c r="X6139" s="2">
        <f ca="1"/>
        <v>71.47653143170713</v>
      </c>
      <c r="AG6139" s="2">
        <f ca="1"/>
        <v>0.21766639639143004</v>
      </c>
      <c r="AH6139" s="2" t="str">
        <f ca="1"/>
        <v>OK</v>
      </c>
    </row>
    <row r="6140" spans="2:34" x14ac:dyDescent="0.2">
      <c r="B6140" s="2">
        <f ca="1"/>
        <v>0.766612301012074</v>
      </c>
      <c r="O6140" s="2">
        <f ca="1"/>
        <v>-8.9303934748572469E-2</v>
      </c>
      <c r="X6140" s="2">
        <f ca="1"/>
        <v>59.694755759362693</v>
      </c>
      <c r="AG6140" s="2">
        <f ca="1"/>
        <v>0.36536874723622947</v>
      </c>
      <c r="AH6140" s="2" t="str">
        <f ca="1"/>
        <v>OK</v>
      </c>
    </row>
    <row r="6141" spans="2:34" x14ac:dyDescent="0.2">
      <c r="B6141" s="2">
        <f ca="1"/>
        <v>0.51309646506895823</v>
      </c>
      <c r="O6141" s="2">
        <f ca="1"/>
        <v>1.4747622324284977</v>
      </c>
      <c r="X6141" s="2">
        <f ca="1"/>
        <v>44.718337595222486</v>
      </c>
      <c r="AG6141" s="2">
        <f ca="1"/>
        <v>0.14336755297371595</v>
      </c>
      <c r="AH6141" s="2" t="str">
        <f ca="1"/>
        <v>OK</v>
      </c>
    </row>
    <row r="6142" spans="2:34" x14ac:dyDescent="0.2">
      <c r="B6142" s="2">
        <f ca="1"/>
        <v>0.2322719760148968</v>
      </c>
      <c r="O6142" s="2">
        <f ca="1"/>
        <v>0.72244867359541287</v>
      </c>
      <c r="X6142" s="2">
        <f ca="1"/>
        <v>62.320089256277988</v>
      </c>
      <c r="AG6142" s="2">
        <f ca="1"/>
        <v>0.99220995481953667</v>
      </c>
      <c r="AH6142" s="2" t="str">
        <f ca="1"/>
        <v>Bad</v>
      </c>
    </row>
    <row r="6143" spans="2:34" x14ac:dyDescent="0.2">
      <c r="B6143" s="2">
        <f ca="1"/>
        <v>0.80798560298504696</v>
      </c>
      <c r="O6143" s="2">
        <f ca="1"/>
        <v>-1.3039972691528028</v>
      </c>
      <c r="X6143" s="2">
        <f ca="1"/>
        <v>30.458493731582127</v>
      </c>
      <c r="AG6143" s="2">
        <f ca="1"/>
        <v>0.425857992372765</v>
      </c>
      <c r="AH6143" s="2" t="str">
        <f ca="1"/>
        <v>Bad</v>
      </c>
    </row>
    <row r="6144" spans="2:34" x14ac:dyDescent="0.2">
      <c r="B6144" s="2">
        <f ca="1"/>
        <v>0.58483842293311139</v>
      </c>
      <c r="O6144" s="2">
        <f ca="1"/>
        <v>0.58205089830379986</v>
      </c>
      <c r="X6144" s="2">
        <f ca="1"/>
        <v>66.781779358489771</v>
      </c>
      <c r="AG6144" s="2">
        <f ca="1"/>
        <v>0.98136046096307195</v>
      </c>
      <c r="AH6144" s="2" t="str">
        <f ca="1"/>
        <v>Bad</v>
      </c>
    </row>
    <row r="6145" spans="2:34" x14ac:dyDescent="0.2">
      <c r="B6145" s="2">
        <f ca="1"/>
        <v>7.0673557794340702E-3</v>
      </c>
      <c r="O6145" s="2">
        <f ca="1"/>
        <v>1.6266796600333902</v>
      </c>
      <c r="X6145" s="2">
        <f ca="1"/>
        <v>51.295450531443983</v>
      </c>
      <c r="AG6145" s="2">
        <f ca="1"/>
        <v>0.55579676146443058</v>
      </c>
      <c r="AH6145" s="2" t="str">
        <f ca="1"/>
        <v>Bad</v>
      </c>
    </row>
    <row r="6146" spans="2:34" x14ac:dyDescent="0.2">
      <c r="B6146" s="2">
        <f ca="1"/>
        <v>0.44020405168887744</v>
      </c>
      <c r="O6146" s="2">
        <f ca="1"/>
        <v>-9.8575086132771904E-3</v>
      </c>
      <c r="X6146" s="2">
        <f ca="1"/>
        <v>21.388213876471518</v>
      </c>
      <c r="AG6146" s="2">
        <f ca="1"/>
        <v>0.73402572279194023</v>
      </c>
      <c r="AH6146" s="2" t="str">
        <f ca="1"/>
        <v>Bad</v>
      </c>
    </row>
    <row r="6147" spans="2:34" x14ac:dyDescent="0.2">
      <c r="B6147" s="2">
        <f ca="1"/>
        <v>0.44065666647790835</v>
      </c>
      <c r="O6147" s="2">
        <f ca="1"/>
        <v>0.84566168190961644</v>
      </c>
      <c r="X6147" s="2">
        <f ca="1"/>
        <v>64.839441940824855</v>
      </c>
      <c r="AG6147" s="2">
        <f ca="1"/>
        <v>0.93109354301138469</v>
      </c>
      <c r="AH6147" s="2" t="str">
        <f ca="1"/>
        <v>Bad</v>
      </c>
    </row>
    <row r="6148" spans="2:34" x14ac:dyDescent="0.2">
      <c r="B6148" s="2">
        <f ca="1"/>
        <v>0.7218680226751284</v>
      </c>
      <c r="O6148" s="2">
        <f ca="1"/>
        <v>-9.4746127823253673E-2</v>
      </c>
      <c r="X6148" s="2">
        <f ca="1"/>
        <v>70.218959760726989</v>
      </c>
      <c r="AG6148" s="2">
        <f ca="1"/>
        <v>0.24240492249490098</v>
      </c>
      <c r="AH6148" s="2" t="str">
        <f ca="1"/>
        <v>OK</v>
      </c>
    </row>
    <row r="6149" spans="2:34" x14ac:dyDescent="0.2">
      <c r="B6149" s="2">
        <f ca="1"/>
        <v>0.83956221617884719</v>
      </c>
      <c r="O6149" s="2">
        <f ca="1"/>
        <v>-0.54812157558383012</v>
      </c>
      <c r="X6149" s="2">
        <f ca="1"/>
        <v>35.125481950890972</v>
      </c>
      <c r="AG6149" s="2">
        <f ca="1"/>
        <v>0.57452074594613745</v>
      </c>
      <c r="AH6149" s="2" t="str">
        <f ca="1"/>
        <v>Bad</v>
      </c>
    </row>
    <row r="6150" spans="2:34" x14ac:dyDescent="0.2">
      <c r="B6150" s="2">
        <f ca="1"/>
        <v>0.40699282264676007</v>
      </c>
      <c r="O6150" s="2">
        <f ca="1"/>
        <v>1.463045434870144</v>
      </c>
      <c r="X6150" s="2">
        <f ca="1"/>
        <v>59.473542332135317</v>
      </c>
      <c r="AG6150" s="2">
        <f ca="1"/>
        <v>0.99982423740731008</v>
      </c>
      <c r="AH6150" s="2" t="str">
        <f ca="1"/>
        <v>Bad</v>
      </c>
    </row>
    <row r="6151" spans="2:34" x14ac:dyDescent="0.2">
      <c r="B6151" s="2">
        <f ca="1"/>
        <v>0.47529611258457738</v>
      </c>
      <c r="O6151" s="2">
        <f ca="1"/>
        <v>-0.1583375855750091</v>
      </c>
      <c r="X6151" s="2">
        <f ca="1"/>
        <v>53.2915990761581</v>
      </c>
      <c r="AG6151" s="2">
        <f ca="1"/>
        <v>0.78793071517171365</v>
      </c>
      <c r="AH6151" s="2" t="str">
        <f ca="1"/>
        <v>Bad</v>
      </c>
    </row>
    <row r="6152" spans="2:34" x14ac:dyDescent="0.2">
      <c r="B6152" s="2">
        <f ca="1"/>
        <v>0.16461265172359174</v>
      </c>
      <c r="O6152" s="2">
        <f ca="1"/>
        <v>-0.59762662425637558</v>
      </c>
      <c r="X6152" s="2">
        <f ca="1"/>
        <v>63.055922332300739</v>
      </c>
      <c r="AG6152" s="2">
        <f ca="1"/>
        <v>0.73839519316896363</v>
      </c>
      <c r="AH6152" s="2" t="str">
        <f ca="1"/>
        <v>Bad</v>
      </c>
    </row>
    <row r="6153" spans="2:34" x14ac:dyDescent="0.2">
      <c r="B6153" s="2">
        <f ca="1"/>
        <v>0.93753846886492953</v>
      </c>
      <c r="O6153" s="2">
        <f ca="1"/>
        <v>1.6820744871460998</v>
      </c>
      <c r="X6153" s="2">
        <f ca="1"/>
        <v>46.282208698658572</v>
      </c>
      <c r="AG6153" s="2">
        <f ca="1"/>
        <v>0.31389693487016923</v>
      </c>
      <c r="AH6153" s="2" t="str">
        <f ca="1"/>
        <v>OK</v>
      </c>
    </row>
    <row r="6154" spans="2:34" x14ac:dyDescent="0.2">
      <c r="B6154" s="2">
        <f ca="1"/>
        <v>0.51794302275556903</v>
      </c>
      <c r="O6154" s="2">
        <f ca="1"/>
        <v>-0.84115118257082611</v>
      </c>
      <c r="X6154" s="2">
        <f ca="1"/>
        <v>64.008201432215643</v>
      </c>
      <c r="AG6154" s="2">
        <f ca="1"/>
        <v>5.49625956273736E-2</v>
      </c>
      <c r="AH6154" s="2" t="str">
        <f ca="1"/>
        <v>OK</v>
      </c>
    </row>
    <row r="6155" spans="2:34" x14ac:dyDescent="0.2">
      <c r="B6155" s="2">
        <f ca="1"/>
        <v>0.53536037956317051</v>
      </c>
      <c r="O6155" s="2">
        <f ca="1"/>
        <v>-0.53374903285952346</v>
      </c>
      <c r="X6155" s="2">
        <f ca="1"/>
        <v>54.083613220335153</v>
      </c>
      <c r="AG6155" s="2">
        <f ca="1"/>
        <v>0.96992739038491993</v>
      </c>
      <c r="AH6155" s="2" t="str">
        <f ca="1"/>
        <v>Bad</v>
      </c>
    </row>
    <row r="6156" spans="2:34" x14ac:dyDescent="0.2">
      <c r="B6156" s="2">
        <f ca="1"/>
        <v>0.37222875675159783</v>
      </c>
      <c r="O6156" s="2">
        <f ca="1"/>
        <v>0.43512713098497346</v>
      </c>
      <c r="X6156" s="2">
        <f ca="1"/>
        <v>36.082667747308662</v>
      </c>
      <c r="AG6156" s="2">
        <f ca="1"/>
        <v>0.80769333445615876</v>
      </c>
      <c r="AH6156" s="2" t="str">
        <f ca="1"/>
        <v>Bad</v>
      </c>
    </row>
    <row r="6157" spans="2:34" x14ac:dyDescent="0.2">
      <c r="B6157" s="2">
        <f ca="1"/>
        <v>0.81487410520149295</v>
      </c>
      <c r="O6157" s="2">
        <f ca="1"/>
        <v>-1.6956017430085193</v>
      </c>
      <c r="X6157" s="2">
        <f ca="1"/>
        <v>49.598757616094524</v>
      </c>
      <c r="AG6157" s="2">
        <f ca="1"/>
        <v>0.43454448825216918</v>
      </c>
      <c r="AH6157" s="2" t="str">
        <f ca="1"/>
        <v>Bad</v>
      </c>
    </row>
    <row r="6158" spans="2:34" x14ac:dyDescent="0.2">
      <c r="B6158" s="2">
        <f ca="1"/>
        <v>0.89150565714932717</v>
      </c>
      <c r="O6158" s="2">
        <f ca="1"/>
        <v>1.3500665870691972</v>
      </c>
      <c r="X6158" s="2">
        <f ca="1"/>
        <v>44.537592146016308</v>
      </c>
      <c r="AG6158" s="2">
        <f ca="1"/>
        <v>0.35450089542475705</v>
      </c>
      <c r="AH6158" s="2" t="str">
        <f ca="1"/>
        <v>OK</v>
      </c>
    </row>
    <row r="6159" spans="2:34" x14ac:dyDescent="0.2">
      <c r="B6159" s="2">
        <f ca="1"/>
        <v>0.56663732685144041</v>
      </c>
      <c r="O6159" s="2">
        <f ca="1"/>
        <v>-5.6501519053387961E-2</v>
      </c>
      <c r="X6159" s="2">
        <f ca="1"/>
        <v>52.705853578450636</v>
      </c>
      <c r="AG6159" s="2">
        <f ca="1"/>
        <v>0.36598767408284627</v>
      </c>
      <c r="AH6159" s="2" t="str">
        <f ca="1"/>
        <v>OK</v>
      </c>
    </row>
    <row r="6160" spans="2:34" x14ac:dyDescent="0.2">
      <c r="B6160" s="2">
        <f ca="1"/>
        <v>0.57756405353681872</v>
      </c>
      <c r="O6160" s="2">
        <f ca="1"/>
        <v>-0.22712531605716707</v>
      </c>
      <c r="X6160" s="2">
        <f ca="1"/>
        <v>42.016566781759614</v>
      </c>
      <c r="AG6160" s="2">
        <f ca="1"/>
        <v>0.65832966727020659</v>
      </c>
      <c r="AH6160" s="2" t="str">
        <f ca="1"/>
        <v>Bad</v>
      </c>
    </row>
    <row r="6161" spans="2:34" x14ac:dyDescent="0.2">
      <c r="B6161" s="2">
        <f ca="1"/>
        <v>0.58049502294499256</v>
      </c>
      <c r="O6161" s="2">
        <f ca="1"/>
        <v>2.0350595473976187</v>
      </c>
      <c r="X6161" s="2">
        <f ca="1"/>
        <v>63.057081841870122</v>
      </c>
      <c r="AG6161" s="2">
        <f ca="1"/>
        <v>0.1977587077700067</v>
      </c>
      <c r="AH6161" s="2" t="str">
        <f ca="1"/>
        <v>OK</v>
      </c>
    </row>
    <row r="6162" spans="2:34" x14ac:dyDescent="0.2">
      <c r="B6162" s="2">
        <f ca="1"/>
        <v>0.85614904675448034</v>
      </c>
      <c r="O6162" s="2">
        <f ca="1"/>
        <v>-1.1796556716152879</v>
      </c>
      <c r="X6162" s="2">
        <f ca="1"/>
        <v>43.389928368025153</v>
      </c>
      <c r="AG6162" s="2">
        <f ca="1"/>
        <v>0.39118900282201063</v>
      </c>
      <c r="AH6162" s="2" t="str">
        <f ca="1"/>
        <v>OK</v>
      </c>
    </row>
    <row r="6163" spans="2:34" x14ac:dyDescent="0.2">
      <c r="B6163" s="2">
        <f ca="1"/>
        <v>0.95885259769648457</v>
      </c>
      <c r="O6163" s="2">
        <f ca="1"/>
        <v>-0.90469517041314285</v>
      </c>
      <c r="X6163" s="2">
        <f ca="1"/>
        <v>37.897532121279092</v>
      </c>
      <c r="AG6163" s="2">
        <f ca="1"/>
        <v>0.39816853371812377</v>
      </c>
      <c r="AH6163" s="2" t="str">
        <f ca="1"/>
        <v>OK</v>
      </c>
    </row>
    <row r="6164" spans="2:34" x14ac:dyDescent="0.2">
      <c r="B6164" s="2">
        <f ca="1"/>
        <v>0.9691485623654672</v>
      </c>
      <c r="O6164" s="2">
        <f ca="1"/>
        <v>1.2823098117244227</v>
      </c>
      <c r="X6164" s="2">
        <f ca="1"/>
        <v>39.33436399040027</v>
      </c>
      <c r="AG6164" s="2">
        <f ca="1"/>
        <v>0.80901462220829612</v>
      </c>
      <c r="AH6164" s="2" t="str">
        <f ca="1"/>
        <v>Bad</v>
      </c>
    </row>
    <row r="6165" spans="2:34" x14ac:dyDescent="0.2">
      <c r="B6165" s="2">
        <f ca="1"/>
        <v>0.57876575311415923</v>
      </c>
      <c r="O6165" s="2">
        <f ca="1"/>
        <v>-0.36661079094457355</v>
      </c>
      <c r="X6165" s="2">
        <f ca="1"/>
        <v>42.413091552661832</v>
      </c>
      <c r="AG6165" s="2">
        <f ca="1"/>
        <v>0.32965068888563565</v>
      </c>
      <c r="AH6165" s="2" t="str">
        <f ca="1"/>
        <v>OK</v>
      </c>
    </row>
    <row r="6166" spans="2:34" x14ac:dyDescent="0.2">
      <c r="B6166" s="2">
        <f ca="1"/>
        <v>6.0657684459624717E-2</v>
      </c>
      <c r="O6166" s="2">
        <f ca="1"/>
        <v>1.118003759026839</v>
      </c>
      <c r="X6166" s="2">
        <f ca="1"/>
        <v>42.436450895760991</v>
      </c>
      <c r="AG6166" s="2">
        <f ca="1"/>
        <v>1.8580813036037647E-3</v>
      </c>
      <c r="AH6166" s="2" t="str">
        <f ca="1"/>
        <v>Good</v>
      </c>
    </row>
    <row r="6167" spans="2:34" x14ac:dyDescent="0.2">
      <c r="B6167" s="2">
        <f ca="1"/>
        <v>0.90876468142423605</v>
      </c>
      <c r="O6167" s="2">
        <f ca="1"/>
        <v>-2.0937567173844962</v>
      </c>
      <c r="X6167" s="2">
        <f ca="1"/>
        <v>40.20857925826148</v>
      </c>
      <c r="AG6167" s="2">
        <f ca="1"/>
        <v>0.74546862832536442</v>
      </c>
      <c r="AH6167" s="2" t="str">
        <f ca="1"/>
        <v>Bad</v>
      </c>
    </row>
    <row r="6168" spans="2:34" x14ac:dyDescent="0.2">
      <c r="B6168" s="2">
        <f ca="1"/>
        <v>4.3249914711922743E-2</v>
      </c>
      <c r="O6168" s="2">
        <f ca="1"/>
        <v>-0.52607628966395226</v>
      </c>
      <c r="X6168" s="2">
        <f ca="1"/>
        <v>68.097932319373911</v>
      </c>
      <c r="AG6168" s="2">
        <f ca="1"/>
        <v>0.95707473355276984</v>
      </c>
      <c r="AH6168" s="2" t="str">
        <f ca="1"/>
        <v>Bad</v>
      </c>
    </row>
    <row r="6169" spans="2:34" x14ac:dyDescent="0.2">
      <c r="B6169" s="2">
        <f ca="1"/>
        <v>0.6004009191559001</v>
      </c>
      <c r="O6169" s="2">
        <f ca="1"/>
        <v>-1.0842403122782018</v>
      </c>
      <c r="X6169" s="2">
        <f ca="1"/>
        <v>55.038660248506204</v>
      </c>
      <c r="AG6169" s="2">
        <f ca="1"/>
        <v>0.49858843567008204</v>
      </c>
      <c r="AH6169" s="2" t="str">
        <f ca="1"/>
        <v>Bad</v>
      </c>
    </row>
    <row r="6170" spans="2:34" x14ac:dyDescent="0.2">
      <c r="B6170" s="2">
        <f ca="1"/>
        <v>0.16989751200268755</v>
      </c>
      <c r="O6170" s="2">
        <f ca="1"/>
        <v>0.86660324185694193</v>
      </c>
      <c r="X6170" s="2">
        <f ca="1"/>
        <v>26.314404002229416</v>
      </c>
      <c r="AG6170" s="2">
        <f ca="1"/>
        <v>0.15514725628822323</v>
      </c>
      <c r="AH6170" s="2" t="str">
        <f ca="1"/>
        <v>OK</v>
      </c>
    </row>
    <row r="6171" spans="2:34" x14ac:dyDescent="0.2">
      <c r="B6171" s="2">
        <f ca="1"/>
        <v>0.41050630093591867</v>
      </c>
      <c r="O6171" s="2">
        <f ca="1"/>
        <v>-2.3914403404036522</v>
      </c>
      <c r="X6171" s="2">
        <f ca="1"/>
        <v>32.883329963860945</v>
      </c>
      <c r="AG6171" s="2">
        <f ca="1"/>
        <v>0.39384897294765975</v>
      </c>
      <c r="AH6171" s="2" t="str">
        <f ca="1"/>
        <v>OK</v>
      </c>
    </row>
    <row r="6172" spans="2:34" x14ac:dyDescent="0.2">
      <c r="B6172" s="2">
        <f ca="1"/>
        <v>0.83985873686983314</v>
      </c>
      <c r="O6172" s="2">
        <f ca="1"/>
        <v>0.41740043620294442</v>
      </c>
      <c r="X6172" s="2">
        <f ca="1"/>
        <v>38.385440631875277</v>
      </c>
      <c r="AG6172" s="2">
        <f ca="1"/>
        <v>9.4408020386782754E-2</v>
      </c>
      <c r="AH6172" s="2" t="str">
        <f ca="1"/>
        <v>OK</v>
      </c>
    </row>
    <row r="6173" spans="2:34" x14ac:dyDescent="0.2">
      <c r="B6173" s="2">
        <f ca="1"/>
        <v>0.77059360092381035</v>
      </c>
      <c r="O6173" s="2">
        <f ca="1"/>
        <v>-0.64860210289162257</v>
      </c>
      <c r="X6173" s="2">
        <f ca="1"/>
        <v>36.692257335096691</v>
      </c>
      <c r="AG6173" s="2">
        <f ca="1"/>
        <v>0.27757875142310251</v>
      </c>
      <c r="AH6173" s="2" t="str">
        <f ca="1"/>
        <v>OK</v>
      </c>
    </row>
    <row r="6174" spans="2:34" x14ac:dyDescent="0.2">
      <c r="B6174" s="2">
        <f ca="1"/>
        <v>0.61157417924480506</v>
      </c>
      <c r="O6174" s="2">
        <f ca="1"/>
        <v>0.33046364914401372</v>
      </c>
      <c r="X6174" s="2">
        <f ca="1"/>
        <v>58.152101742566998</v>
      </c>
      <c r="AG6174" s="2">
        <f ca="1"/>
        <v>0.85062015086203369</v>
      </c>
      <c r="AH6174" s="2" t="str">
        <f ca="1"/>
        <v>Bad</v>
      </c>
    </row>
    <row r="6175" spans="2:34" x14ac:dyDescent="0.2">
      <c r="B6175" s="2">
        <f ca="1"/>
        <v>0.97968399224161073</v>
      </c>
      <c r="O6175" s="2">
        <f ca="1"/>
        <v>-0.94435686583978062</v>
      </c>
      <c r="X6175" s="2">
        <f ca="1"/>
        <v>49.09219446184575</v>
      </c>
      <c r="AG6175" s="2">
        <f ca="1"/>
        <v>0.47629158572867714</v>
      </c>
      <c r="AH6175" s="2" t="str">
        <f ca="1"/>
        <v>Bad</v>
      </c>
    </row>
    <row r="6176" spans="2:34" x14ac:dyDescent="0.2">
      <c r="B6176" s="2">
        <f ca="1"/>
        <v>0.50904689519358182</v>
      </c>
      <c r="O6176" s="2">
        <f ca="1"/>
        <v>1.7832147066147621</v>
      </c>
      <c r="X6176" s="2">
        <f ca="1"/>
        <v>80.319675992341899</v>
      </c>
      <c r="AG6176" s="2">
        <f ca="1"/>
        <v>0.78609221152383224</v>
      </c>
      <c r="AH6176" s="2" t="str">
        <f ca="1"/>
        <v>Bad</v>
      </c>
    </row>
    <row r="6177" spans="2:34" x14ac:dyDescent="0.2">
      <c r="B6177" s="2">
        <f ca="1"/>
        <v>0.39844224912392856</v>
      </c>
      <c r="O6177" s="2">
        <f ca="1"/>
        <v>-1.5700684418818669</v>
      </c>
      <c r="X6177" s="2">
        <f ca="1"/>
        <v>45.164333232830252</v>
      </c>
      <c r="AG6177" s="2">
        <f ca="1"/>
        <v>9.9811480607980174E-2</v>
      </c>
      <c r="AH6177" s="2" t="str">
        <f ca="1"/>
        <v>OK</v>
      </c>
    </row>
    <row r="6178" spans="2:34" x14ac:dyDescent="0.2">
      <c r="B6178" s="2">
        <f ca="1"/>
        <v>4.8732663079663174E-2</v>
      </c>
      <c r="O6178" s="2">
        <f ca="1"/>
        <v>9.2252109032205862E-2</v>
      </c>
      <c r="X6178" s="2">
        <f ca="1"/>
        <v>108.85721104621565</v>
      </c>
      <c r="AG6178" s="2">
        <f ca="1"/>
        <v>0.58793756046333479</v>
      </c>
      <c r="AH6178" s="2" t="str">
        <f ca="1"/>
        <v>Bad</v>
      </c>
    </row>
    <row r="6179" spans="2:34" x14ac:dyDescent="0.2">
      <c r="B6179" s="2">
        <f ca="1"/>
        <v>0.79704698237848892</v>
      </c>
      <c r="O6179" s="2">
        <f ca="1"/>
        <v>-0.43877232983421832</v>
      </c>
      <c r="X6179" s="2">
        <f ca="1"/>
        <v>58.2977219673093</v>
      </c>
      <c r="AG6179" s="2">
        <f ca="1"/>
        <v>0.7565280341531655</v>
      </c>
      <c r="AH6179" s="2" t="str">
        <f ca="1"/>
        <v>Bad</v>
      </c>
    </row>
    <row r="6180" spans="2:34" x14ac:dyDescent="0.2">
      <c r="B6180" s="2">
        <f ca="1"/>
        <v>0.39617775378082576</v>
      </c>
      <c r="O6180" s="2">
        <f ca="1"/>
        <v>0.64069369115009023</v>
      </c>
      <c r="X6180" s="2">
        <f ca="1"/>
        <v>40.302931276904495</v>
      </c>
      <c r="AG6180" s="2">
        <f ca="1"/>
        <v>0.44785369884661663</v>
      </c>
      <c r="AH6180" s="2" t="str">
        <f ca="1"/>
        <v>Bad</v>
      </c>
    </row>
    <row r="6181" spans="2:34" x14ac:dyDescent="0.2">
      <c r="B6181" s="2">
        <f ca="1"/>
        <v>0.4651043758618445</v>
      </c>
      <c r="O6181" s="2">
        <f ca="1"/>
        <v>2.3180167021313154E-2</v>
      </c>
      <c r="X6181" s="2">
        <f ca="1"/>
        <v>40.602012863965051</v>
      </c>
      <c r="AG6181" s="2">
        <f ca="1"/>
        <v>0.4034527693431027</v>
      </c>
      <c r="AH6181" s="2" t="str">
        <f ca="1"/>
        <v>Bad</v>
      </c>
    </row>
    <row r="6182" spans="2:34" x14ac:dyDescent="0.2">
      <c r="B6182" s="2">
        <f ca="1"/>
        <v>0.89320425691456662</v>
      </c>
      <c r="O6182" s="2">
        <f ca="1"/>
        <v>-3.6266383779309887E-2</v>
      </c>
      <c r="X6182" s="2">
        <f ca="1"/>
        <v>46.250537526016721</v>
      </c>
      <c r="AG6182" s="2">
        <f ca="1"/>
        <v>9.8556947094517122E-2</v>
      </c>
      <c r="AH6182" s="2" t="str">
        <f ca="1"/>
        <v>OK</v>
      </c>
    </row>
    <row r="6183" spans="2:34" x14ac:dyDescent="0.2">
      <c r="B6183" s="2">
        <f ca="1"/>
        <v>0.97999144686893147</v>
      </c>
      <c r="O6183" s="2">
        <f ca="1"/>
        <v>0.90752931883644761</v>
      </c>
      <c r="X6183" s="2">
        <f ca="1"/>
        <v>69.399404211622723</v>
      </c>
      <c r="AG6183" s="2">
        <f ca="1"/>
        <v>0.10991285011522467</v>
      </c>
      <c r="AH6183" s="2" t="str">
        <f ca="1"/>
        <v>OK</v>
      </c>
    </row>
    <row r="6184" spans="2:34" x14ac:dyDescent="0.2">
      <c r="B6184" s="2">
        <f ca="1"/>
        <v>0.24322736479218188</v>
      </c>
      <c r="O6184" s="2">
        <f ca="1"/>
        <v>-0.13540745767845719</v>
      </c>
      <c r="X6184" s="2">
        <f ca="1"/>
        <v>34.335892448542275</v>
      </c>
      <c r="AG6184" s="2">
        <f ca="1"/>
        <v>0.1627765144947384</v>
      </c>
      <c r="AH6184" s="2" t="str">
        <f ca="1"/>
        <v>OK</v>
      </c>
    </row>
    <row r="6185" spans="2:34" x14ac:dyDescent="0.2">
      <c r="B6185" s="2">
        <f ca="1"/>
        <v>0.434444715825137</v>
      </c>
      <c r="O6185" s="2">
        <f ca="1"/>
        <v>0.18808575669104294</v>
      </c>
      <c r="X6185" s="2">
        <f ca="1"/>
        <v>50.395817633730957</v>
      </c>
      <c r="AG6185" s="2">
        <f ca="1"/>
        <v>0.42434545789970368</v>
      </c>
      <c r="AH6185" s="2" t="str">
        <f ca="1"/>
        <v>Bad</v>
      </c>
    </row>
    <row r="6186" spans="2:34" x14ac:dyDescent="0.2">
      <c r="B6186" s="2">
        <f ca="1"/>
        <v>0.43572937806353762</v>
      </c>
      <c r="O6186" s="2">
        <f ca="1"/>
        <v>1.5841574893737647</v>
      </c>
      <c r="X6186" s="2">
        <f ca="1"/>
        <v>47.241880427154541</v>
      </c>
      <c r="AG6186" s="2">
        <f ca="1"/>
        <v>2.0815602698918356E-2</v>
      </c>
      <c r="AH6186" s="2" t="str">
        <f ca="1"/>
        <v>Good</v>
      </c>
    </row>
    <row r="6187" spans="2:34" x14ac:dyDescent="0.2">
      <c r="B6187" s="2">
        <f ca="1"/>
        <v>0.89049938912567916</v>
      </c>
      <c r="O6187" s="2">
        <f ca="1"/>
        <v>-0.94879210159282523</v>
      </c>
      <c r="X6187" s="2">
        <f ca="1"/>
        <v>48.561897900312132</v>
      </c>
      <c r="AG6187" s="2">
        <f ca="1"/>
        <v>6.5260028635770739E-2</v>
      </c>
      <c r="AH6187" s="2" t="str">
        <f ca="1"/>
        <v>OK</v>
      </c>
    </row>
    <row r="6188" spans="2:34" x14ac:dyDescent="0.2">
      <c r="B6188" s="2">
        <f ca="1"/>
        <v>0.99240197051558154</v>
      </c>
      <c r="O6188" s="2">
        <f ca="1"/>
        <v>0.39536429459304229</v>
      </c>
      <c r="X6188" s="2">
        <f ca="1"/>
        <v>68.429257839325231</v>
      </c>
      <c r="AG6188" s="2">
        <f ca="1"/>
        <v>0.51449605218259742</v>
      </c>
      <c r="AH6188" s="2" t="str">
        <f ca="1"/>
        <v>Bad</v>
      </c>
    </row>
    <row r="6189" spans="2:34" x14ac:dyDescent="0.2">
      <c r="B6189" s="2">
        <f ca="1"/>
        <v>6.1793837231437054E-2</v>
      </c>
      <c r="O6189" s="2">
        <f ca="1"/>
        <v>-1.4871881699133842</v>
      </c>
      <c r="X6189" s="2">
        <f ca="1"/>
        <v>35.876316014863576</v>
      </c>
      <c r="AG6189" s="2">
        <f ca="1"/>
        <v>0.79177831793912778</v>
      </c>
      <c r="AH6189" s="2" t="str">
        <f ca="1"/>
        <v>Bad</v>
      </c>
    </row>
    <row r="6190" spans="2:34" x14ac:dyDescent="0.2">
      <c r="B6190" s="2">
        <f ca="1"/>
        <v>0.63775213612157367</v>
      </c>
      <c r="O6190" s="2">
        <f ca="1"/>
        <v>-0.2984993923867838</v>
      </c>
      <c r="X6190" s="2">
        <f ca="1"/>
        <v>58.350551338625259</v>
      </c>
      <c r="AG6190" s="2">
        <f ca="1"/>
        <v>0.26202156359490747</v>
      </c>
      <c r="AH6190" s="2" t="str">
        <f ca="1"/>
        <v>OK</v>
      </c>
    </row>
    <row r="6191" spans="2:34" x14ac:dyDescent="0.2">
      <c r="B6191" s="2">
        <f ca="1"/>
        <v>0.98378303013089696</v>
      </c>
      <c r="O6191" s="2">
        <f ca="1"/>
        <v>-1.1239682039462628</v>
      </c>
      <c r="X6191" s="2">
        <f ca="1"/>
        <v>82.161524201262992</v>
      </c>
      <c r="AG6191" s="2">
        <f ca="1"/>
        <v>0.19705010457319849</v>
      </c>
      <c r="AH6191" s="2" t="str">
        <f ca="1"/>
        <v>OK</v>
      </c>
    </row>
    <row r="6192" spans="2:34" x14ac:dyDescent="0.2">
      <c r="B6192" s="2">
        <f ca="1"/>
        <v>0.41057092562598752</v>
      </c>
      <c r="O6192" s="2">
        <f ca="1"/>
        <v>-0.72353220174869304</v>
      </c>
      <c r="X6192" s="2">
        <f ca="1"/>
        <v>57.24530418600483</v>
      </c>
      <c r="AG6192" s="2">
        <f ca="1"/>
        <v>0.16067858975911831</v>
      </c>
      <c r="AH6192" s="2" t="str">
        <f ca="1"/>
        <v>OK</v>
      </c>
    </row>
    <row r="6193" spans="2:34" x14ac:dyDescent="0.2">
      <c r="B6193" s="2">
        <f ca="1"/>
        <v>8.1532819595478756E-2</v>
      </c>
      <c r="O6193" s="2">
        <f ca="1"/>
        <v>-0.26240434029095822</v>
      </c>
      <c r="X6193" s="2">
        <f ca="1"/>
        <v>63.254208154395108</v>
      </c>
      <c r="AG6193" s="2">
        <f ca="1"/>
        <v>0.80863936068425968</v>
      </c>
      <c r="AH6193" s="2" t="str">
        <f ca="1"/>
        <v>Bad</v>
      </c>
    </row>
    <row r="6194" spans="2:34" x14ac:dyDescent="0.2">
      <c r="B6194" s="2">
        <f ca="1"/>
        <v>0.37631758387154401</v>
      </c>
      <c r="O6194" s="2">
        <f ca="1"/>
        <v>-1.5568492000737946</v>
      </c>
      <c r="X6194" s="2">
        <f ca="1"/>
        <v>37.444953307898764</v>
      </c>
      <c r="AG6194" s="2">
        <f ca="1"/>
        <v>0.3046324627678143</v>
      </c>
      <c r="AH6194" s="2" t="str">
        <f ca="1"/>
        <v>OK</v>
      </c>
    </row>
    <row r="6195" spans="2:34" x14ac:dyDescent="0.2">
      <c r="B6195" s="2">
        <f ca="1"/>
        <v>0.29161828229330555</v>
      </c>
      <c r="O6195" s="2">
        <f ca="1"/>
        <v>0.57018699313884191</v>
      </c>
      <c r="X6195" s="2">
        <f ca="1"/>
        <v>44.455526760087729</v>
      </c>
      <c r="AG6195" s="2">
        <f ca="1"/>
        <v>0.33638458986559017</v>
      </c>
      <c r="AH6195" s="2" t="str">
        <f ca="1"/>
        <v>OK</v>
      </c>
    </row>
    <row r="6196" spans="2:34" x14ac:dyDescent="0.2">
      <c r="B6196" s="2">
        <f ca="1"/>
        <v>0.11232087426533943</v>
      </c>
      <c r="O6196" s="2">
        <f ca="1"/>
        <v>4.1969155734300191E-2</v>
      </c>
      <c r="X6196" s="2">
        <f ca="1"/>
        <v>44.66843635238191</v>
      </c>
      <c r="AG6196" s="2">
        <f ca="1"/>
        <v>0.93576984090265825</v>
      </c>
      <c r="AH6196" s="2" t="str">
        <f ca="1"/>
        <v>Bad</v>
      </c>
    </row>
    <row r="6197" spans="2:34" x14ac:dyDescent="0.2">
      <c r="B6197" s="2">
        <f ca="1"/>
        <v>9.9856500998127817E-2</v>
      </c>
      <c r="O6197" s="2">
        <f ca="1"/>
        <v>-0.49098983549354625</v>
      </c>
      <c r="X6197" s="2">
        <f ca="1"/>
        <v>51.342301784727901</v>
      </c>
      <c r="AG6197" s="2">
        <f ca="1"/>
        <v>3.8441262098399376E-2</v>
      </c>
      <c r="AH6197" s="2" t="str">
        <f ca="1"/>
        <v>Good</v>
      </c>
    </row>
    <row r="6198" spans="2:34" x14ac:dyDescent="0.2">
      <c r="B6198" s="2">
        <f ca="1"/>
        <v>0.91941269156535865</v>
      </c>
      <c r="O6198" s="2">
        <f ca="1"/>
        <v>0.15408524630689599</v>
      </c>
      <c r="X6198" s="2">
        <f ca="1"/>
        <v>44.520568985290325</v>
      </c>
      <c r="AG6198" s="2">
        <f ca="1"/>
        <v>0.55771610427404483</v>
      </c>
      <c r="AH6198" s="2" t="str">
        <f ca="1"/>
        <v>Bad</v>
      </c>
    </row>
    <row r="6199" spans="2:34" x14ac:dyDescent="0.2">
      <c r="B6199" s="2">
        <f ca="1"/>
        <v>0.20692126064965155</v>
      </c>
      <c r="O6199" s="2">
        <f ca="1"/>
        <v>0.72804767997553355</v>
      </c>
      <c r="X6199" s="2">
        <f ca="1"/>
        <v>70.963493285437224</v>
      </c>
      <c r="AG6199" s="2">
        <f ca="1"/>
        <v>0.18077782204369286</v>
      </c>
      <c r="AH6199" s="2" t="str">
        <f ca="1"/>
        <v>OK</v>
      </c>
    </row>
    <row r="6200" spans="2:34" x14ac:dyDescent="0.2">
      <c r="B6200" s="2">
        <f ca="1"/>
        <v>0.79488860186529364</v>
      </c>
      <c r="O6200" s="2">
        <f ca="1"/>
        <v>1.2158016621448469</v>
      </c>
      <c r="X6200" s="2">
        <f ca="1"/>
        <v>37.581084045700294</v>
      </c>
      <c r="AG6200" s="2">
        <f ca="1"/>
        <v>0.61920083241968071</v>
      </c>
      <c r="AH6200" s="2" t="str">
        <f ca="1"/>
        <v>Bad</v>
      </c>
    </row>
    <row r="6201" spans="2:34" x14ac:dyDescent="0.2">
      <c r="B6201" s="2">
        <f ca="1"/>
        <v>0.33219868552914589</v>
      </c>
      <c r="O6201" s="2">
        <f ca="1"/>
        <v>-1.3150462800809469E-2</v>
      </c>
      <c r="X6201" s="2">
        <f ca="1"/>
        <v>43.974904719998953</v>
      </c>
      <c r="AG6201" s="2">
        <f ca="1"/>
        <v>0.23676080836048485</v>
      </c>
      <c r="AH6201" s="2" t="str">
        <f ca="1"/>
        <v>OK</v>
      </c>
    </row>
    <row r="6202" spans="2:34" x14ac:dyDescent="0.2">
      <c r="B6202" s="2">
        <f ca="1"/>
        <v>0.69692313919607551</v>
      </c>
      <c r="O6202" s="2">
        <f ca="1"/>
        <v>0.52038541001542804</v>
      </c>
      <c r="X6202" s="2">
        <f ca="1"/>
        <v>49.274387857688218</v>
      </c>
      <c r="AG6202" s="2">
        <f ca="1"/>
        <v>0.69770544536399393</v>
      </c>
      <c r="AH6202" s="2" t="str">
        <f ca="1"/>
        <v>Bad</v>
      </c>
    </row>
    <row r="6203" spans="2:34" x14ac:dyDescent="0.2">
      <c r="B6203" s="2">
        <f ca="1"/>
        <v>0.12009338834361882</v>
      </c>
      <c r="O6203" s="2">
        <f ca="1"/>
        <v>0.83134576117617409</v>
      </c>
      <c r="X6203" s="2">
        <f ca="1"/>
        <v>64.11769160177667</v>
      </c>
      <c r="AG6203" s="2">
        <f ca="1"/>
        <v>0.6565198559177059</v>
      </c>
      <c r="AH6203" s="2" t="str">
        <f ca="1"/>
        <v>Bad</v>
      </c>
    </row>
    <row r="6204" spans="2:34" x14ac:dyDescent="0.2">
      <c r="B6204" s="2">
        <f ca="1"/>
        <v>0.57782819346606362</v>
      </c>
      <c r="O6204" s="2">
        <f ca="1"/>
        <v>-2.1666333547258585</v>
      </c>
      <c r="X6204" s="2">
        <f ca="1"/>
        <v>35.492915023282734</v>
      </c>
      <c r="AG6204" s="2">
        <f ca="1"/>
        <v>0.89353943893297805</v>
      </c>
      <c r="AH6204" s="2" t="str">
        <f ca="1"/>
        <v>Bad</v>
      </c>
    </row>
    <row r="6205" spans="2:34" x14ac:dyDescent="0.2">
      <c r="B6205" s="2">
        <f ca="1"/>
        <v>0.67058926006394071</v>
      </c>
      <c r="O6205" s="2">
        <f ca="1"/>
        <v>4.7842654433783084E-2</v>
      </c>
      <c r="X6205" s="2">
        <f ca="1"/>
        <v>55.401249841259556</v>
      </c>
      <c r="AG6205" s="2">
        <f ca="1"/>
        <v>0.2702251664791131</v>
      </c>
      <c r="AH6205" s="2" t="str">
        <f ca="1"/>
        <v>OK</v>
      </c>
    </row>
    <row r="6206" spans="2:34" x14ac:dyDescent="0.2">
      <c r="B6206" s="2">
        <f ca="1"/>
        <v>0.6349032231572096</v>
      </c>
      <c r="O6206" s="2">
        <f ca="1"/>
        <v>-1.0062866677274034</v>
      </c>
      <c r="X6206" s="2">
        <f ca="1"/>
        <v>62.574429381756602</v>
      </c>
      <c r="AG6206" s="2">
        <f ca="1"/>
        <v>0.83369911141688302</v>
      </c>
      <c r="AH6206" s="2" t="str">
        <f ca="1"/>
        <v>Bad</v>
      </c>
    </row>
    <row r="6207" spans="2:34" x14ac:dyDescent="0.2">
      <c r="B6207" s="2">
        <f ca="1"/>
        <v>0.96594438972173458</v>
      </c>
      <c r="O6207" s="2">
        <f ca="1"/>
        <v>-0.10783329408280445</v>
      </c>
      <c r="X6207" s="2">
        <f ca="1"/>
        <v>80.137429698641895</v>
      </c>
      <c r="AG6207" s="2">
        <f ca="1"/>
        <v>0.72711655745906056</v>
      </c>
      <c r="AH6207" s="2" t="str">
        <f ca="1"/>
        <v>Bad</v>
      </c>
    </row>
    <row r="6208" spans="2:34" x14ac:dyDescent="0.2">
      <c r="B6208" s="2">
        <f ca="1"/>
        <v>0.24661694833466141</v>
      </c>
      <c r="O6208" s="2">
        <f ca="1"/>
        <v>0.15883764875289272</v>
      </c>
      <c r="X6208" s="2">
        <f ca="1"/>
        <v>68.451188899266668</v>
      </c>
      <c r="AG6208" s="2">
        <f ca="1"/>
        <v>0.52410640451213908</v>
      </c>
      <c r="AH6208" s="2" t="str">
        <f ca="1"/>
        <v>Bad</v>
      </c>
    </row>
    <row r="6209" spans="2:34" x14ac:dyDescent="0.2">
      <c r="B6209" s="2">
        <f ca="1"/>
        <v>7.7955174250445403E-2</v>
      </c>
      <c r="O6209" s="2">
        <f ca="1"/>
        <v>0.57147052841045776</v>
      </c>
      <c r="X6209" s="2">
        <f ca="1"/>
        <v>50.191326932693769</v>
      </c>
      <c r="AG6209" s="2">
        <f ca="1"/>
        <v>0.81009748320494257</v>
      </c>
      <c r="AH6209" s="2" t="str">
        <f ca="1"/>
        <v>Bad</v>
      </c>
    </row>
    <row r="6210" spans="2:34" x14ac:dyDescent="0.2">
      <c r="B6210" s="2">
        <f ca="1"/>
        <v>0.19182440092389363</v>
      </c>
      <c r="O6210" s="2">
        <f ca="1"/>
        <v>-0.2247839502274864</v>
      </c>
      <c r="X6210" s="2">
        <f ca="1"/>
        <v>55.817366443669449</v>
      </c>
      <c r="AG6210" s="2">
        <f ca="1"/>
        <v>0.43230734439085405</v>
      </c>
      <c r="AH6210" s="2" t="str">
        <f ca="1"/>
        <v>Bad</v>
      </c>
    </row>
    <row r="6211" spans="2:34" x14ac:dyDescent="0.2">
      <c r="B6211" s="2">
        <f ca="1"/>
        <v>0.47719502624345589</v>
      </c>
      <c r="O6211" s="2">
        <f ca="1"/>
        <v>1.5323127038145974</v>
      </c>
      <c r="X6211" s="2">
        <f ca="1"/>
        <v>60.9234090915362</v>
      </c>
      <c r="AG6211" s="2">
        <f ca="1"/>
        <v>0.70085965205879597</v>
      </c>
      <c r="AH6211" s="2" t="str">
        <f ca="1"/>
        <v>Bad</v>
      </c>
    </row>
    <row r="6212" spans="2:34" x14ac:dyDescent="0.2">
      <c r="B6212" s="2">
        <f ca="1"/>
        <v>7.7930378398861411E-2</v>
      </c>
      <c r="O6212" s="2">
        <f ca="1"/>
        <v>0.95971348281355029</v>
      </c>
      <c r="X6212" s="2">
        <f ca="1"/>
        <v>49.371479985828621</v>
      </c>
      <c r="AG6212" s="2">
        <f ca="1"/>
        <v>0.93684149697933194</v>
      </c>
      <c r="AH6212" s="2" t="str">
        <f ca="1"/>
        <v>Bad</v>
      </c>
    </row>
    <row r="6213" spans="2:34" x14ac:dyDescent="0.2">
      <c r="B6213" s="2">
        <f ca="1"/>
        <v>0.31774322524257137</v>
      </c>
      <c r="O6213" s="2">
        <f ca="1"/>
        <v>-2.2018692925632823</v>
      </c>
      <c r="X6213" s="2">
        <f ca="1"/>
        <v>54.760134985649529</v>
      </c>
      <c r="AG6213" s="2">
        <f ca="1"/>
        <v>0.79089518149900817</v>
      </c>
      <c r="AH6213" s="2" t="str">
        <f ca="1"/>
        <v>Bad</v>
      </c>
    </row>
    <row r="6214" spans="2:34" x14ac:dyDescent="0.2">
      <c r="B6214" s="2">
        <f ca="1"/>
        <v>0.14009685626580182</v>
      </c>
      <c r="O6214" s="2">
        <f ca="1"/>
        <v>-0.14242948238350159</v>
      </c>
      <c r="X6214" s="2">
        <f ca="1"/>
        <v>21.937049802241063</v>
      </c>
      <c r="AG6214" s="2">
        <f ca="1"/>
        <v>0.4282357265207275</v>
      </c>
      <c r="AH6214" s="2" t="str">
        <f ca="1"/>
        <v>Bad</v>
      </c>
    </row>
    <row r="6215" spans="2:34" x14ac:dyDescent="0.2">
      <c r="B6215" s="2">
        <f ca="1"/>
        <v>0.78975066799931937</v>
      </c>
      <c r="O6215" s="2">
        <f ca="1"/>
        <v>1.4480599156304028</v>
      </c>
      <c r="X6215" s="2">
        <f ca="1"/>
        <v>45.938842399224662</v>
      </c>
      <c r="AG6215" s="2">
        <f ca="1"/>
        <v>1.0933029225813407E-2</v>
      </c>
      <c r="AH6215" s="2" t="str">
        <f ca="1"/>
        <v>Good</v>
      </c>
    </row>
    <row r="6216" spans="2:34" x14ac:dyDescent="0.2">
      <c r="B6216" s="2">
        <f ca="1"/>
        <v>0.26675507639771467</v>
      </c>
      <c r="O6216" s="2">
        <f ca="1"/>
        <v>2.7869454917543172E-2</v>
      </c>
      <c r="X6216" s="2">
        <f ca="1"/>
        <v>64.404392192611354</v>
      </c>
      <c r="AG6216" s="2">
        <f ca="1"/>
        <v>2.8941349492510149E-2</v>
      </c>
      <c r="AH6216" s="2" t="str">
        <f ca="1"/>
        <v>Good</v>
      </c>
    </row>
    <row r="6217" spans="2:34" x14ac:dyDescent="0.2">
      <c r="B6217" s="2">
        <f ca="1"/>
        <v>0.77978897282421511</v>
      </c>
      <c r="O6217" s="2">
        <f ca="1"/>
        <v>-0.70100845561152092</v>
      </c>
      <c r="X6217" s="2">
        <f ca="1"/>
        <v>35.645777469265724</v>
      </c>
      <c r="AG6217" s="2">
        <f ca="1"/>
        <v>0.99367529041983893</v>
      </c>
      <c r="AH6217" s="2" t="str">
        <f ca="1"/>
        <v>Bad</v>
      </c>
    </row>
    <row r="6218" spans="2:34" x14ac:dyDescent="0.2">
      <c r="B6218" s="2">
        <f ca="1"/>
        <v>0.95074812580571999</v>
      </c>
      <c r="O6218" s="2">
        <f ca="1"/>
        <v>-1.1972712557398555</v>
      </c>
      <c r="X6218" s="2">
        <f ca="1"/>
        <v>44.672492040356801</v>
      </c>
      <c r="AG6218" s="2">
        <f ca="1"/>
        <v>0.77019759449960667</v>
      </c>
      <c r="AH6218" s="2" t="str">
        <f ca="1"/>
        <v>Bad</v>
      </c>
    </row>
    <row r="6219" spans="2:34" x14ac:dyDescent="0.2">
      <c r="B6219" s="2">
        <f ca="1"/>
        <v>0.27492874146191926</v>
      </c>
      <c r="O6219" s="2">
        <f ca="1"/>
        <v>0.33510402520085159</v>
      </c>
      <c r="X6219" s="2">
        <f ca="1"/>
        <v>44.612146807780803</v>
      </c>
      <c r="AG6219" s="2">
        <f ca="1"/>
        <v>0.37001855398866756</v>
      </c>
      <c r="AH6219" s="2" t="str">
        <f ca="1"/>
        <v>OK</v>
      </c>
    </row>
    <row r="6220" spans="2:34" x14ac:dyDescent="0.2">
      <c r="B6220" s="2">
        <f ca="1"/>
        <v>0.20046819236167024</v>
      </c>
      <c r="O6220" s="2">
        <f ca="1"/>
        <v>0.65754093424425153</v>
      </c>
      <c r="X6220" s="2">
        <f ca="1"/>
        <v>42.172128538186101</v>
      </c>
      <c r="AG6220" s="2">
        <f ca="1"/>
        <v>0.52032686104594217</v>
      </c>
      <c r="AH6220" s="2" t="str">
        <f ca="1"/>
        <v>Bad</v>
      </c>
    </row>
    <row r="6221" spans="2:34" x14ac:dyDescent="0.2">
      <c r="B6221" s="2">
        <f ca="1"/>
        <v>0.52352607609503354</v>
      </c>
      <c r="O6221" s="2">
        <f ca="1"/>
        <v>0.94513536976366652</v>
      </c>
      <c r="X6221" s="2">
        <f ca="1"/>
        <v>45.928470624802657</v>
      </c>
      <c r="AG6221" s="2">
        <f ca="1"/>
        <v>0.12020716364657358</v>
      </c>
      <c r="AH6221" s="2" t="str">
        <f ca="1"/>
        <v>OK</v>
      </c>
    </row>
    <row r="6222" spans="2:34" x14ac:dyDescent="0.2">
      <c r="B6222" s="2">
        <f ca="1"/>
        <v>3.949096818575315E-2</v>
      </c>
      <c r="O6222" s="2">
        <f ca="1"/>
        <v>1.5120335944096794</v>
      </c>
      <c r="X6222" s="2">
        <f ca="1"/>
        <v>48.923871965969255</v>
      </c>
      <c r="AG6222" s="2">
        <f ca="1"/>
        <v>0.32760347247402444</v>
      </c>
      <c r="AH6222" s="2" t="str">
        <f ca="1"/>
        <v>OK</v>
      </c>
    </row>
    <row r="6223" spans="2:34" x14ac:dyDescent="0.2">
      <c r="B6223" s="2">
        <f ca="1"/>
        <v>0.43592040553181755</v>
      </c>
      <c r="O6223" s="2">
        <f ca="1"/>
        <v>-1.2021364537919872</v>
      </c>
      <c r="X6223" s="2">
        <f ca="1"/>
        <v>46.74192483411759</v>
      </c>
      <c r="AG6223" s="2">
        <f ca="1"/>
        <v>0.821166648469837</v>
      </c>
      <c r="AH6223" s="2" t="str">
        <f ca="1"/>
        <v>Bad</v>
      </c>
    </row>
    <row r="6224" spans="2:34" x14ac:dyDescent="0.2">
      <c r="B6224" s="2">
        <f ca="1"/>
        <v>0.51461444615031082</v>
      </c>
      <c r="O6224" s="2">
        <f ca="1"/>
        <v>0.44717752390430582</v>
      </c>
      <c r="X6224" s="2">
        <f ca="1"/>
        <v>41.848024688981418</v>
      </c>
      <c r="AG6224" s="2">
        <f ca="1"/>
        <v>0.23347280820664307</v>
      </c>
      <c r="AH6224" s="2" t="str">
        <f ca="1"/>
        <v>OK</v>
      </c>
    </row>
    <row r="6225" spans="2:34" x14ac:dyDescent="0.2">
      <c r="B6225" s="2">
        <f ca="1"/>
        <v>9.7074970168170127E-2</v>
      </c>
      <c r="O6225" s="2">
        <f ca="1"/>
        <v>-0.87344159958302769</v>
      </c>
      <c r="X6225" s="2">
        <f ca="1"/>
        <v>35.629648677985848</v>
      </c>
      <c r="AG6225" s="2">
        <f ca="1"/>
        <v>0.76941701343096347</v>
      </c>
      <c r="AH6225" s="2" t="str">
        <f ca="1"/>
        <v>Bad</v>
      </c>
    </row>
    <row r="6226" spans="2:34" x14ac:dyDescent="0.2">
      <c r="B6226" s="2">
        <f ca="1"/>
        <v>0.45799652237820765</v>
      </c>
      <c r="O6226" s="2">
        <f ca="1"/>
        <v>1.3326475754378304</v>
      </c>
      <c r="X6226" s="2">
        <f ca="1"/>
        <v>50.034859771543118</v>
      </c>
      <c r="AG6226" s="2">
        <f ca="1"/>
        <v>0.68097721778821674</v>
      </c>
      <c r="AH6226" s="2" t="str">
        <f ca="1"/>
        <v>Bad</v>
      </c>
    </row>
    <row r="6227" spans="2:34" x14ac:dyDescent="0.2">
      <c r="B6227" s="2">
        <f ca="1"/>
        <v>0.20816006096770012</v>
      </c>
      <c r="O6227" s="2">
        <f ca="1"/>
        <v>0.42061128761701044</v>
      </c>
      <c r="X6227" s="2">
        <f ca="1"/>
        <v>66.999601007262214</v>
      </c>
      <c r="AG6227" s="2">
        <f ca="1"/>
        <v>0.90905438431458041</v>
      </c>
      <c r="AH6227" s="2" t="str">
        <f ca="1"/>
        <v>Bad</v>
      </c>
    </row>
    <row r="6228" spans="2:34" x14ac:dyDescent="0.2">
      <c r="B6228" s="2">
        <f ca="1"/>
        <v>0.61966525166087938</v>
      </c>
      <c r="O6228" s="2">
        <f ca="1"/>
        <v>1.2665338099877583</v>
      </c>
      <c r="X6228" s="2">
        <f ca="1"/>
        <v>64.629406787589957</v>
      </c>
      <c r="AG6228" s="2">
        <f ca="1"/>
        <v>0.29226547167247552</v>
      </c>
      <c r="AH6228" s="2" t="str">
        <f ca="1"/>
        <v>OK</v>
      </c>
    </row>
    <row r="6229" spans="2:34" x14ac:dyDescent="0.2">
      <c r="B6229" s="2">
        <f ca="1"/>
        <v>0.30983626017652877</v>
      </c>
      <c r="O6229" s="2">
        <f ca="1"/>
        <v>0.75944850804197372</v>
      </c>
      <c r="X6229" s="2">
        <f ca="1"/>
        <v>50.214371559320163</v>
      </c>
      <c r="AG6229" s="2">
        <f ca="1"/>
        <v>9.9949336470303685E-2</v>
      </c>
      <c r="AH6229" s="2" t="str">
        <f ca="1"/>
        <v>OK</v>
      </c>
    </row>
    <row r="6230" spans="2:34" x14ac:dyDescent="0.2">
      <c r="B6230" s="2">
        <f ca="1"/>
        <v>0.66871939837119543</v>
      </c>
      <c r="O6230" s="2">
        <f ca="1"/>
        <v>-0.27940920175065265</v>
      </c>
      <c r="X6230" s="2">
        <f ca="1"/>
        <v>29.473424629002864</v>
      </c>
      <c r="AG6230" s="2">
        <f ca="1"/>
        <v>0.81302411811129338</v>
      </c>
      <c r="AH6230" s="2" t="str">
        <f ca="1"/>
        <v>Bad</v>
      </c>
    </row>
    <row r="6231" spans="2:34" x14ac:dyDescent="0.2">
      <c r="B6231" s="2">
        <f ca="1"/>
        <v>0.19869277267112806</v>
      </c>
      <c r="O6231" s="2">
        <f ca="1"/>
        <v>0.79619554318000541</v>
      </c>
      <c r="X6231" s="2">
        <f ca="1"/>
        <v>66.870520390389942</v>
      </c>
      <c r="AG6231" s="2">
        <f ca="1"/>
        <v>0.92355720939620078</v>
      </c>
      <c r="AH6231" s="2" t="str">
        <f ca="1"/>
        <v>Bad</v>
      </c>
    </row>
    <row r="6232" spans="2:34" x14ac:dyDescent="0.2">
      <c r="B6232" s="2">
        <f ca="1"/>
        <v>0.79716009566321899</v>
      </c>
      <c r="O6232" s="2">
        <f ca="1"/>
        <v>0.79835831951813807</v>
      </c>
      <c r="X6232" s="2">
        <f ca="1"/>
        <v>35.024363470438303</v>
      </c>
      <c r="AG6232" s="2">
        <f ca="1"/>
        <v>0.38795377466751413</v>
      </c>
      <c r="AH6232" s="2" t="str">
        <f ca="1"/>
        <v>OK</v>
      </c>
    </row>
    <row r="6233" spans="2:34" x14ac:dyDescent="0.2">
      <c r="B6233" s="2">
        <f ca="1"/>
        <v>0.28480251570317527</v>
      </c>
      <c r="O6233" s="2">
        <f ca="1"/>
        <v>0.52413002076510651</v>
      </c>
      <c r="X6233" s="2">
        <f ca="1"/>
        <v>38.625421966628089</v>
      </c>
      <c r="AG6233" s="2">
        <f ca="1"/>
        <v>0.68387040118827125</v>
      </c>
      <c r="AH6233" s="2" t="str">
        <f ca="1"/>
        <v>Bad</v>
      </c>
    </row>
    <row r="6234" spans="2:34" x14ac:dyDescent="0.2">
      <c r="B6234" s="2">
        <f ca="1"/>
        <v>0.14372522611656779</v>
      </c>
      <c r="O6234" s="2">
        <f ca="1"/>
        <v>0.26790198599698734</v>
      </c>
      <c r="X6234" s="2">
        <f ca="1"/>
        <v>35.014131401525106</v>
      </c>
      <c r="AG6234" s="2">
        <f ca="1"/>
        <v>0.65779400049940917</v>
      </c>
      <c r="AH6234" s="2" t="str">
        <f ca="1"/>
        <v>Bad</v>
      </c>
    </row>
    <row r="6235" spans="2:34" x14ac:dyDescent="0.2">
      <c r="B6235" s="2">
        <f ca="1"/>
        <v>0.95973906165671252</v>
      </c>
      <c r="O6235" s="2">
        <f ca="1"/>
        <v>-0.33955014789747046</v>
      </c>
      <c r="X6235" s="2">
        <f ca="1"/>
        <v>33.164107057905653</v>
      </c>
      <c r="AG6235" s="2">
        <f ca="1"/>
        <v>0.21431154781320072</v>
      </c>
      <c r="AH6235" s="2" t="str">
        <f ca="1"/>
        <v>OK</v>
      </c>
    </row>
    <row r="6236" spans="2:34" x14ac:dyDescent="0.2">
      <c r="B6236" s="2">
        <f ca="1"/>
        <v>0.46172588982663076</v>
      </c>
      <c r="O6236" s="2">
        <f ca="1"/>
        <v>0.29559591873553048</v>
      </c>
      <c r="X6236" s="2">
        <f ca="1"/>
        <v>39.965847742793244</v>
      </c>
      <c r="AG6236" s="2">
        <f ca="1"/>
        <v>0.5744061460135399</v>
      </c>
      <c r="AH6236" s="2" t="str">
        <f ca="1"/>
        <v>Bad</v>
      </c>
    </row>
    <row r="6237" spans="2:34" x14ac:dyDescent="0.2">
      <c r="B6237" s="2">
        <f ca="1"/>
        <v>8.4762275506721663E-2</v>
      </c>
      <c r="O6237" s="2">
        <f ca="1"/>
        <v>-1.6763147913302732</v>
      </c>
      <c r="X6237" s="2">
        <f ca="1"/>
        <v>51.705732480643235</v>
      </c>
      <c r="AG6237" s="2">
        <f ca="1"/>
        <v>0.25465298881404896</v>
      </c>
      <c r="AH6237" s="2" t="str">
        <f ca="1"/>
        <v>OK</v>
      </c>
    </row>
    <row r="6238" spans="2:34" x14ac:dyDescent="0.2">
      <c r="B6238" s="2">
        <f ca="1"/>
        <v>0.38726301245821482</v>
      </c>
      <c r="O6238" s="2">
        <f ca="1"/>
        <v>-0.94863823953000781</v>
      </c>
      <c r="X6238" s="2">
        <f ca="1"/>
        <v>51.532843878565863</v>
      </c>
      <c r="AG6238" s="2">
        <f ca="1"/>
        <v>0.74858594790942301</v>
      </c>
      <c r="AH6238" s="2" t="str">
        <f ca="1"/>
        <v>Bad</v>
      </c>
    </row>
    <row r="6239" spans="2:34" x14ac:dyDescent="0.2">
      <c r="B6239" s="2">
        <f ca="1"/>
        <v>0.4895432915723501</v>
      </c>
      <c r="O6239" s="2">
        <f ca="1"/>
        <v>0.32465590881744916</v>
      </c>
      <c r="X6239" s="2">
        <f ca="1"/>
        <v>69.14415374719519</v>
      </c>
      <c r="AG6239" s="2">
        <f ca="1"/>
        <v>0.73978174186003431</v>
      </c>
      <c r="AH6239" s="2" t="str">
        <f ca="1"/>
        <v>Bad</v>
      </c>
    </row>
    <row r="6240" spans="2:34" x14ac:dyDescent="0.2">
      <c r="B6240" s="2">
        <f ca="1"/>
        <v>3.0758335267270231E-2</v>
      </c>
      <c r="O6240" s="2">
        <f ca="1"/>
        <v>-1.4955782236127391</v>
      </c>
      <c r="X6240" s="2">
        <f ca="1"/>
        <v>43.63717949247458</v>
      </c>
      <c r="AG6240" s="2">
        <f ca="1"/>
        <v>0.28052486788422293</v>
      </c>
      <c r="AH6240" s="2" t="str">
        <f ca="1"/>
        <v>OK</v>
      </c>
    </row>
    <row r="6241" spans="2:34" x14ac:dyDescent="0.2">
      <c r="B6241" s="2">
        <f ca="1"/>
        <v>0.35326822911290079</v>
      </c>
      <c r="O6241" s="2">
        <f ca="1"/>
        <v>-1.3313961716353349</v>
      </c>
      <c r="X6241" s="2">
        <f ca="1"/>
        <v>38.476322923642755</v>
      </c>
      <c r="AG6241" s="2">
        <f ca="1"/>
        <v>0.21824423224833178</v>
      </c>
      <c r="AH6241" s="2" t="str">
        <f ca="1"/>
        <v>OK</v>
      </c>
    </row>
    <row r="6242" spans="2:34" x14ac:dyDescent="0.2">
      <c r="B6242" s="2">
        <f ca="1"/>
        <v>0.27356609025644718</v>
      </c>
      <c r="O6242" s="2">
        <f ca="1"/>
        <v>0.81321062988829818</v>
      </c>
      <c r="X6242" s="2">
        <f ca="1"/>
        <v>68.982357087924768</v>
      </c>
      <c r="AG6242" s="2">
        <f ca="1"/>
        <v>0.11462349876225675</v>
      </c>
      <c r="AH6242" s="2" t="str">
        <f ca="1"/>
        <v>OK</v>
      </c>
    </row>
    <row r="6243" spans="2:34" x14ac:dyDescent="0.2">
      <c r="B6243" s="2">
        <f ca="1"/>
        <v>0.97219716075980278</v>
      </c>
      <c r="O6243" s="2">
        <f ca="1"/>
        <v>-1.5641127226988634</v>
      </c>
      <c r="X6243" s="2">
        <f ca="1"/>
        <v>35.758681616402981</v>
      </c>
      <c r="AG6243" s="2">
        <f ca="1"/>
        <v>0.67376626965340436</v>
      </c>
      <c r="AH6243" s="2" t="str">
        <f ca="1"/>
        <v>Bad</v>
      </c>
    </row>
    <row r="6244" spans="2:34" x14ac:dyDescent="0.2">
      <c r="B6244" s="2">
        <f ca="1"/>
        <v>0.49845175374386086</v>
      </c>
      <c r="O6244" s="2">
        <f ca="1"/>
        <v>0.23269796068360241</v>
      </c>
      <c r="X6244" s="2">
        <f ca="1"/>
        <v>78.791554417812236</v>
      </c>
      <c r="AG6244" s="2">
        <f ca="1"/>
        <v>0.8702411982353806</v>
      </c>
      <c r="AH6244" s="2" t="str">
        <f ca="1"/>
        <v>Bad</v>
      </c>
    </row>
    <row r="6245" spans="2:34" x14ac:dyDescent="0.2">
      <c r="B6245" s="2">
        <f ca="1"/>
        <v>0.84589146867903153</v>
      </c>
      <c r="O6245" s="2">
        <f ca="1"/>
        <v>-0.48242588146382376</v>
      </c>
      <c r="X6245" s="2">
        <f ca="1"/>
        <v>43.833267730302374</v>
      </c>
      <c r="AG6245" s="2">
        <f ca="1"/>
        <v>0.82697543125779194</v>
      </c>
      <c r="AH6245" s="2" t="str">
        <f ca="1"/>
        <v>Bad</v>
      </c>
    </row>
    <row r="6246" spans="2:34" x14ac:dyDescent="0.2">
      <c r="B6246" s="2">
        <f ca="1"/>
        <v>0.92733654629323148</v>
      </c>
      <c r="O6246" s="2">
        <f ca="1"/>
        <v>-0.78671631543304155</v>
      </c>
      <c r="X6246" s="2">
        <f ca="1"/>
        <v>38.302007329953682</v>
      </c>
      <c r="AG6246" s="2">
        <f ca="1"/>
        <v>0.81053888304761923</v>
      </c>
      <c r="AH6246" s="2" t="str">
        <f ca="1"/>
        <v>Bad</v>
      </c>
    </row>
    <row r="6247" spans="2:34" x14ac:dyDescent="0.2">
      <c r="B6247" s="2">
        <f ca="1"/>
        <v>3.2377678927104636E-3</v>
      </c>
      <c r="O6247" s="2">
        <f ca="1"/>
        <v>-0.17019529260560648</v>
      </c>
      <c r="X6247" s="2">
        <f ca="1"/>
        <v>51.177476127806017</v>
      </c>
      <c r="AG6247" s="2">
        <f ca="1"/>
        <v>0.86170346138913301</v>
      </c>
      <c r="AH6247" s="2" t="str">
        <f ca="1"/>
        <v>Bad</v>
      </c>
    </row>
    <row r="6248" spans="2:34" x14ac:dyDescent="0.2">
      <c r="B6248" s="2">
        <f ca="1"/>
        <v>0.81692448848302268</v>
      </c>
      <c r="O6248" s="2">
        <f ca="1"/>
        <v>-0.67475139609165968</v>
      </c>
      <c r="X6248" s="2">
        <f ca="1"/>
        <v>68.100849041112369</v>
      </c>
      <c r="AG6248" s="2">
        <f ca="1"/>
        <v>0.38440287558719755</v>
      </c>
      <c r="AH6248" s="2" t="str">
        <f ca="1"/>
        <v>OK</v>
      </c>
    </row>
    <row r="6249" spans="2:34" x14ac:dyDescent="0.2">
      <c r="B6249" s="2">
        <f ca="1"/>
        <v>0.30699408090540015</v>
      </c>
      <c r="O6249" s="2">
        <f ca="1"/>
        <v>1.8124944446447284</v>
      </c>
      <c r="X6249" s="2">
        <f ca="1"/>
        <v>61.094416355929731</v>
      </c>
      <c r="AG6249" s="2">
        <f ca="1"/>
        <v>0.90710876752025671</v>
      </c>
      <c r="AH6249" s="2" t="str">
        <f ca="1"/>
        <v>Bad</v>
      </c>
    </row>
    <row r="6250" spans="2:34" x14ac:dyDescent="0.2">
      <c r="B6250" s="2">
        <f ca="1"/>
        <v>0.89934950170843253</v>
      </c>
      <c r="O6250" s="2">
        <f ca="1"/>
        <v>-0.7008390687075613</v>
      </c>
      <c r="X6250" s="2">
        <f ca="1"/>
        <v>52.935936874819312</v>
      </c>
      <c r="AG6250" s="2">
        <f ca="1"/>
        <v>0.80117642449798976</v>
      </c>
      <c r="AH6250" s="2" t="str">
        <f ca="1"/>
        <v>Bad</v>
      </c>
    </row>
    <row r="6251" spans="2:34" x14ac:dyDescent="0.2">
      <c r="B6251" s="2">
        <f ca="1"/>
        <v>0.36242332647706399</v>
      </c>
      <c r="O6251" s="2">
        <f ca="1"/>
        <v>-2.6172794395228537E-2</v>
      </c>
      <c r="X6251" s="2">
        <f ca="1"/>
        <v>46.216756078131105</v>
      </c>
      <c r="AG6251" s="2">
        <f ca="1"/>
        <v>0.47196140303768552</v>
      </c>
      <c r="AH6251" s="2" t="str">
        <f ca="1"/>
        <v>Bad</v>
      </c>
    </row>
    <row r="6252" spans="2:34" x14ac:dyDescent="0.2">
      <c r="B6252" s="2">
        <f ca="1"/>
        <v>0.37052855871444801</v>
      </c>
      <c r="O6252" s="2">
        <f ca="1"/>
        <v>-0.72870143313786184</v>
      </c>
      <c r="X6252" s="2">
        <f ca="1"/>
        <v>33.305637516075485</v>
      </c>
      <c r="AG6252" s="2">
        <f ca="1"/>
        <v>0.4324467173915576</v>
      </c>
      <c r="AH6252" s="2" t="str">
        <f ca="1"/>
        <v>Bad</v>
      </c>
    </row>
    <row r="6253" spans="2:34" x14ac:dyDescent="0.2">
      <c r="B6253" s="2">
        <f ca="1"/>
        <v>3.9486600857894016E-2</v>
      </c>
      <c r="O6253" s="2">
        <f ca="1"/>
        <v>-8.5734933379510908E-2</v>
      </c>
      <c r="X6253" s="2">
        <f ca="1"/>
        <v>25.196021321693557</v>
      </c>
      <c r="AG6253" s="2">
        <f ca="1"/>
        <v>0.57322934044902496</v>
      </c>
      <c r="AH6253" s="2" t="str">
        <f ca="1"/>
        <v>Bad</v>
      </c>
    </row>
    <row r="6254" spans="2:34" x14ac:dyDescent="0.2">
      <c r="B6254" s="2">
        <f ca="1"/>
        <v>5.2264531693859917E-2</v>
      </c>
      <c r="O6254" s="2">
        <f ca="1"/>
        <v>-1.5500646063366887</v>
      </c>
      <c r="X6254" s="2">
        <f ca="1"/>
        <v>31.066877700030858</v>
      </c>
      <c r="AG6254" s="2">
        <f ca="1"/>
        <v>0.30557115941665258</v>
      </c>
      <c r="AH6254" s="2" t="str">
        <f ca="1"/>
        <v>OK</v>
      </c>
    </row>
    <row r="6255" spans="2:34" x14ac:dyDescent="0.2">
      <c r="B6255" s="2">
        <f ca="1"/>
        <v>0.87604589904851893</v>
      </c>
      <c r="O6255" s="2">
        <f ca="1"/>
        <v>-2.2337682911168435</v>
      </c>
      <c r="X6255" s="2">
        <f ca="1"/>
        <v>59.014252849860256</v>
      </c>
      <c r="AG6255" s="2">
        <f ca="1"/>
        <v>0.39236605278279058</v>
      </c>
      <c r="AH6255" s="2" t="str">
        <f ca="1"/>
        <v>OK</v>
      </c>
    </row>
    <row r="6256" spans="2:34" x14ac:dyDescent="0.2">
      <c r="B6256" s="2">
        <f ca="1"/>
        <v>0.58466665274988938</v>
      </c>
      <c r="O6256" s="2">
        <f ca="1"/>
        <v>0.19281526086680209</v>
      </c>
      <c r="X6256" s="2">
        <f ca="1"/>
        <v>39.445431758374568</v>
      </c>
      <c r="AG6256" s="2">
        <f ca="1"/>
        <v>0.90255183816920614</v>
      </c>
      <c r="AH6256" s="2" t="str">
        <f ca="1"/>
        <v>Bad</v>
      </c>
    </row>
    <row r="6257" spans="2:34" x14ac:dyDescent="0.2">
      <c r="B6257" s="2">
        <f ca="1"/>
        <v>0.66466597111912873</v>
      </c>
      <c r="O6257" s="2">
        <f ca="1"/>
        <v>-1.1824491177271641</v>
      </c>
      <c r="X6257" s="2">
        <f ca="1"/>
        <v>79.459885526855885</v>
      </c>
      <c r="AG6257" s="2">
        <f ca="1"/>
        <v>7.3951451211584862E-2</v>
      </c>
      <c r="AH6257" s="2" t="str">
        <f ca="1"/>
        <v>OK</v>
      </c>
    </row>
    <row r="6258" spans="2:34" x14ac:dyDescent="0.2">
      <c r="B6258" s="2">
        <f ca="1"/>
        <v>0.90674292522307565</v>
      </c>
      <c r="O6258" s="2">
        <f ca="1"/>
        <v>-2.189221327656047</v>
      </c>
      <c r="X6258" s="2">
        <f ca="1"/>
        <v>79.308383830787804</v>
      </c>
      <c r="AG6258" s="2">
        <f ca="1"/>
        <v>5.2817820587374165E-3</v>
      </c>
      <c r="AH6258" s="2" t="str">
        <f ca="1"/>
        <v>Good</v>
      </c>
    </row>
    <row r="6259" spans="2:34" x14ac:dyDescent="0.2">
      <c r="B6259" s="2">
        <f ca="1"/>
        <v>0.49752337036875627</v>
      </c>
      <c r="O6259" s="2">
        <f ca="1"/>
        <v>-1.8558666544745686</v>
      </c>
      <c r="X6259" s="2">
        <f ca="1"/>
        <v>36.091000372003343</v>
      </c>
      <c r="AG6259" s="2">
        <f ca="1"/>
        <v>0.59448796130355852</v>
      </c>
      <c r="AH6259" s="2" t="str">
        <f ca="1"/>
        <v>Bad</v>
      </c>
    </row>
    <row r="6260" spans="2:34" x14ac:dyDescent="0.2">
      <c r="B6260" s="2">
        <f ca="1"/>
        <v>0.46545856232041638</v>
      </c>
      <c r="O6260" s="2">
        <f ca="1"/>
        <v>1.5920955698358623</v>
      </c>
      <c r="X6260" s="2">
        <f ca="1"/>
        <v>52.903098105209516</v>
      </c>
      <c r="AG6260" s="2">
        <f ca="1"/>
        <v>0.21879291385534239</v>
      </c>
      <c r="AH6260" s="2" t="str">
        <f ca="1"/>
        <v>OK</v>
      </c>
    </row>
    <row r="6261" spans="2:34" x14ac:dyDescent="0.2">
      <c r="B6261" s="2">
        <f ca="1"/>
        <v>0.27831397118704593</v>
      </c>
      <c r="O6261" s="2">
        <f ca="1"/>
        <v>1.150670802625086</v>
      </c>
      <c r="X6261" s="2">
        <f ca="1"/>
        <v>19.771957993038519</v>
      </c>
      <c r="AG6261" s="2">
        <f ca="1"/>
        <v>0.88628157466213375</v>
      </c>
      <c r="AH6261" s="2" t="str">
        <f ca="1"/>
        <v>Bad</v>
      </c>
    </row>
    <row r="6262" spans="2:34" x14ac:dyDescent="0.2">
      <c r="B6262" s="2">
        <f ca="1"/>
        <v>0.48033632032490226</v>
      </c>
      <c r="O6262" s="2">
        <f ca="1"/>
        <v>-0.27210242106818838</v>
      </c>
      <c r="X6262" s="2">
        <f ca="1"/>
        <v>41.09870611835025</v>
      </c>
      <c r="AG6262" s="2">
        <f ca="1"/>
        <v>0.43767518548608697</v>
      </c>
      <c r="AH6262" s="2" t="str">
        <f ca="1"/>
        <v>Bad</v>
      </c>
    </row>
    <row r="6263" spans="2:34" x14ac:dyDescent="0.2">
      <c r="B6263" s="2">
        <f ca="1"/>
        <v>0.45291591096519146</v>
      </c>
      <c r="O6263" s="2">
        <f ca="1"/>
        <v>0.2666184135893867</v>
      </c>
      <c r="X6263" s="2">
        <f ca="1"/>
        <v>41.476763570195033</v>
      </c>
      <c r="AG6263" s="2">
        <f ca="1"/>
        <v>0.65322515644858781</v>
      </c>
      <c r="AH6263" s="2" t="str">
        <f ca="1"/>
        <v>Bad</v>
      </c>
    </row>
    <row r="6264" spans="2:34" x14ac:dyDescent="0.2">
      <c r="B6264" s="2">
        <f ca="1"/>
        <v>0.70254207746871633</v>
      </c>
      <c r="O6264" s="2">
        <f ca="1"/>
        <v>-0.27023394610951212</v>
      </c>
      <c r="X6264" s="2">
        <f ca="1"/>
        <v>39.511690312850668</v>
      </c>
      <c r="AG6264" s="2">
        <f ca="1"/>
        <v>3.5654632116364882E-2</v>
      </c>
      <c r="AH6264" s="2" t="str">
        <f ca="1"/>
        <v>Good</v>
      </c>
    </row>
    <row r="6265" spans="2:34" x14ac:dyDescent="0.2">
      <c r="B6265" s="2">
        <f ca="1"/>
        <v>9.8208577030199029E-2</v>
      </c>
      <c r="O6265" s="2">
        <f ca="1"/>
        <v>0.43907776941109938</v>
      </c>
      <c r="X6265" s="2">
        <f ca="1"/>
        <v>22.086729732930355</v>
      </c>
      <c r="AG6265" s="2">
        <f ca="1"/>
        <v>0.74406022982310516</v>
      </c>
      <c r="AH6265" s="2" t="str">
        <f ca="1"/>
        <v>Bad</v>
      </c>
    </row>
    <row r="6266" spans="2:34" x14ac:dyDescent="0.2">
      <c r="B6266" s="2">
        <f ca="1"/>
        <v>0.82665882479891883</v>
      </c>
      <c r="O6266" s="2">
        <f ca="1"/>
        <v>-1.5740709510199604</v>
      </c>
      <c r="X6266" s="2">
        <f ca="1"/>
        <v>25.997750656154722</v>
      </c>
      <c r="AG6266" s="2">
        <f ca="1"/>
        <v>8.899766451803437E-2</v>
      </c>
      <c r="AH6266" s="2" t="str">
        <f ca="1"/>
        <v>OK</v>
      </c>
    </row>
    <row r="6267" spans="2:34" x14ac:dyDescent="0.2">
      <c r="B6267" s="2">
        <f ca="1"/>
        <v>0.47074132816938885</v>
      </c>
      <c r="O6267" s="2">
        <f ca="1"/>
        <v>0.10112962237859734</v>
      </c>
      <c r="X6267" s="2">
        <f ca="1"/>
        <v>79.237212043672443</v>
      </c>
      <c r="AG6267" s="2">
        <f ca="1"/>
        <v>0.17508159476140794</v>
      </c>
      <c r="AH6267" s="2" t="str">
        <f ca="1"/>
        <v>OK</v>
      </c>
    </row>
    <row r="6268" spans="2:34" x14ac:dyDescent="0.2">
      <c r="B6268" s="2">
        <f ca="1"/>
        <v>0.54013444955503243</v>
      </c>
      <c r="O6268" s="2">
        <f ca="1"/>
        <v>0.20246676502474203</v>
      </c>
      <c r="X6268" s="2">
        <f ca="1"/>
        <v>59.63953224027037</v>
      </c>
      <c r="AG6268" s="2">
        <f ca="1"/>
        <v>0.75784811315323508</v>
      </c>
      <c r="AH6268" s="2" t="str">
        <f ca="1"/>
        <v>Bad</v>
      </c>
    </row>
    <row r="6269" spans="2:34" x14ac:dyDescent="0.2">
      <c r="B6269" s="2">
        <f ca="1"/>
        <v>0.54716232874692516</v>
      </c>
      <c r="O6269" s="2">
        <f ca="1"/>
        <v>1.241922584734845</v>
      </c>
      <c r="X6269" s="2">
        <f ca="1"/>
        <v>24.452685194502166</v>
      </c>
      <c r="AG6269" s="2">
        <f ca="1"/>
        <v>0.22748527258298257</v>
      </c>
      <c r="AH6269" s="2" t="str">
        <f ca="1"/>
        <v>OK</v>
      </c>
    </row>
    <row r="6270" spans="2:34" x14ac:dyDescent="0.2">
      <c r="B6270" s="2">
        <f ca="1"/>
        <v>0.14104671125626944</v>
      </c>
      <c r="O6270" s="2">
        <f ca="1"/>
        <v>4.3867251034349332E-2</v>
      </c>
      <c r="X6270" s="2">
        <f ca="1"/>
        <v>38.456311559308261</v>
      </c>
      <c r="AG6270" s="2">
        <f ca="1"/>
        <v>0.47200185638051884</v>
      </c>
      <c r="AH6270" s="2" t="str">
        <f ca="1"/>
        <v>Bad</v>
      </c>
    </row>
    <row r="6271" spans="2:34" x14ac:dyDescent="0.2">
      <c r="B6271" s="2">
        <f ca="1"/>
        <v>0.18273407414375376</v>
      </c>
      <c r="O6271" s="2">
        <f ca="1"/>
        <v>-1.1455367577847897</v>
      </c>
      <c r="X6271" s="2">
        <f ca="1"/>
        <v>27.28982654523044</v>
      </c>
      <c r="AG6271" s="2">
        <f ca="1"/>
        <v>0.75039657695378481</v>
      </c>
      <c r="AH6271" s="2" t="str">
        <f ca="1"/>
        <v>Bad</v>
      </c>
    </row>
    <row r="6272" spans="2:34" x14ac:dyDescent="0.2">
      <c r="B6272" s="2">
        <f ca="1"/>
        <v>5.5433360939765919E-2</v>
      </c>
      <c r="O6272" s="2">
        <f ca="1"/>
        <v>-1.4402313997776324</v>
      </c>
      <c r="X6272" s="2">
        <f ca="1"/>
        <v>34.041097822528428</v>
      </c>
      <c r="AG6272" s="2">
        <f ca="1"/>
        <v>6.6750706023073647E-2</v>
      </c>
      <c r="AH6272" s="2" t="str">
        <f ca="1"/>
        <v>OK</v>
      </c>
    </row>
    <row r="6273" spans="2:34" x14ac:dyDescent="0.2">
      <c r="B6273" s="2">
        <f ca="1"/>
        <v>0.48351341467032616</v>
      </c>
      <c r="O6273" s="2">
        <f ca="1"/>
        <v>-0.48428157864984117</v>
      </c>
      <c r="X6273" s="2">
        <f ca="1"/>
        <v>39.22055612475318</v>
      </c>
      <c r="AG6273" s="2">
        <f ca="1"/>
        <v>0.2733664337451347</v>
      </c>
      <c r="AH6273" s="2" t="str">
        <f ca="1"/>
        <v>OK</v>
      </c>
    </row>
    <row r="6274" spans="2:34" x14ac:dyDescent="0.2">
      <c r="B6274" s="2">
        <f ca="1"/>
        <v>0.75265075597375963</v>
      </c>
      <c r="O6274" s="2">
        <f ca="1"/>
        <v>-0.35197472975546418</v>
      </c>
      <c r="X6274" s="2">
        <f ca="1"/>
        <v>38.430880790081837</v>
      </c>
      <c r="AG6274" s="2">
        <f ca="1"/>
        <v>0.63200846165113522</v>
      </c>
      <c r="AH6274" s="2" t="str">
        <f ca="1"/>
        <v>Bad</v>
      </c>
    </row>
    <row r="6275" spans="2:34" x14ac:dyDescent="0.2">
      <c r="B6275" s="2">
        <f ca="1"/>
        <v>0.65875160782607955</v>
      </c>
      <c r="O6275" s="2">
        <f ca="1"/>
        <v>0.36303187246612478</v>
      </c>
      <c r="X6275" s="2">
        <f ca="1"/>
        <v>54.572935865640844</v>
      </c>
      <c r="AG6275" s="2">
        <f ca="1"/>
        <v>0.38368666554728259</v>
      </c>
      <c r="AH6275" s="2" t="str">
        <f ca="1"/>
        <v>OK</v>
      </c>
    </row>
    <row r="6276" spans="2:34" x14ac:dyDescent="0.2">
      <c r="B6276" s="2">
        <f ca="1"/>
        <v>0.42052794891084688</v>
      </c>
      <c r="O6276" s="2">
        <f ca="1"/>
        <v>-0.48728050391836458</v>
      </c>
      <c r="X6276" s="2">
        <f ca="1"/>
        <v>39.93510398988662</v>
      </c>
      <c r="AG6276" s="2">
        <f ca="1"/>
        <v>0.88229893167259821</v>
      </c>
      <c r="AH6276" s="2" t="str">
        <f ca="1"/>
        <v>Bad</v>
      </c>
    </row>
    <row r="6277" spans="2:34" x14ac:dyDescent="0.2">
      <c r="B6277" s="2">
        <f ca="1"/>
        <v>0.49839104245433941</v>
      </c>
      <c r="O6277" s="2">
        <f ca="1"/>
        <v>-6.1486553515289463E-2</v>
      </c>
      <c r="X6277" s="2">
        <f ca="1"/>
        <v>59.460738067621989</v>
      </c>
      <c r="AG6277" s="2">
        <f ca="1"/>
        <v>0.38769293485069167</v>
      </c>
      <c r="AH6277" s="2" t="str">
        <f ca="1"/>
        <v>OK</v>
      </c>
    </row>
    <row r="6278" spans="2:34" x14ac:dyDescent="0.2">
      <c r="B6278" s="2">
        <f ca="1"/>
        <v>0.28922900398197338</v>
      </c>
      <c r="O6278" s="2">
        <f ca="1"/>
        <v>0.68172674095618213</v>
      </c>
      <c r="X6278" s="2">
        <f ca="1"/>
        <v>66.29497958110079</v>
      </c>
      <c r="AG6278" s="2">
        <f ca="1"/>
        <v>0.66239535121764259</v>
      </c>
      <c r="AH6278" s="2" t="str">
        <f ca="1"/>
        <v>Bad</v>
      </c>
    </row>
    <row r="6279" spans="2:34" x14ac:dyDescent="0.2">
      <c r="B6279" s="2">
        <f ca="1"/>
        <v>0.67216388445883779</v>
      </c>
      <c r="O6279" s="2">
        <f ca="1"/>
        <v>6.2370991595048067E-2</v>
      </c>
      <c r="X6279" s="2">
        <f ca="1"/>
        <v>53.909085407069085</v>
      </c>
      <c r="AG6279" s="2">
        <f ca="1"/>
        <v>0.57129610452547275</v>
      </c>
      <c r="AH6279" s="2" t="str">
        <f ca="1"/>
        <v>Bad</v>
      </c>
    </row>
    <row r="6280" spans="2:34" x14ac:dyDescent="0.2">
      <c r="B6280" s="2">
        <f ca="1"/>
        <v>0.73757006490598442</v>
      </c>
      <c r="O6280" s="2">
        <f ca="1"/>
        <v>0.23931696624918464</v>
      </c>
      <c r="X6280" s="2">
        <f ca="1"/>
        <v>64.913256758035089</v>
      </c>
      <c r="AG6280" s="2">
        <f ca="1"/>
        <v>0.70083010668235879</v>
      </c>
      <c r="AH6280" s="2" t="str">
        <f ca="1"/>
        <v>Bad</v>
      </c>
    </row>
    <row r="6281" spans="2:34" x14ac:dyDescent="0.2">
      <c r="B6281" s="2">
        <f ca="1"/>
        <v>0.646793069694926</v>
      </c>
      <c r="O6281" s="2">
        <f ca="1"/>
        <v>0.8904365025622677</v>
      </c>
      <c r="X6281" s="2">
        <f ca="1"/>
        <v>46.756366753914264</v>
      </c>
      <c r="AG6281" s="2">
        <f ca="1"/>
        <v>0.61039141633487315</v>
      </c>
      <c r="AH6281" s="2" t="str">
        <f ca="1"/>
        <v>Bad</v>
      </c>
    </row>
    <row r="6282" spans="2:34" x14ac:dyDescent="0.2">
      <c r="B6282" s="2">
        <f ca="1"/>
        <v>0.28468823095498652</v>
      </c>
      <c r="O6282" s="2">
        <f ca="1"/>
        <v>0.7094745480971596</v>
      </c>
      <c r="X6282" s="2">
        <f ca="1"/>
        <v>47.301125525325141</v>
      </c>
      <c r="AG6282" s="2">
        <f ca="1"/>
        <v>0.58399601819164237</v>
      </c>
      <c r="AH6282" s="2" t="str">
        <f ca="1"/>
        <v>Bad</v>
      </c>
    </row>
    <row r="6283" spans="2:34" x14ac:dyDescent="0.2">
      <c r="B6283" s="2">
        <f ca="1"/>
        <v>0.52489659253448462</v>
      </c>
      <c r="O6283" s="2">
        <f ca="1"/>
        <v>0.93116550156609879</v>
      </c>
      <c r="X6283" s="2">
        <f ca="1"/>
        <v>65.734688150317709</v>
      </c>
      <c r="AG6283" s="2">
        <f ca="1"/>
        <v>0.55635837828574219</v>
      </c>
      <c r="AH6283" s="2" t="str">
        <f ca="1"/>
        <v>Bad</v>
      </c>
    </row>
    <row r="6284" spans="2:34" x14ac:dyDescent="0.2">
      <c r="B6284" s="2">
        <f ca="1"/>
        <v>0.36489436125123698</v>
      </c>
      <c r="O6284" s="2">
        <f ca="1"/>
        <v>0.22584539977524457</v>
      </c>
      <c r="X6284" s="2">
        <f ca="1"/>
        <v>45.157215302912718</v>
      </c>
      <c r="AG6284" s="2">
        <f ca="1"/>
        <v>0.38592808445415838</v>
      </c>
      <c r="AH6284" s="2" t="str">
        <f ca="1"/>
        <v>OK</v>
      </c>
    </row>
    <row r="6285" spans="2:34" x14ac:dyDescent="0.2">
      <c r="B6285" s="2">
        <f ca="1"/>
        <v>0.59652439060795692</v>
      </c>
      <c r="O6285" s="2">
        <f ca="1"/>
        <v>2.3949601813087229</v>
      </c>
      <c r="X6285" s="2">
        <f ca="1"/>
        <v>52.995312539352788</v>
      </c>
      <c r="AG6285" s="2">
        <f ca="1"/>
        <v>0.31543756813676427</v>
      </c>
      <c r="AH6285" s="2" t="str">
        <f ca="1"/>
        <v>OK</v>
      </c>
    </row>
    <row r="6286" spans="2:34" x14ac:dyDescent="0.2">
      <c r="B6286" s="2">
        <f ca="1"/>
        <v>0.9882386350740846</v>
      </c>
      <c r="O6286" s="2">
        <f ca="1"/>
        <v>-0.86927449174979843</v>
      </c>
      <c r="X6286" s="2">
        <f ca="1"/>
        <v>54.391155840337447</v>
      </c>
      <c r="AG6286" s="2">
        <f ca="1"/>
        <v>0.35937640587759812</v>
      </c>
      <c r="AH6286" s="2" t="str">
        <f ca="1"/>
        <v>OK</v>
      </c>
    </row>
    <row r="6287" spans="2:34" x14ac:dyDescent="0.2">
      <c r="B6287" s="2">
        <f ca="1"/>
        <v>0.14958104068724798</v>
      </c>
      <c r="O6287" s="2">
        <f ca="1"/>
        <v>2.5147272603331654</v>
      </c>
      <c r="X6287" s="2">
        <f ca="1"/>
        <v>43.189179410818134</v>
      </c>
      <c r="AG6287" s="2">
        <f ca="1"/>
        <v>0.93434037468708286</v>
      </c>
      <c r="AH6287" s="2" t="str">
        <f ca="1"/>
        <v>Bad</v>
      </c>
    </row>
    <row r="6288" spans="2:34" x14ac:dyDescent="0.2">
      <c r="B6288" s="2">
        <f ca="1"/>
        <v>0.35277718404843483</v>
      </c>
      <c r="O6288" s="2">
        <f ca="1"/>
        <v>1.5453997341046293</v>
      </c>
      <c r="X6288" s="2">
        <f ca="1"/>
        <v>49.420135903140476</v>
      </c>
      <c r="AG6288" s="2">
        <f ca="1"/>
        <v>0.59141302337916168</v>
      </c>
      <c r="AH6288" s="2" t="str">
        <f ca="1"/>
        <v>Bad</v>
      </c>
    </row>
    <row r="6289" spans="2:34" x14ac:dyDescent="0.2">
      <c r="B6289" s="2">
        <f ca="1"/>
        <v>0.38953011834220019</v>
      </c>
      <c r="O6289" s="2">
        <f ca="1"/>
        <v>-0.83741006602359458</v>
      </c>
      <c r="X6289" s="2">
        <f ca="1"/>
        <v>65.889022735648183</v>
      </c>
      <c r="AG6289" s="2">
        <f ca="1"/>
        <v>0.78991471850366324</v>
      </c>
      <c r="AH6289" s="2" t="str">
        <f ca="1"/>
        <v>Bad</v>
      </c>
    </row>
    <row r="6290" spans="2:34" x14ac:dyDescent="0.2">
      <c r="B6290" s="2">
        <f ca="1"/>
        <v>0.65056797811377853</v>
      </c>
      <c r="O6290" s="2">
        <f ca="1"/>
        <v>-0.12203996340368921</v>
      </c>
      <c r="X6290" s="2">
        <f ca="1"/>
        <v>40.515379007744642</v>
      </c>
      <c r="AG6290" s="2">
        <f ca="1"/>
        <v>0.80348931015144864</v>
      </c>
      <c r="AH6290" s="2" t="str">
        <f ca="1"/>
        <v>Bad</v>
      </c>
    </row>
    <row r="6291" spans="2:34" x14ac:dyDescent="0.2">
      <c r="B6291" s="2">
        <f ca="1"/>
        <v>0.67772754554031844</v>
      </c>
      <c r="O6291" s="2">
        <f ca="1"/>
        <v>-0.20414384786355838</v>
      </c>
      <c r="X6291" s="2">
        <f ca="1"/>
        <v>53.796151513224231</v>
      </c>
      <c r="AG6291" s="2">
        <f ca="1"/>
        <v>5.9652847276705057E-2</v>
      </c>
      <c r="AH6291" s="2" t="str">
        <f ca="1"/>
        <v>OK</v>
      </c>
    </row>
    <row r="6292" spans="2:34" x14ac:dyDescent="0.2">
      <c r="B6292" s="2">
        <f ca="1"/>
        <v>9.7314924600869768E-2</v>
      </c>
      <c r="O6292" s="2">
        <f ca="1"/>
        <v>-0.41352390949716705</v>
      </c>
      <c r="X6292" s="2">
        <f ca="1"/>
        <v>44.622905528237737</v>
      </c>
      <c r="AG6292" s="2">
        <f ca="1"/>
        <v>0.70116851429405358</v>
      </c>
      <c r="AH6292" s="2" t="str">
        <f ca="1"/>
        <v>Bad</v>
      </c>
    </row>
    <row r="6293" spans="2:34" x14ac:dyDescent="0.2">
      <c r="B6293" s="2">
        <f ca="1"/>
        <v>0.4866958094417706</v>
      </c>
      <c r="O6293" s="2">
        <f ca="1"/>
        <v>-0.256863241011419</v>
      </c>
      <c r="X6293" s="2">
        <f ca="1"/>
        <v>46.206334092700985</v>
      </c>
      <c r="AG6293" s="2">
        <f ca="1"/>
        <v>0.54168692332530677</v>
      </c>
      <c r="AH6293" s="2" t="str">
        <f ca="1"/>
        <v>Bad</v>
      </c>
    </row>
    <row r="6294" spans="2:34" x14ac:dyDescent="0.2">
      <c r="B6294" s="2">
        <f ca="1"/>
        <v>0.44192405926020295</v>
      </c>
      <c r="O6294" s="2">
        <f ca="1"/>
        <v>1.8348191699899747</v>
      </c>
      <c r="X6294" s="2">
        <f ca="1"/>
        <v>25.445248521594085</v>
      </c>
      <c r="AG6294" s="2">
        <f ca="1"/>
        <v>0.17182624921421796</v>
      </c>
      <c r="AH6294" s="2" t="str">
        <f ca="1"/>
        <v>OK</v>
      </c>
    </row>
    <row r="6295" spans="2:34" x14ac:dyDescent="0.2">
      <c r="B6295" s="2">
        <f ca="1"/>
        <v>0.50989875504748228</v>
      </c>
      <c r="O6295" s="2">
        <f ca="1"/>
        <v>-1.2587794592402206</v>
      </c>
      <c r="X6295" s="2">
        <f ca="1"/>
        <v>49.308086338153096</v>
      </c>
      <c r="AG6295" s="2">
        <f ca="1"/>
        <v>0.80539600876758866</v>
      </c>
      <c r="AH6295" s="2" t="str">
        <f ca="1"/>
        <v>Bad</v>
      </c>
    </row>
    <row r="6296" spans="2:34" x14ac:dyDescent="0.2">
      <c r="B6296" s="2">
        <f ca="1"/>
        <v>0.84822258742322476</v>
      </c>
      <c r="O6296" s="2">
        <f ca="1"/>
        <v>2.1789710467425225</v>
      </c>
      <c r="X6296" s="2">
        <f ca="1"/>
        <v>49.264194238332024</v>
      </c>
      <c r="AG6296" s="2">
        <f ca="1"/>
        <v>9.439259841214187E-2</v>
      </c>
      <c r="AH6296" s="2" t="str">
        <f ca="1"/>
        <v>OK</v>
      </c>
    </row>
    <row r="6297" spans="2:34" x14ac:dyDescent="0.2">
      <c r="B6297" s="2">
        <f ca="1"/>
        <v>0.3456050619586053</v>
      </c>
      <c r="O6297" s="2">
        <f ca="1"/>
        <v>1.7631978350201671</v>
      </c>
      <c r="X6297" s="2">
        <f ca="1"/>
        <v>43.377999505106843</v>
      </c>
      <c r="AG6297" s="2">
        <f ca="1"/>
        <v>0.15956747280504224</v>
      </c>
      <c r="AH6297" s="2" t="str">
        <f ca="1"/>
        <v>OK</v>
      </c>
    </row>
    <row r="6298" spans="2:34" x14ac:dyDescent="0.2">
      <c r="B6298" s="2">
        <f ca="1"/>
        <v>0.68414977945370326</v>
      </c>
      <c r="O6298" s="2">
        <f ca="1"/>
        <v>0.32886733550937713</v>
      </c>
      <c r="X6298" s="2">
        <f ca="1"/>
        <v>44.475768206563529</v>
      </c>
      <c r="AG6298" s="2">
        <f ca="1"/>
        <v>0.18784333535649034</v>
      </c>
      <c r="AH6298" s="2" t="str">
        <f ca="1"/>
        <v>OK</v>
      </c>
    </row>
    <row r="6299" spans="2:34" x14ac:dyDescent="0.2">
      <c r="B6299" s="2">
        <f ca="1"/>
        <v>0.40546851166156594</v>
      </c>
      <c r="O6299" s="2">
        <f ca="1"/>
        <v>-1.3951280213267995E-2</v>
      </c>
      <c r="X6299" s="2">
        <f ca="1"/>
        <v>87.818573816748838</v>
      </c>
      <c r="AG6299" s="2">
        <f ca="1"/>
        <v>0.1805314961432265</v>
      </c>
      <c r="AH6299" s="2" t="str">
        <f ca="1"/>
        <v>OK</v>
      </c>
    </row>
    <row r="6300" spans="2:34" x14ac:dyDescent="0.2">
      <c r="B6300" s="2">
        <f ca="1"/>
        <v>5.9145418942812888E-2</v>
      </c>
      <c r="O6300" s="2">
        <f ca="1"/>
        <v>0.45490822947043347</v>
      </c>
      <c r="X6300" s="2">
        <f ca="1"/>
        <v>36.07853512166313</v>
      </c>
      <c r="AG6300" s="2">
        <f ca="1"/>
        <v>0.27161907194465829</v>
      </c>
      <c r="AH6300" s="2" t="str">
        <f ca="1"/>
        <v>OK</v>
      </c>
    </row>
    <row r="6301" spans="2:34" x14ac:dyDescent="0.2">
      <c r="B6301" s="2">
        <f ca="1"/>
        <v>0.70986556377291943</v>
      </c>
      <c r="O6301" s="2">
        <f ca="1"/>
        <v>5.9844104278258967E-2</v>
      </c>
      <c r="X6301" s="2">
        <f ca="1"/>
        <v>64.592912086344896</v>
      </c>
      <c r="AG6301" s="2">
        <f ca="1"/>
        <v>8.3289121669742894E-3</v>
      </c>
      <c r="AH6301" s="2" t="str">
        <f ca="1"/>
        <v>Good</v>
      </c>
    </row>
    <row r="6302" spans="2:34" x14ac:dyDescent="0.2">
      <c r="B6302" s="2">
        <f ca="1"/>
        <v>0.93562108320859316</v>
      </c>
      <c r="O6302" s="2">
        <f ca="1"/>
        <v>-1.0288142038753563</v>
      </c>
      <c r="X6302" s="2">
        <f ca="1"/>
        <v>45.805368945221481</v>
      </c>
      <c r="AG6302" s="2">
        <f ca="1"/>
        <v>0.57457370496820515</v>
      </c>
      <c r="AH6302" s="2" t="str">
        <f ca="1"/>
        <v>Bad</v>
      </c>
    </row>
    <row r="6303" spans="2:34" x14ac:dyDescent="0.2">
      <c r="B6303" s="2">
        <f ca="1"/>
        <v>0.88827147498723114</v>
      </c>
      <c r="O6303" s="2">
        <f ca="1"/>
        <v>0.73728132438862937</v>
      </c>
      <c r="X6303" s="2">
        <f ca="1"/>
        <v>86.437059463808168</v>
      </c>
      <c r="AG6303" s="2">
        <f ca="1"/>
        <v>0.22322745201718375</v>
      </c>
      <c r="AH6303" s="2" t="str">
        <f ca="1"/>
        <v>OK</v>
      </c>
    </row>
    <row r="6304" spans="2:34" x14ac:dyDescent="0.2">
      <c r="B6304" s="2">
        <f ca="1"/>
        <v>0.956302192912722</v>
      </c>
      <c r="O6304" s="2">
        <f ca="1"/>
        <v>-1.2245481362245429</v>
      </c>
      <c r="X6304" s="2">
        <f ca="1"/>
        <v>33.073043380282392</v>
      </c>
      <c r="AG6304" s="2">
        <f ca="1"/>
        <v>0.56243795231806648</v>
      </c>
      <c r="AH6304" s="2" t="str">
        <f ca="1"/>
        <v>Bad</v>
      </c>
    </row>
    <row r="6305" spans="2:34" x14ac:dyDescent="0.2">
      <c r="B6305" s="2">
        <f ca="1"/>
        <v>0.47423457854945728</v>
      </c>
      <c r="O6305" s="2">
        <f ca="1"/>
        <v>-0.91480704490259124</v>
      </c>
      <c r="X6305" s="2">
        <f ca="1"/>
        <v>42.269425619107004</v>
      </c>
      <c r="AG6305" s="2">
        <f ca="1"/>
        <v>0.81582356906148012</v>
      </c>
      <c r="AH6305" s="2" t="str">
        <f ca="1"/>
        <v>Bad</v>
      </c>
    </row>
    <row r="6306" spans="2:34" x14ac:dyDescent="0.2">
      <c r="B6306" s="2">
        <f ca="1"/>
        <v>0.19797102448615611</v>
      </c>
      <c r="O6306" s="2">
        <f ca="1"/>
        <v>2.4450138319886778</v>
      </c>
      <c r="X6306" s="2">
        <f ca="1"/>
        <v>22.643822344391673</v>
      </c>
      <c r="AG6306" s="2">
        <f ca="1"/>
        <v>0.62194517341068423</v>
      </c>
      <c r="AH6306" s="2" t="str">
        <f ca="1"/>
        <v>Bad</v>
      </c>
    </row>
    <row r="6307" spans="2:34" x14ac:dyDescent="0.2">
      <c r="B6307" s="2">
        <f ca="1"/>
        <v>0.96440713817781787</v>
      </c>
      <c r="O6307" s="2">
        <f ca="1"/>
        <v>-1.2971487000150115</v>
      </c>
      <c r="X6307" s="2">
        <f ca="1"/>
        <v>36.123348865290701</v>
      </c>
      <c r="AG6307" s="2">
        <f ca="1"/>
        <v>0.88434394278473505</v>
      </c>
      <c r="AH6307" s="2" t="str">
        <f ca="1"/>
        <v>Bad</v>
      </c>
    </row>
    <row r="6308" spans="2:34" x14ac:dyDescent="0.2">
      <c r="B6308" s="2">
        <f ca="1"/>
        <v>0.33525423061106596</v>
      </c>
      <c r="O6308" s="2">
        <f ca="1"/>
        <v>0.23512349257799045</v>
      </c>
      <c r="X6308" s="2">
        <f ca="1"/>
        <v>74.943875550253878</v>
      </c>
      <c r="AG6308" s="2">
        <f ca="1"/>
        <v>0.50168229989173785</v>
      </c>
      <c r="AH6308" s="2" t="str">
        <f ca="1"/>
        <v>Bad</v>
      </c>
    </row>
    <row r="6309" spans="2:34" x14ac:dyDescent="0.2">
      <c r="B6309" s="2">
        <f ca="1"/>
        <v>0.77896261258839106</v>
      </c>
      <c r="O6309" s="2">
        <f ca="1"/>
        <v>1.2090324948885542</v>
      </c>
      <c r="X6309" s="2">
        <f ca="1"/>
        <v>35.908718375795232</v>
      </c>
      <c r="AG6309" s="2">
        <f ca="1"/>
        <v>0.16303769053514494</v>
      </c>
      <c r="AH6309" s="2" t="str">
        <f ca="1"/>
        <v>OK</v>
      </c>
    </row>
    <row r="6310" spans="2:34" x14ac:dyDescent="0.2">
      <c r="B6310" s="2">
        <f ca="1"/>
        <v>0.45235402357718613</v>
      </c>
      <c r="O6310" s="2">
        <f ca="1"/>
        <v>-2.3011458979100521</v>
      </c>
      <c r="X6310" s="2">
        <f ca="1"/>
        <v>34.641773407842898</v>
      </c>
      <c r="AG6310" s="2">
        <f ca="1"/>
        <v>0.58874242230684137</v>
      </c>
      <c r="AH6310" s="2" t="str">
        <f ca="1"/>
        <v>Bad</v>
      </c>
    </row>
    <row r="6311" spans="2:34" x14ac:dyDescent="0.2">
      <c r="B6311" s="2">
        <f ca="1"/>
        <v>0.55876323285686147</v>
      </c>
      <c r="O6311" s="2">
        <f ca="1"/>
        <v>0.56185987130753678</v>
      </c>
      <c r="X6311" s="2">
        <f ca="1"/>
        <v>43.093912520027772</v>
      </c>
      <c r="AG6311" s="2">
        <f ca="1"/>
        <v>0.8087143712955529</v>
      </c>
      <c r="AH6311" s="2" t="str">
        <f ca="1"/>
        <v>Bad</v>
      </c>
    </row>
    <row r="6312" spans="2:34" x14ac:dyDescent="0.2">
      <c r="B6312" s="2">
        <f ca="1"/>
        <v>0.62994030311574711</v>
      </c>
      <c r="O6312" s="2">
        <f ca="1"/>
        <v>0.36914897671057523</v>
      </c>
      <c r="X6312" s="2">
        <f ca="1"/>
        <v>81.08296665908594</v>
      </c>
      <c r="AG6312" s="2">
        <f ca="1"/>
        <v>0.19583373646882607</v>
      </c>
      <c r="AH6312" s="2" t="str">
        <f ca="1"/>
        <v>OK</v>
      </c>
    </row>
    <row r="6313" spans="2:34" x14ac:dyDescent="0.2">
      <c r="B6313" s="2">
        <f ca="1"/>
        <v>0.47908206252826702</v>
      </c>
      <c r="O6313" s="2">
        <f ca="1"/>
        <v>0.47682734374875163</v>
      </c>
      <c r="X6313" s="2">
        <f ca="1"/>
        <v>72.396014672048224</v>
      </c>
      <c r="AG6313" s="2">
        <f ca="1"/>
        <v>0.23621369272988169</v>
      </c>
      <c r="AH6313" s="2" t="str">
        <f ca="1"/>
        <v>OK</v>
      </c>
    </row>
    <row r="6314" spans="2:34" x14ac:dyDescent="0.2">
      <c r="B6314" s="2">
        <f ca="1"/>
        <v>0.22302218327646472</v>
      </c>
      <c r="O6314" s="2">
        <f ca="1"/>
        <v>0.28153401801551353</v>
      </c>
      <c r="X6314" s="2">
        <f ca="1"/>
        <v>50.756880358633566</v>
      </c>
      <c r="AG6314" s="2">
        <f ca="1"/>
        <v>0.86960800594677679</v>
      </c>
      <c r="AH6314" s="2" t="str">
        <f ca="1"/>
        <v>Bad</v>
      </c>
    </row>
    <row r="6315" spans="2:34" x14ac:dyDescent="0.2">
      <c r="B6315" s="2">
        <f ca="1"/>
        <v>0.58706519347456587</v>
      </c>
      <c r="O6315" s="2">
        <f ca="1"/>
        <v>4.7575868383002658E-2</v>
      </c>
      <c r="X6315" s="2">
        <f ca="1"/>
        <v>38.964607145936341</v>
      </c>
      <c r="AG6315" s="2">
        <f ca="1"/>
        <v>0.10891892789645263</v>
      </c>
      <c r="AH6315" s="2" t="str">
        <f ca="1"/>
        <v>OK</v>
      </c>
    </row>
    <row r="6316" spans="2:34" x14ac:dyDescent="0.2">
      <c r="B6316" s="2">
        <f ca="1"/>
        <v>0.80206260115571504</v>
      </c>
      <c r="O6316" s="2">
        <f ca="1"/>
        <v>-0.13795893949506863</v>
      </c>
      <c r="X6316" s="2">
        <f ca="1"/>
        <v>46.036187676690751</v>
      </c>
      <c r="AG6316" s="2">
        <f ca="1"/>
        <v>0.64535371867380698</v>
      </c>
      <c r="AH6316" s="2" t="str">
        <f ca="1"/>
        <v>Bad</v>
      </c>
    </row>
    <row r="6317" spans="2:34" x14ac:dyDescent="0.2">
      <c r="B6317" s="2">
        <f ca="1"/>
        <v>3.1505552470920684E-2</v>
      </c>
      <c r="O6317" s="2">
        <f ca="1"/>
        <v>1.1604906855919679</v>
      </c>
      <c r="X6317" s="2">
        <f ca="1"/>
        <v>61.597588370502393</v>
      </c>
      <c r="AG6317" s="2">
        <f ca="1"/>
        <v>0.48494575815585339</v>
      </c>
      <c r="AH6317" s="2" t="str">
        <f ca="1"/>
        <v>Bad</v>
      </c>
    </row>
    <row r="6318" spans="2:34" x14ac:dyDescent="0.2">
      <c r="B6318" s="2">
        <f ca="1"/>
        <v>0.37837016501543475</v>
      </c>
      <c r="O6318" s="2">
        <f ca="1"/>
        <v>0.19031711532661355</v>
      </c>
      <c r="X6318" s="2">
        <f ca="1"/>
        <v>71.927503194434095</v>
      </c>
      <c r="AG6318" s="2">
        <f ca="1"/>
        <v>0.91258152267220005</v>
      </c>
      <c r="AH6318" s="2" t="str">
        <f ca="1"/>
        <v>Bad</v>
      </c>
    </row>
    <row r="6319" spans="2:34" x14ac:dyDescent="0.2">
      <c r="B6319" s="2">
        <f ca="1"/>
        <v>8.4721424905350284E-2</v>
      </c>
      <c r="O6319" s="2">
        <f ca="1"/>
        <v>1.1322235746425704</v>
      </c>
      <c r="X6319" s="2">
        <f ca="1"/>
        <v>26.423090686688838</v>
      </c>
      <c r="AG6319" s="2">
        <f ca="1"/>
        <v>0.92189755995877221</v>
      </c>
      <c r="AH6319" s="2" t="str">
        <f ca="1"/>
        <v>Bad</v>
      </c>
    </row>
    <row r="6320" spans="2:34" x14ac:dyDescent="0.2">
      <c r="B6320" s="2">
        <f ca="1"/>
        <v>0.3807451621918001</v>
      </c>
      <c r="O6320" s="2">
        <f ca="1"/>
        <v>1.7152991617163063</v>
      </c>
      <c r="X6320" s="2">
        <f ca="1"/>
        <v>70.234225647306346</v>
      </c>
      <c r="AG6320" s="2">
        <f ca="1"/>
        <v>0.58425438451811318</v>
      </c>
      <c r="AH6320" s="2" t="str">
        <f ca="1"/>
        <v>Bad</v>
      </c>
    </row>
    <row r="6321" spans="2:34" x14ac:dyDescent="0.2">
      <c r="B6321" s="2">
        <f ca="1"/>
        <v>0.90213031881814887</v>
      </c>
      <c r="O6321" s="2">
        <f ca="1"/>
        <v>1.2366720167234782</v>
      </c>
      <c r="X6321" s="2">
        <f ca="1"/>
        <v>38.04650421235165</v>
      </c>
      <c r="AG6321" s="2">
        <f ca="1"/>
        <v>0.84450667958492809</v>
      </c>
      <c r="AH6321" s="2" t="str">
        <f ca="1"/>
        <v>Bad</v>
      </c>
    </row>
    <row r="6322" spans="2:34" x14ac:dyDescent="0.2">
      <c r="B6322" s="2">
        <f ca="1"/>
        <v>0.78686618395462538</v>
      </c>
      <c r="O6322" s="2">
        <f ca="1"/>
        <v>0.91785862312757316</v>
      </c>
      <c r="X6322" s="2">
        <f ca="1"/>
        <v>59.516927671133445</v>
      </c>
      <c r="AG6322" s="2">
        <f ca="1"/>
        <v>0.42622889605873748</v>
      </c>
      <c r="AH6322" s="2" t="str">
        <f ca="1"/>
        <v>Bad</v>
      </c>
    </row>
    <row r="6323" spans="2:34" x14ac:dyDescent="0.2">
      <c r="B6323" s="2">
        <f ca="1"/>
        <v>0.51675632968700635</v>
      </c>
      <c r="O6323" s="2">
        <f ca="1"/>
        <v>-1.2307764761245603</v>
      </c>
      <c r="X6323" s="2">
        <f ca="1"/>
        <v>43.991053298659665</v>
      </c>
      <c r="AG6323" s="2">
        <f ca="1"/>
        <v>0.4084812783969014</v>
      </c>
      <c r="AH6323" s="2" t="str">
        <f ca="1"/>
        <v>Bad</v>
      </c>
    </row>
    <row r="6324" spans="2:34" x14ac:dyDescent="0.2">
      <c r="B6324" s="2">
        <f ca="1"/>
        <v>0.96477336473092667</v>
      </c>
      <c r="O6324" s="2">
        <f ca="1"/>
        <v>0.72440610565023855</v>
      </c>
      <c r="X6324" s="2">
        <f ca="1"/>
        <v>67.127882536329992</v>
      </c>
      <c r="AG6324" s="2">
        <f ca="1"/>
        <v>0.63891529538185088</v>
      </c>
      <c r="AH6324" s="2" t="str">
        <f ca="1"/>
        <v>Bad</v>
      </c>
    </row>
    <row r="6325" spans="2:34" x14ac:dyDescent="0.2">
      <c r="B6325" s="2">
        <f ca="1"/>
        <v>5.955290997746987E-2</v>
      </c>
      <c r="O6325" s="2">
        <f ca="1"/>
        <v>-1.94834403007461</v>
      </c>
      <c r="X6325" s="2">
        <f ca="1"/>
        <v>67.352688275226114</v>
      </c>
      <c r="AG6325" s="2">
        <f ca="1"/>
        <v>0.24089256774988721</v>
      </c>
      <c r="AH6325" s="2" t="str">
        <f ca="1"/>
        <v>OK</v>
      </c>
    </row>
    <row r="6326" spans="2:34" x14ac:dyDescent="0.2">
      <c r="B6326" s="2">
        <f ca="1"/>
        <v>0.47275247436344814</v>
      </c>
      <c r="O6326" s="2">
        <f ca="1"/>
        <v>0.19618973181113408</v>
      </c>
      <c r="X6326" s="2">
        <f ca="1"/>
        <v>59.90207534637814</v>
      </c>
      <c r="AG6326" s="2">
        <f ca="1"/>
        <v>0.51265992035974839</v>
      </c>
      <c r="AH6326" s="2" t="str">
        <f ca="1"/>
        <v>Bad</v>
      </c>
    </row>
    <row r="6327" spans="2:34" x14ac:dyDescent="0.2">
      <c r="B6327" s="2">
        <f ca="1"/>
        <v>0.36484961158589657</v>
      </c>
      <c r="O6327" s="2">
        <f ca="1"/>
        <v>0.87603819645256154</v>
      </c>
      <c r="X6327" s="2">
        <f ca="1"/>
        <v>42.318703405124147</v>
      </c>
      <c r="AG6327" s="2">
        <f ca="1"/>
        <v>5.1380235033368082E-2</v>
      </c>
      <c r="AH6327" s="2" t="str">
        <f ca="1"/>
        <v>OK</v>
      </c>
    </row>
    <row r="6328" spans="2:34" x14ac:dyDescent="0.2">
      <c r="B6328" s="2">
        <f ca="1"/>
        <v>0.40599568747646275</v>
      </c>
      <c r="O6328" s="2">
        <f ca="1"/>
        <v>-7.4160938726154882E-2</v>
      </c>
      <c r="X6328" s="2">
        <f ca="1"/>
        <v>54.583983263440679</v>
      </c>
      <c r="AG6328" s="2">
        <f ca="1"/>
        <v>0.28583237847572285</v>
      </c>
      <c r="AH6328" s="2" t="str">
        <f ca="1"/>
        <v>OK</v>
      </c>
    </row>
    <row r="6329" spans="2:34" x14ac:dyDescent="0.2">
      <c r="B6329" s="2">
        <f ca="1"/>
        <v>0.77824062174291386</v>
      </c>
      <c r="O6329" s="2">
        <f ca="1"/>
        <v>-0.29504573647766225</v>
      </c>
      <c r="X6329" s="2">
        <f ca="1"/>
        <v>25.690275304312834</v>
      </c>
      <c r="AG6329" s="2">
        <f ca="1"/>
        <v>0.8901401136168241</v>
      </c>
      <c r="AH6329" s="2" t="str">
        <f ca="1"/>
        <v>Bad</v>
      </c>
    </row>
    <row r="6330" spans="2:34" x14ac:dyDescent="0.2">
      <c r="B6330" s="2">
        <f ca="1"/>
        <v>0.39592370963127732</v>
      </c>
      <c r="O6330" s="2">
        <f ca="1"/>
        <v>-0.90698755706809675</v>
      </c>
      <c r="X6330" s="2">
        <f ca="1"/>
        <v>27.012315668762369</v>
      </c>
      <c r="AG6330" s="2">
        <f ca="1"/>
        <v>0.43154675675233545</v>
      </c>
      <c r="AH6330" s="2" t="str">
        <f ca="1"/>
        <v>Bad</v>
      </c>
    </row>
    <row r="6331" spans="2:34" x14ac:dyDescent="0.2">
      <c r="B6331" s="2">
        <f ca="1"/>
        <v>0.11274963840284813</v>
      </c>
      <c r="O6331" s="2">
        <f ca="1"/>
        <v>0.21889313646681796</v>
      </c>
      <c r="X6331" s="2">
        <f ca="1"/>
        <v>59.668155646920653</v>
      </c>
      <c r="AG6331" s="2">
        <f ca="1"/>
        <v>0.14208965511413907</v>
      </c>
      <c r="AH6331" s="2" t="str">
        <f ca="1"/>
        <v>OK</v>
      </c>
    </row>
    <row r="6332" spans="2:34" x14ac:dyDescent="0.2">
      <c r="B6332" s="2">
        <f ca="1"/>
        <v>0.95296094912314921</v>
      </c>
      <c r="O6332" s="2">
        <f ca="1"/>
        <v>2.3709497117155172</v>
      </c>
      <c r="X6332" s="2">
        <f ca="1"/>
        <v>39.768869318175085</v>
      </c>
      <c r="AG6332" s="2">
        <f ca="1"/>
        <v>0.2731526817182266</v>
      </c>
      <c r="AH6332" s="2" t="str">
        <f ca="1"/>
        <v>OK</v>
      </c>
    </row>
    <row r="6333" spans="2:34" x14ac:dyDescent="0.2">
      <c r="B6333" s="2">
        <f ca="1"/>
        <v>2.8032805866181176E-2</v>
      </c>
      <c r="O6333" s="2">
        <f ca="1"/>
        <v>-0.68858918354769594</v>
      </c>
      <c r="X6333" s="2">
        <f ca="1"/>
        <v>31.686802336644977</v>
      </c>
      <c r="AG6333" s="2">
        <f ca="1"/>
        <v>0.85729730134024451</v>
      </c>
      <c r="AH6333" s="2" t="str">
        <f ca="1"/>
        <v>Bad</v>
      </c>
    </row>
    <row r="6334" spans="2:34" x14ac:dyDescent="0.2">
      <c r="B6334" s="2">
        <f ca="1"/>
        <v>0.90900836418588304</v>
      </c>
      <c r="O6334" s="2">
        <f ca="1"/>
        <v>0.74582730542492381</v>
      </c>
      <c r="X6334" s="2">
        <f ca="1"/>
        <v>55.655850705717249</v>
      </c>
      <c r="AG6334" s="2">
        <f ca="1"/>
        <v>0.29928802235998275</v>
      </c>
      <c r="AH6334" s="2" t="str">
        <f ca="1"/>
        <v>OK</v>
      </c>
    </row>
    <row r="6335" spans="2:34" x14ac:dyDescent="0.2">
      <c r="B6335" s="2">
        <f ca="1"/>
        <v>0.4833895095651537</v>
      </c>
      <c r="O6335" s="2">
        <f ca="1"/>
        <v>1.0615323800518521</v>
      </c>
      <c r="X6335" s="2">
        <f ca="1"/>
        <v>26.907914084257492</v>
      </c>
      <c r="AG6335" s="2">
        <f ca="1"/>
        <v>0.22708468896940892</v>
      </c>
      <c r="AH6335" s="2" t="str">
        <f ca="1"/>
        <v>OK</v>
      </c>
    </row>
    <row r="6336" spans="2:34" x14ac:dyDescent="0.2">
      <c r="B6336" s="2">
        <f ca="1"/>
        <v>0.80383483995443039</v>
      </c>
      <c r="O6336" s="2">
        <f ca="1"/>
        <v>1.9416373723236171</v>
      </c>
      <c r="X6336" s="2">
        <f ca="1"/>
        <v>51.562830783874446</v>
      </c>
      <c r="AG6336" s="2">
        <f ca="1"/>
        <v>0.51824878535816299</v>
      </c>
      <c r="AH6336" s="2" t="str">
        <f ca="1"/>
        <v>Bad</v>
      </c>
    </row>
    <row r="6337" spans="2:34" x14ac:dyDescent="0.2">
      <c r="B6337" s="2">
        <f ca="1"/>
        <v>7.7509677416503386E-2</v>
      </c>
      <c r="O6337" s="2">
        <f ca="1"/>
        <v>-1.1216783345339267</v>
      </c>
      <c r="X6337" s="2">
        <f ca="1"/>
        <v>34.325651291337898</v>
      </c>
      <c r="AG6337" s="2">
        <f ca="1"/>
        <v>0.79921787783163523</v>
      </c>
      <c r="AH6337" s="2" t="str">
        <f ca="1"/>
        <v>Bad</v>
      </c>
    </row>
    <row r="6338" spans="2:34" x14ac:dyDescent="0.2">
      <c r="B6338" s="2">
        <f ca="1"/>
        <v>0.14630751393774566</v>
      </c>
      <c r="O6338" s="2">
        <f ca="1"/>
        <v>-1.3333950218926187</v>
      </c>
      <c r="X6338" s="2">
        <f ca="1"/>
        <v>21.435133915888688</v>
      </c>
      <c r="AG6338" s="2">
        <f ca="1"/>
        <v>0.29166204197211054</v>
      </c>
      <c r="AH6338" s="2" t="str">
        <f ca="1"/>
        <v>OK</v>
      </c>
    </row>
    <row r="6339" spans="2:34" x14ac:dyDescent="0.2">
      <c r="B6339" s="2">
        <f ca="1"/>
        <v>0.92901686640158077</v>
      </c>
      <c r="O6339" s="2">
        <f ca="1"/>
        <v>1.480345873134816</v>
      </c>
      <c r="X6339" s="2">
        <f ca="1"/>
        <v>46.410302890357059</v>
      </c>
      <c r="AG6339" s="2">
        <f ca="1"/>
        <v>0.3317627674143877</v>
      </c>
      <c r="AH6339" s="2" t="str">
        <f ca="1"/>
        <v>OK</v>
      </c>
    </row>
    <row r="6340" spans="2:34" x14ac:dyDescent="0.2">
      <c r="B6340" s="2">
        <f ca="1"/>
        <v>0.90240688878432684</v>
      </c>
      <c r="O6340" s="2">
        <f ca="1"/>
        <v>-0.29149870724910565</v>
      </c>
      <c r="X6340" s="2">
        <f ca="1"/>
        <v>45.216132546792053</v>
      </c>
      <c r="AG6340" s="2">
        <f ca="1"/>
        <v>0.87362927117589284</v>
      </c>
      <c r="AH6340" s="2" t="str">
        <f ca="1"/>
        <v>Bad</v>
      </c>
    </row>
    <row r="6341" spans="2:34" x14ac:dyDescent="0.2">
      <c r="B6341" s="2">
        <f ca="1"/>
        <v>0.35811726799726307</v>
      </c>
      <c r="O6341" s="2">
        <f ca="1"/>
        <v>0.68997277425795811</v>
      </c>
      <c r="X6341" s="2">
        <f ca="1"/>
        <v>68.323359264761933</v>
      </c>
      <c r="AG6341" s="2">
        <f ca="1"/>
        <v>0.27095774917976323</v>
      </c>
      <c r="AH6341" s="2" t="str">
        <f ca="1"/>
        <v>OK</v>
      </c>
    </row>
    <row r="6342" spans="2:34" x14ac:dyDescent="0.2">
      <c r="B6342" s="2">
        <f ca="1"/>
        <v>1.7074171731281451E-2</v>
      </c>
      <c r="O6342" s="2">
        <f ca="1"/>
        <v>-1.2625663510174807</v>
      </c>
      <c r="X6342" s="2">
        <f ca="1"/>
        <v>35.031558558884413</v>
      </c>
      <c r="AG6342" s="2">
        <f ca="1"/>
        <v>0.36183470837278775</v>
      </c>
      <c r="AH6342" s="2" t="str">
        <f ca="1"/>
        <v>OK</v>
      </c>
    </row>
    <row r="6343" spans="2:34" x14ac:dyDescent="0.2">
      <c r="B6343" s="2">
        <f ca="1"/>
        <v>0.40403192629657236</v>
      </c>
      <c r="O6343" s="2">
        <f ca="1"/>
        <v>6.9000035770450288E-2</v>
      </c>
      <c r="X6343" s="2">
        <f ca="1"/>
        <v>51.231791181427901</v>
      </c>
      <c r="AG6343" s="2">
        <f ca="1"/>
        <v>3.7980718279214898E-2</v>
      </c>
      <c r="AH6343" s="2" t="str">
        <f ca="1"/>
        <v>Good</v>
      </c>
    </row>
    <row r="6344" spans="2:34" x14ac:dyDescent="0.2">
      <c r="B6344" s="2">
        <f ca="1"/>
        <v>0.36999305639172175</v>
      </c>
      <c r="O6344" s="2">
        <f ca="1"/>
        <v>-1.8006574211669897</v>
      </c>
      <c r="X6344" s="2">
        <f ca="1"/>
        <v>65.950359643208586</v>
      </c>
      <c r="AG6344" s="2">
        <f ca="1"/>
        <v>0.75369371113618033</v>
      </c>
      <c r="AH6344" s="2" t="str">
        <f ca="1"/>
        <v>Bad</v>
      </c>
    </row>
    <row r="6345" spans="2:34" x14ac:dyDescent="0.2">
      <c r="B6345" s="2">
        <f ca="1"/>
        <v>0.31157387412048898</v>
      </c>
      <c r="O6345" s="2">
        <f ca="1"/>
        <v>0.97591722698734951</v>
      </c>
      <c r="X6345" s="2">
        <f ca="1"/>
        <v>37.121868268822183</v>
      </c>
      <c r="AG6345" s="2">
        <f ca="1"/>
        <v>0.13974386248309001</v>
      </c>
      <c r="AH6345" s="2" t="str">
        <f ca="1"/>
        <v>OK</v>
      </c>
    </row>
    <row r="6346" spans="2:34" x14ac:dyDescent="0.2">
      <c r="B6346" s="2">
        <f ca="1"/>
        <v>0.89370383838554801</v>
      </c>
      <c r="O6346" s="2">
        <f ca="1"/>
        <v>-0.13781803903903575</v>
      </c>
      <c r="X6346" s="2">
        <f ca="1"/>
        <v>52.543545316406238</v>
      </c>
      <c r="AG6346" s="2">
        <f ca="1"/>
        <v>0.43430041994980861</v>
      </c>
      <c r="AH6346" s="2" t="str">
        <f ca="1"/>
        <v>Bad</v>
      </c>
    </row>
    <row r="6347" spans="2:34" x14ac:dyDescent="0.2">
      <c r="B6347" s="2">
        <f ca="1"/>
        <v>0.61737249679338935</v>
      </c>
      <c r="O6347" s="2">
        <f ca="1"/>
        <v>0.282938619818001</v>
      </c>
      <c r="X6347" s="2">
        <f ca="1"/>
        <v>37.823066688958882</v>
      </c>
      <c r="AG6347" s="2">
        <f ca="1"/>
        <v>0.4898771108191422</v>
      </c>
      <c r="AH6347" s="2" t="str">
        <f ca="1"/>
        <v>Bad</v>
      </c>
    </row>
    <row r="6348" spans="2:34" x14ac:dyDescent="0.2">
      <c r="B6348" s="2">
        <f ca="1"/>
        <v>0.89564824832356549</v>
      </c>
      <c r="O6348" s="2">
        <f ca="1"/>
        <v>0.72028023149732201</v>
      </c>
      <c r="X6348" s="2">
        <f ca="1"/>
        <v>51.604644968522067</v>
      </c>
      <c r="AG6348" s="2">
        <f ca="1"/>
        <v>0.77954389436655736</v>
      </c>
      <c r="AH6348" s="2" t="str">
        <f ca="1"/>
        <v>Bad</v>
      </c>
    </row>
    <row r="6349" spans="2:34" x14ac:dyDescent="0.2">
      <c r="B6349" s="2">
        <f ca="1"/>
        <v>0.66186118575550634</v>
      </c>
      <c r="O6349" s="2">
        <f ca="1"/>
        <v>-0.7327463413836901</v>
      </c>
      <c r="X6349" s="2">
        <f ca="1"/>
        <v>61.308398141593621</v>
      </c>
      <c r="AG6349" s="2">
        <f ca="1"/>
        <v>0.49375050602054449</v>
      </c>
      <c r="AH6349" s="2" t="str">
        <f ca="1"/>
        <v>Bad</v>
      </c>
    </row>
    <row r="6350" spans="2:34" x14ac:dyDescent="0.2">
      <c r="B6350" s="2">
        <f ca="1"/>
        <v>0.51727242586127553</v>
      </c>
      <c r="O6350" s="2">
        <f ca="1"/>
        <v>2.0689607308781497</v>
      </c>
      <c r="X6350" s="2">
        <f ca="1"/>
        <v>63.765607282381637</v>
      </c>
      <c r="AG6350" s="2">
        <f ca="1"/>
        <v>0.51156725704084494</v>
      </c>
      <c r="AH6350" s="2" t="str">
        <f ca="1"/>
        <v>Bad</v>
      </c>
    </row>
    <row r="6351" spans="2:34" x14ac:dyDescent="0.2">
      <c r="B6351" s="2">
        <f ca="1"/>
        <v>0.14024445973073862</v>
      </c>
      <c r="O6351" s="2">
        <f ca="1"/>
        <v>0.6789283785434429</v>
      </c>
      <c r="X6351" s="2">
        <f ca="1"/>
        <v>38.169907559220078</v>
      </c>
      <c r="AG6351" s="2">
        <f ca="1"/>
        <v>0.3291492262375959</v>
      </c>
      <c r="AH6351" s="2" t="str">
        <f ca="1"/>
        <v>OK</v>
      </c>
    </row>
    <row r="6352" spans="2:34" x14ac:dyDescent="0.2">
      <c r="B6352" s="2">
        <f ca="1"/>
        <v>4.448310496719321E-2</v>
      </c>
      <c r="O6352" s="2">
        <f ca="1"/>
        <v>-0.58714441379216575</v>
      </c>
      <c r="X6352" s="2">
        <f ca="1"/>
        <v>44.759903802700606</v>
      </c>
      <c r="AG6352" s="2">
        <f ca="1"/>
        <v>0.50645465667421341</v>
      </c>
      <c r="AH6352" s="2" t="str">
        <f ca="1"/>
        <v>Bad</v>
      </c>
    </row>
    <row r="6353" spans="2:34" x14ac:dyDescent="0.2">
      <c r="B6353" s="2">
        <f ca="1"/>
        <v>0.24540395959085948</v>
      </c>
      <c r="O6353" s="2">
        <f ca="1"/>
        <v>1.0711540248042419</v>
      </c>
      <c r="X6353" s="2">
        <f ca="1"/>
        <v>85.365800873279511</v>
      </c>
      <c r="AG6353" s="2">
        <f ca="1"/>
        <v>0.27710874416884801</v>
      </c>
      <c r="AH6353" s="2" t="str">
        <f ca="1"/>
        <v>OK</v>
      </c>
    </row>
    <row r="6354" spans="2:34" x14ac:dyDescent="0.2">
      <c r="B6354" s="2">
        <f ca="1"/>
        <v>0.51013907250253387</v>
      </c>
      <c r="O6354" s="2">
        <f ca="1"/>
        <v>-0.80489204853219165</v>
      </c>
      <c r="X6354" s="2">
        <f ca="1"/>
        <v>41.583790823302181</v>
      </c>
      <c r="AG6354" s="2">
        <f ca="1"/>
        <v>0.80199042916254282</v>
      </c>
      <c r="AH6354" s="2" t="str">
        <f ca="1"/>
        <v>Bad</v>
      </c>
    </row>
    <row r="6355" spans="2:34" x14ac:dyDescent="0.2">
      <c r="B6355" s="2">
        <f ca="1"/>
        <v>0.44741000316378821</v>
      </c>
      <c r="O6355" s="2">
        <f ca="1"/>
        <v>-0.11632402522980345</v>
      </c>
      <c r="X6355" s="2">
        <f ca="1"/>
        <v>47.865364524034646</v>
      </c>
      <c r="AG6355" s="2">
        <f ca="1"/>
        <v>0.32205539606908595</v>
      </c>
      <c r="AH6355" s="2" t="str">
        <f ca="1"/>
        <v>OK</v>
      </c>
    </row>
    <row r="6356" spans="2:34" x14ac:dyDescent="0.2">
      <c r="B6356" s="2">
        <f ca="1"/>
        <v>0.2753560880864796</v>
      </c>
      <c r="O6356" s="2">
        <f ca="1"/>
        <v>-4.4676161833203408E-2</v>
      </c>
      <c r="X6356" s="2">
        <f ca="1"/>
        <v>42.115976010174393</v>
      </c>
      <c r="AG6356" s="2">
        <f ca="1"/>
        <v>0.57575932204683711</v>
      </c>
      <c r="AH6356" s="2" t="str">
        <f ca="1"/>
        <v>Bad</v>
      </c>
    </row>
    <row r="6357" spans="2:34" x14ac:dyDescent="0.2">
      <c r="B6357" s="2">
        <f ca="1"/>
        <v>0.2333417611522044</v>
      </c>
      <c r="O6357" s="2">
        <f ca="1"/>
        <v>-0.89485684288702849</v>
      </c>
      <c r="X6357" s="2">
        <f ca="1"/>
        <v>41.162491184159066</v>
      </c>
      <c r="AG6357" s="2">
        <f ca="1"/>
        <v>0.29727561290004312</v>
      </c>
      <c r="AH6357" s="2" t="str">
        <f ca="1"/>
        <v>OK</v>
      </c>
    </row>
    <row r="6358" spans="2:34" x14ac:dyDescent="0.2">
      <c r="B6358" s="2">
        <f ca="1"/>
        <v>0.39894973644245768</v>
      </c>
      <c r="O6358" s="2">
        <f ca="1"/>
        <v>0.85961836181723861</v>
      </c>
      <c r="X6358" s="2">
        <f ca="1"/>
        <v>52.514764578963458</v>
      </c>
      <c r="AG6358" s="2">
        <f ca="1"/>
        <v>0.47485384813016918</v>
      </c>
      <c r="AH6358" s="2" t="str">
        <f ca="1"/>
        <v>Bad</v>
      </c>
    </row>
    <row r="6359" spans="2:34" x14ac:dyDescent="0.2">
      <c r="B6359" s="2">
        <f ca="1"/>
        <v>0.65726087545353806</v>
      </c>
      <c r="O6359" s="2">
        <f ca="1"/>
        <v>-0.91525387518596535</v>
      </c>
      <c r="X6359" s="2">
        <f ca="1"/>
        <v>60.266205117989273</v>
      </c>
      <c r="AG6359" s="2">
        <f ca="1"/>
        <v>0.10615086106247085</v>
      </c>
      <c r="AH6359" s="2" t="str">
        <f ca="1"/>
        <v>OK</v>
      </c>
    </row>
    <row r="6360" spans="2:34" x14ac:dyDescent="0.2">
      <c r="B6360" s="2">
        <f ca="1"/>
        <v>0.80768964808189314</v>
      </c>
      <c r="O6360" s="2">
        <f ca="1"/>
        <v>-0.21175094954088383</v>
      </c>
      <c r="X6360" s="2">
        <f ca="1"/>
        <v>40.759789348260249</v>
      </c>
      <c r="AG6360" s="2">
        <f ca="1"/>
        <v>0.89525109877118658</v>
      </c>
      <c r="AH6360" s="2" t="str">
        <f ca="1"/>
        <v>Bad</v>
      </c>
    </row>
    <row r="6361" spans="2:34" x14ac:dyDescent="0.2">
      <c r="B6361" s="2">
        <f ca="1"/>
        <v>0.48548436180123278</v>
      </c>
      <c r="O6361" s="2">
        <f ca="1"/>
        <v>0.15135100893712025</v>
      </c>
      <c r="X6361" s="2">
        <f ca="1"/>
        <v>63.354837597304069</v>
      </c>
      <c r="AG6361" s="2">
        <f ca="1"/>
        <v>0.38782038421213438</v>
      </c>
      <c r="AH6361" s="2" t="str">
        <f ca="1"/>
        <v>OK</v>
      </c>
    </row>
    <row r="6362" spans="2:34" x14ac:dyDescent="0.2">
      <c r="B6362" s="2">
        <f ca="1"/>
        <v>0.59693375682392302</v>
      </c>
      <c r="O6362" s="2">
        <f ca="1"/>
        <v>-1.423284256275605</v>
      </c>
      <c r="X6362" s="2">
        <f ca="1"/>
        <v>51.534825027835055</v>
      </c>
      <c r="AG6362" s="2">
        <f ca="1"/>
        <v>0.80493796024086706</v>
      </c>
      <c r="AH6362" s="2" t="str">
        <f ca="1"/>
        <v>Bad</v>
      </c>
    </row>
    <row r="6363" spans="2:34" x14ac:dyDescent="0.2">
      <c r="B6363" s="2">
        <f ca="1"/>
        <v>0.20977884991289453</v>
      </c>
      <c r="O6363" s="2">
        <f ca="1"/>
        <v>-0.98689906287725626</v>
      </c>
      <c r="X6363" s="2">
        <f ca="1"/>
        <v>44.814896014769694</v>
      </c>
      <c r="AG6363" s="2">
        <f ca="1"/>
        <v>0.61999495189320664</v>
      </c>
      <c r="AH6363" s="2" t="str">
        <f ca="1"/>
        <v>Bad</v>
      </c>
    </row>
    <row r="6364" spans="2:34" x14ac:dyDescent="0.2">
      <c r="B6364" s="2">
        <f ca="1"/>
        <v>0.30581129370812787</v>
      </c>
      <c r="O6364" s="2">
        <f ca="1"/>
        <v>-1.7570832086793382</v>
      </c>
      <c r="X6364" s="2">
        <f ca="1"/>
        <v>51.59312402263452</v>
      </c>
      <c r="AG6364" s="2">
        <f ca="1"/>
        <v>0.546859095669183</v>
      </c>
      <c r="AH6364" s="2" t="str">
        <f ca="1"/>
        <v>Bad</v>
      </c>
    </row>
    <row r="6365" spans="2:34" x14ac:dyDescent="0.2">
      <c r="B6365" s="2">
        <f ca="1"/>
        <v>0.37210367828398261</v>
      </c>
      <c r="O6365" s="2">
        <f ca="1"/>
        <v>0.63914404427253801</v>
      </c>
      <c r="X6365" s="2">
        <f ca="1"/>
        <v>48.906596132631755</v>
      </c>
      <c r="AG6365" s="2">
        <f ca="1"/>
        <v>0.83683975576334935</v>
      </c>
      <c r="AH6365" s="2" t="str">
        <f ca="1"/>
        <v>Bad</v>
      </c>
    </row>
    <row r="6366" spans="2:34" x14ac:dyDescent="0.2">
      <c r="B6366" s="2">
        <f ca="1"/>
        <v>0.27379023174844241</v>
      </c>
      <c r="O6366" s="2">
        <f ca="1"/>
        <v>3.8330070538972756E-2</v>
      </c>
      <c r="X6366" s="2">
        <f ca="1"/>
        <v>47.088152411876194</v>
      </c>
      <c r="AG6366" s="2">
        <f ca="1"/>
        <v>1.3227472949730812E-2</v>
      </c>
      <c r="AH6366" s="2" t="str">
        <f ca="1"/>
        <v>Good</v>
      </c>
    </row>
    <row r="6367" spans="2:34" x14ac:dyDescent="0.2">
      <c r="B6367" s="2">
        <f ca="1"/>
        <v>3.2541262158545026E-2</v>
      </c>
      <c r="O6367" s="2">
        <f ca="1"/>
        <v>-0.29751987264223423</v>
      </c>
      <c r="X6367" s="2">
        <f ca="1"/>
        <v>42.106207411993367</v>
      </c>
      <c r="AG6367" s="2">
        <f ca="1"/>
        <v>0.40891979827063163</v>
      </c>
      <c r="AH6367" s="2" t="str">
        <f ca="1"/>
        <v>Bad</v>
      </c>
    </row>
    <row r="6368" spans="2:34" x14ac:dyDescent="0.2">
      <c r="B6368" s="2">
        <f ca="1"/>
        <v>0.32879818372312175</v>
      </c>
      <c r="O6368" s="2">
        <f ca="1"/>
        <v>0.54628500913798117</v>
      </c>
      <c r="X6368" s="2">
        <f ca="1"/>
        <v>46.69311171404064</v>
      </c>
      <c r="AG6368" s="2">
        <f ca="1"/>
        <v>0.22775009509279842</v>
      </c>
      <c r="AH6368" s="2" t="str">
        <f ca="1"/>
        <v>OK</v>
      </c>
    </row>
    <row r="6369" spans="2:34" x14ac:dyDescent="0.2">
      <c r="B6369" s="2">
        <f ca="1"/>
        <v>0.24624674927136558</v>
      </c>
      <c r="O6369" s="2">
        <f ca="1"/>
        <v>0.19549831966468276</v>
      </c>
      <c r="X6369" s="2">
        <f ca="1"/>
        <v>42.580001989942758</v>
      </c>
      <c r="AG6369" s="2">
        <f ca="1"/>
        <v>0.88233883419378789</v>
      </c>
      <c r="AH6369" s="2" t="str">
        <f ca="1"/>
        <v>Bad</v>
      </c>
    </row>
    <row r="6370" spans="2:34" x14ac:dyDescent="0.2">
      <c r="B6370" s="2">
        <f ca="1"/>
        <v>0.27059752909238699</v>
      </c>
      <c r="O6370" s="2">
        <f ca="1"/>
        <v>-0.343437123854264</v>
      </c>
      <c r="X6370" s="2">
        <f ca="1"/>
        <v>56.634902606817548</v>
      </c>
      <c r="AG6370" s="2">
        <f ca="1"/>
        <v>0.85777917768115186</v>
      </c>
      <c r="AH6370" s="2" t="str">
        <f ca="1"/>
        <v>Bad</v>
      </c>
    </row>
    <row r="6371" spans="2:34" x14ac:dyDescent="0.2">
      <c r="B6371" s="2">
        <f ca="1"/>
        <v>1.3833111432854928E-2</v>
      </c>
      <c r="O6371" s="2">
        <f ca="1"/>
        <v>0.43277589344290107</v>
      </c>
      <c r="X6371" s="2">
        <f ca="1"/>
        <v>51.330296696263467</v>
      </c>
      <c r="AG6371" s="2">
        <f ca="1"/>
        <v>0.87757782773774684</v>
      </c>
      <c r="AH6371" s="2" t="str">
        <f ca="1"/>
        <v>Bad</v>
      </c>
    </row>
    <row r="6372" spans="2:34" x14ac:dyDescent="0.2">
      <c r="B6372" s="2">
        <f ca="1"/>
        <v>0.91492837021360129</v>
      </c>
      <c r="O6372" s="2">
        <f ca="1"/>
        <v>0.33696123494558516</v>
      </c>
      <c r="X6372" s="2">
        <f ca="1"/>
        <v>47.135129003124156</v>
      </c>
      <c r="AG6372" s="2">
        <f ca="1"/>
        <v>0.49368546351524945</v>
      </c>
      <c r="AH6372" s="2" t="str">
        <f ca="1"/>
        <v>Bad</v>
      </c>
    </row>
    <row r="6373" spans="2:34" x14ac:dyDescent="0.2">
      <c r="B6373" s="2">
        <f ca="1"/>
        <v>0.65110363480101108</v>
      </c>
      <c r="O6373" s="2">
        <f ca="1"/>
        <v>1.3892902651328591</v>
      </c>
      <c r="X6373" s="2">
        <f ca="1"/>
        <v>42.813698514929783</v>
      </c>
      <c r="AG6373" s="2">
        <f ca="1"/>
        <v>7.4462876306405246E-2</v>
      </c>
      <c r="AH6373" s="2" t="str">
        <f ca="1"/>
        <v>OK</v>
      </c>
    </row>
    <row r="6374" spans="2:34" x14ac:dyDescent="0.2">
      <c r="B6374" s="2">
        <f ca="1"/>
        <v>0.77839206281921181</v>
      </c>
      <c r="O6374" s="2">
        <f ca="1"/>
        <v>-1.5831044107174885</v>
      </c>
      <c r="X6374" s="2">
        <f ca="1"/>
        <v>29.32112589180473</v>
      </c>
      <c r="AG6374" s="2">
        <f ca="1"/>
        <v>0.39591946852119042</v>
      </c>
      <c r="AH6374" s="2" t="str">
        <f ca="1"/>
        <v>OK</v>
      </c>
    </row>
    <row r="6375" spans="2:34" x14ac:dyDescent="0.2">
      <c r="B6375" s="2">
        <f ca="1"/>
        <v>0.27724040481955692</v>
      </c>
      <c r="O6375" s="2">
        <f ca="1"/>
        <v>-0.26010792424758061</v>
      </c>
      <c r="X6375" s="2">
        <f ca="1"/>
        <v>62.45328671440582</v>
      </c>
      <c r="AG6375" s="2">
        <f ca="1"/>
        <v>0.58442855980061581</v>
      </c>
      <c r="AH6375" s="2" t="str">
        <f ca="1"/>
        <v>Bad</v>
      </c>
    </row>
    <row r="6376" spans="2:34" x14ac:dyDescent="0.2">
      <c r="B6376" s="2">
        <f ca="1"/>
        <v>0.75038671925945888</v>
      </c>
      <c r="O6376" s="2">
        <f ca="1"/>
        <v>-0.42737369723853086</v>
      </c>
      <c r="X6376" s="2">
        <f ca="1"/>
        <v>69.226773711461803</v>
      </c>
      <c r="AG6376" s="2">
        <f ca="1"/>
        <v>9.5339658574506991E-3</v>
      </c>
      <c r="AH6376" s="2" t="str">
        <f ca="1"/>
        <v>Good</v>
      </c>
    </row>
    <row r="6377" spans="2:34" x14ac:dyDescent="0.2">
      <c r="B6377" s="2">
        <f ca="1"/>
        <v>5.7020535034433495E-2</v>
      </c>
      <c r="O6377" s="2">
        <f ca="1"/>
        <v>1.7823070389674514</v>
      </c>
      <c r="X6377" s="2">
        <f ca="1"/>
        <v>87.203594856139432</v>
      </c>
      <c r="AG6377" s="2">
        <f ca="1"/>
        <v>0.42794902865591311</v>
      </c>
      <c r="AH6377" s="2" t="str">
        <f ca="1"/>
        <v>Bad</v>
      </c>
    </row>
    <row r="6378" spans="2:34" x14ac:dyDescent="0.2">
      <c r="B6378" s="2">
        <f ca="1"/>
        <v>0.97131205053835123</v>
      </c>
      <c r="O6378" s="2">
        <f ca="1"/>
        <v>-0.44556578772640587</v>
      </c>
      <c r="X6378" s="2">
        <f ca="1"/>
        <v>54.274749316470107</v>
      </c>
      <c r="AG6378" s="2">
        <f ca="1"/>
        <v>0.89714238894920295</v>
      </c>
      <c r="AH6378" s="2" t="str">
        <f ca="1"/>
        <v>Bad</v>
      </c>
    </row>
    <row r="6379" spans="2:34" x14ac:dyDescent="0.2">
      <c r="B6379" s="2">
        <f ca="1"/>
        <v>0.90443722130400639</v>
      </c>
      <c r="O6379" s="2">
        <f ca="1"/>
        <v>0.92749442868442911</v>
      </c>
      <c r="X6379" s="2">
        <f ca="1"/>
        <v>66.882856656481493</v>
      </c>
      <c r="AG6379" s="2">
        <f ca="1"/>
        <v>7.1071036034010326E-2</v>
      </c>
      <c r="AH6379" s="2" t="str">
        <f ca="1"/>
        <v>OK</v>
      </c>
    </row>
    <row r="6380" spans="2:34" x14ac:dyDescent="0.2">
      <c r="B6380" s="2">
        <f ca="1"/>
        <v>0.41420987730417291</v>
      </c>
      <c r="O6380" s="2">
        <f ca="1"/>
        <v>0.65758879043908069</v>
      </c>
      <c r="X6380" s="2">
        <f ca="1"/>
        <v>30.933223110914906</v>
      </c>
      <c r="AG6380" s="2">
        <f ca="1"/>
        <v>0.35176031749878356</v>
      </c>
      <c r="AH6380" s="2" t="str">
        <f ca="1"/>
        <v>OK</v>
      </c>
    </row>
    <row r="6381" spans="2:34" x14ac:dyDescent="0.2">
      <c r="B6381" s="2">
        <f ca="1"/>
        <v>0.55923558568194531</v>
      </c>
      <c r="O6381" s="2">
        <f ca="1"/>
        <v>-0.19597842724499429</v>
      </c>
      <c r="X6381" s="2">
        <f ca="1"/>
        <v>39.293336189911571</v>
      </c>
      <c r="AG6381" s="2">
        <f ca="1"/>
        <v>9.9777627286320225E-2</v>
      </c>
      <c r="AH6381" s="2" t="str">
        <f ca="1"/>
        <v>OK</v>
      </c>
    </row>
    <row r="6382" spans="2:34" x14ac:dyDescent="0.2">
      <c r="B6382" s="2">
        <f ca="1"/>
        <v>0.1637331128027002</v>
      </c>
      <c r="O6382" s="2">
        <f ca="1"/>
        <v>0.68200605835931172</v>
      </c>
      <c r="X6382" s="2">
        <f ca="1"/>
        <v>27.885756776283923</v>
      </c>
      <c r="AG6382" s="2">
        <f ca="1"/>
        <v>0.5416813778842442</v>
      </c>
      <c r="AH6382" s="2" t="str">
        <f ca="1"/>
        <v>Bad</v>
      </c>
    </row>
    <row r="6383" spans="2:34" x14ac:dyDescent="0.2">
      <c r="B6383" s="2">
        <f ca="1"/>
        <v>0.39738283513862549</v>
      </c>
      <c r="O6383" s="2">
        <f ca="1"/>
        <v>0.55684261959926851</v>
      </c>
      <c r="X6383" s="2">
        <f ca="1"/>
        <v>66.542972371026238</v>
      </c>
      <c r="AG6383" s="2">
        <f ca="1"/>
        <v>0.44222592643427783</v>
      </c>
      <c r="AH6383" s="2" t="str">
        <f ca="1"/>
        <v>Bad</v>
      </c>
    </row>
    <row r="6384" spans="2:34" x14ac:dyDescent="0.2">
      <c r="B6384" s="2">
        <f ca="1"/>
        <v>0.93867755305329248</v>
      </c>
      <c r="O6384" s="2">
        <f ca="1"/>
        <v>0.53131818553067789</v>
      </c>
      <c r="X6384" s="2">
        <f ca="1"/>
        <v>49.137106617625335</v>
      </c>
      <c r="AG6384" s="2">
        <f ca="1"/>
        <v>0.10151296040477709</v>
      </c>
      <c r="AH6384" s="2" t="str">
        <f ca="1"/>
        <v>OK</v>
      </c>
    </row>
    <row r="6385" spans="2:34" x14ac:dyDescent="0.2">
      <c r="B6385" s="2">
        <f ca="1"/>
        <v>0.95719448609493263</v>
      </c>
      <c r="O6385" s="2">
        <f ca="1"/>
        <v>0.67914546890967797</v>
      </c>
      <c r="X6385" s="2">
        <f ca="1"/>
        <v>41.343184782567057</v>
      </c>
      <c r="AG6385" s="2">
        <f ca="1"/>
        <v>0.97642361535582856</v>
      </c>
      <c r="AH6385" s="2" t="str">
        <f ca="1"/>
        <v>Bad</v>
      </c>
    </row>
    <row r="6386" spans="2:34" x14ac:dyDescent="0.2">
      <c r="B6386" s="2">
        <f ca="1"/>
        <v>0.45739723985238356</v>
      </c>
      <c r="O6386" s="2">
        <f ca="1"/>
        <v>0.47321288620778612</v>
      </c>
      <c r="X6386" s="2">
        <f ca="1"/>
        <v>43.987082549933817</v>
      </c>
      <c r="AG6386" s="2">
        <f ca="1"/>
        <v>0.5530777638521609</v>
      </c>
      <c r="AH6386" s="2" t="str">
        <f ca="1"/>
        <v>Bad</v>
      </c>
    </row>
    <row r="6387" spans="2:34" x14ac:dyDescent="0.2">
      <c r="B6387" s="2">
        <f ca="1"/>
        <v>0.38429244015411546</v>
      </c>
      <c r="O6387" s="2">
        <f ca="1"/>
        <v>2.5857874942181152E-3</v>
      </c>
      <c r="X6387" s="2">
        <f ca="1"/>
        <v>81.146254444719858</v>
      </c>
      <c r="AG6387" s="2">
        <f ca="1"/>
        <v>0.45654257007878596</v>
      </c>
      <c r="AH6387" s="2" t="str">
        <f ca="1"/>
        <v>Bad</v>
      </c>
    </row>
    <row r="6388" spans="2:34" x14ac:dyDescent="0.2">
      <c r="B6388" s="2">
        <f ca="1"/>
        <v>0.49149158954453021</v>
      </c>
      <c r="O6388" s="2">
        <f ca="1"/>
        <v>-0.56384641837889604</v>
      </c>
      <c r="X6388" s="2">
        <f ca="1"/>
        <v>27.809173403223472</v>
      </c>
      <c r="AG6388" s="2">
        <f ca="1"/>
        <v>0.83733292870766229</v>
      </c>
      <c r="AH6388" s="2" t="str">
        <f ca="1"/>
        <v>Bad</v>
      </c>
    </row>
    <row r="6389" spans="2:34" x14ac:dyDescent="0.2">
      <c r="B6389" s="2">
        <f ca="1"/>
        <v>0.76181260327663081</v>
      </c>
      <c r="O6389" s="2">
        <f ca="1"/>
        <v>-0.2999733059626834</v>
      </c>
      <c r="X6389" s="2">
        <f ca="1"/>
        <v>55.65159265354356</v>
      </c>
      <c r="AG6389" s="2">
        <f ca="1"/>
        <v>0.98310628493523922</v>
      </c>
      <c r="AH6389" s="2" t="str">
        <f ca="1"/>
        <v>Bad</v>
      </c>
    </row>
    <row r="6390" spans="2:34" x14ac:dyDescent="0.2">
      <c r="B6390" s="2">
        <f ca="1"/>
        <v>0.88301135477447668</v>
      </c>
      <c r="O6390" s="2">
        <f ca="1"/>
        <v>0.81024245256152749</v>
      </c>
      <c r="X6390" s="2">
        <f ca="1"/>
        <v>55.902271016556718</v>
      </c>
      <c r="AG6390" s="2">
        <f ca="1"/>
        <v>0.82079528960128711</v>
      </c>
      <c r="AH6390" s="2" t="str">
        <f ca="1"/>
        <v>Bad</v>
      </c>
    </row>
    <row r="6391" spans="2:34" x14ac:dyDescent="0.2">
      <c r="B6391" s="2">
        <f ca="1"/>
        <v>0.75327939160180102</v>
      </c>
      <c r="O6391" s="2">
        <f ca="1"/>
        <v>0.83612621677424748</v>
      </c>
      <c r="X6391" s="2">
        <f ca="1"/>
        <v>47.000813875990303</v>
      </c>
      <c r="AG6391" s="2">
        <f ca="1"/>
        <v>0.67765921038203714</v>
      </c>
      <c r="AH6391" s="2" t="str">
        <f ca="1"/>
        <v>Bad</v>
      </c>
    </row>
    <row r="6392" spans="2:34" x14ac:dyDescent="0.2">
      <c r="B6392" s="2">
        <f ca="1"/>
        <v>8.0701400000124046E-2</v>
      </c>
      <c r="O6392" s="2">
        <f ca="1"/>
        <v>-0.57671472302641447</v>
      </c>
      <c r="X6392" s="2">
        <f ca="1"/>
        <v>58.411089781579335</v>
      </c>
      <c r="AG6392" s="2">
        <f ca="1"/>
        <v>0.57081933844666954</v>
      </c>
      <c r="AH6392" s="2" t="str">
        <f ca="1"/>
        <v>Bad</v>
      </c>
    </row>
    <row r="6393" spans="2:34" x14ac:dyDescent="0.2">
      <c r="B6393" s="2">
        <f ca="1"/>
        <v>0.64274446801648977</v>
      </c>
      <c r="O6393" s="2">
        <f ca="1"/>
        <v>-0.25501253358089709</v>
      </c>
      <c r="X6393" s="2">
        <f ca="1"/>
        <v>42.803424325744757</v>
      </c>
      <c r="AG6393" s="2">
        <f ca="1"/>
        <v>0.18874811196851082</v>
      </c>
      <c r="AH6393" s="2" t="str">
        <f ca="1"/>
        <v>OK</v>
      </c>
    </row>
    <row r="6394" spans="2:34" x14ac:dyDescent="0.2">
      <c r="B6394" s="2">
        <f ca="1"/>
        <v>7.3815541657701544E-2</v>
      </c>
      <c r="O6394" s="2">
        <f ca="1"/>
        <v>0.82799083093931181</v>
      </c>
      <c r="X6394" s="2">
        <f ca="1"/>
        <v>57.669239576299027</v>
      </c>
      <c r="AG6394" s="2">
        <f ca="1"/>
        <v>0.89376929751308509</v>
      </c>
      <c r="AH6394" s="2" t="str">
        <f ca="1"/>
        <v>Bad</v>
      </c>
    </row>
    <row r="6395" spans="2:34" x14ac:dyDescent="0.2">
      <c r="B6395" s="2">
        <f ca="1"/>
        <v>0.83927574583361597</v>
      </c>
      <c r="O6395" s="2">
        <f ca="1"/>
        <v>-0.5223901861699688</v>
      </c>
      <c r="X6395" s="2">
        <f ca="1"/>
        <v>40.452800440527028</v>
      </c>
      <c r="AG6395" s="2">
        <f ca="1"/>
        <v>0.26420145257001626</v>
      </c>
      <c r="AH6395" s="2" t="str">
        <f ca="1"/>
        <v>OK</v>
      </c>
    </row>
    <row r="6396" spans="2:34" x14ac:dyDescent="0.2">
      <c r="B6396" s="2">
        <f ca="1"/>
        <v>0.93114159923692941</v>
      </c>
      <c r="O6396" s="2">
        <f ca="1"/>
        <v>4.0651380378125171E-2</v>
      </c>
      <c r="X6396" s="2">
        <f ca="1"/>
        <v>40.051501199911634</v>
      </c>
      <c r="AG6396" s="2">
        <f ca="1"/>
        <v>0.95153407389956013</v>
      </c>
      <c r="AH6396" s="2" t="str">
        <f ca="1"/>
        <v>Bad</v>
      </c>
    </row>
    <row r="6397" spans="2:34" x14ac:dyDescent="0.2">
      <c r="B6397" s="2">
        <f ca="1"/>
        <v>0.12719484579508711</v>
      </c>
      <c r="O6397" s="2">
        <f ca="1"/>
        <v>0.49564828736116129</v>
      </c>
      <c r="X6397" s="2">
        <f ca="1"/>
        <v>46.676440236803288</v>
      </c>
      <c r="AG6397" s="2">
        <f ca="1"/>
        <v>0.54962206598544472</v>
      </c>
      <c r="AH6397" s="2" t="str">
        <f ca="1"/>
        <v>Bad</v>
      </c>
    </row>
    <row r="6398" spans="2:34" x14ac:dyDescent="0.2">
      <c r="B6398" s="2">
        <f ca="1"/>
        <v>0.41091358707050518</v>
      </c>
      <c r="O6398" s="2">
        <f ca="1"/>
        <v>0.4338809749918518</v>
      </c>
      <c r="X6398" s="2">
        <f ca="1"/>
        <v>71.203341288157247</v>
      </c>
      <c r="AG6398" s="2">
        <f ca="1"/>
        <v>0.29353298697065644</v>
      </c>
      <c r="AH6398" s="2" t="str">
        <f ca="1"/>
        <v>OK</v>
      </c>
    </row>
    <row r="6399" spans="2:34" x14ac:dyDescent="0.2">
      <c r="B6399" s="2">
        <f ca="1"/>
        <v>0.47519106014356782</v>
      </c>
      <c r="O6399" s="2">
        <f ca="1"/>
        <v>-1.1492192347411536</v>
      </c>
      <c r="X6399" s="2">
        <f ca="1"/>
        <v>41.935397366973497</v>
      </c>
      <c r="AG6399" s="2">
        <f ca="1"/>
        <v>0.26614269845411265</v>
      </c>
      <c r="AH6399" s="2" t="str">
        <f ca="1"/>
        <v>OK</v>
      </c>
    </row>
    <row r="6400" spans="2:34" x14ac:dyDescent="0.2">
      <c r="B6400" s="2">
        <f ca="1"/>
        <v>0.17046238000611735</v>
      </c>
      <c r="O6400" s="2">
        <f ca="1"/>
        <v>-0.59878935831885516</v>
      </c>
      <c r="X6400" s="2">
        <f ca="1"/>
        <v>60.951271761865911</v>
      </c>
      <c r="AG6400" s="2">
        <f ca="1"/>
        <v>7.1377536100323047E-2</v>
      </c>
      <c r="AH6400" s="2" t="str">
        <f ca="1"/>
        <v>OK</v>
      </c>
    </row>
    <row r="6401" spans="2:34" x14ac:dyDescent="0.2">
      <c r="B6401" s="2">
        <f ca="1"/>
        <v>6.0267285168782436E-3</v>
      </c>
      <c r="O6401" s="2">
        <f ca="1"/>
        <v>0.19655697475911321</v>
      </c>
      <c r="X6401" s="2">
        <f ca="1"/>
        <v>58.15464146516593</v>
      </c>
      <c r="AG6401" s="2">
        <f ca="1"/>
        <v>0.14283388570472311</v>
      </c>
      <c r="AH6401" s="2" t="str">
        <f ca="1"/>
        <v>OK</v>
      </c>
    </row>
    <row r="6402" spans="2:34" x14ac:dyDescent="0.2">
      <c r="B6402" s="2">
        <f ca="1"/>
        <v>0.57798675032949909</v>
      </c>
      <c r="O6402" s="2">
        <f ca="1"/>
        <v>0.14802406209409211</v>
      </c>
      <c r="X6402" s="2">
        <f ca="1"/>
        <v>44.583541353744465</v>
      </c>
      <c r="AG6402" s="2">
        <f ca="1"/>
        <v>0.44212417725223174</v>
      </c>
      <c r="AH6402" s="2" t="str">
        <f ca="1"/>
        <v>Bad</v>
      </c>
    </row>
    <row r="6403" spans="2:34" x14ac:dyDescent="0.2">
      <c r="B6403" s="2">
        <f ca="1"/>
        <v>0.5974360006515782</v>
      </c>
      <c r="O6403" s="2">
        <f ca="1"/>
        <v>-0.46741372147194737</v>
      </c>
      <c r="X6403" s="2">
        <f ca="1"/>
        <v>53.329357978880594</v>
      </c>
      <c r="AG6403" s="2">
        <f ca="1"/>
        <v>0.38078654601185424</v>
      </c>
      <c r="AH6403" s="2" t="str">
        <f ca="1"/>
        <v>OK</v>
      </c>
    </row>
    <row r="6404" spans="2:34" x14ac:dyDescent="0.2">
      <c r="B6404" s="2">
        <f ca="1"/>
        <v>0.20304761870019616</v>
      </c>
      <c r="O6404" s="2">
        <f ca="1"/>
        <v>-0.71982797415456812</v>
      </c>
      <c r="X6404" s="2">
        <f ca="1"/>
        <v>32.67579608124943</v>
      </c>
      <c r="AG6404" s="2">
        <f ca="1"/>
        <v>0.83628185064924532</v>
      </c>
      <c r="AH6404" s="2" t="str">
        <f ca="1"/>
        <v>Bad</v>
      </c>
    </row>
    <row r="6405" spans="2:34" x14ac:dyDescent="0.2">
      <c r="B6405" s="2">
        <f ca="1"/>
        <v>0.36506141967487493</v>
      </c>
      <c r="O6405" s="2">
        <f ca="1"/>
        <v>-0.18886136781579077</v>
      </c>
      <c r="X6405" s="2">
        <f ca="1"/>
        <v>37.748552254182563</v>
      </c>
      <c r="AG6405" s="2">
        <f ca="1"/>
        <v>0.43218487709270903</v>
      </c>
      <c r="AH6405" s="2" t="str">
        <f ca="1"/>
        <v>Bad</v>
      </c>
    </row>
    <row r="6406" spans="2:34" x14ac:dyDescent="0.2">
      <c r="B6406" s="2">
        <f ca="1"/>
        <v>0.89907064699056027</v>
      </c>
      <c r="O6406" s="2">
        <f ca="1"/>
        <v>0.88911495410797414</v>
      </c>
      <c r="X6406" s="2">
        <f ca="1"/>
        <v>39.71145243984283</v>
      </c>
      <c r="AG6406" s="2">
        <f ca="1"/>
        <v>0.72976555976533475</v>
      </c>
      <c r="AH6406" s="2" t="str">
        <f ca="1"/>
        <v>Bad</v>
      </c>
    </row>
    <row r="6407" spans="2:34" x14ac:dyDescent="0.2">
      <c r="B6407" s="2">
        <f ca="1"/>
        <v>0.93595251504852239</v>
      </c>
      <c r="O6407" s="2">
        <f ca="1"/>
        <v>-0.42069385430014672</v>
      </c>
      <c r="X6407" s="2">
        <f ca="1"/>
        <v>52.315126500535747</v>
      </c>
      <c r="AG6407" s="2">
        <f ca="1"/>
        <v>0.33357812580952872</v>
      </c>
      <c r="AH6407" s="2" t="str">
        <f ca="1"/>
        <v>OK</v>
      </c>
    </row>
    <row r="6408" spans="2:34" x14ac:dyDescent="0.2">
      <c r="B6408" s="2">
        <f ca="1"/>
        <v>0.31519658146111995</v>
      </c>
      <c r="O6408" s="2">
        <f ca="1"/>
        <v>-0.77007467841384747</v>
      </c>
      <c r="X6408" s="2">
        <f ca="1"/>
        <v>80.169277393654454</v>
      </c>
      <c r="AG6408" s="2">
        <f ca="1"/>
        <v>0.7541279897766997</v>
      </c>
      <c r="AH6408" s="2" t="str">
        <f ca="1"/>
        <v>Bad</v>
      </c>
    </row>
    <row r="6409" spans="2:34" x14ac:dyDescent="0.2">
      <c r="B6409" s="2">
        <f ca="1"/>
        <v>9.686904803509E-2</v>
      </c>
      <c r="O6409" s="2">
        <f ca="1"/>
        <v>0.38306594055373339</v>
      </c>
      <c r="X6409" s="2">
        <f ca="1"/>
        <v>57.556100306891594</v>
      </c>
      <c r="AG6409" s="2">
        <f ca="1"/>
        <v>0.23508747951956543</v>
      </c>
      <c r="AH6409" s="2" t="str">
        <f ca="1"/>
        <v>OK</v>
      </c>
    </row>
    <row r="6410" spans="2:34" x14ac:dyDescent="0.2">
      <c r="B6410" s="2">
        <f ca="1"/>
        <v>0.14384154705253471</v>
      </c>
      <c r="O6410" s="2">
        <f ca="1"/>
        <v>-1.8312629824030568</v>
      </c>
      <c r="X6410" s="2">
        <f ca="1"/>
        <v>40.18670596669886</v>
      </c>
      <c r="AG6410" s="2">
        <f ca="1"/>
        <v>0.73107672380054378</v>
      </c>
      <c r="AH6410" s="2" t="str">
        <f ca="1"/>
        <v>Bad</v>
      </c>
    </row>
    <row r="6411" spans="2:34" x14ac:dyDescent="0.2">
      <c r="B6411" s="2">
        <f ca="1"/>
        <v>0.97277705786234225</v>
      </c>
      <c r="O6411" s="2">
        <f ca="1"/>
        <v>0.17170553531200422</v>
      </c>
      <c r="X6411" s="2">
        <f ca="1"/>
        <v>42.913732797566766</v>
      </c>
      <c r="AG6411" s="2">
        <f ca="1"/>
        <v>0.29674524319407891</v>
      </c>
      <c r="AH6411" s="2" t="str">
        <f ca="1"/>
        <v>OK</v>
      </c>
    </row>
    <row r="6412" spans="2:34" x14ac:dyDescent="0.2">
      <c r="B6412" s="2">
        <f ca="1"/>
        <v>0.5377287926624621</v>
      </c>
      <c r="O6412" s="2">
        <f ca="1"/>
        <v>2.4930175275665762</v>
      </c>
      <c r="X6412" s="2">
        <f ca="1"/>
        <v>33.651359004631182</v>
      </c>
      <c r="AG6412" s="2">
        <f ca="1"/>
        <v>0.75935829823963452</v>
      </c>
      <c r="AH6412" s="2" t="str">
        <f ca="1"/>
        <v>Bad</v>
      </c>
    </row>
    <row r="6413" spans="2:34" x14ac:dyDescent="0.2">
      <c r="B6413" s="2">
        <f ca="1"/>
        <v>0.54887769202095948</v>
      </c>
      <c r="O6413" s="2">
        <f ca="1"/>
        <v>-0.71517361542818358</v>
      </c>
      <c r="X6413" s="2">
        <f ca="1"/>
        <v>42.458288192308814</v>
      </c>
      <c r="AG6413" s="2">
        <f ca="1"/>
        <v>0.62587260733631522</v>
      </c>
      <c r="AH6413" s="2" t="str">
        <f ca="1"/>
        <v>Bad</v>
      </c>
    </row>
    <row r="6414" spans="2:34" x14ac:dyDescent="0.2">
      <c r="B6414" s="2">
        <f ca="1"/>
        <v>0.15378927187867575</v>
      </c>
      <c r="O6414" s="2">
        <f ca="1"/>
        <v>0.48718525815950464</v>
      </c>
      <c r="X6414" s="2">
        <f ca="1"/>
        <v>43.651062248888515</v>
      </c>
      <c r="AG6414" s="2">
        <f ca="1"/>
        <v>0.99813748809348457</v>
      </c>
      <c r="AH6414" s="2" t="str">
        <f ca="1"/>
        <v>Bad</v>
      </c>
    </row>
    <row r="6415" spans="2:34" x14ac:dyDescent="0.2">
      <c r="B6415" s="2">
        <f ca="1"/>
        <v>0.48450262447826287</v>
      </c>
      <c r="O6415" s="2">
        <f ca="1"/>
        <v>-0.99419984720207155</v>
      </c>
      <c r="X6415" s="2">
        <f ca="1"/>
        <v>55.194187099390277</v>
      </c>
      <c r="AG6415" s="2">
        <f ca="1"/>
        <v>0.89958735412179625</v>
      </c>
      <c r="AH6415" s="2" t="str">
        <f ca="1"/>
        <v>Bad</v>
      </c>
    </row>
    <row r="6416" spans="2:34" x14ac:dyDescent="0.2">
      <c r="B6416" s="2">
        <f ca="1"/>
        <v>0.85005472180395247</v>
      </c>
      <c r="O6416" s="2">
        <f ca="1"/>
        <v>0.21908514720431918</v>
      </c>
      <c r="X6416" s="2">
        <f ca="1"/>
        <v>57.111496706911197</v>
      </c>
      <c r="AG6416" s="2">
        <f ca="1"/>
        <v>0.31980470573127673</v>
      </c>
      <c r="AH6416" s="2" t="str">
        <f ca="1"/>
        <v>OK</v>
      </c>
    </row>
    <row r="6417" spans="2:34" x14ac:dyDescent="0.2">
      <c r="B6417" s="2">
        <f ca="1"/>
        <v>0.58050234602378237</v>
      </c>
      <c r="O6417" s="2">
        <f ca="1"/>
        <v>-1.0815667056128058</v>
      </c>
      <c r="X6417" s="2">
        <f ca="1"/>
        <v>41.821871011530227</v>
      </c>
      <c r="AG6417" s="2">
        <f ca="1"/>
        <v>0.36278710567378347</v>
      </c>
      <c r="AH6417" s="2" t="str">
        <f ca="1"/>
        <v>OK</v>
      </c>
    </row>
    <row r="6418" spans="2:34" x14ac:dyDescent="0.2">
      <c r="B6418" s="2">
        <f ca="1"/>
        <v>0.86138029058155885</v>
      </c>
      <c r="O6418" s="2">
        <f ca="1"/>
        <v>0.90738232788076156</v>
      </c>
      <c r="X6418" s="2">
        <f ca="1"/>
        <v>35.994088890915734</v>
      </c>
      <c r="AG6418" s="2">
        <f ca="1"/>
        <v>0.36850776015183384</v>
      </c>
      <c r="AH6418" s="2" t="str">
        <f ca="1"/>
        <v>OK</v>
      </c>
    </row>
    <row r="6419" spans="2:34" x14ac:dyDescent="0.2">
      <c r="B6419" s="2">
        <f ca="1"/>
        <v>0.16375115810861507</v>
      </c>
      <c r="O6419" s="2">
        <f ca="1"/>
        <v>-1.1559863716689476</v>
      </c>
      <c r="X6419" s="2">
        <f ca="1"/>
        <v>60.088596515678859</v>
      </c>
      <c r="AG6419" s="2">
        <f ca="1"/>
        <v>0.92574247699543921</v>
      </c>
      <c r="AH6419" s="2" t="str">
        <f ca="1"/>
        <v>Bad</v>
      </c>
    </row>
    <row r="6420" spans="2:34" x14ac:dyDescent="0.2">
      <c r="B6420" s="2">
        <f ca="1"/>
        <v>0.28347733183202717</v>
      </c>
      <c r="O6420" s="2">
        <f ca="1"/>
        <v>0.7913153863300455</v>
      </c>
      <c r="X6420" s="2">
        <f ca="1"/>
        <v>46.453795313818169</v>
      </c>
      <c r="AG6420" s="2">
        <f ca="1"/>
        <v>0.70540653592203872</v>
      </c>
      <c r="AH6420" s="2" t="str">
        <f ca="1"/>
        <v>Bad</v>
      </c>
    </row>
    <row r="6421" spans="2:34" x14ac:dyDescent="0.2">
      <c r="B6421" s="2">
        <f ca="1"/>
        <v>0.49162747892132819</v>
      </c>
      <c r="O6421" s="2">
        <f ca="1"/>
        <v>0.30907089006146721</v>
      </c>
      <c r="X6421" s="2">
        <f ca="1"/>
        <v>74.316141446175408</v>
      </c>
      <c r="AG6421" s="2">
        <f ca="1"/>
        <v>0.41238686619594733</v>
      </c>
      <c r="AH6421" s="2" t="str">
        <f ca="1"/>
        <v>Bad</v>
      </c>
    </row>
    <row r="6422" spans="2:34" x14ac:dyDescent="0.2">
      <c r="B6422" s="2">
        <f ca="1"/>
        <v>0.1725759799341211</v>
      </c>
      <c r="O6422" s="2">
        <f ca="1"/>
        <v>-0.40406715225110129</v>
      </c>
      <c r="X6422" s="2">
        <f ca="1"/>
        <v>49.527005828336499</v>
      </c>
      <c r="AG6422" s="2">
        <f ca="1"/>
        <v>8.1140185387492236E-2</v>
      </c>
      <c r="AH6422" s="2" t="str">
        <f ca="1"/>
        <v>OK</v>
      </c>
    </row>
    <row r="6423" spans="2:34" x14ac:dyDescent="0.2">
      <c r="B6423" s="2">
        <f ca="1"/>
        <v>3.1925565094984343E-2</v>
      </c>
      <c r="O6423" s="2">
        <f ca="1"/>
        <v>-1.6322483680525306</v>
      </c>
      <c r="X6423" s="2">
        <f ca="1"/>
        <v>33.367961975227523</v>
      </c>
      <c r="AG6423" s="2">
        <f ca="1"/>
        <v>0.59711746896670248</v>
      </c>
      <c r="AH6423" s="2" t="str">
        <f ca="1"/>
        <v>Bad</v>
      </c>
    </row>
    <row r="6424" spans="2:34" x14ac:dyDescent="0.2">
      <c r="B6424" s="2">
        <f ca="1"/>
        <v>0.12234997003065695</v>
      </c>
      <c r="O6424" s="2">
        <f ca="1"/>
        <v>2.4158954058243749</v>
      </c>
      <c r="X6424" s="2">
        <f ca="1"/>
        <v>31.108307095097075</v>
      </c>
      <c r="AG6424" s="2">
        <f ca="1"/>
        <v>4.4438146355510355E-2</v>
      </c>
      <c r="AH6424" s="2" t="str">
        <f ca="1"/>
        <v>Good</v>
      </c>
    </row>
    <row r="6425" spans="2:34" x14ac:dyDescent="0.2">
      <c r="B6425" s="2">
        <f ca="1"/>
        <v>0.74759454850148321</v>
      </c>
      <c r="O6425" s="2">
        <f ca="1"/>
        <v>1.2634210206028849</v>
      </c>
      <c r="X6425" s="2">
        <f ca="1"/>
        <v>66.717905130321071</v>
      </c>
      <c r="AG6425" s="2">
        <f ca="1"/>
        <v>0.7682034677000158</v>
      </c>
      <c r="AH6425" s="2" t="str">
        <f ca="1"/>
        <v>Bad</v>
      </c>
    </row>
    <row r="6426" spans="2:34" x14ac:dyDescent="0.2">
      <c r="B6426" s="2">
        <f ca="1"/>
        <v>9.6489472880283644E-2</v>
      </c>
      <c r="O6426" s="2">
        <f ca="1"/>
        <v>0.61889371345692845</v>
      </c>
      <c r="X6426" s="2">
        <f ca="1"/>
        <v>50.581986295452339</v>
      </c>
      <c r="AG6426" s="2">
        <f ca="1"/>
        <v>0.38512864879104458</v>
      </c>
      <c r="AH6426" s="2" t="str">
        <f ca="1"/>
        <v>OK</v>
      </c>
    </row>
    <row r="6427" spans="2:34" x14ac:dyDescent="0.2">
      <c r="B6427" s="2">
        <f ca="1"/>
        <v>0.86112583693362965</v>
      </c>
      <c r="O6427" s="2">
        <f ca="1"/>
        <v>1.0220496116966609</v>
      </c>
      <c r="X6427" s="2">
        <f ca="1"/>
        <v>46.301345953979542</v>
      </c>
      <c r="AG6427" s="2">
        <f ca="1"/>
        <v>5.608904021662009E-2</v>
      </c>
      <c r="AH6427" s="2" t="str">
        <f ca="1"/>
        <v>OK</v>
      </c>
    </row>
    <row r="6428" spans="2:34" x14ac:dyDescent="0.2">
      <c r="B6428" s="2">
        <f ca="1"/>
        <v>0.54203825473528933</v>
      </c>
      <c r="O6428" s="2">
        <f ca="1"/>
        <v>-0.21290640423511265</v>
      </c>
      <c r="X6428" s="2">
        <f ca="1"/>
        <v>67.129084292931566</v>
      </c>
      <c r="AG6428" s="2">
        <f ca="1"/>
        <v>0.47147518988214188</v>
      </c>
      <c r="AH6428" s="2" t="str">
        <f ca="1"/>
        <v>Bad</v>
      </c>
    </row>
    <row r="6429" spans="2:34" x14ac:dyDescent="0.2">
      <c r="B6429" s="2">
        <f ca="1"/>
        <v>0.91921136711442775</v>
      </c>
      <c r="O6429" s="2">
        <f ca="1"/>
        <v>0.46476110292419553</v>
      </c>
      <c r="X6429" s="2">
        <f ca="1"/>
        <v>55.905867696720151</v>
      </c>
      <c r="AG6429" s="2">
        <f ca="1"/>
        <v>0.39070536432707659</v>
      </c>
      <c r="AH6429" s="2" t="str">
        <f ca="1"/>
        <v>OK</v>
      </c>
    </row>
    <row r="6430" spans="2:34" x14ac:dyDescent="0.2">
      <c r="B6430" s="2">
        <f ca="1"/>
        <v>0.89653966064209722</v>
      </c>
      <c r="O6430" s="2">
        <f ca="1"/>
        <v>-0.73166597981907744</v>
      </c>
      <c r="X6430" s="2">
        <f ca="1"/>
        <v>49.630298969757078</v>
      </c>
      <c r="AG6430" s="2">
        <f ca="1"/>
        <v>4.5350155017683358E-2</v>
      </c>
      <c r="AH6430" s="2" t="str">
        <f ca="1"/>
        <v>Good</v>
      </c>
    </row>
    <row r="6431" spans="2:34" x14ac:dyDescent="0.2">
      <c r="B6431" s="2">
        <f ca="1"/>
        <v>0.61467130998210018</v>
      </c>
      <c r="O6431" s="2">
        <f ca="1"/>
        <v>0.30707440870806341</v>
      </c>
      <c r="X6431" s="2">
        <f ca="1"/>
        <v>41.958812465007149</v>
      </c>
      <c r="AG6431" s="2">
        <f ca="1"/>
        <v>0.54034012521698105</v>
      </c>
      <c r="AH6431" s="2" t="str">
        <f ca="1"/>
        <v>Bad</v>
      </c>
    </row>
    <row r="6432" spans="2:34" x14ac:dyDescent="0.2">
      <c r="B6432" s="2">
        <f ca="1"/>
        <v>0.6971443532472239</v>
      </c>
      <c r="O6432" s="2">
        <f ca="1"/>
        <v>1.0656692187061119</v>
      </c>
      <c r="X6432" s="2">
        <f ca="1"/>
        <v>46.566913873324729</v>
      </c>
      <c r="AG6432" s="2">
        <f ca="1"/>
        <v>0.45422861961256267</v>
      </c>
      <c r="AH6432" s="2" t="str">
        <f ca="1"/>
        <v>Bad</v>
      </c>
    </row>
    <row r="6433" spans="2:34" x14ac:dyDescent="0.2">
      <c r="B6433" s="2">
        <f ca="1"/>
        <v>0.35303388461919982</v>
      </c>
      <c r="O6433" s="2">
        <f ca="1"/>
        <v>0.65879030585668796</v>
      </c>
      <c r="X6433" s="2">
        <f ca="1"/>
        <v>74.507950119361524</v>
      </c>
      <c r="AG6433" s="2">
        <f ca="1"/>
        <v>0.29853650705587209</v>
      </c>
      <c r="AH6433" s="2" t="str">
        <f ca="1"/>
        <v>OK</v>
      </c>
    </row>
    <row r="6434" spans="2:34" x14ac:dyDescent="0.2">
      <c r="B6434" s="2">
        <f ca="1"/>
        <v>0.89538378905883254</v>
      </c>
      <c r="O6434" s="2">
        <f ca="1"/>
        <v>-0.14523913229315449</v>
      </c>
      <c r="X6434" s="2">
        <f ca="1"/>
        <v>28.507733505719504</v>
      </c>
      <c r="AG6434" s="2">
        <f ca="1"/>
        <v>4.6511648273877881E-2</v>
      </c>
      <c r="AH6434" s="2" t="str">
        <f ca="1"/>
        <v>Good</v>
      </c>
    </row>
    <row r="6435" spans="2:34" x14ac:dyDescent="0.2">
      <c r="B6435" s="2">
        <f ca="1"/>
        <v>0.3879267511228004</v>
      </c>
      <c r="O6435" s="2">
        <f ca="1"/>
        <v>-0.88902807162179243</v>
      </c>
      <c r="X6435" s="2">
        <f ca="1"/>
        <v>34.192464490822566</v>
      </c>
      <c r="AG6435" s="2">
        <f ca="1"/>
        <v>0.5793564939707081</v>
      </c>
      <c r="AH6435" s="2" t="str">
        <f ca="1"/>
        <v>Bad</v>
      </c>
    </row>
    <row r="6436" spans="2:34" x14ac:dyDescent="0.2">
      <c r="B6436" s="2">
        <f ca="1"/>
        <v>0.88979275179667838</v>
      </c>
      <c r="O6436" s="2">
        <f ca="1"/>
        <v>-2.3697076767025555E-2</v>
      </c>
      <c r="X6436" s="2">
        <f ca="1"/>
        <v>56.733239467895331</v>
      </c>
      <c r="AG6436" s="2">
        <f ca="1"/>
        <v>0.79605862309968978</v>
      </c>
      <c r="AH6436" s="2" t="str">
        <f ca="1"/>
        <v>Bad</v>
      </c>
    </row>
    <row r="6437" spans="2:34" x14ac:dyDescent="0.2">
      <c r="B6437" s="2">
        <f ca="1"/>
        <v>0.63962953665158051</v>
      </c>
      <c r="O6437" s="2">
        <f ca="1"/>
        <v>0.38269089249372812</v>
      </c>
      <c r="X6437" s="2">
        <f ca="1"/>
        <v>53.095552610503994</v>
      </c>
      <c r="AG6437" s="2">
        <f ca="1"/>
        <v>0.15943974284260487</v>
      </c>
      <c r="AH6437" s="2" t="str">
        <f ca="1"/>
        <v>OK</v>
      </c>
    </row>
    <row r="6438" spans="2:34" x14ac:dyDescent="0.2">
      <c r="B6438" s="2">
        <f ca="1"/>
        <v>0.11206449066371427</v>
      </c>
      <c r="O6438" s="2">
        <f ca="1"/>
        <v>-0.68149554948932545</v>
      </c>
      <c r="X6438" s="2">
        <f ca="1"/>
        <v>65.936204606432383</v>
      </c>
      <c r="AG6438" s="2">
        <f ca="1"/>
        <v>0.30788208179816978</v>
      </c>
      <c r="AH6438" s="2" t="str">
        <f ca="1"/>
        <v>OK</v>
      </c>
    </row>
    <row r="6439" spans="2:34" x14ac:dyDescent="0.2">
      <c r="B6439" s="2">
        <f ca="1"/>
        <v>0.22119798875562391</v>
      </c>
      <c r="O6439" s="2">
        <f ca="1"/>
        <v>1.4800414532482713</v>
      </c>
      <c r="X6439" s="2">
        <f ca="1"/>
        <v>40.901434477461663</v>
      </c>
      <c r="AG6439" s="2">
        <f ca="1"/>
        <v>0.92441699491071883</v>
      </c>
      <c r="AH6439" s="2" t="str">
        <f ca="1"/>
        <v>Bad</v>
      </c>
    </row>
    <row r="6440" spans="2:34" x14ac:dyDescent="0.2">
      <c r="B6440" s="2">
        <f ca="1"/>
        <v>0.40368052848080738</v>
      </c>
      <c r="O6440" s="2">
        <f ca="1"/>
        <v>0.76604079912573442</v>
      </c>
      <c r="X6440" s="2">
        <f ca="1"/>
        <v>52.076324484785275</v>
      </c>
      <c r="AG6440" s="2">
        <f ca="1"/>
        <v>0.20747111198219614</v>
      </c>
      <c r="AH6440" s="2" t="str">
        <f ca="1"/>
        <v>OK</v>
      </c>
    </row>
    <row r="6441" spans="2:34" x14ac:dyDescent="0.2">
      <c r="B6441" s="2">
        <f ca="1"/>
        <v>5.2836909028899814E-2</v>
      </c>
      <c r="O6441" s="2">
        <f ca="1"/>
        <v>1.2430607366123188</v>
      </c>
      <c r="X6441" s="2">
        <f ca="1"/>
        <v>85.285578798201996</v>
      </c>
      <c r="AG6441" s="2">
        <f ca="1"/>
        <v>0.46502784345068182</v>
      </c>
      <c r="AH6441" s="2" t="str">
        <f ca="1"/>
        <v>Bad</v>
      </c>
    </row>
    <row r="6442" spans="2:34" x14ac:dyDescent="0.2">
      <c r="B6442" s="2">
        <f ca="1"/>
        <v>2.2242303146997155E-2</v>
      </c>
      <c r="O6442" s="2">
        <f ca="1"/>
        <v>-0.26577381159667268</v>
      </c>
      <c r="X6442" s="2">
        <f ca="1"/>
        <v>60.509403530486651</v>
      </c>
      <c r="AG6442" s="2">
        <f ca="1"/>
        <v>0.22105073446628998</v>
      </c>
      <c r="AH6442" s="2" t="str">
        <f ca="1"/>
        <v>OK</v>
      </c>
    </row>
    <row r="6443" spans="2:34" x14ac:dyDescent="0.2">
      <c r="B6443" s="2">
        <f ca="1"/>
        <v>0.93634376238749728</v>
      </c>
      <c r="O6443" s="2">
        <f ca="1"/>
        <v>1.8454942791710716</v>
      </c>
      <c r="X6443" s="2">
        <f ca="1"/>
        <v>86.022457181876348</v>
      </c>
      <c r="AG6443" s="2">
        <f ca="1"/>
        <v>0.12694314786544236</v>
      </c>
      <c r="AH6443" s="2" t="str">
        <f ca="1"/>
        <v>OK</v>
      </c>
    </row>
    <row r="6444" spans="2:34" x14ac:dyDescent="0.2">
      <c r="B6444" s="2">
        <f ca="1"/>
        <v>1.9135116997237578E-2</v>
      </c>
      <c r="O6444" s="2">
        <f ca="1"/>
        <v>1.230152468378948E-3</v>
      </c>
      <c r="X6444" s="2">
        <f ca="1"/>
        <v>31.940879566885549</v>
      </c>
      <c r="AG6444" s="2">
        <f ca="1"/>
        <v>0.37647594466587142</v>
      </c>
      <c r="AH6444" s="2" t="str">
        <f ca="1"/>
        <v>OK</v>
      </c>
    </row>
    <row r="6445" spans="2:34" x14ac:dyDescent="0.2">
      <c r="B6445" s="2">
        <f ca="1"/>
        <v>0.22743880894927138</v>
      </c>
      <c r="O6445" s="2">
        <f ca="1"/>
        <v>-0.64689925683431704</v>
      </c>
      <c r="X6445" s="2">
        <f ca="1"/>
        <v>70.328791520893247</v>
      </c>
      <c r="AG6445" s="2">
        <f ca="1"/>
        <v>0.83354434894745877</v>
      </c>
      <c r="AH6445" s="2" t="str">
        <f ca="1"/>
        <v>Bad</v>
      </c>
    </row>
    <row r="6446" spans="2:34" x14ac:dyDescent="0.2">
      <c r="B6446" s="2">
        <f ca="1"/>
        <v>0.66629230429690756</v>
      </c>
      <c r="O6446" s="2">
        <f ca="1"/>
        <v>-0.73963571970934439</v>
      </c>
      <c r="X6446" s="2">
        <f ca="1"/>
        <v>48.773874835037574</v>
      </c>
      <c r="AG6446" s="2">
        <f ca="1"/>
        <v>0.14788592530015876</v>
      </c>
      <c r="AH6446" s="2" t="str">
        <f ca="1"/>
        <v>OK</v>
      </c>
    </row>
    <row r="6447" spans="2:34" x14ac:dyDescent="0.2">
      <c r="B6447" s="2">
        <f ca="1"/>
        <v>0.83467240899106421</v>
      </c>
      <c r="O6447" s="2">
        <f ca="1"/>
        <v>0.95049221903324821</v>
      </c>
      <c r="X6447" s="2">
        <f ca="1"/>
        <v>85.905214640980461</v>
      </c>
      <c r="AG6447" s="2">
        <f ca="1"/>
        <v>0.99160392485247018</v>
      </c>
      <c r="AH6447" s="2" t="str">
        <f ca="1"/>
        <v>Bad</v>
      </c>
    </row>
    <row r="6448" spans="2:34" x14ac:dyDescent="0.2">
      <c r="B6448" s="2">
        <f ca="1"/>
        <v>0.45052486445081752</v>
      </c>
      <c r="O6448" s="2">
        <f ca="1"/>
        <v>-0.72395034323276819</v>
      </c>
      <c r="X6448" s="2">
        <f ca="1"/>
        <v>36.267251392774689</v>
      </c>
      <c r="AG6448" s="2">
        <f ca="1"/>
        <v>0.81128455203010352</v>
      </c>
      <c r="AH6448" s="2" t="str">
        <f ca="1"/>
        <v>Bad</v>
      </c>
    </row>
    <row r="6449" spans="2:34" x14ac:dyDescent="0.2">
      <c r="B6449" s="2">
        <f ca="1"/>
        <v>5.3338106129692475E-2</v>
      </c>
      <c r="O6449" s="2">
        <f ca="1"/>
        <v>-0.43239368576167964</v>
      </c>
      <c r="X6449" s="2">
        <f ca="1"/>
        <v>45.846136534310574</v>
      </c>
      <c r="AG6449" s="2">
        <f ca="1"/>
        <v>0.47820026030401031</v>
      </c>
      <c r="AH6449" s="2" t="str">
        <f ca="1"/>
        <v>Bad</v>
      </c>
    </row>
    <row r="6450" spans="2:34" x14ac:dyDescent="0.2">
      <c r="B6450" s="2">
        <f ca="1"/>
        <v>0.90023504879940552</v>
      </c>
      <c r="O6450" s="2">
        <f ca="1"/>
        <v>-1.8039064899457571</v>
      </c>
      <c r="X6450" s="2">
        <f ca="1"/>
        <v>49.44955508502774</v>
      </c>
      <c r="AG6450" s="2">
        <f ca="1"/>
        <v>0.97611393059982565</v>
      </c>
      <c r="AH6450" s="2" t="str">
        <f ca="1"/>
        <v>Bad</v>
      </c>
    </row>
    <row r="6451" spans="2:34" x14ac:dyDescent="0.2">
      <c r="B6451" s="2">
        <f ca="1"/>
        <v>0.86425324031214323</v>
      </c>
      <c r="O6451" s="2">
        <f ca="1"/>
        <v>-0.94928767927252355</v>
      </c>
      <c r="X6451" s="2">
        <f ca="1"/>
        <v>66.026437767283937</v>
      </c>
      <c r="AG6451" s="2">
        <f ca="1"/>
        <v>0.65466038800548443</v>
      </c>
      <c r="AH6451" s="2" t="str">
        <f ca="1"/>
        <v>Bad</v>
      </c>
    </row>
    <row r="6452" spans="2:34" x14ac:dyDescent="0.2">
      <c r="B6452" s="2">
        <f ca="1"/>
        <v>0.4354883118318138</v>
      </c>
      <c r="O6452" s="2">
        <f ca="1"/>
        <v>1.4188129220420433</v>
      </c>
      <c r="X6452" s="2">
        <f ca="1"/>
        <v>54.829585303308512</v>
      </c>
      <c r="AG6452" s="2">
        <f ca="1"/>
        <v>0.99573088569539636</v>
      </c>
      <c r="AH6452" s="2" t="str">
        <f ca="1"/>
        <v>Bad</v>
      </c>
    </row>
    <row r="6453" spans="2:34" x14ac:dyDescent="0.2">
      <c r="B6453" s="2">
        <f ca="1"/>
        <v>0.24702317674151741</v>
      </c>
      <c r="O6453" s="2">
        <f ca="1"/>
        <v>-4.047815689093117E-2</v>
      </c>
      <c r="X6453" s="2">
        <f ca="1"/>
        <v>52.690374335844027</v>
      </c>
      <c r="AG6453" s="2">
        <f ca="1"/>
        <v>0.36567160880392291</v>
      </c>
      <c r="AH6453" s="2" t="str">
        <f ca="1"/>
        <v>OK</v>
      </c>
    </row>
    <row r="6454" spans="2:34" x14ac:dyDescent="0.2">
      <c r="B6454" s="2">
        <f ca="1"/>
        <v>0.13541513139669936</v>
      </c>
      <c r="O6454" s="2">
        <f ca="1"/>
        <v>-1.1474648040928015</v>
      </c>
      <c r="X6454" s="2">
        <f ca="1"/>
        <v>36.422040507609765</v>
      </c>
      <c r="AG6454" s="2">
        <f ca="1"/>
        <v>0.21554491187056146</v>
      </c>
      <c r="AH6454" s="2" t="str">
        <f ca="1"/>
        <v>OK</v>
      </c>
    </row>
    <row r="6455" spans="2:34" x14ac:dyDescent="0.2">
      <c r="B6455" s="2">
        <f ca="1"/>
        <v>0.29117132407330781</v>
      </c>
      <c r="O6455" s="2">
        <f ca="1"/>
        <v>1.2662262508943296</v>
      </c>
      <c r="X6455" s="2">
        <f ca="1"/>
        <v>51.254913703383373</v>
      </c>
      <c r="AG6455" s="2">
        <f ca="1"/>
        <v>0.41766644050084256</v>
      </c>
      <c r="AH6455" s="2" t="str">
        <f ca="1"/>
        <v>Bad</v>
      </c>
    </row>
    <row r="6456" spans="2:34" x14ac:dyDescent="0.2">
      <c r="B6456" s="2">
        <f ca="1"/>
        <v>0.46314580952060136</v>
      </c>
      <c r="O6456" s="2">
        <f ca="1"/>
        <v>1.0535798482374628</v>
      </c>
      <c r="X6456" s="2">
        <f ca="1"/>
        <v>45.315979498656844</v>
      </c>
      <c r="AG6456" s="2">
        <f ca="1"/>
        <v>0.43954254738192766</v>
      </c>
      <c r="AH6456" s="2" t="str">
        <f ca="1"/>
        <v>Bad</v>
      </c>
    </row>
    <row r="6457" spans="2:34" x14ac:dyDescent="0.2">
      <c r="B6457" s="2">
        <f ca="1"/>
        <v>0.55565459836822839</v>
      </c>
      <c r="O6457" s="2">
        <f ca="1"/>
        <v>4.9239209292338375E-2</v>
      </c>
      <c r="X6457" s="2">
        <f ca="1"/>
        <v>35.800810206839174</v>
      </c>
      <c r="AG6457" s="2">
        <f ca="1"/>
        <v>0.81437080146906426</v>
      </c>
      <c r="AH6457" s="2" t="str">
        <f ca="1"/>
        <v>Bad</v>
      </c>
    </row>
    <row r="6458" spans="2:34" x14ac:dyDescent="0.2">
      <c r="B6458" s="2">
        <f ca="1"/>
        <v>0.93480564655299725</v>
      </c>
      <c r="O6458" s="2">
        <f ca="1"/>
        <v>0.42152302339904679</v>
      </c>
      <c r="X6458" s="2">
        <f ca="1"/>
        <v>49.038092398410136</v>
      </c>
      <c r="AG6458" s="2">
        <f ca="1"/>
        <v>0.2076409472343872</v>
      </c>
      <c r="AH6458" s="2" t="str">
        <f ca="1"/>
        <v>OK</v>
      </c>
    </row>
    <row r="6459" spans="2:34" x14ac:dyDescent="0.2">
      <c r="B6459" s="2">
        <f ca="1"/>
        <v>0.44288453016836193</v>
      </c>
      <c r="O6459" s="2">
        <f ca="1"/>
        <v>1.2886784265276272</v>
      </c>
      <c r="X6459" s="2">
        <f ca="1"/>
        <v>40.971556512413976</v>
      </c>
      <c r="AG6459" s="2">
        <f ca="1"/>
        <v>0.44129639720648584</v>
      </c>
      <c r="AH6459" s="2" t="str">
        <f ca="1"/>
        <v>Bad</v>
      </c>
    </row>
    <row r="6460" spans="2:34" x14ac:dyDescent="0.2">
      <c r="B6460" s="2">
        <f ca="1"/>
        <v>0.41560853670989717</v>
      </c>
      <c r="O6460" s="2">
        <f ca="1"/>
        <v>-0.26915893404866253</v>
      </c>
      <c r="X6460" s="2">
        <f ca="1"/>
        <v>63.103441085218208</v>
      </c>
      <c r="AG6460" s="2">
        <f ca="1"/>
        <v>8.0630045212710888E-2</v>
      </c>
      <c r="AH6460" s="2" t="str">
        <f ca="1"/>
        <v>OK</v>
      </c>
    </row>
    <row r="6461" spans="2:34" x14ac:dyDescent="0.2">
      <c r="B6461" s="2">
        <f ca="1"/>
        <v>0.28887313410171012</v>
      </c>
      <c r="O6461" s="2">
        <f ca="1"/>
        <v>0.81756173774746721</v>
      </c>
      <c r="X6461" s="2">
        <f ca="1"/>
        <v>31.289291957428951</v>
      </c>
      <c r="AG6461" s="2">
        <f ca="1"/>
        <v>0.76994127161364045</v>
      </c>
      <c r="AH6461" s="2" t="str">
        <f ca="1"/>
        <v>Bad</v>
      </c>
    </row>
    <row r="6462" spans="2:34" x14ac:dyDescent="0.2">
      <c r="B6462" s="2">
        <f ca="1"/>
        <v>0.69568139696547826</v>
      </c>
      <c r="O6462" s="2">
        <f ca="1"/>
        <v>0.96915035634925728</v>
      </c>
      <c r="X6462" s="2">
        <f ca="1"/>
        <v>39.094687509617501</v>
      </c>
      <c r="AG6462" s="2">
        <f ca="1"/>
        <v>0.13242960972122431</v>
      </c>
      <c r="AH6462" s="2" t="str">
        <f ca="1"/>
        <v>OK</v>
      </c>
    </row>
    <row r="6463" spans="2:34" x14ac:dyDescent="0.2">
      <c r="B6463" s="2">
        <f ca="1"/>
        <v>0.53003571352376277</v>
      </c>
      <c r="O6463" s="2">
        <f ca="1"/>
        <v>-0.22535128203491384</v>
      </c>
      <c r="X6463" s="2">
        <f ca="1"/>
        <v>60.177817007983023</v>
      </c>
      <c r="AG6463" s="2">
        <f ca="1"/>
        <v>0.8386065604598083</v>
      </c>
      <c r="AH6463" s="2" t="str">
        <f ca="1"/>
        <v>Bad</v>
      </c>
    </row>
    <row r="6464" spans="2:34" x14ac:dyDescent="0.2">
      <c r="B6464" s="2">
        <f ca="1"/>
        <v>0.52527961338685536</v>
      </c>
      <c r="O6464" s="2">
        <f ca="1"/>
        <v>-0.93603672762314338</v>
      </c>
      <c r="X6464" s="2">
        <f ca="1"/>
        <v>63.245321707305415</v>
      </c>
      <c r="AG6464" s="2">
        <f ca="1"/>
        <v>0.6909878941809986</v>
      </c>
      <c r="AH6464" s="2" t="str">
        <f ca="1"/>
        <v>Bad</v>
      </c>
    </row>
    <row r="6465" spans="2:34" x14ac:dyDescent="0.2">
      <c r="B6465" s="2">
        <f ca="1"/>
        <v>0.66412672016284446</v>
      </c>
      <c r="O6465" s="2">
        <f ca="1"/>
        <v>4.749999530685256E-2</v>
      </c>
      <c r="X6465" s="2">
        <f ca="1"/>
        <v>30.898410473759462</v>
      </c>
      <c r="AG6465" s="2">
        <f ca="1"/>
        <v>0.41738216328857991</v>
      </c>
      <c r="AH6465" s="2" t="str">
        <f ca="1"/>
        <v>Bad</v>
      </c>
    </row>
    <row r="6466" spans="2:34" x14ac:dyDescent="0.2">
      <c r="B6466" s="2">
        <f ca="1"/>
        <v>0.90271296882115748</v>
      </c>
      <c r="O6466" s="2">
        <f ca="1"/>
        <v>8.3368320051662975E-2</v>
      </c>
      <c r="X6466" s="2">
        <f ca="1"/>
        <v>54.21914601696885</v>
      </c>
      <c r="AG6466" s="2">
        <f ca="1"/>
        <v>0.2187407196719704</v>
      </c>
      <c r="AH6466" s="2" t="str">
        <f ca="1"/>
        <v>OK</v>
      </c>
    </row>
    <row r="6467" spans="2:34" x14ac:dyDescent="0.2">
      <c r="B6467" s="2">
        <f ca="1"/>
        <v>0.31580331897954816</v>
      </c>
      <c r="O6467" s="2">
        <f ca="1"/>
        <v>0.88550704977115158</v>
      </c>
      <c r="X6467" s="2">
        <f ca="1"/>
        <v>64.91089322259441</v>
      </c>
      <c r="AG6467" s="2">
        <f ca="1"/>
        <v>0.16632484382182922</v>
      </c>
      <c r="AH6467" s="2" t="str">
        <f ca="1"/>
        <v>OK</v>
      </c>
    </row>
    <row r="6468" spans="2:34" x14ac:dyDescent="0.2">
      <c r="B6468" s="2">
        <f ca="1"/>
        <v>0.96489721533272665</v>
      </c>
      <c r="O6468" s="2">
        <f ca="1"/>
        <v>-0.14643345243043265</v>
      </c>
      <c r="X6468" s="2">
        <f ca="1"/>
        <v>26.119136198910976</v>
      </c>
      <c r="AG6468" s="2">
        <f ca="1"/>
        <v>0.38106875464641199</v>
      </c>
      <c r="AH6468" s="2" t="str">
        <f ca="1"/>
        <v>OK</v>
      </c>
    </row>
    <row r="6469" spans="2:34" x14ac:dyDescent="0.2">
      <c r="B6469" s="2">
        <f ca="1"/>
        <v>0.25463342911792797</v>
      </c>
      <c r="O6469" s="2">
        <f ca="1"/>
        <v>-1.7649822163425652</v>
      </c>
      <c r="X6469" s="2">
        <f ca="1"/>
        <v>62.738473121150406</v>
      </c>
      <c r="AG6469" s="2">
        <f ca="1"/>
        <v>0.68607413972121933</v>
      </c>
      <c r="AH6469" s="2" t="str">
        <f ca="1"/>
        <v>Bad</v>
      </c>
    </row>
    <row r="6470" spans="2:34" x14ac:dyDescent="0.2">
      <c r="B6470" s="2">
        <f ca="1"/>
        <v>0.11155921774822897</v>
      </c>
      <c r="O6470" s="2">
        <f ca="1"/>
        <v>-1.0460160669961676</v>
      </c>
      <c r="X6470" s="2">
        <f ca="1"/>
        <v>32.294298790815965</v>
      </c>
      <c r="AG6470" s="2">
        <f ca="1"/>
        <v>0.31525091176913689</v>
      </c>
      <c r="AH6470" s="2" t="str">
        <f ca="1"/>
        <v>OK</v>
      </c>
    </row>
    <row r="6471" spans="2:34" x14ac:dyDescent="0.2">
      <c r="B6471" s="2">
        <f ca="1"/>
        <v>0.53134319888405135</v>
      </c>
      <c r="O6471" s="2">
        <f ca="1"/>
        <v>-0.73797874423320287</v>
      </c>
      <c r="X6471" s="2">
        <f ca="1"/>
        <v>57.97438044052538</v>
      </c>
      <c r="AG6471" s="2">
        <f ca="1"/>
        <v>0.1417682174204804</v>
      </c>
      <c r="AH6471" s="2" t="str">
        <f ca="1"/>
        <v>OK</v>
      </c>
    </row>
    <row r="6472" spans="2:34" x14ac:dyDescent="0.2">
      <c r="B6472" s="2">
        <f ca="1"/>
        <v>0.53727104398654535</v>
      </c>
      <c r="O6472" s="2">
        <f ca="1"/>
        <v>0.94713298758934006</v>
      </c>
      <c r="X6472" s="2">
        <f ca="1"/>
        <v>34.934439865042329</v>
      </c>
      <c r="AG6472" s="2">
        <f ca="1"/>
        <v>0.6287084831496641</v>
      </c>
      <c r="AH6472" s="2" t="str">
        <f ca="1"/>
        <v>Bad</v>
      </c>
    </row>
    <row r="6473" spans="2:34" x14ac:dyDescent="0.2">
      <c r="B6473" s="2">
        <f ca="1"/>
        <v>0.15934615068168689</v>
      </c>
      <c r="O6473" s="2">
        <f ca="1"/>
        <v>-0.44290952724190602</v>
      </c>
      <c r="X6473" s="2">
        <f ca="1"/>
        <v>36.206204986963655</v>
      </c>
      <c r="AG6473" s="2">
        <f ca="1"/>
        <v>7.3539582486861654E-2</v>
      </c>
      <c r="AH6473" s="2" t="str">
        <f ca="1"/>
        <v>OK</v>
      </c>
    </row>
    <row r="6474" spans="2:34" x14ac:dyDescent="0.2">
      <c r="B6474" s="2">
        <f ca="1"/>
        <v>0.13796263722455926</v>
      </c>
      <c r="O6474" s="2">
        <f ca="1"/>
        <v>-1.4228770772007124</v>
      </c>
      <c r="X6474" s="2">
        <f ca="1"/>
        <v>50.459244418714164</v>
      </c>
      <c r="AG6474" s="2">
        <f ca="1"/>
        <v>0.9682135406757626</v>
      </c>
      <c r="AH6474" s="2" t="str">
        <f ca="1"/>
        <v>Bad</v>
      </c>
    </row>
    <row r="6475" spans="2:34" x14ac:dyDescent="0.2">
      <c r="B6475" s="2">
        <f ca="1"/>
        <v>0.40038204274752531</v>
      </c>
      <c r="O6475" s="2">
        <f ca="1"/>
        <v>-0.76867973698469649</v>
      </c>
      <c r="X6475" s="2">
        <f ca="1"/>
        <v>51.295421284176157</v>
      </c>
      <c r="AG6475" s="2">
        <f ca="1"/>
        <v>0.42231794209241702</v>
      </c>
      <c r="AH6475" s="2" t="str">
        <f ca="1"/>
        <v>Bad</v>
      </c>
    </row>
    <row r="6476" spans="2:34" x14ac:dyDescent="0.2">
      <c r="B6476" s="2">
        <f ca="1"/>
        <v>0.56582614502362105</v>
      </c>
      <c r="O6476" s="2">
        <f ca="1"/>
        <v>-0.89522127285031561</v>
      </c>
      <c r="X6476" s="2">
        <f ca="1"/>
        <v>27.636350092882868</v>
      </c>
      <c r="AG6476" s="2">
        <f ca="1"/>
        <v>0.66939096603133841</v>
      </c>
      <c r="AH6476" s="2" t="str">
        <f ca="1"/>
        <v>Bad</v>
      </c>
    </row>
    <row r="6477" spans="2:34" x14ac:dyDescent="0.2">
      <c r="B6477" s="2">
        <f ca="1"/>
        <v>0.79886104390794133</v>
      </c>
      <c r="O6477" s="2">
        <f ca="1"/>
        <v>1.4740171538096614</v>
      </c>
      <c r="X6477" s="2">
        <f ca="1"/>
        <v>41.869555474175741</v>
      </c>
      <c r="AG6477" s="2">
        <f ca="1"/>
        <v>0.32919098973234395</v>
      </c>
      <c r="AH6477" s="2" t="str">
        <f ca="1"/>
        <v>OK</v>
      </c>
    </row>
    <row r="6478" spans="2:34" x14ac:dyDescent="0.2">
      <c r="B6478" s="2">
        <f ca="1"/>
        <v>0.44715945853727446</v>
      </c>
      <c r="O6478" s="2">
        <f ca="1"/>
        <v>-0.42368161586820097</v>
      </c>
      <c r="X6478" s="2">
        <f ca="1"/>
        <v>41.029515790406407</v>
      </c>
      <c r="AG6478" s="2">
        <f ca="1"/>
        <v>0.28586455443309311</v>
      </c>
      <c r="AH6478" s="2" t="str">
        <f ca="1"/>
        <v>OK</v>
      </c>
    </row>
    <row r="6479" spans="2:34" x14ac:dyDescent="0.2">
      <c r="B6479" s="2">
        <f ca="1"/>
        <v>0.79628881468343327</v>
      </c>
      <c r="O6479" s="2">
        <f ca="1"/>
        <v>-0.79696397449089551</v>
      </c>
      <c r="X6479" s="2">
        <f ca="1"/>
        <v>31.289198438576136</v>
      </c>
      <c r="AG6479" s="2">
        <f ca="1"/>
        <v>0.56260451813249412</v>
      </c>
      <c r="AH6479" s="2" t="str">
        <f ca="1"/>
        <v>Bad</v>
      </c>
    </row>
    <row r="6480" spans="2:34" x14ac:dyDescent="0.2">
      <c r="B6480" s="2">
        <f ca="1"/>
        <v>8.6846414515140857E-2</v>
      </c>
      <c r="O6480" s="2">
        <f ca="1"/>
        <v>0.61456382254079689</v>
      </c>
      <c r="X6480" s="2">
        <f ca="1"/>
        <v>50.499948055056961</v>
      </c>
      <c r="AG6480" s="2">
        <f ca="1"/>
        <v>0.2076108140320474</v>
      </c>
      <c r="AH6480" s="2" t="str">
        <f ca="1"/>
        <v>OK</v>
      </c>
    </row>
    <row r="6481" spans="2:34" x14ac:dyDescent="0.2">
      <c r="B6481" s="2">
        <f ca="1"/>
        <v>0.40973864116488024</v>
      </c>
      <c r="O6481" s="2">
        <f ca="1"/>
        <v>0.24199565376266227</v>
      </c>
      <c r="X6481" s="2">
        <f ca="1"/>
        <v>70.95162970969389</v>
      </c>
      <c r="AG6481" s="2">
        <f ca="1"/>
        <v>0.84922447549733082</v>
      </c>
      <c r="AH6481" s="2" t="str">
        <f ca="1"/>
        <v>Bad</v>
      </c>
    </row>
    <row r="6482" spans="2:34" x14ac:dyDescent="0.2">
      <c r="B6482" s="2">
        <f ca="1"/>
        <v>0.78752841639014703</v>
      </c>
      <c r="O6482" s="2">
        <f ca="1"/>
        <v>-1.9007374175493595E-3</v>
      </c>
      <c r="X6482" s="2">
        <f ca="1"/>
        <v>56.589009709591551</v>
      </c>
      <c r="AG6482" s="2">
        <f ca="1"/>
        <v>0.73234487651149016</v>
      </c>
      <c r="AH6482" s="2" t="str">
        <f ca="1"/>
        <v>Bad</v>
      </c>
    </row>
    <row r="6483" spans="2:34" x14ac:dyDescent="0.2">
      <c r="B6483" s="2">
        <f ca="1"/>
        <v>0.93781680253618638</v>
      </c>
      <c r="O6483" s="2">
        <f ca="1"/>
        <v>0.17795662304632362</v>
      </c>
      <c r="X6483" s="2">
        <f ca="1"/>
        <v>32.739215783522617</v>
      </c>
      <c r="AG6483" s="2">
        <f ca="1"/>
        <v>0.23564974722953536</v>
      </c>
      <c r="AH6483" s="2" t="str">
        <f ca="1"/>
        <v>OK</v>
      </c>
    </row>
    <row r="6484" spans="2:34" x14ac:dyDescent="0.2">
      <c r="B6484" s="2">
        <f ca="1"/>
        <v>0.55415992369967593</v>
      </c>
      <c r="O6484" s="2">
        <f ca="1"/>
        <v>1.4938209675012308</v>
      </c>
      <c r="X6484" s="2">
        <f ca="1"/>
        <v>80.126471318722935</v>
      </c>
      <c r="AG6484" s="2">
        <f ca="1"/>
        <v>0.26744924069580445</v>
      </c>
      <c r="AH6484" s="2" t="str">
        <f ca="1"/>
        <v>OK</v>
      </c>
    </row>
    <row r="6485" spans="2:34" x14ac:dyDescent="0.2">
      <c r="B6485" s="2">
        <f ca="1"/>
        <v>0.6963964378965708</v>
      </c>
      <c r="O6485" s="2">
        <f ca="1"/>
        <v>0.47806045814891907</v>
      </c>
      <c r="X6485" s="2">
        <f ca="1"/>
        <v>26.481629883243365</v>
      </c>
      <c r="AG6485" s="2">
        <f ca="1"/>
        <v>0.61940845857678051</v>
      </c>
      <c r="AH6485" s="2" t="str">
        <f ca="1"/>
        <v>Bad</v>
      </c>
    </row>
    <row r="6486" spans="2:34" x14ac:dyDescent="0.2">
      <c r="B6486" s="2">
        <f ca="1"/>
        <v>0.33608234629411471</v>
      </c>
      <c r="O6486" s="2">
        <f ca="1"/>
        <v>0.52789319861054707</v>
      </c>
      <c r="X6486" s="2">
        <f ca="1"/>
        <v>66.174830856185437</v>
      </c>
      <c r="AG6486" s="2">
        <f ca="1"/>
        <v>0.12193544826852154</v>
      </c>
      <c r="AH6486" s="2" t="str">
        <f ca="1"/>
        <v>OK</v>
      </c>
    </row>
    <row r="6487" spans="2:34" x14ac:dyDescent="0.2">
      <c r="B6487" s="2">
        <f ca="1"/>
        <v>0.61958807809482042</v>
      </c>
      <c r="O6487" s="2">
        <f ca="1"/>
        <v>2.2735701176622425</v>
      </c>
      <c r="X6487" s="2">
        <f ca="1"/>
        <v>52.618589738645831</v>
      </c>
      <c r="AG6487" s="2">
        <f ca="1"/>
        <v>0.39994593738658768</v>
      </c>
      <c r="AH6487" s="2" t="str">
        <f ca="1"/>
        <v>OK</v>
      </c>
    </row>
    <row r="6488" spans="2:34" x14ac:dyDescent="0.2">
      <c r="B6488" s="2">
        <f ca="1"/>
        <v>7.854776441047373E-2</v>
      </c>
      <c r="O6488" s="2">
        <f ca="1"/>
        <v>-1.7494681798980189</v>
      </c>
      <c r="X6488" s="2">
        <f ca="1"/>
        <v>76.912728689151621</v>
      </c>
      <c r="AG6488" s="2">
        <f ca="1"/>
        <v>0.47428462641558511</v>
      </c>
      <c r="AH6488" s="2" t="str">
        <f ca="1"/>
        <v>Bad</v>
      </c>
    </row>
    <row r="6489" spans="2:34" x14ac:dyDescent="0.2">
      <c r="B6489" s="2">
        <f ca="1"/>
        <v>0.58845132523535848</v>
      </c>
      <c r="O6489" s="2">
        <f ca="1"/>
        <v>-0.16024606184145654</v>
      </c>
      <c r="X6489" s="2">
        <f ca="1"/>
        <v>68.103424567413057</v>
      </c>
      <c r="AG6489" s="2">
        <f ca="1"/>
        <v>6.6907338752921985E-2</v>
      </c>
      <c r="AH6489" s="2" t="str">
        <f ca="1"/>
        <v>OK</v>
      </c>
    </row>
    <row r="6490" spans="2:34" x14ac:dyDescent="0.2">
      <c r="B6490" s="2">
        <f ca="1"/>
        <v>5.3844567252201436E-3</v>
      </c>
      <c r="O6490" s="2">
        <f ca="1"/>
        <v>0.84996062690490126</v>
      </c>
      <c r="X6490" s="2">
        <f ca="1"/>
        <v>52.711395696870852</v>
      </c>
      <c r="AG6490" s="2">
        <f ca="1"/>
        <v>0.84473487005121362</v>
      </c>
      <c r="AH6490" s="2" t="str">
        <f ca="1"/>
        <v>Bad</v>
      </c>
    </row>
    <row r="6491" spans="2:34" x14ac:dyDescent="0.2">
      <c r="B6491" s="2">
        <f ca="1"/>
        <v>0.92213907229410141</v>
      </c>
      <c r="O6491" s="2">
        <f ca="1"/>
        <v>-0.82515854393786725</v>
      </c>
      <c r="X6491" s="2">
        <f ca="1"/>
        <v>28.719769411565153</v>
      </c>
      <c r="AG6491" s="2">
        <f ca="1"/>
        <v>0.40735305492242779</v>
      </c>
      <c r="AH6491" s="2" t="str">
        <f ca="1"/>
        <v>Bad</v>
      </c>
    </row>
    <row r="6492" spans="2:34" x14ac:dyDescent="0.2">
      <c r="B6492" s="2">
        <f ca="1"/>
        <v>0.15740751883448167</v>
      </c>
      <c r="O6492" s="2">
        <f ca="1"/>
        <v>0.80135198680399122</v>
      </c>
      <c r="X6492" s="2">
        <f ca="1"/>
        <v>59.816343086903387</v>
      </c>
      <c r="AG6492" s="2">
        <f ca="1"/>
        <v>0.10573117721812064</v>
      </c>
      <c r="AH6492" s="2" t="str">
        <f ca="1"/>
        <v>OK</v>
      </c>
    </row>
    <row r="6493" spans="2:34" x14ac:dyDescent="0.2">
      <c r="B6493" s="2">
        <f ca="1"/>
        <v>0.55958920511873744</v>
      </c>
      <c r="O6493" s="2">
        <f ca="1"/>
        <v>0.96275060491409192</v>
      </c>
      <c r="X6493" s="2">
        <f ca="1"/>
        <v>56.173140651901967</v>
      </c>
      <c r="AG6493" s="2">
        <f ca="1"/>
        <v>0.47103835817697237</v>
      </c>
      <c r="AH6493" s="2" t="str">
        <f ca="1"/>
        <v>Bad</v>
      </c>
    </row>
    <row r="6494" spans="2:34" x14ac:dyDescent="0.2">
      <c r="B6494" s="2">
        <f ca="1"/>
        <v>0.84364438217996773</v>
      </c>
      <c r="O6494" s="2">
        <f ca="1"/>
        <v>0.90208030754259239</v>
      </c>
      <c r="X6494" s="2">
        <f ca="1"/>
        <v>43.872471786276712</v>
      </c>
      <c r="AG6494" s="2">
        <f ca="1"/>
        <v>0.76744458743247135</v>
      </c>
      <c r="AH6494" s="2" t="str">
        <f ca="1"/>
        <v>Bad</v>
      </c>
    </row>
    <row r="6495" spans="2:34" x14ac:dyDescent="0.2">
      <c r="B6495" s="2">
        <f ca="1"/>
        <v>0.58811423568235743</v>
      </c>
      <c r="O6495" s="2">
        <f ca="1"/>
        <v>0.50336097590712514</v>
      </c>
      <c r="X6495" s="2">
        <f ca="1"/>
        <v>23.736961023275654</v>
      </c>
      <c r="AG6495" s="2">
        <f ca="1"/>
        <v>5.3281808534265229E-2</v>
      </c>
      <c r="AH6495" s="2" t="str">
        <f ca="1"/>
        <v>OK</v>
      </c>
    </row>
    <row r="6496" spans="2:34" x14ac:dyDescent="0.2">
      <c r="B6496" s="2">
        <f ca="1"/>
        <v>0.2804817597562117</v>
      </c>
      <c r="O6496" s="2">
        <f ca="1"/>
        <v>-0.32254713465559531</v>
      </c>
      <c r="X6496" s="2">
        <f ca="1"/>
        <v>21.21082037407572</v>
      </c>
      <c r="AG6496" s="2">
        <f ca="1"/>
        <v>0.44699355933267304</v>
      </c>
      <c r="AH6496" s="2" t="str">
        <f ca="1"/>
        <v>Bad</v>
      </c>
    </row>
    <row r="6497" spans="2:34" x14ac:dyDescent="0.2">
      <c r="B6497" s="2">
        <f ca="1"/>
        <v>0.82700694941755026</v>
      </c>
      <c r="O6497" s="2">
        <f ca="1"/>
        <v>-0.29447218912292616</v>
      </c>
      <c r="X6497" s="2">
        <f ca="1"/>
        <v>88.901541456875719</v>
      </c>
      <c r="AG6497" s="2">
        <f ca="1"/>
        <v>0.80688427501771121</v>
      </c>
      <c r="AH6497" s="2" t="str">
        <f ca="1"/>
        <v>Bad</v>
      </c>
    </row>
    <row r="6498" spans="2:34" x14ac:dyDescent="0.2">
      <c r="B6498" s="2">
        <f ca="1"/>
        <v>0.72490004498663696</v>
      </c>
      <c r="O6498" s="2">
        <f ca="1"/>
        <v>-1.1941820273197452</v>
      </c>
      <c r="X6498" s="2">
        <f ca="1"/>
        <v>31.1176635607173</v>
      </c>
      <c r="AG6498" s="2">
        <f ca="1"/>
        <v>0.30191650362944733</v>
      </c>
      <c r="AH6498" s="2" t="str">
        <f ca="1"/>
        <v>OK</v>
      </c>
    </row>
    <row r="6499" spans="2:34" x14ac:dyDescent="0.2">
      <c r="B6499" s="2">
        <f ca="1"/>
        <v>0.85463560484248835</v>
      </c>
      <c r="O6499" s="2">
        <f ca="1"/>
        <v>-0.35648041522742274</v>
      </c>
      <c r="X6499" s="2">
        <f ca="1"/>
        <v>82.622945168025197</v>
      </c>
      <c r="AG6499" s="2">
        <f ca="1"/>
        <v>0.39567335756689648</v>
      </c>
      <c r="AH6499" s="2" t="str">
        <f ca="1"/>
        <v>OK</v>
      </c>
    </row>
    <row r="6500" spans="2:34" x14ac:dyDescent="0.2">
      <c r="B6500" s="2">
        <f ca="1"/>
        <v>0.48025598093476174</v>
      </c>
      <c r="O6500" s="2">
        <f ca="1"/>
        <v>1.0986215455679642</v>
      </c>
      <c r="X6500" s="2">
        <f ca="1"/>
        <v>52.350685563456736</v>
      </c>
      <c r="AG6500" s="2">
        <f ca="1"/>
        <v>0.89235114695444828</v>
      </c>
      <c r="AH6500" s="2" t="str">
        <f ca="1"/>
        <v>Bad</v>
      </c>
    </row>
    <row r="6501" spans="2:34" x14ac:dyDescent="0.2">
      <c r="B6501" s="2">
        <f ca="1"/>
        <v>0.37404414549751852</v>
      </c>
      <c r="O6501" s="2">
        <f ca="1"/>
        <v>-0.79747996704780122</v>
      </c>
      <c r="X6501" s="2">
        <f ca="1"/>
        <v>72.57750265408994</v>
      </c>
      <c r="AG6501" s="2">
        <f ca="1"/>
        <v>0.1241759378227536</v>
      </c>
      <c r="AH6501" s="2" t="str">
        <f ca="1"/>
        <v>OK</v>
      </c>
    </row>
    <row r="6502" spans="2:34" x14ac:dyDescent="0.2">
      <c r="B6502" s="2">
        <f ca="1"/>
        <v>0.6644111694065904</v>
      </c>
      <c r="O6502" s="2">
        <f ca="1"/>
        <v>0.77990855009409399</v>
      </c>
      <c r="X6502" s="2">
        <f ca="1"/>
        <v>112.72499451622829</v>
      </c>
      <c r="AG6502" s="2">
        <f ca="1"/>
        <v>0.1647167811103154</v>
      </c>
      <c r="AH6502" s="2" t="str">
        <f ca="1"/>
        <v>OK</v>
      </c>
    </row>
    <row r="6503" spans="2:34" x14ac:dyDescent="0.2">
      <c r="B6503" s="2">
        <f ca="1"/>
        <v>0.93481229198030058</v>
      </c>
      <c r="O6503" s="2">
        <f ca="1"/>
        <v>-0.37442110647439103</v>
      </c>
      <c r="X6503" s="2">
        <f ca="1"/>
        <v>57.861688865445863</v>
      </c>
      <c r="AG6503" s="2">
        <f ca="1"/>
        <v>5.2549829067100706E-2</v>
      </c>
      <c r="AH6503" s="2" t="str">
        <f ca="1"/>
        <v>OK</v>
      </c>
    </row>
    <row r="6504" spans="2:34" x14ac:dyDescent="0.2">
      <c r="B6504" s="2">
        <f ca="1"/>
        <v>1.0227947831153328E-2</v>
      </c>
      <c r="O6504" s="2">
        <f ca="1"/>
        <v>-2.3796506742495978</v>
      </c>
      <c r="X6504" s="2">
        <f ca="1"/>
        <v>75.144389774163784</v>
      </c>
      <c r="AG6504" s="2">
        <f ca="1"/>
        <v>0.33071170566117147</v>
      </c>
      <c r="AH6504" s="2" t="str">
        <f ca="1"/>
        <v>OK</v>
      </c>
    </row>
    <row r="6505" spans="2:34" x14ac:dyDescent="0.2">
      <c r="B6505" s="2">
        <f ca="1"/>
        <v>0.74390248569745276</v>
      </c>
      <c r="O6505" s="2">
        <f ca="1"/>
        <v>-1.1671685354630688</v>
      </c>
      <c r="X6505" s="2">
        <f ca="1"/>
        <v>54.731611631481755</v>
      </c>
      <c r="AG6505" s="2">
        <f ca="1"/>
        <v>7.0272472874629344E-2</v>
      </c>
      <c r="AH6505" s="2" t="str">
        <f ca="1"/>
        <v>OK</v>
      </c>
    </row>
    <row r="6506" spans="2:34" x14ac:dyDescent="0.2">
      <c r="B6506" s="2">
        <f ca="1"/>
        <v>0.1642372038634683</v>
      </c>
      <c r="O6506" s="2">
        <f ca="1"/>
        <v>0.24297778270352594</v>
      </c>
      <c r="X6506" s="2">
        <f ca="1"/>
        <v>68.691404971551179</v>
      </c>
      <c r="AG6506" s="2">
        <f ca="1"/>
        <v>0.63302716808667192</v>
      </c>
      <c r="AH6506" s="2" t="str">
        <f ca="1"/>
        <v>Bad</v>
      </c>
    </row>
    <row r="6507" spans="2:34" x14ac:dyDescent="0.2">
      <c r="B6507" s="2">
        <f ca="1"/>
        <v>0.45087933036570438</v>
      </c>
      <c r="O6507" s="2">
        <f ca="1"/>
        <v>0.23562256113874674</v>
      </c>
      <c r="X6507" s="2">
        <f ca="1"/>
        <v>52.741493010867387</v>
      </c>
      <c r="AG6507" s="2">
        <f ca="1"/>
        <v>0.1617831858369303</v>
      </c>
      <c r="AH6507" s="2" t="str">
        <f ca="1"/>
        <v>OK</v>
      </c>
    </row>
    <row r="6508" spans="2:34" x14ac:dyDescent="0.2">
      <c r="B6508" s="2">
        <f ca="1"/>
        <v>1.2958470034103442E-2</v>
      </c>
      <c r="O6508" s="2">
        <f ca="1"/>
        <v>0.29519772453696408</v>
      </c>
      <c r="X6508" s="2">
        <f ca="1"/>
        <v>49.418126564347233</v>
      </c>
      <c r="AG6508" s="2">
        <f ca="1"/>
        <v>0.41381006304634305</v>
      </c>
      <c r="AH6508" s="2" t="str">
        <f ca="1"/>
        <v>Bad</v>
      </c>
    </row>
    <row r="6509" spans="2:34" x14ac:dyDescent="0.2">
      <c r="B6509" s="2">
        <f ca="1"/>
        <v>0.93337142573515708</v>
      </c>
      <c r="O6509" s="2">
        <f ca="1"/>
        <v>0.28607849531995072</v>
      </c>
      <c r="X6509" s="2">
        <f ca="1"/>
        <v>67.372839428554542</v>
      </c>
      <c r="AG6509" s="2">
        <f ca="1"/>
        <v>0.31725711054705896</v>
      </c>
      <c r="AH6509" s="2" t="str">
        <f ca="1"/>
        <v>OK</v>
      </c>
    </row>
    <row r="6510" spans="2:34" x14ac:dyDescent="0.2">
      <c r="B6510" s="2">
        <f ca="1"/>
        <v>0.85253054970526754</v>
      </c>
      <c r="O6510" s="2">
        <f ca="1"/>
        <v>2.2739407211901019</v>
      </c>
      <c r="X6510" s="2">
        <f ca="1"/>
        <v>42.255699853931432</v>
      </c>
      <c r="AG6510" s="2">
        <f ca="1"/>
        <v>8.5926395378743692E-5</v>
      </c>
      <c r="AH6510" s="2" t="str">
        <f ca="1"/>
        <v>Good</v>
      </c>
    </row>
    <row r="6511" spans="2:34" x14ac:dyDescent="0.2">
      <c r="B6511" s="2">
        <f ca="1"/>
        <v>0.61028116205779903</v>
      </c>
      <c r="O6511" s="2">
        <f ca="1"/>
        <v>0.65520061164288335</v>
      </c>
      <c r="X6511" s="2">
        <f ca="1"/>
        <v>89.856124907152065</v>
      </c>
      <c r="AG6511" s="2">
        <f ca="1"/>
        <v>0.33579591038446543</v>
      </c>
      <c r="AH6511" s="2" t="str">
        <f ca="1"/>
        <v>OK</v>
      </c>
    </row>
    <row r="6512" spans="2:34" x14ac:dyDescent="0.2">
      <c r="B6512" s="2">
        <f ca="1"/>
        <v>0.19320945456141958</v>
      </c>
      <c r="O6512" s="2">
        <f ca="1"/>
        <v>-1.1152677397869608</v>
      </c>
      <c r="X6512" s="2">
        <f ca="1"/>
        <v>58.369012864458597</v>
      </c>
      <c r="AG6512" s="2">
        <f ca="1"/>
        <v>0.34726696142108171</v>
      </c>
      <c r="AH6512" s="2" t="str">
        <f ca="1"/>
        <v>OK</v>
      </c>
    </row>
    <row r="6513" spans="2:34" x14ac:dyDescent="0.2">
      <c r="B6513" s="2">
        <f ca="1"/>
        <v>0.12903937246735375</v>
      </c>
      <c r="O6513" s="2">
        <f ca="1"/>
        <v>-0.40546747914062631</v>
      </c>
      <c r="X6513" s="2">
        <f ca="1"/>
        <v>80.246177209789451</v>
      </c>
      <c r="AG6513" s="2">
        <f ca="1"/>
        <v>0.18604483667440319</v>
      </c>
      <c r="AH6513" s="2" t="str">
        <f ca="1"/>
        <v>OK</v>
      </c>
    </row>
    <row r="6514" spans="2:34" x14ac:dyDescent="0.2">
      <c r="B6514" s="2">
        <f ca="1"/>
        <v>0.95702922788643874</v>
      </c>
      <c r="O6514" s="2">
        <f ca="1"/>
        <v>0.5360623522366752</v>
      </c>
      <c r="X6514" s="2">
        <f ca="1"/>
        <v>28.307370205601217</v>
      </c>
      <c r="AG6514" s="2">
        <f ca="1"/>
        <v>0.82828495740093944</v>
      </c>
      <c r="AH6514" s="2" t="str">
        <f ca="1"/>
        <v>Bad</v>
      </c>
    </row>
    <row r="6515" spans="2:34" x14ac:dyDescent="0.2">
      <c r="B6515" s="2">
        <f ca="1"/>
        <v>0.30151289483318933</v>
      </c>
      <c r="O6515" s="2">
        <f ca="1"/>
        <v>1.8866178219399661</v>
      </c>
      <c r="X6515" s="2">
        <f ca="1"/>
        <v>40.137538767041519</v>
      </c>
      <c r="AG6515" s="2">
        <f ca="1"/>
        <v>0.44804921910076811</v>
      </c>
      <c r="AH6515" s="2" t="str">
        <f ca="1"/>
        <v>Bad</v>
      </c>
    </row>
    <row r="6516" spans="2:34" x14ac:dyDescent="0.2">
      <c r="B6516" s="2">
        <f ca="1"/>
        <v>0.72259651204217845</v>
      </c>
      <c r="O6516" s="2">
        <f ca="1"/>
        <v>-0.30383253676364597</v>
      </c>
      <c r="X6516" s="2">
        <f ca="1"/>
        <v>57.385407932790585</v>
      </c>
      <c r="AG6516" s="2">
        <f ca="1"/>
        <v>0.83600769953048104</v>
      </c>
      <c r="AH6516" s="2" t="str">
        <f ca="1"/>
        <v>Bad</v>
      </c>
    </row>
    <row r="6517" spans="2:34" x14ac:dyDescent="0.2">
      <c r="B6517" s="2">
        <f ca="1"/>
        <v>0.34961565273750694</v>
      </c>
      <c r="O6517" s="2">
        <f ca="1"/>
        <v>-0.10628134510131425</v>
      </c>
      <c r="X6517" s="2">
        <f ca="1"/>
        <v>43.927164724752153</v>
      </c>
      <c r="AG6517" s="2">
        <f ca="1"/>
        <v>0.83179220968383349</v>
      </c>
      <c r="AH6517" s="2" t="str">
        <f ca="1"/>
        <v>Bad</v>
      </c>
    </row>
    <row r="6518" spans="2:34" x14ac:dyDescent="0.2">
      <c r="B6518" s="2">
        <f ca="1"/>
        <v>0.66055464560801491</v>
      </c>
      <c r="O6518" s="2">
        <f ca="1"/>
        <v>0.57964225154270355</v>
      </c>
      <c r="X6518" s="2">
        <f ca="1"/>
        <v>26.998803971110231</v>
      </c>
      <c r="AG6518" s="2">
        <f ca="1"/>
        <v>0.56183884922125982</v>
      </c>
      <c r="AH6518" s="2" t="str">
        <f ca="1"/>
        <v>Bad</v>
      </c>
    </row>
    <row r="6519" spans="2:34" x14ac:dyDescent="0.2">
      <c r="B6519" s="2">
        <f ca="1"/>
        <v>0.88066818729014251</v>
      </c>
      <c r="O6519" s="2">
        <f ca="1"/>
        <v>-1.2050523328337308</v>
      </c>
      <c r="X6519" s="2">
        <f ca="1"/>
        <v>54.318569027537905</v>
      </c>
      <c r="AG6519" s="2">
        <f ca="1"/>
        <v>0.61456787899908516</v>
      </c>
      <c r="AH6519" s="2" t="str">
        <f ca="1"/>
        <v>Bad</v>
      </c>
    </row>
    <row r="6520" spans="2:34" x14ac:dyDescent="0.2">
      <c r="B6520" s="2">
        <f ca="1"/>
        <v>0.51245980553596282</v>
      </c>
      <c r="O6520" s="2">
        <f ca="1"/>
        <v>1.0941897290276195</v>
      </c>
      <c r="X6520" s="2">
        <f ca="1"/>
        <v>70.425362175724501</v>
      </c>
      <c r="AG6520" s="2">
        <f ca="1"/>
        <v>0.98816256788102641</v>
      </c>
      <c r="AH6520" s="2" t="str">
        <f ca="1"/>
        <v>Bad</v>
      </c>
    </row>
    <row r="6521" spans="2:34" x14ac:dyDescent="0.2">
      <c r="B6521" s="2">
        <f ca="1"/>
        <v>0.41120735640466144</v>
      </c>
      <c r="O6521" s="2">
        <f ca="1"/>
        <v>-0.46127061286830429</v>
      </c>
      <c r="X6521" s="2">
        <f ca="1"/>
        <v>71.337274709130739</v>
      </c>
      <c r="AG6521" s="2">
        <f ca="1"/>
        <v>0.61393233501289513</v>
      </c>
      <c r="AH6521" s="2" t="str">
        <f ca="1"/>
        <v>Bad</v>
      </c>
    </row>
    <row r="6522" spans="2:34" x14ac:dyDescent="0.2">
      <c r="B6522" s="2">
        <f ca="1"/>
        <v>0.75794946311997813</v>
      </c>
      <c r="O6522" s="2">
        <f ca="1"/>
        <v>-0.53064993605472499</v>
      </c>
      <c r="X6522" s="2">
        <f ca="1"/>
        <v>25.933771130517933</v>
      </c>
      <c r="AG6522" s="2">
        <f ca="1"/>
        <v>0.46224726386597004</v>
      </c>
      <c r="AH6522" s="2" t="str">
        <f ca="1"/>
        <v>Bad</v>
      </c>
    </row>
    <row r="6523" spans="2:34" x14ac:dyDescent="0.2">
      <c r="B6523" s="2">
        <f ca="1"/>
        <v>0.34171526743158687</v>
      </c>
      <c r="O6523" s="2">
        <f ca="1"/>
        <v>-1.6877685193001413</v>
      </c>
      <c r="X6523" s="2">
        <f ca="1"/>
        <v>43.474261390419009</v>
      </c>
      <c r="AG6523" s="2">
        <f ca="1"/>
        <v>0.85495644328718789</v>
      </c>
      <c r="AH6523" s="2" t="str">
        <f ca="1"/>
        <v>Bad</v>
      </c>
    </row>
    <row r="6524" spans="2:34" x14ac:dyDescent="0.2">
      <c r="B6524" s="2">
        <f ca="1"/>
        <v>0.70634214985654875</v>
      </c>
      <c r="O6524" s="2">
        <f ca="1"/>
        <v>0.37262472092551369</v>
      </c>
      <c r="X6524" s="2">
        <f ca="1"/>
        <v>30.623740895028657</v>
      </c>
      <c r="AG6524" s="2">
        <f ca="1"/>
        <v>0.66649813213742171</v>
      </c>
      <c r="AH6524" s="2" t="str">
        <f ca="1"/>
        <v>Bad</v>
      </c>
    </row>
    <row r="6525" spans="2:34" x14ac:dyDescent="0.2">
      <c r="B6525" s="2">
        <f ca="1"/>
        <v>9.8498510116530769E-2</v>
      </c>
      <c r="O6525" s="2">
        <f ca="1"/>
        <v>0.5330082541899096</v>
      </c>
      <c r="X6525" s="2">
        <f ca="1"/>
        <v>39.556260473391887</v>
      </c>
      <c r="AG6525" s="2">
        <f ca="1"/>
        <v>0.16979148320608362</v>
      </c>
      <c r="AH6525" s="2" t="str">
        <f ca="1"/>
        <v>OK</v>
      </c>
    </row>
    <row r="6526" spans="2:34" x14ac:dyDescent="0.2">
      <c r="B6526" s="2">
        <f ca="1"/>
        <v>0.98135360254940096</v>
      </c>
      <c r="O6526" s="2">
        <f ca="1"/>
        <v>0.89764503152129638</v>
      </c>
      <c r="X6526" s="2">
        <f ca="1"/>
        <v>37.825028089894829</v>
      </c>
      <c r="AG6526" s="2">
        <f ca="1"/>
        <v>0.28514686529599875</v>
      </c>
      <c r="AH6526" s="2" t="str">
        <f ca="1"/>
        <v>OK</v>
      </c>
    </row>
    <row r="6527" spans="2:34" x14ac:dyDescent="0.2">
      <c r="B6527" s="2">
        <f ca="1"/>
        <v>0.19576501397591528</v>
      </c>
      <c r="O6527" s="2">
        <f ca="1"/>
        <v>-0.32823834432497201</v>
      </c>
      <c r="X6527" s="2">
        <f ca="1"/>
        <v>46.490808269071799</v>
      </c>
      <c r="AG6527" s="2">
        <f ca="1"/>
        <v>0.53720294972306548</v>
      </c>
      <c r="AH6527" s="2" t="str">
        <f ca="1"/>
        <v>Bad</v>
      </c>
    </row>
    <row r="6528" spans="2:34" x14ac:dyDescent="0.2">
      <c r="B6528" s="2">
        <f ca="1"/>
        <v>0.73067289843895922</v>
      </c>
      <c r="O6528" s="2">
        <f ca="1"/>
        <v>0.87553552178055072</v>
      </c>
      <c r="X6528" s="2">
        <f ca="1"/>
        <v>50.000639128998827</v>
      </c>
      <c r="AG6528" s="2">
        <f ca="1"/>
        <v>0.83099616381052699</v>
      </c>
      <c r="AH6528" s="2" t="str">
        <f ca="1"/>
        <v>Bad</v>
      </c>
    </row>
    <row r="6529" spans="2:34" x14ac:dyDescent="0.2">
      <c r="B6529" s="2">
        <f ca="1"/>
        <v>1.0769843141629654E-2</v>
      </c>
      <c r="O6529" s="2">
        <f ca="1"/>
        <v>1.3110414199249245</v>
      </c>
      <c r="X6529" s="2">
        <f ca="1"/>
        <v>44.375862703954908</v>
      </c>
      <c r="AG6529" s="2">
        <f ca="1"/>
        <v>0.65414482110632877</v>
      </c>
      <c r="AH6529" s="2" t="str">
        <f ca="1"/>
        <v>Bad</v>
      </c>
    </row>
    <row r="6530" spans="2:34" x14ac:dyDescent="0.2">
      <c r="B6530" s="2">
        <f ca="1"/>
        <v>0.22329240060902533</v>
      </c>
      <c r="O6530" s="2">
        <f ca="1"/>
        <v>-1.4008970712898907</v>
      </c>
      <c r="X6530" s="2">
        <f ca="1"/>
        <v>58.63153164912282</v>
      </c>
      <c r="AG6530" s="2">
        <f ca="1"/>
        <v>0.19527747127709261</v>
      </c>
      <c r="AH6530" s="2" t="str">
        <f ca="1"/>
        <v>OK</v>
      </c>
    </row>
    <row r="6531" spans="2:34" x14ac:dyDescent="0.2">
      <c r="B6531" s="2">
        <f ca="1"/>
        <v>0.43233598485532276</v>
      </c>
      <c r="O6531" s="2">
        <f ca="1"/>
        <v>0.38242696228235673</v>
      </c>
      <c r="X6531" s="2">
        <f ca="1"/>
        <v>57.826142614979304</v>
      </c>
      <c r="AG6531" s="2">
        <f ca="1"/>
        <v>0.13812472167833767</v>
      </c>
      <c r="AH6531" s="2" t="str">
        <f ca="1"/>
        <v>OK</v>
      </c>
    </row>
    <row r="6532" spans="2:34" x14ac:dyDescent="0.2">
      <c r="B6532" s="2">
        <f ca="1"/>
        <v>0.97863402886960116</v>
      </c>
      <c r="O6532" s="2">
        <f ca="1"/>
        <v>-0.47130690364488953</v>
      </c>
      <c r="X6532" s="2">
        <f ca="1"/>
        <v>114.83307696167854</v>
      </c>
      <c r="AG6532" s="2">
        <f ca="1"/>
        <v>0.91786283424902915</v>
      </c>
      <c r="AH6532" s="2" t="str">
        <f ca="1"/>
        <v>Bad</v>
      </c>
    </row>
    <row r="6533" spans="2:34" x14ac:dyDescent="0.2">
      <c r="B6533" s="2">
        <f ca="1"/>
        <v>4.0738725089336736E-2</v>
      </c>
      <c r="O6533" s="2">
        <f ca="1"/>
        <v>-0.75106863752773034</v>
      </c>
      <c r="X6533" s="2">
        <f ca="1"/>
        <v>35.661351706008631</v>
      </c>
      <c r="AG6533" s="2">
        <f ca="1"/>
        <v>2.0906918937287244E-2</v>
      </c>
      <c r="AH6533" s="2" t="str">
        <f ca="1"/>
        <v>Good</v>
      </c>
    </row>
    <row r="6534" spans="2:34" x14ac:dyDescent="0.2">
      <c r="B6534" s="2">
        <f ca="1"/>
        <v>4.7637266097130038E-2</v>
      </c>
      <c r="O6534" s="2">
        <f ca="1"/>
        <v>-0.77220523757391346</v>
      </c>
      <c r="X6534" s="2">
        <f ca="1"/>
        <v>62.549477771511768</v>
      </c>
      <c r="AG6534" s="2">
        <f ca="1"/>
        <v>0.38660167445658344</v>
      </c>
      <c r="AH6534" s="2" t="str">
        <f ca="1"/>
        <v>OK</v>
      </c>
    </row>
    <row r="6535" spans="2:34" x14ac:dyDescent="0.2">
      <c r="B6535" s="2">
        <f ca="1"/>
        <v>0.29106013020843702</v>
      </c>
      <c r="O6535" s="2">
        <f ca="1"/>
        <v>-0.52167185375601388</v>
      </c>
      <c r="X6535" s="2">
        <f ca="1"/>
        <v>39.856657977650833</v>
      </c>
      <c r="AG6535" s="2">
        <f ca="1"/>
        <v>0.26635105133916337</v>
      </c>
      <c r="AH6535" s="2" t="str">
        <f ca="1"/>
        <v>OK</v>
      </c>
    </row>
    <row r="6536" spans="2:34" x14ac:dyDescent="0.2">
      <c r="B6536" s="2">
        <f ca="1"/>
        <v>0.98974119998082322</v>
      </c>
      <c r="O6536" s="2">
        <f ca="1"/>
        <v>1.3787642762197381</v>
      </c>
      <c r="X6536" s="2">
        <f ca="1"/>
        <v>27.470729776188062</v>
      </c>
      <c r="AG6536" s="2">
        <f ca="1"/>
        <v>0.64729787019802809</v>
      </c>
      <c r="AH6536" s="2" t="str">
        <f ca="1"/>
        <v>Bad</v>
      </c>
    </row>
    <row r="6537" spans="2:34" x14ac:dyDescent="0.2">
      <c r="B6537" s="2">
        <f ca="1"/>
        <v>0.33804817623800409</v>
      </c>
      <c r="O6537" s="2">
        <f ca="1"/>
        <v>0.37133118945391741</v>
      </c>
      <c r="X6537" s="2">
        <f ca="1"/>
        <v>90.320190003987406</v>
      </c>
      <c r="AG6537" s="2">
        <f ca="1"/>
        <v>0.64069139303120126</v>
      </c>
      <c r="AH6537" s="2" t="str">
        <f ca="1"/>
        <v>Bad</v>
      </c>
    </row>
    <row r="6538" spans="2:34" x14ac:dyDescent="0.2">
      <c r="B6538" s="2">
        <f ca="1"/>
        <v>0.14986693356965897</v>
      </c>
      <c r="O6538" s="2">
        <f ca="1"/>
        <v>0.98028499992087481</v>
      </c>
      <c r="X6538" s="2">
        <f ca="1"/>
        <v>90.125508141409568</v>
      </c>
      <c r="AG6538" s="2">
        <f ca="1"/>
        <v>0.69644052306301041</v>
      </c>
      <c r="AH6538" s="2" t="str">
        <f ca="1"/>
        <v>Bad</v>
      </c>
    </row>
    <row r="6539" spans="2:34" x14ac:dyDescent="0.2">
      <c r="B6539" s="2">
        <f ca="1"/>
        <v>0.71743013321408555</v>
      </c>
      <c r="O6539" s="2">
        <f ca="1"/>
        <v>-0.33996667740045161</v>
      </c>
      <c r="X6539" s="2">
        <f ca="1"/>
        <v>33.969884716569545</v>
      </c>
      <c r="AG6539" s="2">
        <f ca="1"/>
        <v>8.7341763213260704E-2</v>
      </c>
      <c r="AH6539" s="2" t="str">
        <f ca="1"/>
        <v>OK</v>
      </c>
    </row>
    <row r="6540" spans="2:34" x14ac:dyDescent="0.2">
      <c r="B6540" s="2">
        <f ca="1"/>
        <v>0.70376083471821826</v>
      </c>
      <c r="O6540" s="2">
        <f ca="1"/>
        <v>-1.0017781618396151</v>
      </c>
      <c r="X6540" s="2">
        <f ca="1"/>
        <v>58.842686174759251</v>
      </c>
      <c r="AG6540" s="2">
        <f ca="1"/>
        <v>0.8204777662829017</v>
      </c>
      <c r="AH6540" s="2" t="str">
        <f ca="1"/>
        <v>Bad</v>
      </c>
    </row>
    <row r="6541" spans="2:34" x14ac:dyDescent="0.2">
      <c r="B6541" s="2">
        <f ca="1"/>
        <v>0.52126399441639992</v>
      </c>
      <c r="O6541" s="2">
        <f ca="1"/>
        <v>0.55541566780828666</v>
      </c>
      <c r="X6541" s="2">
        <f ca="1"/>
        <v>52.009170901748128</v>
      </c>
      <c r="AG6541" s="2">
        <f ca="1"/>
        <v>0.30400393042807528</v>
      </c>
      <c r="AH6541" s="2" t="str">
        <f ca="1"/>
        <v>OK</v>
      </c>
    </row>
    <row r="6542" spans="2:34" x14ac:dyDescent="0.2">
      <c r="B6542" s="2">
        <f ca="1"/>
        <v>0.73474110011379312</v>
      </c>
      <c r="O6542" s="2">
        <f ca="1"/>
        <v>-1.725928539311513E-2</v>
      </c>
      <c r="X6542" s="2">
        <f ca="1"/>
        <v>29.732339634159818</v>
      </c>
      <c r="AG6542" s="2">
        <f ca="1"/>
        <v>0.13937059969235022</v>
      </c>
      <c r="AH6542" s="2" t="str">
        <f ca="1"/>
        <v>OK</v>
      </c>
    </row>
    <row r="6543" spans="2:34" x14ac:dyDescent="0.2">
      <c r="B6543" s="2">
        <f ca="1"/>
        <v>0.59056919595880553</v>
      </c>
      <c r="O6543" s="2">
        <f ca="1"/>
        <v>-6.7536597060151707E-2</v>
      </c>
      <c r="X6543" s="2">
        <f ca="1"/>
        <v>77.170759776835936</v>
      </c>
      <c r="AG6543" s="2">
        <f ca="1"/>
        <v>0.78413476177829966</v>
      </c>
      <c r="AH6543" s="2" t="str">
        <f ca="1"/>
        <v>Bad</v>
      </c>
    </row>
    <row r="6544" spans="2:34" x14ac:dyDescent="0.2">
      <c r="B6544" s="2">
        <f ca="1"/>
        <v>3.7937958987634968E-2</v>
      </c>
      <c r="O6544" s="2">
        <f ca="1"/>
        <v>-0.89872310607665962</v>
      </c>
      <c r="X6544" s="2">
        <f ca="1"/>
        <v>36.442862930623221</v>
      </c>
      <c r="AG6544" s="2">
        <f ca="1"/>
        <v>0.56200868361998402</v>
      </c>
      <c r="AH6544" s="2" t="str">
        <f ca="1"/>
        <v>Bad</v>
      </c>
    </row>
    <row r="6545" spans="2:34" x14ac:dyDescent="0.2">
      <c r="B6545" s="2">
        <f ca="1"/>
        <v>9.95549296997984E-2</v>
      </c>
      <c r="O6545" s="2">
        <f ca="1"/>
        <v>-0.89382510064862541</v>
      </c>
      <c r="X6545" s="2">
        <f ca="1"/>
        <v>43.669551079067176</v>
      </c>
      <c r="AG6545" s="2">
        <f ca="1"/>
        <v>0.20641416375171828</v>
      </c>
      <c r="AH6545" s="2" t="str">
        <f ca="1"/>
        <v>OK</v>
      </c>
    </row>
    <row r="6546" spans="2:34" x14ac:dyDescent="0.2">
      <c r="B6546" s="2">
        <f ca="1"/>
        <v>6.4965389074340685E-2</v>
      </c>
      <c r="O6546" s="2">
        <f ca="1"/>
        <v>-0.43833349253253928</v>
      </c>
      <c r="X6546" s="2">
        <f ca="1"/>
        <v>52.406409315922303</v>
      </c>
      <c r="AG6546" s="2">
        <f ca="1"/>
        <v>0.58784139348237141</v>
      </c>
      <c r="AH6546" s="2" t="str">
        <f ca="1"/>
        <v>Bad</v>
      </c>
    </row>
    <row r="6547" spans="2:34" x14ac:dyDescent="0.2">
      <c r="B6547" s="2">
        <f ca="1"/>
        <v>0.19159267057838858</v>
      </c>
      <c r="O6547" s="2">
        <f ca="1"/>
        <v>-0.1801662664627961</v>
      </c>
      <c r="X6547" s="2">
        <f ca="1"/>
        <v>39.453449026898355</v>
      </c>
      <c r="AG6547" s="2">
        <f ca="1"/>
        <v>0.38424729167638949</v>
      </c>
      <c r="AH6547" s="2" t="str">
        <f ca="1"/>
        <v>OK</v>
      </c>
    </row>
    <row r="6548" spans="2:34" x14ac:dyDescent="0.2">
      <c r="B6548" s="2">
        <f ca="1"/>
        <v>0.48656132236552385</v>
      </c>
      <c r="O6548" s="2">
        <f ca="1"/>
        <v>-2.2651312462215842</v>
      </c>
      <c r="X6548" s="2">
        <f ca="1"/>
        <v>59.698467493302815</v>
      </c>
      <c r="AG6548" s="2">
        <f ca="1"/>
        <v>0.71875206811867476</v>
      </c>
      <c r="AH6548" s="2" t="str">
        <f ca="1"/>
        <v>Bad</v>
      </c>
    </row>
    <row r="6549" spans="2:34" x14ac:dyDescent="0.2">
      <c r="B6549" s="2">
        <f ca="1"/>
        <v>0.62199476319408631</v>
      </c>
      <c r="O6549" s="2">
        <f ca="1"/>
        <v>-0.50674244186824513</v>
      </c>
      <c r="X6549" s="2">
        <f ca="1"/>
        <v>40.427328911842366</v>
      </c>
      <c r="AG6549" s="2">
        <f ca="1"/>
        <v>0.83808136685246781</v>
      </c>
      <c r="AH6549" s="2" t="str">
        <f ca="1"/>
        <v>Bad</v>
      </c>
    </row>
    <row r="6550" spans="2:34" x14ac:dyDescent="0.2">
      <c r="B6550" s="2">
        <f ca="1"/>
        <v>0.3315573650453878</v>
      </c>
      <c r="O6550" s="2">
        <f ca="1"/>
        <v>-0.29041999921192457</v>
      </c>
      <c r="X6550" s="2">
        <f ca="1"/>
        <v>36.009773821879996</v>
      </c>
      <c r="AG6550" s="2">
        <f ca="1"/>
        <v>0.49319976029492296</v>
      </c>
      <c r="AH6550" s="2" t="str">
        <f ca="1"/>
        <v>Bad</v>
      </c>
    </row>
    <row r="6551" spans="2:34" x14ac:dyDescent="0.2">
      <c r="B6551" s="2">
        <f ca="1"/>
        <v>0.7809962447785932</v>
      </c>
      <c r="O6551" s="2">
        <f ca="1"/>
        <v>-1.0888835534747374</v>
      </c>
      <c r="X6551" s="2">
        <f ca="1"/>
        <v>45.324296510049464</v>
      </c>
      <c r="AG6551" s="2">
        <f ca="1"/>
        <v>0.69307214076609713</v>
      </c>
      <c r="AH6551" s="2" t="str">
        <f ca="1"/>
        <v>Bad</v>
      </c>
    </row>
    <row r="6552" spans="2:34" x14ac:dyDescent="0.2">
      <c r="B6552" s="2">
        <f ca="1"/>
        <v>0.3357724143268086</v>
      </c>
      <c r="O6552" s="2">
        <f ca="1"/>
        <v>1.4558132352103217</v>
      </c>
      <c r="X6552" s="2">
        <f ca="1"/>
        <v>50.637416342211651</v>
      </c>
      <c r="AG6552" s="2">
        <f ca="1"/>
        <v>0.36599175038436016</v>
      </c>
      <c r="AH6552" s="2" t="str">
        <f ca="1"/>
        <v>OK</v>
      </c>
    </row>
    <row r="6553" spans="2:34" x14ac:dyDescent="0.2">
      <c r="B6553" s="2">
        <f ca="1"/>
        <v>0.14187526586775068</v>
      </c>
      <c r="O6553" s="2">
        <f ca="1"/>
        <v>6.5750930438278135E-2</v>
      </c>
      <c r="X6553" s="2">
        <f ca="1"/>
        <v>79.610777023146127</v>
      </c>
      <c r="AG6553" s="2">
        <f ca="1"/>
        <v>0.28370492491817534</v>
      </c>
      <c r="AH6553" s="2" t="str">
        <f ca="1"/>
        <v>OK</v>
      </c>
    </row>
    <row r="6554" spans="2:34" x14ac:dyDescent="0.2">
      <c r="B6554" s="2">
        <f ca="1"/>
        <v>0.26540387415849542</v>
      </c>
      <c r="O6554" s="2">
        <f ca="1"/>
        <v>-0.26076959666364813</v>
      </c>
      <c r="X6554" s="2">
        <f ca="1"/>
        <v>30.270385511806452</v>
      </c>
      <c r="AG6554" s="2">
        <f ca="1"/>
        <v>0.8075754451456314</v>
      </c>
      <c r="AH6554" s="2" t="str">
        <f ca="1"/>
        <v>Bad</v>
      </c>
    </row>
    <row r="6555" spans="2:34" x14ac:dyDescent="0.2">
      <c r="B6555" s="2">
        <f ca="1"/>
        <v>9.1765269797521087E-2</v>
      </c>
      <c r="O6555" s="2">
        <f ca="1"/>
        <v>0.94256737447449279</v>
      </c>
      <c r="X6555" s="2">
        <f ca="1"/>
        <v>36.815267709673599</v>
      </c>
      <c r="AG6555" s="2">
        <f ca="1"/>
        <v>0.92759844369331823</v>
      </c>
      <c r="AH6555" s="2" t="str">
        <f ca="1"/>
        <v>Bad</v>
      </c>
    </row>
    <row r="6556" spans="2:34" x14ac:dyDescent="0.2">
      <c r="B6556" s="2">
        <f ca="1"/>
        <v>0.80622890651327039</v>
      </c>
      <c r="O6556" s="2">
        <f ca="1"/>
        <v>3.6861377673926055E-2</v>
      </c>
      <c r="X6556" s="2">
        <f ca="1"/>
        <v>61.941708495915321</v>
      </c>
      <c r="AG6556" s="2">
        <f ca="1"/>
        <v>0.44017595679614052</v>
      </c>
      <c r="AH6556" s="2" t="str">
        <f ca="1"/>
        <v>Bad</v>
      </c>
    </row>
    <row r="6557" spans="2:34" x14ac:dyDescent="0.2">
      <c r="B6557" s="2">
        <f ca="1"/>
        <v>0.82107090419991824</v>
      </c>
      <c r="O6557" s="2">
        <f ca="1"/>
        <v>-0.40375223782458031</v>
      </c>
      <c r="X6557" s="2">
        <f ca="1"/>
        <v>51.604179874347196</v>
      </c>
      <c r="AG6557" s="2">
        <f ca="1"/>
        <v>0.32576115485487822</v>
      </c>
      <c r="AH6557" s="2" t="str">
        <f ca="1"/>
        <v>OK</v>
      </c>
    </row>
    <row r="6558" spans="2:34" x14ac:dyDescent="0.2">
      <c r="B6558" s="2">
        <f ca="1"/>
        <v>0.54281237644839075</v>
      </c>
      <c r="O6558" s="2">
        <f ca="1"/>
        <v>1.9099233771062798</v>
      </c>
      <c r="X6558" s="2">
        <f ca="1"/>
        <v>51.105108166592757</v>
      </c>
      <c r="AG6558" s="2">
        <f ca="1"/>
        <v>1.1480954047477399E-2</v>
      </c>
      <c r="AH6558" s="2" t="str">
        <f ca="1"/>
        <v>Good</v>
      </c>
    </row>
    <row r="6559" spans="2:34" x14ac:dyDescent="0.2">
      <c r="B6559" s="2">
        <f ca="1"/>
        <v>0.73821847383482719</v>
      </c>
      <c r="O6559" s="2">
        <f ca="1"/>
        <v>-0.76105867536869176</v>
      </c>
      <c r="X6559" s="2">
        <f ca="1"/>
        <v>44.017973933719183</v>
      </c>
      <c r="AG6559" s="2">
        <f ca="1"/>
        <v>0.44691169114772755</v>
      </c>
      <c r="AH6559" s="2" t="str">
        <f ca="1"/>
        <v>Bad</v>
      </c>
    </row>
    <row r="6560" spans="2:34" x14ac:dyDescent="0.2">
      <c r="B6560" s="2">
        <f ca="1"/>
        <v>0.22566929407231195</v>
      </c>
      <c r="O6560" s="2">
        <f ca="1"/>
        <v>-0.917936072898205</v>
      </c>
      <c r="X6560" s="2">
        <f ca="1"/>
        <v>50.077050511423877</v>
      </c>
      <c r="AG6560" s="2">
        <f ca="1"/>
        <v>0.7434683703704299</v>
      </c>
      <c r="AH6560" s="2" t="str">
        <f ca="1"/>
        <v>Bad</v>
      </c>
    </row>
    <row r="6561" spans="2:34" x14ac:dyDescent="0.2">
      <c r="B6561" s="2">
        <f ca="1"/>
        <v>0.918353216152898</v>
      </c>
      <c r="O6561" s="2">
        <f ca="1"/>
        <v>-2.8043419949169097</v>
      </c>
      <c r="X6561" s="2">
        <f ca="1"/>
        <v>33.884600220274514</v>
      </c>
      <c r="AG6561" s="2">
        <f ca="1"/>
        <v>0.39828977310773439</v>
      </c>
      <c r="AH6561" s="2" t="str">
        <f ca="1"/>
        <v>OK</v>
      </c>
    </row>
    <row r="6562" spans="2:34" x14ac:dyDescent="0.2">
      <c r="B6562" s="2">
        <f ca="1"/>
        <v>0.44411744649283769</v>
      </c>
      <c r="O6562" s="2">
        <f ca="1"/>
        <v>7.3866609373412703E-2</v>
      </c>
      <c r="X6562" s="2">
        <f ca="1"/>
        <v>57.600296758269309</v>
      </c>
      <c r="AG6562" s="2">
        <f ca="1"/>
        <v>0.22379639292888531</v>
      </c>
      <c r="AH6562" s="2" t="str">
        <f ca="1"/>
        <v>OK</v>
      </c>
    </row>
    <row r="6563" spans="2:34" x14ac:dyDescent="0.2">
      <c r="B6563" s="2">
        <f ca="1"/>
        <v>0.44426814792401426</v>
      </c>
      <c r="O6563" s="2">
        <f ca="1"/>
        <v>-0.46696417641471372</v>
      </c>
      <c r="X6563" s="2">
        <f ca="1"/>
        <v>75.741911490365311</v>
      </c>
      <c r="AG6563" s="2">
        <f ca="1"/>
        <v>0.94507287332151346</v>
      </c>
      <c r="AH6563" s="2" t="str">
        <f ca="1"/>
        <v>Bad</v>
      </c>
    </row>
    <row r="6564" spans="2:34" x14ac:dyDescent="0.2">
      <c r="B6564" s="2">
        <f ca="1"/>
        <v>0.14272873776083239</v>
      </c>
      <c r="O6564" s="2">
        <f ca="1"/>
        <v>-4.002532987386908E-2</v>
      </c>
      <c r="X6564" s="2">
        <f ca="1"/>
        <v>53.043202262081181</v>
      </c>
      <c r="AG6564" s="2">
        <f ca="1"/>
        <v>0.43536154848010966</v>
      </c>
      <c r="AH6564" s="2" t="str">
        <f ca="1"/>
        <v>Bad</v>
      </c>
    </row>
    <row r="6565" spans="2:34" x14ac:dyDescent="0.2">
      <c r="B6565" s="2">
        <f ca="1"/>
        <v>0.18293984586655676</v>
      </c>
      <c r="O6565" s="2">
        <f ca="1"/>
        <v>-0.86235220674091251</v>
      </c>
      <c r="X6565" s="2">
        <f ca="1"/>
        <v>87.648361277634436</v>
      </c>
      <c r="AG6565" s="2">
        <f ca="1"/>
        <v>0.22810044898855852</v>
      </c>
      <c r="AH6565" s="2" t="str">
        <f ca="1"/>
        <v>OK</v>
      </c>
    </row>
    <row r="6566" spans="2:34" x14ac:dyDescent="0.2">
      <c r="B6566" s="2">
        <f ca="1"/>
        <v>0.69048759794558046</v>
      </c>
      <c r="O6566" s="2">
        <f ca="1"/>
        <v>0.73381098353043661</v>
      </c>
      <c r="X6566" s="2">
        <f ca="1"/>
        <v>37.932224476128638</v>
      </c>
      <c r="AG6566" s="2">
        <f ca="1"/>
        <v>0.11480526371803856</v>
      </c>
      <c r="AH6566" s="2" t="str">
        <f ca="1"/>
        <v>OK</v>
      </c>
    </row>
    <row r="6567" spans="2:34" x14ac:dyDescent="0.2">
      <c r="B6567" s="2">
        <f ca="1"/>
        <v>0.22625618314230356</v>
      </c>
      <c r="O6567" s="2">
        <f ca="1"/>
        <v>-0.54649137767151323</v>
      </c>
      <c r="X6567" s="2">
        <f ca="1"/>
        <v>52.791611855952681</v>
      </c>
      <c r="AG6567" s="2">
        <f ca="1"/>
        <v>0.57002474750012722</v>
      </c>
      <c r="AH6567" s="2" t="str">
        <f ca="1"/>
        <v>Bad</v>
      </c>
    </row>
    <row r="6568" spans="2:34" x14ac:dyDescent="0.2">
      <c r="B6568" s="2">
        <f ca="1"/>
        <v>0.50897167425071688</v>
      </c>
      <c r="O6568" s="2">
        <f ca="1"/>
        <v>1.1544137480304038</v>
      </c>
      <c r="X6568" s="2">
        <f ca="1"/>
        <v>23.3916153109585</v>
      </c>
      <c r="AG6568" s="2">
        <f ca="1"/>
        <v>0.96801052714377933</v>
      </c>
      <c r="AH6568" s="2" t="str">
        <f ca="1"/>
        <v>Bad</v>
      </c>
    </row>
    <row r="6569" spans="2:34" x14ac:dyDescent="0.2">
      <c r="B6569" s="2">
        <f ca="1"/>
        <v>0.21088275446600702</v>
      </c>
      <c r="O6569" s="2">
        <f ca="1"/>
        <v>-0.65880600323971572</v>
      </c>
      <c r="X6569" s="2">
        <f ca="1"/>
        <v>60.12375347003821</v>
      </c>
      <c r="AG6569" s="2">
        <f ca="1"/>
        <v>0.7126752816136499</v>
      </c>
      <c r="AH6569" s="2" t="str">
        <f ca="1"/>
        <v>Bad</v>
      </c>
    </row>
    <row r="6570" spans="2:34" x14ac:dyDescent="0.2">
      <c r="B6570" s="2">
        <f ca="1"/>
        <v>0.44070150193976843</v>
      </c>
      <c r="O6570" s="2">
        <f ca="1"/>
        <v>-1.3180788679955366</v>
      </c>
      <c r="X6570" s="2">
        <f ca="1"/>
        <v>47.728451831415548</v>
      </c>
      <c r="AG6570" s="2">
        <f ca="1"/>
        <v>0.84942991601247475</v>
      </c>
      <c r="AH6570" s="2" t="str">
        <f ca="1"/>
        <v>Bad</v>
      </c>
    </row>
    <row r="6571" spans="2:34" x14ac:dyDescent="0.2">
      <c r="B6571" s="2">
        <f ca="1"/>
        <v>0.95894665600460871</v>
      </c>
      <c r="O6571" s="2">
        <f ca="1"/>
        <v>2.3184245343879483E-2</v>
      </c>
      <c r="X6571" s="2">
        <f ca="1"/>
        <v>41.132737404270216</v>
      </c>
      <c r="AG6571" s="2">
        <f ca="1"/>
        <v>0.19708511614633184</v>
      </c>
      <c r="AH6571" s="2" t="str">
        <f ca="1"/>
        <v>OK</v>
      </c>
    </row>
    <row r="6572" spans="2:34" x14ac:dyDescent="0.2">
      <c r="B6572" s="2">
        <f ca="1"/>
        <v>8.0675042165231359E-2</v>
      </c>
      <c r="O6572" s="2">
        <f ca="1"/>
        <v>-0.91639924764485181</v>
      </c>
      <c r="X6572" s="2">
        <f ca="1"/>
        <v>34.65971090535372</v>
      </c>
      <c r="AG6572" s="2">
        <f ca="1"/>
        <v>0.12803081168103225</v>
      </c>
      <c r="AH6572" s="2" t="str">
        <f ca="1"/>
        <v>OK</v>
      </c>
    </row>
    <row r="6573" spans="2:34" x14ac:dyDescent="0.2">
      <c r="B6573" s="2">
        <f ca="1"/>
        <v>0.69553804543989517</v>
      </c>
      <c r="O6573" s="2">
        <f ca="1"/>
        <v>0.68402680942114946</v>
      </c>
      <c r="X6573" s="2">
        <f ca="1"/>
        <v>46.809300318669827</v>
      </c>
      <c r="AG6573" s="2">
        <f ca="1"/>
        <v>0.54916887576339435</v>
      </c>
      <c r="AH6573" s="2" t="str">
        <f ca="1"/>
        <v>Bad</v>
      </c>
    </row>
    <row r="6574" spans="2:34" x14ac:dyDescent="0.2">
      <c r="B6574" s="2">
        <f ca="1"/>
        <v>0.72285980650423287</v>
      </c>
      <c r="O6574" s="2">
        <f ca="1"/>
        <v>0.25862620166319467</v>
      </c>
      <c r="X6574" s="2">
        <f ca="1"/>
        <v>47.223153417831682</v>
      </c>
      <c r="AG6574" s="2">
        <f ca="1"/>
        <v>0.14270863361813579</v>
      </c>
      <c r="AH6574" s="2" t="str">
        <f ca="1"/>
        <v>OK</v>
      </c>
    </row>
    <row r="6575" spans="2:34" x14ac:dyDescent="0.2">
      <c r="B6575" s="2">
        <f ca="1"/>
        <v>4.8344754644961352E-2</v>
      </c>
      <c r="O6575" s="2">
        <f ca="1"/>
        <v>1.2272276301959424</v>
      </c>
      <c r="X6575" s="2">
        <f ca="1"/>
        <v>58.056747252603202</v>
      </c>
      <c r="AG6575" s="2">
        <f ca="1"/>
        <v>0.88670489300774324</v>
      </c>
      <c r="AH6575" s="2" t="str">
        <f ca="1"/>
        <v>Bad</v>
      </c>
    </row>
    <row r="6576" spans="2:34" x14ac:dyDescent="0.2">
      <c r="B6576" s="2">
        <f ca="1"/>
        <v>0.50889736912574435</v>
      </c>
      <c r="O6576" s="2">
        <f ca="1"/>
        <v>0.6216353177574454</v>
      </c>
      <c r="X6576" s="2">
        <f ca="1"/>
        <v>57.231427095279614</v>
      </c>
      <c r="AG6576" s="2">
        <f ca="1"/>
        <v>0.17245325217394125</v>
      </c>
      <c r="AH6576" s="2" t="str">
        <f ca="1"/>
        <v>OK</v>
      </c>
    </row>
    <row r="6577" spans="2:34" x14ac:dyDescent="0.2">
      <c r="B6577" s="2">
        <f ca="1"/>
        <v>0.72329769920275888</v>
      </c>
      <c r="O6577" s="2">
        <f ca="1"/>
        <v>1.6831939362638737</v>
      </c>
      <c r="X6577" s="2">
        <f ca="1"/>
        <v>50.605089923090667</v>
      </c>
      <c r="AG6577" s="2">
        <f ca="1"/>
        <v>0.29621622529014169</v>
      </c>
      <c r="AH6577" s="2" t="str">
        <f ca="1"/>
        <v>OK</v>
      </c>
    </row>
    <row r="6578" spans="2:34" x14ac:dyDescent="0.2">
      <c r="B6578" s="2">
        <f ca="1"/>
        <v>0.61548701424417995</v>
      </c>
      <c r="O6578" s="2">
        <f ca="1"/>
        <v>-0.76954700277957455</v>
      </c>
      <c r="X6578" s="2">
        <f ca="1"/>
        <v>34.165933557298217</v>
      </c>
      <c r="AG6578" s="2">
        <f ca="1"/>
        <v>0.96556023174214012</v>
      </c>
      <c r="AH6578" s="2" t="str">
        <f ca="1"/>
        <v>Bad</v>
      </c>
    </row>
    <row r="6579" spans="2:34" x14ac:dyDescent="0.2">
      <c r="B6579" s="2">
        <f ca="1"/>
        <v>0.45252162508707783</v>
      </c>
      <c r="O6579" s="2">
        <f ca="1"/>
        <v>-0.45621696039583626</v>
      </c>
      <c r="X6579" s="2">
        <f ca="1"/>
        <v>33.468346896963723</v>
      </c>
      <c r="AG6579" s="2">
        <f ca="1"/>
        <v>0.88566923555903387</v>
      </c>
      <c r="AH6579" s="2" t="str">
        <f ca="1"/>
        <v>Bad</v>
      </c>
    </row>
    <row r="6580" spans="2:34" x14ac:dyDescent="0.2">
      <c r="B6580" s="2">
        <f ca="1"/>
        <v>0.89030486720010149</v>
      </c>
      <c r="O6580" s="2">
        <f ca="1"/>
        <v>-0.60162819080616681</v>
      </c>
      <c r="X6580" s="2">
        <f ca="1"/>
        <v>29.481723827506553</v>
      </c>
      <c r="AG6580" s="2">
        <f ca="1"/>
        <v>0.73869058412698263</v>
      </c>
      <c r="AH6580" s="2" t="str">
        <f ca="1"/>
        <v>Bad</v>
      </c>
    </row>
    <row r="6581" spans="2:34" x14ac:dyDescent="0.2">
      <c r="B6581" s="2">
        <f ca="1"/>
        <v>0.14740300424329522</v>
      </c>
      <c r="O6581" s="2">
        <f ca="1"/>
        <v>-0.90436193681575039</v>
      </c>
      <c r="X6581" s="2">
        <f ca="1"/>
        <v>90.470927015299608</v>
      </c>
      <c r="AG6581" s="2">
        <f ca="1"/>
        <v>0.70851444001655572</v>
      </c>
      <c r="AH6581" s="2" t="str">
        <f ca="1"/>
        <v>Bad</v>
      </c>
    </row>
    <row r="6582" spans="2:34" x14ac:dyDescent="0.2">
      <c r="B6582" s="2">
        <f ca="1"/>
        <v>0.57847501330814</v>
      </c>
      <c r="O6582" s="2">
        <f ca="1"/>
        <v>-1.174052351957114</v>
      </c>
      <c r="X6582" s="2">
        <f ca="1"/>
        <v>44.122448502181406</v>
      </c>
      <c r="AG6582" s="2">
        <f ca="1"/>
        <v>0.69581507492948269</v>
      </c>
      <c r="AH6582" s="2" t="str">
        <f ca="1"/>
        <v>Bad</v>
      </c>
    </row>
    <row r="6583" spans="2:34" x14ac:dyDescent="0.2">
      <c r="B6583" s="2">
        <f ca="1"/>
        <v>0.25569017964797602</v>
      </c>
      <c r="O6583" s="2">
        <f ca="1"/>
        <v>-0.84827900556319957</v>
      </c>
      <c r="X6583" s="2">
        <f ca="1"/>
        <v>53.829695681863384</v>
      </c>
      <c r="AG6583" s="2">
        <f ca="1"/>
        <v>0.83582589995661882</v>
      </c>
      <c r="AH6583" s="2" t="str">
        <f ca="1"/>
        <v>Bad</v>
      </c>
    </row>
    <row r="6584" spans="2:34" x14ac:dyDescent="0.2">
      <c r="B6584" s="2">
        <f ca="1"/>
        <v>0.61728648079610426</v>
      </c>
      <c r="O6584" s="2">
        <f ca="1"/>
        <v>-1.1502575303796088</v>
      </c>
      <c r="X6584" s="2">
        <f ca="1"/>
        <v>67.589647919756032</v>
      </c>
      <c r="AG6584" s="2">
        <f ca="1"/>
        <v>0.51509420637051906</v>
      </c>
      <c r="AH6584" s="2" t="str">
        <f ca="1"/>
        <v>Bad</v>
      </c>
    </row>
    <row r="6585" spans="2:34" x14ac:dyDescent="0.2">
      <c r="B6585" s="2">
        <f ca="1"/>
        <v>0.76248228597798784</v>
      </c>
      <c r="O6585" s="2">
        <f ca="1"/>
        <v>0.81284371738845995</v>
      </c>
      <c r="X6585" s="2">
        <f ca="1"/>
        <v>37.364318296628284</v>
      </c>
      <c r="AG6585" s="2">
        <f ca="1"/>
        <v>0.19979831609429421</v>
      </c>
      <c r="AH6585" s="2" t="str">
        <f ca="1"/>
        <v>OK</v>
      </c>
    </row>
    <row r="6586" spans="2:34" x14ac:dyDescent="0.2">
      <c r="B6586" s="2">
        <f ca="1"/>
        <v>0.94961645757231317</v>
      </c>
      <c r="O6586" s="2">
        <f ca="1"/>
        <v>-0.21920142130064685</v>
      </c>
      <c r="X6586" s="2">
        <f ca="1"/>
        <v>44.588302506817136</v>
      </c>
      <c r="AG6586" s="2">
        <f ca="1"/>
        <v>0.43778920113596853</v>
      </c>
      <c r="AH6586" s="2" t="str">
        <f ca="1"/>
        <v>Bad</v>
      </c>
    </row>
    <row r="6587" spans="2:34" x14ac:dyDescent="0.2">
      <c r="B6587" s="2">
        <f ca="1"/>
        <v>0.20248837736691083</v>
      </c>
      <c r="O6587" s="2">
        <f ca="1"/>
        <v>0.53242910042090097</v>
      </c>
      <c r="X6587" s="2">
        <f ca="1"/>
        <v>30.987613976223972</v>
      </c>
      <c r="AG6587" s="2">
        <f ca="1"/>
        <v>0.35073124947190415</v>
      </c>
      <c r="AH6587" s="2" t="str">
        <f ca="1"/>
        <v>OK</v>
      </c>
    </row>
    <row r="6588" spans="2:34" x14ac:dyDescent="0.2">
      <c r="B6588" s="2">
        <f ca="1"/>
        <v>0.4876437176433126</v>
      </c>
      <c r="O6588" s="2">
        <f ca="1"/>
        <v>0.59908072307090909</v>
      </c>
      <c r="X6588" s="2">
        <f ca="1"/>
        <v>54.246123153194873</v>
      </c>
      <c r="AG6588" s="2">
        <f ca="1"/>
        <v>0.80075042771395766</v>
      </c>
      <c r="AH6588" s="2" t="str">
        <f ca="1"/>
        <v>Bad</v>
      </c>
    </row>
    <row r="6589" spans="2:34" x14ac:dyDescent="0.2">
      <c r="B6589" s="2">
        <f ca="1"/>
        <v>0.10649458681570212</v>
      </c>
      <c r="O6589" s="2">
        <f ca="1"/>
        <v>-1.2824503486519689</v>
      </c>
      <c r="X6589" s="2">
        <f ca="1"/>
        <v>54.353876195646066</v>
      </c>
      <c r="AG6589" s="2">
        <f ca="1"/>
        <v>0.65477062785356122</v>
      </c>
      <c r="AH6589" s="2" t="str">
        <f ca="1"/>
        <v>Bad</v>
      </c>
    </row>
    <row r="6590" spans="2:34" x14ac:dyDescent="0.2">
      <c r="B6590" s="2">
        <f ca="1"/>
        <v>8.937004685929395E-4</v>
      </c>
      <c r="O6590" s="2">
        <f ca="1"/>
        <v>-0.87074393830014074</v>
      </c>
      <c r="X6590" s="2">
        <f ca="1"/>
        <v>46.220431491063053</v>
      </c>
      <c r="AG6590" s="2">
        <f ca="1"/>
        <v>0.65779370971594164</v>
      </c>
      <c r="AH6590" s="2" t="str">
        <f ca="1"/>
        <v>Bad</v>
      </c>
    </row>
    <row r="6591" spans="2:34" x14ac:dyDescent="0.2">
      <c r="B6591" s="2">
        <f ca="1"/>
        <v>0.82886295608219496</v>
      </c>
      <c r="O6591" s="2">
        <f ca="1"/>
        <v>-1.2299621750923682</v>
      </c>
      <c r="X6591" s="2">
        <f ca="1"/>
        <v>52.877498537550849</v>
      </c>
      <c r="AG6591" s="2">
        <f ca="1"/>
        <v>0.2340923055006725</v>
      </c>
      <c r="AH6591" s="2" t="str">
        <f ca="1"/>
        <v>OK</v>
      </c>
    </row>
    <row r="6592" spans="2:34" x14ac:dyDescent="0.2">
      <c r="B6592" s="2">
        <f ca="1"/>
        <v>0.13949905936877238</v>
      </c>
      <c r="O6592" s="2">
        <f ca="1"/>
        <v>0.47664883296344801</v>
      </c>
      <c r="X6592" s="2">
        <f ca="1"/>
        <v>74.6628732457784</v>
      </c>
      <c r="AG6592" s="2">
        <f ca="1"/>
        <v>0.71714824234178942</v>
      </c>
      <c r="AH6592" s="2" t="str">
        <f ca="1"/>
        <v>Bad</v>
      </c>
    </row>
    <row r="6593" spans="2:34" x14ac:dyDescent="0.2">
      <c r="B6593" s="2">
        <f ca="1"/>
        <v>0.20064846121544178</v>
      </c>
      <c r="O6593" s="2">
        <f ca="1"/>
        <v>0.61480710678022832</v>
      </c>
      <c r="X6593" s="2">
        <f ca="1"/>
        <v>71.42051381456524</v>
      </c>
      <c r="AG6593" s="2">
        <f ca="1"/>
        <v>0.2633819655870373</v>
      </c>
      <c r="AH6593" s="2" t="str">
        <f ca="1"/>
        <v>OK</v>
      </c>
    </row>
    <row r="6594" spans="2:34" x14ac:dyDescent="0.2">
      <c r="B6594" s="2">
        <f ca="1"/>
        <v>0.50043762549163251</v>
      </c>
      <c r="O6594" s="2">
        <f ca="1"/>
        <v>-4.6043139943085246E-2</v>
      </c>
      <c r="X6594" s="2">
        <f ca="1"/>
        <v>39.727260194250839</v>
      </c>
      <c r="AG6594" s="2">
        <f ca="1"/>
        <v>0.2413784390622169</v>
      </c>
      <c r="AH6594" s="2" t="str">
        <f ca="1"/>
        <v>OK</v>
      </c>
    </row>
    <row r="6595" spans="2:34" x14ac:dyDescent="0.2">
      <c r="B6595" s="2">
        <f ca="1"/>
        <v>0.89793829997636809</v>
      </c>
      <c r="O6595" s="2">
        <f ca="1"/>
        <v>-3.1903916797841489</v>
      </c>
      <c r="X6595" s="2">
        <f ca="1"/>
        <v>44.519105072940576</v>
      </c>
      <c r="AG6595" s="2">
        <f ca="1"/>
        <v>0.93710800397211003</v>
      </c>
      <c r="AH6595" s="2" t="str">
        <f ca="1"/>
        <v>Bad</v>
      </c>
    </row>
    <row r="6596" spans="2:34" x14ac:dyDescent="0.2">
      <c r="B6596" s="2">
        <f ca="1"/>
        <v>0.53418534512688032</v>
      </c>
      <c r="O6596" s="2">
        <f ca="1"/>
        <v>0.43947226059262967</v>
      </c>
      <c r="X6596" s="2">
        <f ca="1"/>
        <v>22.204829454948971</v>
      </c>
      <c r="AG6596" s="2">
        <f ca="1"/>
        <v>7.3000772487714416E-2</v>
      </c>
      <c r="AH6596" s="2" t="str">
        <f ca="1"/>
        <v>OK</v>
      </c>
    </row>
    <row r="6597" spans="2:34" x14ac:dyDescent="0.2">
      <c r="B6597" s="2">
        <f ca="1"/>
        <v>0.22644875060462177</v>
      </c>
      <c r="O6597" s="2">
        <f ca="1"/>
        <v>-1.3044768049300093</v>
      </c>
      <c r="X6597" s="2">
        <f ca="1"/>
        <v>67.295010507270916</v>
      </c>
      <c r="AG6597" s="2">
        <f ca="1"/>
        <v>0.97142509885254658</v>
      </c>
      <c r="AH6597" s="2" t="str">
        <f ca="1"/>
        <v>Bad</v>
      </c>
    </row>
    <row r="6598" spans="2:34" x14ac:dyDescent="0.2">
      <c r="B6598" s="2">
        <f ca="1"/>
        <v>0.49003877915776139</v>
      </c>
      <c r="O6598" s="2">
        <f ca="1"/>
        <v>-0.36748252549369109</v>
      </c>
      <c r="X6598" s="2">
        <f ca="1"/>
        <v>33.143951798397339</v>
      </c>
      <c r="AG6598" s="2">
        <f ca="1"/>
        <v>3.6187167923563246E-2</v>
      </c>
      <c r="AH6598" s="2" t="str">
        <f ca="1"/>
        <v>Good</v>
      </c>
    </row>
    <row r="6599" spans="2:34" x14ac:dyDescent="0.2">
      <c r="B6599" s="2">
        <f ca="1"/>
        <v>0.12594663072144141</v>
      </c>
      <c r="O6599" s="2">
        <f ca="1"/>
        <v>0.62327949867048382</v>
      </c>
      <c r="X6599" s="2">
        <f ca="1"/>
        <v>139.42082750624184</v>
      </c>
      <c r="AG6599" s="2">
        <f ca="1"/>
        <v>0.32127499049895447</v>
      </c>
      <c r="AH6599" s="2" t="str">
        <f ca="1"/>
        <v>OK</v>
      </c>
    </row>
    <row r="6600" spans="2:34" x14ac:dyDescent="0.2">
      <c r="B6600" s="2">
        <f ca="1"/>
        <v>0.24209825726554679</v>
      </c>
      <c r="O6600" s="2">
        <f ca="1"/>
        <v>-6.910857771719619E-3</v>
      </c>
      <c r="X6600" s="2">
        <f ca="1"/>
        <v>39.631479889082257</v>
      </c>
      <c r="AG6600" s="2">
        <f ca="1"/>
        <v>0.78697880384636543</v>
      </c>
      <c r="AH6600" s="2" t="str">
        <f ca="1"/>
        <v>Bad</v>
      </c>
    </row>
    <row r="6601" spans="2:34" x14ac:dyDescent="0.2">
      <c r="B6601" s="2">
        <f ca="1"/>
        <v>0.51781225269800157</v>
      </c>
      <c r="O6601" s="2">
        <f ca="1"/>
        <v>2.1322384983092033</v>
      </c>
      <c r="X6601" s="2">
        <f ca="1"/>
        <v>56.813332193768069</v>
      </c>
      <c r="AG6601" s="2">
        <f ca="1"/>
        <v>0.24927468297409749</v>
      </c>
      <c r="AH6601" s="2" t="str">
        <f ca="1"/>
        <v>OK</v>
      </c>
    </row>
    <row r="6602" spans="2:34" x14ac:dyDescent="0.2">
      <c r="B6602" s="2">
        <f ca="1"/>
        <v>0.50895688211536094</v>
      </c>
      <c r="O6602" s="2">
        <f ca="1"/>
        <v>0.63988487596213206</v>
      </c>
      <c r="X6602" s="2">
        <f ca="1"/>
        <v>40.436036871632339</v>
      </c>
      <c r="AG6602" s="2">
        <f ca="1"/>
        <v>0.65915411003498292</v>
      </c>
      <c r="AH6602" s="2" t="str">
        <f ca="1"/>
        <v>Bad</v>
      </c>
    </row>
    <row r="6603" spans="2:34" x14ac:dyDescent="0.2">
      <c r="B6603" s="2">
        <f ca="1"/>
        <v>0.3648542207113239</v>
      </c>
      <c r="O6603" s="2">
        <f ca="1"/>
        <v>0.82970396442250527</v>
      </c>
      <c r="X6603" s="2">
        <f ca="1"/>
        <v>65.829951986110757</v>
      </c>
      <c r="AG6603" s="2">
        <f ca="1"/>
        <v>0.4397464179859214</v>
      </c>
      <c r="AH6603" s="2" t="str">
        <f ca="1"/>
        <v>Bad</v>
      </c>
    </row>
    <row r="6604" spans="2:34" x14ac:dyDescent="0.2">
      <c r="B6604" s="2">
        <f ca="1"/>
        <v>0.39757386506091197</v>
      </c>
      <c r="O6604" s="2">
        <f ca="1"/>
        <v>0.45692031091760155</v>
      </c>
      <c r="X6604" s="2">
        <f ca="1"/>
        <v>50.078328019379519</v>
      </c>
      <c r="AG6604" s="2">
        <f ca="1"/>
        <v>0.1387792096169933</v>
      </c>
      <c r="AH6604" s="2" t="str">
        <f ca="1"/>
        <v>OK</v>
      </c>
    </row>
    <row r="6605" spans="2:34" x14ac:dyDescent="0.2">
      <c r="B6605" s="2">
        <f ca="1"/>
        <v>0.20198722799319802</v>
      </c>
      <c r="O6605" s="2">
        <f ca="1"/>
        <v>-0.42244023943785602</v>
      </c>
      <c r="X6605" s="2">
        <f ca="1"/>
        <v>67.866927772377139</v>
      </c>
      <c r="AG6605" s="2">
        <f ca="1"/>
        <v>0.63430046898990389</v>
      </c>
      <c r="AH6605" s="2" t="str">
        <f ca="1"/>
        <v>Bad</v>
      </c>
    </row>
    <row r="6606" spans="2:34" x14ac:dyDescent="0.2">
      <c r="B6606" s="2">
        <f ca="1"/>
        <v>0.88211388649704681</v>
      </c>
      <c r="O6606" s="2">
        <f ca="1"/>
        <v>-0.3406117619101362</v>
      </c>
      <c r="X6606" s="2">
        <f ca="1"/>
        <v>27.639196854582202</v>
      </c>
      <c r="AG6606" s="2">
        <f ca="1"/>
        <v>0.91456841914842046</v>
      </c>
      <c r="AH6606" s="2" t="str">
        <f ca="1"/>
        <v>Bad</v>
      </c>
    </row>
    <row r="6607" spans="2:34" x14ac:dyDescent="0.2">
      <c r="B6607" s="2">
        <f ca="1"/>
        <v>0.78383925830565393</v>
      </c>
      <c r="O6607" s="2">
        <f ca="1"/>
        <v>-0.40098185247779294</v>
      </c>
      <c r="X6607" s="2">
        <f ca="1"/>
        <v>61.328925768628068</v>
      </c>
      <c r="AG6607" s="2">
        <f ca="1"/>
        <v>0.67079439016485276</v>
      </c>
      <c r="AH6607" s="2" t="str">
        <f ca="1"/>
        <v>Bad</v>
      </c>
    </row>
    <row r="6608" spans="2:34" x14ac:dyDescent="0.2">
      <c r="B6608" s="2">
        <f ca="1"/>
        <v>0.77998658121714737</v>
      </c>
      <c r="O6608" s="2">
        <f ca="1"/>
        <v>1.5299645175240961</v>
      </c>
      <c r="X6608" s="2">
        <f ca="1"/>
        <v>38.187214685362861</v>
      </c>
      <c r="AG6608" s="2">
        <f ca="1"/>
        <v>4.2192359426866055E-2</v>
      </c>
      <c r="AH6608" s="2" t="str">
        <f ca="1"/>
        <v>Good</v>
      </c>
    </row>
    <row r="6609" spans="2:34" x14ac:dyDescent="0.2">
      <c r="B6609" s="2">
        <f ca="1"/>
        <v>0.96180268358224974</v>
      </c>
      <c r="O6609" s="2">
        <f ca="1"/>
        <v>-1.5126717362676403</v>
      </c>
      <c r="X6609" s="2">
        <f ca="1"/>
        <v>41.337553592427874</v>
      </c>
      <c r="AG6609" s="2">
        <f ca="1"/>
        <v>0.6873770543994373</v>
      </c>
      <c r="AH6609" s="2" t="str">
        <f ca="1"/>
        <v>Bad</v>
      </c>
    </row>
    <row r="6610" spans="2:34" x14ac:dyDescent="0.2">
      <c r="B6610" s="2">
        <f ca="1"/>
        <v>0.53551096944231968</v>
      </c>
      <c r="O6610" s="2">
        <f ca="1"/>
        <v>1.3334438047855885</v>
      </c>
      <c r="X6610" s="2">
        <f ca="1"/>
        <v>66.474989813622457</v>
      </c>
      <c r="AG6610" s="2">
        <f ca="1"/>
        <v>0.72108280129778146</v>
      </c>
      <c r="AH6610" s="2" t="str">
        <f ca="1"/>
        <v>Bad</v>
      </c>
    </row>
    <row r="6611" spans="2:34" x14ac:dyDescent="0.2">
      <c r="B6611" s="2">
        <f ca="1"/>
        <v>0.33097552344543191</v>
      </c>
      <c r="O6611" s="2">
        <f ca="1"/>
        <v>-9.0537761805205536E-2</v>
      </c>
      <c r="X6611" s="2">
        <f ca="1"/>
        <v>48.987798527469096</v>
      </c>
      <c r="AG6611" s="2">
        <f ca="1"/>
        <v>0.45101055598626694</v>
      </c>
      <c r="AH6611" s="2" t="str">
        <f ca="1"/>
        <v>Bad</v>
      </c>
    </row>
    <row r="6612" spans="2:34" x14ac:dyDescent="0.2">
      <c r="B6612" s="2">
        <f ca="1"/>
        <v>0.93724136399208957</v>
      </c>
      <c r="O6612" s="2">
        <f ca="1"/>
        <v>-1.0858125487284331</v>
      </c>
      <c r="X6612" s="2">
        <f ca="1"/>
        <v>45.206877907314095</v>
      </c>
      <c r="AG6612" s="2">
        <f ca="1"/>
        <v>0.52500419104635832</v>
      </c>
      <c r="AH6612" s="2" t="str">
        <f ca="1"/>
        <v>Bad</v>
      </c>
    </row>
    <row r="6613" spans="2:34" x14ac:dyDescent="0.2">
      <c r="B6613" s="2">
        <f ca="1"/>
        <v>0.4268230316065369</v>
      </c>
      <c r="O6613" s="2">
        <f ca="1"/>
        <v>-0.89661058930968163</v>
      </c>
      <c r="X6613" s="2">
        <f ca="1"/>
        <v>32.7481408465461</v>
      </c>
      <c r="AG6613" s="2">
        <f ca="1"/>
        <v>0.95346069599414807</v>
      </c>
      <c r="AH6613" s="2" t="str">
        <f ca="1"/>
        <v>Bad</v>
      </c>
    </row>
    <row r="6614" spans="2:34" x14ac:dyDescent="0.2">
      <c r="B6614" s="2">
        <f ca="1"/>
        <v>0.79686200332792168</v>
      </c>
      <c r="O6614" s="2">
        <f ca="1"/>
        <v>-0.81564574190226258</v>
      </c>
      <c r="X6614" s="2">
        <f ca="1"/>
        <v>24.258777132492426</v>
      </c>
      <c r="AG6614" s="2">
        <f ca="1"/>
        <v>0.39017110594286697</v>
      </c>
      <c r="AH6614" s="2" t="str">
        <f ca="1"/>
        <v>OK</v>
      </c>
    </row>
    <row r="6615" spans="2:34" x14ac:dyDescent="0.2">
      <c r="B6615" s="2">
        <f ca="1"/>
        <v>0.81188843632529784</v>
      </c>
      <c r="O6615" s="2">
        <f ca="1"/>
        <v>-1.0226862316209229</v>
      </c>
      <c r="X6615" s="2">
        <f ca="1"/>
        <v>56.351302461185917</v>
      </c>
      <c r="AG6615" s="2">
        <f ca="1"/>
        <v>0.74063900480284706</v>
      </c>
      <c r="AH6615" s="2" t="str">
        <f ca="1"/>
        <v>Bad</v>
      </c>
    </row>
    <row r="6616" spans="2:34" x14ac:dyDescent="0.2">
      <c r="B6616" s="2">
        <f ca="1"/>
        <v>0.96261244626531961</v>
      </c>
      <c r="O6616" s="2">
        <f ca="1"/>
        <v>-0.97050874880030313</v>
      </c>
      <c r="X6616" s="2">
        <f ca="1"/>
        <v>40.818013264449426</v>
      </c>
      <c r="AG6616" s="2">
        <f ca="1"/>
        <v>1.044085646737325E-2</v>
      </c>
      <c r="AH6616" s="2" t="str">
        <f ca="1"/>
        <v>Good</v>
      </c>
    </row>
    <row r="6617" spans="2:34" x14ac:dyDescent="0.2">
      <c r="B6617" s="2">
        <f ca="1"/>
        <v>0.867738983433894</v>
      </c>
      <c r="O6617" s="2">
        <f ca="1"/>
        <v>2.2840260276423714</v>
      </c>
      <c r="X6617" s="2">
        <f ca="1"/>
        <v>46.557246430519271</v>
      </c>
      <c r="AG6617" s="2">
        <f ca="1"/>
        <v>0.14273466957359249</v>
      </c>
      <c r="AH6617" s="2" t="str">
        <f ca="1"/>
        <v>OK</v>
      </c>
    </row>
    <row r="6618" spans="2:34" x14ac:dyDescent="0.2">
      <c r="B6618" s="2">
        <f ca="1"/>
        <v>0.25250621814819452</v>
      </c>
      <c r="O6618" s="2">
        <f ca="1"/>
        <v>-0.58627084889536396</v>
      </c>
      <c r="X6618" s="2">
        <f ca="1"/>
        <v>62.881595846448583</v>
      </c>
      <c r="AG6618" s="2">
        <f ca="1"/>
        <v>0.84977510089643604</v>
      </c>
      <c r="AH6618" s="2" t="str">
        <f ca="1"/>
        <v>Bad</v>
      </c>
    </row>
    <row r="6619" spans="2:34" x14ac:dyDescent="0.2">
      <c r="B6619" s="2">
        <f ca="1"/>
        <v>0.81368068275628436</v>
      </c>
      <c r="O6619" s="2">
        <f ca="1"/>
        <v>-0.93752496195431412</v>
      </c>
      <c r="X6619" s="2">
        <f ca="1"/>
        <v>25.829308155216857</v>
      </c>
      <c r="AG6619" s="2">
        <f ca="1"/>
        <v>0.91460703161478718</v>
      </c>
      <c r="AH6619" s="2" t="str">
        <f ca="1"/>
        <v>Bad</v>
      </c>
    </row>
    <row r="6620" spans="2:34" x14ac:dyDescent="0.2">
      <c r="B6620" s="2">
        <f ca="1"/>
        <v>0.27937248110058577</v>
      </c>
      <c r="O6620" s="2">
        <f ca="1"/>
        <v>0.89313805640271005</v>
      </c>
      <c r="X6620" s="2">
        <f ca="1"/>
        <v>59.58894550891506</v>
      </c>
      <c r="AG6620" s="2">
        <f ca="1"/>
        <v>0.97598056731714711</v>
      </c>
      <c r="AH6620" s="2" t="str">
        <f ca="1"/>
        <v>Bad</v>
      </c>
    </row>
    <row r="6621" spans="2:34" x14ac:dyDescent="0.2">
      <c r="B6621" s="2">
        <f ca="1"/>
        <v>0.18464927948610388</v>
      </c>
      <c r="O6621" s="2">
        <f ca="1"/>
        <v>1.3450533007438694</v>
      </c>
      <c r="X6621" s="2">
        <f ca="1"/>
        <v>33.598638150090764</v>
      </c>
      <c r="AG6621" s="2">
        <f ca="1"/>
        <v>0.85654872543616611</v>
      </c>
      <c r="AH6621" s="2" t="str">
        <f ca="1"/>
        <v>Bad</v>
      </c>
    </row>
    <row r="6622" spans="2:34" x14ac:dyDescent="0.2">
      <c r="B6622" s="2">
        <f ca="1"/>
        <v>0.10293212682288044</v>
      </c>
      <c r="O6622" s="2">
        <f ca="1"/>
        <v>2.2809459436415573</v>
      </c>
      <c r="X6622" s="2">
        <f ca="1"/>
        <v>68.558458588462798</v>
      </c>
      <c r="AG6622" s="2">
        <f ca="1"/>
        <v>0.64114515943373895</v>
      </c>
      <c r="AH6622" s="2" t="str">
        <f ca="1"/>
        <v>Bad</v>
      </c>
    </row>
    <row r="6623" spans="2:34" x14ac:dyDescent="0.2">
      <c r="B6623" s="2">
        <f ca="1"/>
        <v>0.35139263365257878</v>
      </c>
      <c r="O6623" s="2">
        <f ca="1"/>
        <v>-0.35264550178061094</v>
      </c>
      <c r="X6623" s="2">
        <f ca="1"/>
        <v>37.771013750213065</v>
      </c>
      <c r="AG6623" s="2">
        <f ca="1"/>
        <v>0.82017325968156873</v>
      </c>
      <c r="AH6623" s="2" t="str">
        <f ca="1"/>
        <v>Bad</v>
      </c>
    </row>
    <row r="6624" spans="2:34" x14ac:dyDescent="0.2">
      <c r="B6624" s="2">
        <f ca="1"/>
        <v>0.79182432102709743</v>
      </c>
      <c r="O6624" s="2">
        <f ca="1"/>
        <v>-0.9994056093566811</v>
      </c>
      <c r="X6624" s="2">
        <f ca="1"/>
        <v>36.680829577035283</v>
      </c>
      <c r="AG6624" s="2">
        <f ca="1"/>
        <v>0.77668312346685742</v>
      </c>
      <c r="AH6624" s="2" t="str">
        <f ca="1"/>
        <v>Bad</v>
      </c>
    </row>
    <row r="6625" spans="2:34" x14ac:dyDescent="0.2">
      <c r="B6625" s="2">
        <f ca="1"/>
        <v>0.33305663374775052</v>
      </c>
      <c r="O6625" s="2">
        <f ca="1"/>
        <v>-0.14765863649922736</v>
      </c>
      <c r="X6625" s="2">
        <f ca="1"/>
        <v>66.403592102944884</v>
      </c>
      <c r="AG6625" s="2">
        <f ca="1"/>
        <v>0.2851365960304193</v>
      </c>
      <c r="AH6625" s="2" t="str">
        <f ca="1"/>
        <v>OK</v>
      </c>
    </row>
    <row r="6626" spans="2:34" x14ac:dyDescent="0.2">
      <c r="B6626" s="2">
        <f ca="1"/>
        <v>0.8328417430707804</v>
      </c>
      <c r="O6626" s="2">
        <f ca="1"/>
        <v>0.22454531573590963</v>
      </c>
      <c r="X6626" s="2">
        <f ca="1"/>
        <v>49.657257182736608</v>
      </c>
      <c r="AG6626" s="2">
        <f ca="1"/>
        <v>0.31999372917267777</v>
      </c>
      <c r="AH6626" s="2" t="str">
        <f ca="1"/>
        <v>OK</v>
      </c>
    </row>
    <row r="6627" spans="2:34" x14ac:dyDescent="0.2">
      <c r="B6627" s="2">
        <f ca="1"/>
        <v>0.26984802125572638</v>
      </c>
      <c r="O6627" s="2">
        <f ca="1"/>
        <v>-0.46115745584422385</v>
      </c>
      <c r="X6627" s="2">
        <f ca="1"/>
        <v>40.987043302975927</v>
      </c>
      <c r="AG6627" s="2">
        <f ca="1"/>
        <v>0.92191923673380516</v>
      </c>
      <c r="AH6627" s="2" t="str">
        <f ca="1"/>
        <v>Bad</v>
      </c>
    </row>
    <row r="6628" spans="2:34" x14ac:dyDescent="0.2">
      <c r="B6628" s="2">
        <f ca="1"/>
        <v>2.4460637281311426E-2</v>
      </c>
      <c r="O6628" s="2">
        <f ca="1"/>
        <v>-0.2330936101129252</v>
      </c>
      <c r="X6628" s="2">
        <f ca="1"/>
        <v>44.406424389042215</v>
      </c>
      <c r="AG6628" s="2">
        <f ca="1"/>
        <v>0.89404983697686458</v>
      </c>
      <c r="AH6628" s="2" t="str">
        <f ca="1"/>
        <v>Bad</v>
      </c>
    </row>
    <row r="6629" spans="2:34" x14ac:dyDescent="0.2">
      <c r="B6629" s="2">
        <f ca="1"/>
        <v>0.6952785378423294</v>
      </c>
      <c r="O6629" s="2">
        <f ca="1"/>
        <v>0.34540219897838081</v>
      </c>
      <c r="X6629" s="2">
        <f ca="1"/>
        <v>33.353355892455454</v>
      </c>
      <c r="AG6629" s="2">
        <f ca="1"/>
        <v>0.54435015892330929</v>
      </c>
      <c r="AH6629" s="2" t="str">
        <f ca="1"/>
        <v>Bad</v>
      </c>
    </row>
    <row r="6630" spans="2:34" x14ac:dyDescent="0.2">
      <c r="B6630" s="2">
        <f ca="1"/>
        <v>0.62688807512298594</v>
      </c>
      <c r="O6630" s="2">
        <f ca="1"/>
        <v>-0.37651753141828015</v>
      </c>
      <c r="X6630" s="2">
        <f ca="1"/>
        <v>59.322583075143889</v>
      </c>
      <c r="AG6630" s="2">
        <f ca="1"/>
        <v>0.30685199260180562</v>
      </c>
      <c r="AH6630" s="2" t="str">
        <f ca="1"/>
        <v>OK</v>
      </c>
    </row>
    <row r="6631" spans="2:34" x14ac:dyDescent="0.2">
      <c r="B6631" s="2">
        <f ca="1"/>
        <v>0.3582175522754798</v>
      </c>
      <c r="O6631" s="2">
        <f ca="1"/>
        <v>-1.4545338842917737</v>
      </c>
      <c r="X6631" s="2">
        <f ca="1"/>
        <v>33.341647027727149</v>
      </c>
      <c r="AG6631" s="2">
        <f ca="1"/>
        <v>0.9968080447566765</v>
      </c>
      <c r="AH6631" s="2" t="str">
        <f ca="1"/>
        <v>Bad</v>
      </c>
    </row>
    <row r="6632" spans="2:34" x14ac:dyDescent="0.2">
      <c r="B6632" s="2">
        <f ca="1"/>
        <v>0.70439047848493219</v>
      </c>
      <c r="O6632" s="2">
        <f ca="1"/>
        <v>-0.13445530942251474</v>
      </c>
      <c r="X6632" s="2">
        <f ca="1"/>
        <v>64.896860632496256</v>
      </c>
      <c r="AG6632" s="2">
        <f ca="1"/>
        <v>0.90823703164525149</v>
      </c>
      <c r="AH6632" s="2" t="str">
        <f ca="1"/>
        <v>Bad</v>
      </c>
    </row>
    <row r="6633" spans="2:34" x14ac:dyDescent="0.2">
      <c r="B6633" s="2">
        <f ca="1"/>
        <v>0.18436227878743838</v>
      </c>
      <c r="O6633" s="2">
        <f ca="1"/>
        <v>-0.95284768285477872</v>
      </c>
      <c r="X6633" s="2">
        <f ca="1"/>
        <v>45.059848960577256</v>
      </c>
      <c r="AG6633" s="2">
        <f ca="1"/>
        <v>0.47830104782236993</v>
      </c>
      <c r="AH6633" s="2" t="str">
        <f ca="1"/>
        <v>Bad</v>
      </c>
    </row>
    <row r="6634" spans="2:34" x14ac:dyDescent="0.2">
      <c r="B6634" s="2">
        <f ca="1"/>
        <v>0.52439616703416791</v>
      </c>
      <c r="O6634" s="2">
        <f ca="1"/>
        <v>0.11379226917195899</v>
      </c>
      <c r="X6634" s="2">
        <f ca="1"/>
        <v>95.059425304205817</v>
      </c>
      <c r="AG6634" s="2">
        <f ca="1"/>
        <v>0.8277222017848751</v>
      </c>
      <c r="AH6634" s="2" t="str">
        <f ca="1"/>
        <v>Bad</v>
      </c>
    </row>
    <row r="6635" spans="2:34" x14ac:dyDescent="0.2">
      <c r="B6635" s="2">
        <f ca="1"/>
        <v>0.94455248644358258</v>
      </c>
      <c r="O6635" s="2">
        <f ca="1"/>
        <v>0.14605644865595366</v>
      </c>
      <c r="X6635" s="2">
        <f ca="1"/>
        <v>37.121942275183621</v>
      </c>
      <c r="AG6635" s="2">
        <f ca="1"/>
        <v>0.97089946924380732</v>
      </c>
      <c r="AH6635" s="2" t="str">
        <f ca="1"/>
        <v>Bad</v>
      </c>
    </row>
    <row r="6636" spans="2:34" x14ac:dyDescent="0.2">
      <c r="B6636" s="2">
        <f ca="1"/>
        <v>0.45470186084472664</v>
      </c>
      <c r="O6636" s="2">
        <f ca="1"/>
        <v>1.7440389360547617</v>
      </c>
      <c r="X6636" s="2">
        <f ca="1"/>
        <v>41.084756301200109</v>
      </c>
      <c r="AG6636" s="2">
        <f ca="1"/>
        <v>0.73763206137440074</v>
      </c>
      <c r="AH6636" s="2" t="str">
        <f ca="1"/>
        <v>Bad</v>
      </c>
    </row>
    <row r="6637" spans="2:34" x14ac:dyDescent="0.2">
      <c r="B6637" s="2">
        <f ca="1"/>
        <v>0.5331517777285113</v>
      </c>
      <c r="O6637" s="2">
        <f ca="1"/>
        <v>-1.4557670572867398</v>
      </c>
      <c r="X6637" s="2">
        <f ca="1"/>
        <v>65.435232114804535</v>
      </c>
      <c r="AG6637" s="2">
        <f ca="1"/>
        <v>4.481953965554264E-2</v>
      </c>
      <c r="AH6637" s="2" t="str">
        <f ca="1"/>
        <v>Good</v>
      </c>
    </row>
    <row r="6638" spans="2:34" x14ac:dyDescent="0.2">
      <c r="B6638" s="2">
        <f ca="1"/>
        <v>0.16123382419094323</v>
      </c>
      <c r="O6638" s="2">
        <f ca="1"/>
        <v>0.49355099304372008</v>
      </c>
      <c r="X6638" s="2">
        <f ca="1"/>
        <v>53.346126554680247</v>
      </c>
      <c r="AG6638" s="2">
        <f ca="1"/>
        <v>0.91166586151915951</v>
      </c>
      <c r="AH6638" s="2" t="str">
        <f ca="1"/>
        <v>Bad</v>
      </c>
    </row>
    <row r="6639" spans="2:34" x14ac:dyDescent="0.2">
      <c r="B6639" s="2">
        <f ca="1"/>
        <v>0.72223455285889604</v>
      </c>
      <c r="O6639" s="2">
        <f ca="1"/>
        <v>0.19134309574446606</v>
      </c>
      <c r="X6639" s="2">
        <f ca="1"/>
        <v>57.217776593679766</v>
      </c>
      <c r="AG6639" s="2">
        <f ca="1"/>
        <v>0.78983828059992645</v>
      </c>
      <c r="AH6639" s="2" t="str">
        <f ca="1"/>
        <v>Bad</v>
      </c>
    </row>
    <row r="6640" spans="2:34" x14ac:dyDescent="0.2">
      <c r="B6640" s="2">
        <f ca="1"/>
        <v>0.39698683188282047</v>
      </c>
      <c r="O6640" s="2">
        <f ca="1"/>
        <v>-0.426915236309789</v>
      </c>
      <c r="X6640" s="2">
        <f ca="1"/>
        <v>48.941898681327551</v>
      </c>
      <c r="AG6640" s="2">
        <f ca="1"/>
        <v>0.51462248939945598</v>
      </c>
      <c r="AH6640" s="2" t="str">
        <f ca="1"/>
        <v>Bad</v>
      </c>
    </row>
    <row r="6641" spans="2:34" x14ac:dyDescent="0.2">
      <c r="B6641" s="2">
        <f ca="1"/>
        <v>0.35456638505245008</v>
      </c>
      <c r="O6641" s="2">
        <f ca="1"/>
        <v>-2.2839950677774858</v>
      </c>
      <c r="X6641" s="2">
        <f ca="1"/>
        <v>44.563505897170529</v>
      </c>
      <c r="AG6641" s="2">
        <f ca="1"/>
        <v>0.46939935775844388</v>
      </c>
      <c r="AH6641" s="2" t="str">
        <f ca="1"/>
        <v>Bad</v>
      </c>
    </row>
    <row r="6642" spans="2:34" x14ac:dyDescent="0.2">
      <c r="B6642" s="2">
        <f ca="1"/>
        <v>0.30234182651892239</v>
      </c>
      <c r="O6642" s="2">
        <f ca="1"/>
        <v>0.38573438444799135</v>
      </c>
      <c r="X6642" s="2">
        <f ca="1"/>
        <v>30.785604735773688</v>
      </c>
      <c r="AG6642" s="2">
        <f ca="1"/>
        <v>0.81086112387099574</v>
      </c>
      <c r="AH6642" s="2" t="str">
        <f ca="1"/>
        <v>Bad</v>
      </c>
    </row>
    <row r="6643" spans="2:34" x14ac:dyDescent="0.2">
      <c r="B6643" s="2">
        <f ca="1"/>
        <v>0.27337508278061851</v>
      </c>
      <c r="O6643" s="2">
        <f ca="1"/>
        <v>1.5680164120180131</v>
      </c>
      <c r="X6643" s="2">
        <f ca="1"/>
        <v>45.697593613015748</v>
      </c>
      <c r="AG6643" s="2">
        <f ca="1"/>
        <v>0.38286219193382731</v>
      </c>
      <c r="AH6643" s="2" t="str">
        <f ca="1"/>
        <v>OK</v>
      </c>
    </row>
    <row r="6644" spans="2:34" x14ac:dyDescent="0.2">
      <c r="B6644" s="2">
        <f ca="1"/>
        <v>0.14855822121074103</v>
      </c>
      <c r="O6644" s="2">
        <f ca="1"/>
        <v>0.72392136609235713</v>
      </c>
      <c r="X6644" s="2">
        <f ca="1"/>
        <v>39.033850448805104</v>
      </c>
      <c r="AG6644" s="2">
        <f ca="1"/>
        <v>0.25344724868221147</v>
      </c>
      <c r="AH6644" s="2" t="str">
        <f ca="1"/>
        <v>OK</v>
      </c>
    </row>
    <row r="6645" spans="2:34" x14ac:dyDescent="0.2">
      <c r="B6645" s="2">
        <f ca="1"/>
        <v>0.73884102502544557</v>
      </c>
      <c r="O6645" s="2">
        <f ca="1"/>
        <v>-0.51253428780909671</v>
      </c>
      <c r="X6645" s="2">
        <f ca="1"/>
        <v>39.516725133197461</v>
      </c>
      <c r="AG6645" s="2">
        <f ca="1"/>
        <v>4.557225839151724E-2</v>
      </c>
      <c r="AH6645" s="2" t="str">
        <f ca="1"/>
        <v>Good</v>
      </c>
    </row>
    <row r="6646" spans="2:34" x14ac:dyDescent="0.2">
      <c r="B6646" s="2">
        <f ca="1"/>
        <v>0.56992196982843613</v>
      </c>
      <c r="O6646" s="2">
        <f ca="1"/>
        <v>0.34383897829058591</v>
      </c>
      <c r="X6646" s="2">
        <f ca="1"/>
        <v>38.767628242281319</v>
      </c>
      <c r="AG6646" s="2">
        <f ca="1"/>
        <v>0.58043050123493423</v>
      </c>
      <c r="AH6646" s="2" t="str">
        <f ca="1"/>
        <v>Bad</v>
      </c>
    </row>
    <row r="6647" spans="2:34" x14ac:dyDescent="0.2">
      <c r="B6647" s="2">
        <f ca="1"/>
        <v>0.67368039707725358</v>
      </c>
      <c r="O6647" s="2">
        <f ca="1"/>
        <v>-1.7151656206393593</v>
      </c>
      <c r="X6647" s="2">
        <f ca="1"/>
        <v>55.645016092875501</v>
      </c>
      <c r="AG6647" s="2">
        <f ca="1"/>
        <v>0.14427465147837215</v>
      </c>
      <c r="AH6647" s="2" t="str">
        <f ca="1"/>
        <v>OK</v>
      </c>
    </row>
    <row r="6648" spans="2:34" x14ac:dyDescent="0.2">
      <c r="B6648" s="2">
        <f ca="1"/>
        <v>0.61721720711787498</v>
      </c>
      <c r="O6648" s="2">
        <f ca="1"/>
        <v>1.0250897109490138</v>
      </c>
      <c r="X6648" s="2">
        <f ca="1"/>
        <v>51.245380932078376</v>
      </c>
      <c r="AG6648" s="2">
        <f ca="1"/>
        <v>0.71252944965727316</v>
      </c>
      <c r="AH6648" s="2" t="str">
        <f ca="1"/>
        <v>Bad</v>
      </c>
    </row>
    <row r="6649" spans="2:34" x14ac:dyDescent="0.2">
      <c r="B6649" s="2">
        <f ca="1"/>
        <v>0.94571707717214371</v>
      </c>
      <c r="O6649" s="2">
        <f ca="1"/>
        <v>-2.7107601774682397</v>
      </c>
      <c r="X6649" s="2">
        <f ca="1"/>
        <v>80.576521202835053</v>
      </c>
      <c r="AG6649" s="2">
        <f ca="1"/>
        <v>0.79779331552515065</v>
      </c>
      <c r="AH6649" s="2" t="str">
        <f ca="1"/>
        <v>Bad</v>
      </c>
    </row>
    <row r="6650" spans="2:34" x14ac:dyDescent="0.2">
      <c r="B6650" s="2">
        <f ca="1"/>
        <v>0.8505141265738374</v>
      </c>
      <c r="O6650" s="2">
        <f ca="1"/>
        <v>-0.54271729465672414</v>
      </c>
      <c r="X6650" s="2">
        <f ca="1"/>
        <v>23.59040425405346</v>
      </c>
      <c r="AG6650" s="2">
        <f ca="1"/>
        <v>0.68976457009439307</v>
      </c>
      <c r="AH6650" s="2" t="str">
        <f ca="1"/>
        <v>Bad</v>
      </c>
    </row>
    <row r="6651" spans="2:34" x14ac:dyDescent="0.2">
      <c r="B6651" s="2">
        <f ca="1"/>
        <v>0.32948980054781551</v>
      </c>
      <c r="O6651" s="2">
        <f ca="1"/>
        <v>0.92302776176503876</v>
      </c>
      <c r="X6651" s="2">
        <f ca="1"/>
        <v>39.136818489785455</v>
      </c>
      <c r="AG6651" s="2">
        <f ca="1"/>
        <v>0.65516603606366308</v>
      </c>
      <c r="AH6651" s="2" t="str">
        <f ca="1"/>
        <v>Bad</v>
      </c>
    </row>
    <row r="6652" spans="2:34" x14ac:dyDescent="0.2">
      <c r="B6652" s="2">
        <f ca="1"/>
        <v>0.71374624070494797</v>
      </c>
      <c r="O6652" s="2">
        <f ca="1"/>
        <v>2.0334806564009718</v>
      </c>
      <c r="X6652" s="2">
        <f ca="1"/>
        <v>59.043449321689465</v>
      </c>
      <c r="AG6652" s="2">
        <f ca="1"/>
        <v>0.65706673104008306</v>
      </c>
      <c r="AH6652" s="2" t="str">
        <f ca="1"/>
        <v>Bad</v>
      </c>
    </row>
    <row r="6653" spans="2:34" x14ac:dyDescent="0.2">
      <c r="B6653" s="2">
        <f ca="1"/>
        <v>0.13146787517611336</v>
      </c>
      <c r="O6653" s="2">
        <f ca="1"/>
        <v>0.67849495856262165</v>
      </c>
      <c r="X6653" s="2">
        <f ca="1"/>
        <v>103.09773935219908</v>
      </c>
      <c r="AG6653" s="2">
        <f ca="1"/>
        <v>0.76470016189513479</v>
      </c>
      <c r="AH6653" s="2" t="str">
        <f ca="1"/>
        <v>Bad</v>
      </c>
    </row>
    <row r="6654" spans="2:34" x14ac:dyDescent="0.2">
      <c r="B6654" s="2">
        <f ca="1"/>
        <v>0.96516837119590737</v>
      </c>
      <c r="O6654" s="2">
        <f ca="1"/>
        <v>-1.2597633233474328</v>
      </c>
      <c r="X6654" s="2">
        <f ca="1"/>
        <v>51.989679448324388</v>
      </c>
      <c r="AG6654" s="2">
        <f ca="1"/>
        <v>0.39233341084504625</v>
      </c>
      <c r="AH6654" s="2" t="str">
        <f ca="1"/>
        <v>OK</v>
      </c>
    </row>
    <row r="6655" spans="2:34" x14ac:dyDescent="0.2">
      <c r="B6655" s="2">
        <f ca="1"/>
        <v>0.18124858643918595</v>
      </c>
      <c r="O6655" s="2">
        <f ca="1"/>
        <v>-0.23868439645265699</v>
      </c>
      <c r="X6655" s="2">
        <f ca="1"/>
        <v>55.271166389910597</v>
      </c>
      <c r="AG6655" s="2">
        <f ca="1"/>
        <v>0.11958612128614621</v>
      </c>
      <c r="AH6655" s="2" t="str">
        <f ca="1"/>
        <v>OK</v>
      </c>
    </row>
    <row r="6656" spans="2:34" x14ac:dyDescent="0.2">
      <c r="B6656" s="2">
        <f ca="1"/>
        <v>0.93085509952943446</v>
      </c>
      <c r="O6656" s="2">
        <f ca="1"/>
        <v>0.42209704009495314</v>
      </c>
      <c r="X6656" s="2">
        <f ca="1"/>
        <v>41.232091363377108</v>
      </c>
      <c r="AG6656" s="2">
        <f ca="1"/>
        <v>0.82998423019043321</v>
      </c>
      <c r="AH6656" s="2" t="str">
        <f ca="1"/>
        <v>Bad</v>
      </c>
    </row>
    <row r="6657" spans="2:34" x14ac:dyDescent="0.2">
      <c r="B6657" s="2">
        <f ca="1"/>
        <v>0.53314702582399542</v>
      </c>
      <c r="O6657" s="2">
        <f ca="1"/>
        <v>-1.6024439432466719</v>
      </c>
      <c r="X6657" s="2">
        <f ca="1"/>
        <v>50.469460234417795</v>
      </c>
      <c r="AG6657" s="2">
        <f ca="1"/>
        <v>0.63652485578516194</v>
      </c>
      <c r="AH6657" s="2" t="str">
        <f ca="1"/>
        <v>Bad</v>
      </c>
    </row>
    <row r="6658" spans="2:34" x14ac:dyDescent="0.2">
      <c r="B6658" s="2">
        <f ca="1"/>
        <v>1.385581391549584E-2</v>
      </c>
      <c r="O6658" s="2">
        <f ca="1"/>
        <v>0.68048717533085978</v>
      </c>
      <c r="X6658" s="2">
        <f ca="1"/>
        <v>19.625927539603929</v>
      </c>
      <c r="AG6658" s="2">
        <f ca="1"/>
        <v>0.98045243404912807</v>
      </c>
      <c r="AH6658" s="2" t="str">
        <f ca="1"/>
        <v>Bad</v>
      </c>
    </row>
    <row r="6659" spans="2:34" x14ac:dyDescent="0.2">
      <c r="B6659" s="2">
        <f ca="1"/>
        <v>0.96393186402502007</v>
      </c>
      <c r="O6659" s="2">
        <f ca="1"/>
        <v>-0.67122677366732919</v>
      </c>
      <c r="X6659" s="2">
        <f ca="1"/>
        <v>43.220811776352228</v>
      </c>
      <c r="AG6659" s="2">
        <f ca="1"/>
        <v>0.73901773284699512</v>
      </c>
      <c r="AH6659" s="2" t="str">
        <f ca="1"/>
        <v>Bad</v>
      </c>
    </row>
    <row r="6660" spans="2:34" x14ac:dyDescent="0.2">
      <c r="B6660" s="2">
        <f ca="1"/>
        <v>0.80763924534993725</v>
      </c>
      <c r="O6660" s="2">
        <f ca="1"/>
        <v>-1.6100580878429431</v>
      </c>
      <c r="X6660" s="2">
        <f ca="1"/>
        <v>38.917970892598667</v>
      </c>
      <c r="AG6660" s="2">
        <f ca="1"/>
        <v>0.81153883691200202</v>
      </c>
      <c r="AH6660" s="2" t="str">
        <f ca="1"/>
        <v>Bad</v>
      </c>
    </row>
    <row r="6661" spans="2:34" x14ac:dyDescent="0.2">
      <c r="B6661" s="2">
        <f ca="1"/>
        <v>0.94226323045166249</v>
      </c>
      <c r="O6661" s="2">
        <f ca="1"/>
        <v>-0.65065624666397903</v>
      </c>
      <c r="X6661" s="2">
        <f ca="1"/>
        <v>44.781991726614123</v>
      </c>
      <c r="AG6661" s="2">
        <f ca="1"/>
        <v>0.38841442575775376</v>
      </c>
      <c r="AH6661" s="2" t="str">
        <f ca="1"/>
        <v>OK</v>
      </c>
    </row>
    <row r="6662" spans="2:34" x14ac:dyDescent="0.2">
      <c r="B6662" s="2">
        <f ca="1"/>
        <v>0.27825272873774165</v>
      </c>
      <c r="O6662" s="2">
        <f ca="1"/>
        <v>0.25470783995840268</v>
      </c>
      <c r="X6662" s="2">
        <f ca="1"/>
        <v>66.017986854330189</v>
      </c>
      <c r="AG6662" s="2">
        <f ca="1"/>
        <v>0.71008274951155204</v>
      </c>
      <c r="AH6662" s="2" t="str">
        <f ca="1"/>
        <v>Bad</v>
      </c>
    </row>
    <row r="6663" spans="2:34" x14ac:dyDescent="0.2">
      <c r="B6663" s="2">
        <f ca="1"/>
        <v>0.72535885214957818</v>
      </c>
      <c r="O6663" s="2">
        <f ca="1"/>
        <v>1.3998504467598674</v>
      </c>
      <c r="X6663" s="2">
        <f ca="1"/>
        <v>39.413599858855065</v>
      </c>
      <c r="AG6663" s="2">
        <f ca="1"/>
        <v>0.86756767341073759</v>
      </c>
      <c r="AH6663" s="2" t="str">
        <f ca="1"/>
        <v>Bad</v>
      </c>
    </row>
    <row r="6664" spans="2:34" x14ac:dyDescent="0.2">
      <c r="B6664" s="2">
        <f ca="1"/>
        <v>0.8048961506155774</v>
      </c>
      <c r="O6664" s="2">
        <f ca="1"/>
        <v>-0.88690785980613862</v>
      </c>
      <c r="X6664" s="2">
        <f ca="1"/>
        <v>73.016284487105935</v>
      </c>
      <c r="AG6664" s="2">
        <f ca="1"/>
        <v>0.13505703776718336</v>
      </c>
      <c r="AH6664" s="2" t="str">
        <f ca="1"/>
        <v>OK</v>
      </c>
    </row>
    <row r="6665" spans="2:34" x14ac:dyDescent="0.2">
      <c r="B6665" s="2">
        <f ca="1"/>
        <v>0.61591199297240773</v>
      </c>
      <c r="O6665" s="2">
        <f ca="1"/>
        <v>0.55692926413489441</v>
      </c>
      <c r="X6665" s="2">
        <f ca="1"/>
        <v>72.769498926403898</v>
      </c>
      <c r="AG6665" s="2">
        <f ca="1"/>
        <v>0.956862698793703</v>
      </c>
      <c r="AH6665" s="2" t="str">
        <f ca="1"/>
        <v>Bad</v>
      </c>
    </row>
    <row r="6666" spans="2:34" x14ac:dyDescent="0.2">
      <c r="B6666" s="2">
        <f ca="1"/>
        <v>0.46889214247752675</v>
      </c>
      <c r="O6666" s="2">
        <f ca="1"/>
        <v>0.15435085560098594</v>
      </c>
      <c r="X6666" s="2">
        <f ca="1"/>
        <v>48.108079888829593</v>
      </c>
      <c r="AG6666" s="2">
        <f ca="1"/>
        <v>0.49374225083905143</v>
      </c>
      <c r="AH6666" s="2" t="str">
        <f ca="1"/>
        <v>Bad</v>
      </c>
    </row>
    <row r="6667" spans="2:34" x14ac:dyDescent="0.2">
      <c r="B6667" s="2">
        <f ca="1"/>
        <v>0.74280969794843243</v>
      </c>
      <c r="O6667" s="2">
        <f ca="1"/>
        <v>2.6679109006621622</v>
      </c>
      <c r="X6667" s="2">
        <f ca="1"/>
        <v>41.724339125660734</v>
      </c>
      <c r="AG6667" s="2">
        <f ca="1"/>
        <v>0.69304358549037537</v>
      </c>
      <c r="AH6667" s="2" t="str">
        <f ca="1"/>
        <v>Bad</v>
      </c>
    </row>
    <row r="6668" spans="2:34" x14ac:dyDescent="0.2">
      <c r="B6668" s="2">
        <f ca="1"/>
        <v>0.92945180200957389</v>
      </c>
      <c r="O6668" s="2">
        <f ca="1"/>
        <v>0.32317624805138589</v>
      </c>
      <c r="X6668" s="2">
        <f ca="1"/>
        <v>46.863631149657053</v>
      </c>
      <c r="AG6668" s="2">
        <f ca="1"/>
        <v>0.33802677069865883</v>
      </c>
      <c r="AH6668" s="2" t="str">
        <f ca="1"/>
        <v>OK</v>
      </c>
    </row>
    <row r="6669" spans="2:34" x14ac:dyDescent="0.2">
      <c r="B6669" s="2">
        <f ca="1"/>
        <v>0.33708261106528181</v>
      </c>
      <c r="O6669" s="2">
        <f ca="1"/>
        <v>-7.3811492176206916E-2</v>
      </c>
      <c r="X6669" s="2">
        <f ca="1"/>
        <v>48.445506849467471</v>
      </c>
      <c r="AG6669" s="2">
        <f ca="1"/>
        <v>0.69217439911260348</v>
      </c>
      <c r="AH6669" s="2" t="str">
        <f ca="1"/>
        <v>Bad</v>
      </c>
    </row>
    <row r="6670" spans="2:34" x14ac:dyDescent="0.2">
      <c r="B6670" s="2">
        <f ca="1"/>
        <v>0.69232725045653498</v>
      </c>
      <c r="O6670" s="2">
        <f ca="1"/>
        <v>0.26786969412573824</v>
      </c>
      <c r="X6670" s="2">
        <f ca="1"/>
        <v>43.888488233765557</v>
      </c>
      <c r="AG6670" s="2">
        <f ca="1"/>
        <v>0.69857671873047678</v>
      </c>
      <c r="AH6670" s="2" t="str">
        <f ca="1"/>
        <v>Bad</v>
      </c>
    </row>
    <row r="6671" spans="2:34" x14ac:dyDescent="0.2">
      <c r="B6671" s="2">
        <f ca="1"/>
        <v>0.72240743899916526</v>
      </c>
      <c r="O6671" s="2">
        <f ca="1"/>
        <v>-1.1583530254921033</v>
      </c>
      <c r="X6671" s="2">
        <f ca="1"/>
        <v>55.414149287953151</v>
      </c>
      <c r="AG6671" s="2">
        <f ca="1"/>
        <v>0.55730538575640853</v>
      </c>
      <c r="AH6671" s="2" t="str">
        <f ca="1"/>
        <v>Bad</v>
      </c>
    </row>
    <row r="6672" spans="2:34" x14ac:dyDescent="0.2">
      <c r="B6672" s="2">
        <f ca="1"/>
        <v>0.14411562437016356</v>
      </c>
      <c r="O6672" s="2">
        <f ca="1"/>
        <v>0.32022289429008471</v>
      </c>
      <c r="X6672" s="2">
        <f ca="1"/>
        <v>72.552984572724384</v>
      </c>
      <c r="AG6672" s="2">
        <f ca="1"/>
        <v>0.63238684846816451</v>
      </c>
      <c r="AH6672" s="2" t="str">
        <f ca="1"/>
        <v>Bad</v>
      </c>
    </row>
    <row r="6673" spans="2:34" x14ac:dyDescent="0.2">
      <c r="B6673" s="2">
        <f ca="1"/>
        <v>0.89819805820687515</v>
      </c>
      <c r="O6673" s="2">
        <f ca="1"/>
        <v>0.38308024429491733</v>
      </c>
      <c r="X6673" s="2">
        <f ca="1"/>
        <v>39.816006733537705</v>
      </c>
      <c r="AG6673" s="2">
        <f ca="1"/>
        <v>0.23900062553655865</v>
      </c>
      <c r="AH6673" s="2" t="str">
        <f ca="1"/>
        <v>OK</v>
      </c>
    </row>
    <row r="6674" spans="2:34" x14ac:dyDescent="0.2">
      <c r="B6674" s="2">
        <f ca="1"/>
        <v>0.14333515522701279</v>
      </c>
      <c r="O6674" s="2">
        <f ca="1"/>
        <v>0.17601348002468351</v>
      </c>
      <c r="X6674" s="2">
        <f ca="1"/>
        <v>48.567975529945642</v>
      </c>
      <c r="AG6674" s="2">
        <f ca="1"/>
        <v>0.63219239238978031</v>
      </c>
      <c r="AH6674" s="2" t="str">
        <f ca="1"/>
        <v>Bad</v>
      </c>
    </row>
    <row r="6675" spans="2:34" x14ac:dyDescent="0.2">
      <c r="B6675" s="2">
        <f ca="1"/>
        <v>0.52230446662794017</v>
      </c>
      <c r="O6675" s="2">
        <f ca="1"/>
        <v>-0.99827014262556735</v>
      </c>
      <c r="X6675" s="2">
        <f ca="1"/>
        <v>53.835716912567442</v>
      </c>
      <c r="AG6675" s="2">
        <f ca="1"/>
        <v>3.4082400680322644E-2</v>
      </c>
      <c r="AH6675" s="2" t="str">
        <f ca="1"/>
        <v>Good</v>
      </c>
    </row>
    <row r="6676" spans="2:34" x14ac:dyDescent="0.2">
      <c r="B6676" s="2">
        <f ca="1"/>
        <v>4.3342190846284767E-2</v>
      </c>
      <c r="O6676" s="2">
        <f ca="1"/>
        <v>1.5202861218262997</v>
      </c>
      <c r="X6676" s="2">
        <f ca="1"/>
        <v>49.788143636119784</v>
      </c>
      <c r="AG6676" s="2">
        <f ca="1"/>
        <v>0.34263855980785629</v>
      </c>
      <c r="AH6676" s="2" t="str">
        <f ca="1"/>
        <v>OK</v>
      </c>
    </row>
    <row r="6677" spans="2:34" x14ac:dyDescent="0.2">
      <c r="B6677" s="2">
        <f ca="1"/>
        <v>0.8215126133965065</v>
      </c>
      <c r="O6677" s="2">
        <f ca="1"/>
        <v>-0.68654364528393674</v>
      </c>
      <c r="X6677" s="2">
        <f ca="1"/>
        <v>45.530171240532546</v>
      </c>
      <c r="AG6677" s="2">
        <f ca="1"/>
        <v>0.45178490756762524</v>
      </c>
      <c r="AH6677" s="2" t="str">
        <f ca="1"/>
        <v>Bad</v>
      </c>
    </row>
    <row r="6678" spans="2:34" x14ac:dyDescent="0.2">
      <c r="B6678" s="2">
        <f ca="1"/>
        <v>0.82288367800046891</v>
      </c>
      <c r="O6678" s="2">
        <f ca="1"/>
        <v>0.10410927920883369</v>
      </c>
      <c r="X6678" s="2">
        <f ca="1"/>
        <v>61.37321943546133</v>
      </c>
      <c r="AG6678" s="2">
        <f ca="1"/>
        <v>0.88060594202774012</v>
      </c>
      <c r="AH6678" s="2" t="str">
        <f ca="1"/>
        <v>Bad</v>
      </c>
    </row>
    <row r="6679" spans="2:34" x14ac:dyDescent="0.2">
      <c r="B6679" s="2">
        <f ca="1"/>
        <v>0.33888650499662831</v>
      </c>
      <c r="O6679" s="2">
        <f ca="1"/>
        <v>-0.72529757515651572</v>
      </c>
      <c r="X6679" s="2">
        <f ca="1"/>
        <v>45.086656387250876</v>
      </c>
      <c r="AG6679" s="2">
        <f ca="1"/>
        <v>0.49978128768022434</v>
      </c>
      <c r="AH6679" s="2" t="str">
        <f ca="1"/>
        <v>Bad</v>
      </c>
    </row>
    <row r="6680" spans="2:34" x14ac:dyDescent="0.2">
      <c r="B6680" s="2">
        <f ca="1"/>
        <v>0.65279104905922969</v>
      </c>
      <c r="O6680" s="2">
        <f ca="1"/>
        <v>-0.46788768050617829</v>
      </c>
      <c r="X6680" s="2">
        <f ca="1"/>
        <v>56.124856113803467</v>
      </c>
      <c r="AG6680" s="2">
        <f ca="1"/>
        <v>0.57726103807971585</v>
      </c>
      <c r="AH6680" s="2" t="str">
        <f ca="1"/>
        <v>Bad</v>
      </c>
    </row>
    <row r="6681" spans="2:34" x14ac:dyDescent="0.2">
      <c r="B6681" s="2">
        <f ca="1"/>
        <v>0.84715185042857422</v>
      </c>
      <c r="O6681" s="2">
        <f ca="1"/>
        <v>1.0182051642695849</v>
      </c>
      <c r="X6681" s="2">
        <f ca="1"/>
        <v>37.476429696827431</v>
      </c>
      <c r="AG6681" s="2">
        <f ca="1"/>
        <v>0.18040678026394952</v>
      </c>
      <c r="AH6681" s="2" t="str">
        <f ca="1"/>
        <v>OK</v>
      </c>
    </row>
    <row r="6682" spans="2:34" x14ac:dyDescent="0.2">
      <c r="B6682" s="2">
        <f ca="1"/>
        <v>1.9832150073721078E-2</v>
      </c>
      <c r="O6682" s="2">
        <f ca="1"/>
        <v>-2.3444859384929519</v>
      </c>
      <c r="X6682" s="2">
        <f ca="1"/>
        <v>50.639547580676272</v>
      </c>
      <c r="AG6682" s="2">
        <f ca="1"/>
        <v>0.88353682729878646</v>
      </c>
      <c r="AH6682" s="2" t="str">
        <f ca="1"/>
        <v>Bad</v>
      </c>
    </row>
    <row r="6683" spans="2:34" x14ac:dyDescent="0.2">
      <c r="B6683" s="2">
        <f ca="1"/>
        <v>0.31996999553127159</v>
      </c>
      <c r="O6683" s="2">
        <f ca="1"/>
        <v>1.3651750955242972</v>
      </c>
      <c r="X6683" s="2">
        <f ca="1"/>
        <v>28.981323778127155</v>
      </c>
      <c r="AG6683" s="2">
        <f ca="1"/>
        <v>0.93425750674180552</v>
      </c>
      <c r="AH6683" s="2" t="str">
        <f ca="1"/>
        <v>Bad</v>
      </c>
    </row>
    <row r="6684" spans="2:34" x14ac:dyDescent="0.2">
      <c r="B6684" s="2">
        <f ca="1"/>
        <v>0.68431046820951669</v>
      </c>
      <c r="O6684" s="2">
        <f ca="1"/>
        <v>-1.0635853450073471</v>
      </c>
      <c r="X6684" s="2">
        <f ca="1"/>
        <v>53.69714390526952</v>
      </c>
      <c r="AG6684" s="2">
        <f ca="1"/>
        <v>0.53191298133630704</v>
      </c>
      <c r="AH6684" s="2" t="str">
        <f ca="1"/>
        <v>Bad</v>
      </c>
    </row>
    <row r="6685" spans="2:34" x14ac:dyDescent="0.2">
      <c r="B6685" s="2">
        <f ca="1"/>
        <v>0.85908149240558962</v>
      </c>
      <c r="O6685" s="2">
        <f ca="1"/>
        <v>1.7409005605728993</v>
      </c>
      <c r="X6685" s="2">
        <f ca="1"/>
        <v>45.308943112155326</v>
      </c>
      <c r="AG6685" s="2">
        <f ca="1"/>
        <v>0.63246339430232124</v>
      </c>
      <c r="AH6685" s="2" t="str">
        <f ca="1"/>
        <v>Bad</v>
      </c>
    </row>
    <row r="6686" spans="2:34" x14ac:dyDescent="0.2">
      <c r="B6686" s="2">
        <f ca="1"/>
        <v>0.42293611514110507</v>
      </c>
      <c r="O6686" s="2">
        <f ca="1"/>
        <v>0.34164194222577865</v>
      </c>
      <c r="X6686" s="2">
        <f ca="1"/>
        <v>44.058142814917261</v>
      </c>
      <c r="AG6686" s="2">
        <f ca="1"/>
        <v>0.17072501796592254</v>
      </c>
      <c r="AH6686" s="2" t="str">
        <f ca="1"/>
        <v>OK</v>
      </c>
    </row>
    <row r="6687" spans="2:34" x14ac:dyDescent="0.2">
      <c r="B6687" s="2">
        <f ca="1"/>
        <v>0.60821141762115305</v>
      </c>
      <c r="O6687" s="2">
        <f ca="1"/>
        <v>1.1479824768289184</v>
      </c>
      <c r="X6687" s="2">
        <f ca="1"/>
        <v>52.714626060350142</v>
      </c>
      <c r="AG6687" s="2">
        <f ca="1"/>
        <v>0.66097003309443569</v>
      </c>
      <c r="AH6687" s="2" t="str">
        <f ca="1"/>
        <v>Bad</v>
      </c>
    </row>
    <row r="6688" spans="2:34" x14ac:dyDescent="0.2">
      <c r="B6688" s="2">
        <f ca="1"/>
        <v>0.53520767995565</v>
      </c>
      <c r="O6688" s="2">
        <f ca="1"/>
        <v>-0.95534498871050721</v>
      </c>
      <c r="X6688" s="2">
        <f ca="1"/>
        <v>38.843395725499057</v>
      </c>
      <c r="AG6688" s="2">
        <f ca="1"/>
        <v>0.5130664299734442</v>
      </c>
      <c r="AH6688" s="2" t="str">
        <f ca="1"/>
        <v>Bad</v>
      </c>
    </row>
    <row r="6689" spans="2:34" x14ac:dyDescent="0.2">
      <c r="B6689" s="2">
        <f ca="1"/>
        <v>0.17712812096548092</v>
      </c>
      <c r="O6689" s="2">
        <f ca="1"/>
        <v>-1.0008044518412742</v>
      </c>
      <c r="X6689" s="2">
        <f ca="1"/>
        <v>57.86315600621873</v>
      </c>
      <c r="AG6689" s="2">
        <f ca="1"/>
        <v>0.26363903786297982</v>
      </c>
      <c r="AH6689" s="2" t="str">
        <f ca="1"/>
        <v>OK</v>
      </c>
    </row>
    <row r="6690" spans="2:34" x14ac:dyDescent="0.2">
      <c r="B6690" s="2">
        <f ca="1"/>
        <v>0.61203563294201802</v>
      </c>
      <c r="O6690" s="2">
        <f ca="1"/>
        <v>-2.1590643225577333</v>
      </c>
      <c r="X6690" s="2">
        <f ca="1"/>
        <v>59.483231832763039</v>
      </c>
      <c r="AG6690" s="2">
        <f ca="1"/>
        <v>0.70389533298927276</v>
      </c>
      <c r="AH6690" s="2" t="str">
        <f ca="1"/>
        <v>Bad</v>
      </c>
    </row>
    <row r="6691" spans="2:34" x14ac:dyDescent="0.2">
      <c r="B6691" s="2">
        <f ca="1"/>
        <v>0.3549065602141539</v>
      </c>
      <c r="O6691" s="2">
        <f ca="1"/>
        <v>-2.6685870323368466</v>
      </c>
      <c r="X6691" s="2">
        <f ca="1"/>
        <v>35.513767961786733</v>
      </c>
      <c r="AG6691" s="2">
        <f ca="1"/>
        <v>0.55185674066464419</v>
      </c>
      <c r="AH6691" s="2" t="str">
        <f ca="1"/>
        <v>Bad</v>
      </c>
    </row>
    <row r="6692" spans="2:34" x14ac:dyDescent="0.2">
      <c r="B6692" s="2">
        <f ca="1"/>
        <v>0.28970013188763954</v>
      </c>
      <c r="O6692" s="2">
        <f ca="1"/>
        <v>-0.14867771093993537</v>
      </c>
      <c r="X6692" s="2">
        <f ca="1"/>
        <v>49.510008379435568</v>
      </c>
      <c r="AG6692" s="2">
        <f ca="1"/>
        <v>0.39388228821090077</v>
      </c>
      <c r="AH6692" s="2" t="str">
        <f ca="1"/>
        <v>OK</v>
      </c>
    </row>
    <row r="6693" spans="2:34" x14ac:dyDescent="0.2">
      <c r="B6693" s="2">
        <f ca="1"/>
        <v>0.69183797749907261</v>
      </c>
      <c r="O6693" s="2">
        <f ca="1"/>
        <v>0.68026341556682213</v>
      </c>
      <c r="X6693" s="2">
        <f ca="1"/>
        <v>36.063368981985768</v>
      </c>
      <c r="AG6693" s="2">
        <f ca="1"/>
        <v>0.8797659118315293</v>
      </c>
      <c r="AH6693" s="2" t="str">
        <f ca="1"/>
        <v>Bad</v>
      </c>
    </row>
    <row r="6694" spans="2:34" x14ac:dyDescent="0.2">
      <c r="B6694" s="2">
        <f ca="1"/>
        <v>0.60297526445036298</v>
      </c>
      <c r="O6694" s="2">
        <f ca="1"/>
        <v>-1.0979377138469166</v>
      </c>
      <c r="X6694" s="2">
        <f ca="1"/>
        <v>68.952180833311374</v>
      </c>
      <c r="AG6694" s="2">
        <f ca="1"/>
        <v>0.71028125212001814</v>
      </c>
      <c r="AH6694" s="2" t="str">
        <f ca="1"/>
        <v>Bad</v>
      </c>
    </row>
    <row r="6695" spans="2:34" x14ac:dyDescent="0.2">
      <c r="B6695" s="2">
        <f ca="1"/>
        <v>0.78152144350125696</v>
      </c>
      <c r="O6695" s="2">
        <f ca="1"/>
        <v>-1.4406606237668191</v>
      </c>
      <c r="X6695" s="2">
        <f ca="1"/>
        <v>43.861980397822293</v>
      </c>
      <c r="AG6695" s="2">
        <f ca="1"/>
        <v>0.87339078832245387</v>
      </c>
      <c r="AH6695" s="2" t="str">
        <f ca="1"/>
        <v>Bad</v>
      </c>
    </row>
    <row r="6696" spans="2:34" x14ac:dyDescent="0.2">
      <c r="B6696" s="2">
        <f ca="1"/>
        <v>0.43202806967318264</v>
      </c>
      <c r="O6696" s="2">
        <f ca="1"/>
        <v>-1.2589324261029986</v>
      </c>
      <c r="X6696" s="2">
        <f ca="1"/>
        <v>25.212491473688804</v>
      </c>
      <c r="AG6696" s="2">
        <f ca="1"/>
        <v>0.48397870715886948</v>
      </c>
      <c r="AH6696" s="2" t="str">
        <f ca="1"/>
        <v>Bad</v>
      </c>
    </row>
    <row r="6697" spans="2:34" x14ac:dyDescent="0.2">
      <c r="B6697" s="2">
        <f ca="1"/>
        <v>0.44050282867384705</v>
      </c>
      <c r="O6697" s="2">
        <f ca="1"/>
        <v>0.25020892561398156</v>
      </c>
      <c r="X6697" s="2">
        <f ca="1"/>
        <v>45.688401581931785</v>
      </c>
      <c r="AG6697" s="2">
        <f ca="1"/>
        <v>0.482225810421131</v>
      </c>
      <c r="AH6697" s="2" t="str">
        <f ca="1"/>
        <v>Bad</v>
      </c>
    </row>
    <row r="6698" spans="2:34" x14ac:dyDescent="0.2">
      <c r="B6698" s="2">
        <f ca="1"/>
        <v>0.72953731967283675</v>
      </c>
      <c r="O6698" s="2">
        <f ca="1"/>
        <v>-1.872469563414614</v>
      </c>
      <c r="X6698" s="2">
        <f ca="1"/>
        <v>77.714877379001948</v>
      </c>
      <c r="AG6698" s="2">
        <f ca="1"/>
        <v>0.29550980476854072</v>
      </c>
      <c r="AH6698" s="2" t="str">
        <f ca="1"/>
        <v>OK</v>
      </c>
    </row>
    <row r="6699" spans="2:34" x14ac:dyDescent="0.2">
      <c r="B6699" s="2">
        <f ca="1"/>
        <v>0.31562918355264902</v>
      </c>
      <c r="O6699" s="2">
        <f ca="1"/>
        <v>-1.1516338057012574</v>
      </c>
      <c r="X6699" s="2">
        <f ca="1"/>
        <v>38.887206887461652</v>
      </c>
      <c r="AG6699" s="2">
        <f ca="1"/>
        <v>0.23246193651534819</v>
      </c>
      <c r="AH6699" s="2" t="str">
        <f ca="1"/>
        <v>OK</v>
      </c>
    </row>
    <row r="6700" spans="2:34" x14ac:dyDescent="0.2">
      <c r="B6700" s="2">
        <f ca="1"/>
        <v>0.83193490392850733</v>
      </c>
      <c r="O6700" s="2">
        <f ca="1"/>
        <v>1.1358391028924884</v>
      </c>
      <c r="X6700" s="2">
        <f ca="1"/>
        <v>48.177669799902617</v>
      </c>
      <c r="AG6700" s="2">
        <f ca="1"/>
        <v>0.19486042754001409</v>
      </c>
      <c r="AH6700" s="2" t="str">
        <f ca="1"/>
        <v>OK</v>
      </c>
    </row>
    <row r="6701" spans="2:34" x14ac:dyDescent="0.2">
      <c r="B6701" s="2">
        <f ca="1"/>
        <v>0.36737386235964187</v>
      </c>
      <c r="O6701" s="2">
        <f ca="1"/>
        <v>0.38797261948079881</v>
      </c>
      <c r="X6701" s="2">
        <f ca="1"/>
        <v>66.11398539454018</v>
      </c>
      <c r="AG6701" s="2">
        <f ca="1"/>
        <v>8.3821665888650365E-2</v>
      </c>
      <c r="AH6701" s="2" t="str">
        <f ca="1"/>
        <v>OK</v>
      </c>
    </row>
    <row r="6702" spans="2:34" x14ac:dyDescent="0.2">
      <c r="B6702" s="2">
        <f ca="1"/>
        <v>0.30607476150251145</v>
      </c>
      <c r="O6702" s="2">
        <f ca="1"/>
        <v>-0.45722237850244224</v>
      </c>
      <c r="X6702" s="2">
        <f ca="1"/>
        <v>67.904417877621214</v>
      </c>
      <c r="AG6702" s="2">
        <f ca="1"/>
        <v>0.88640599587690727</v>
      </c>
      <c r="AH6702" s="2" t="str">
        <f ca="1"/>
        <v>Bad</v>
      </c>
    </row>
    <row r="6703" spans="2:34" x14ac:dyDescent="0.2">
      <c r="B6703" s="2">
        <f ca="1"/>
        <v>0.2887955930595778</v>
      </c>
      <c r="O6703" s="2">
        <f ca="1"/>
        <v>-2.6026746044307427</v>
      </c>
      <c r="X6703" s="2">
        <f ca="1"/>
        <v>28.655412023273001</v>
      </c>
      <c r="AG6703" s="2">
        <f ca="1"/>
        <v>0.82102343358469576</v>
      </c>
      <c r="AH6703" s="2" t="str">
        <f ca="1"/>
        <v>Bad</v>
      </c>
    </row>
    <row r="6704" spans="2:34" x14ac:dyDescent="0.2">
      <c r="B6704" s="2">
        <f ca="1"/>
        <v>0.91311210428847289</v>
      </c>
      <c r="O6704" s="2">
        <f ca="1"/>
        <v>7.7290680970955358E-2</v>
      </c>
      <c r="X6704" s="2">
        <f ca="1"/>
        <v>28.068198346971375</v>
      </c>
      <c r="AG6704" s="2">
        <f ca="1"/>
        <v>0.12152714490472438</v>
      </c>
      <c r="AH6704" s="2" t="str">
        <f ca="1"/>
        <v>OK</v>
      </c>
    </row>
    <row r="6705" spans="2:34" x14ac:dyDescent="0.2">
      <c r="B6705" s="2">
        <f ca="1"/>
        <v>0.67395412838194857</v>
      </c>
      <c r="O6705" s="2">
        <f ca="1"/>
        <v>0.38329093617516308</v>
      </c>
      <c r="X6705" s="2">
        <f ca="1"/>
        <v>110.73526086833118</v>
      </c>
      <c r="AG6705" s="2">
        <f ca="1"/>
        <v>0.10815178887697163</v>
      </c>
      <c r="AH6705" s="2" t="str">
        <f ca="1"/>
        <v>OK</v>
      </c>
    </row>
    <row r="6706" spans="2:34" x14ac:dyDescent="0.2">
      <c r="B6706" s="2">
        <f ca="1"/>
        <v>0.6507520648064915</v>
      </c>
      <c r="O6706" s="2">
        <f ca="1"/>
        <v>-1.931390021584849</v>
      </c>
      <c r="X6706" s="2">
        <f ca="1"/>
        <v>117.17082375314946</v>
      </c>
      <c r="AG6706" s="2">
        <f ca="1"/>
        <v>0.95744466201077061</v>
      </c>
      <c r="AH6706" s="2" t="str">
        <f ca="1"/>
        <v>Bad</v>
      </c>
    </row>
    <row r="6707" spans="2:34" x14ac:dyDescent="0.2">
      <c r="B6707" s="2">
        <f ca="1"/>
        <v>0.51314473724295318</v>
      </c>
      <c r="O6707" s="2">
        <f ca="1"/>
        <v>0.79690948728906652</v>
      </c>
      <c r="X6707" s="2">
        <f ca="1"/>
        <v>38.486169616568183</v>
      </c>
      <c r="AG6707" s="2">
        <f ca="1"/>
        <v>0.7348508768712898</v>
      </c>
      <c r="AH6707" s="2" t="str">
        <f ca="1"/>
        <v>Bad</v>
      </c>
    </row>
    <row r="6708" spans="2:34" x14ac:dyDescent="0.2">
      <c r="B6708" s="2">
        <f ca="1"/>
        <v>0.31242889477704461</v>
      </c>
      <c r="O6708" s="2">
        <f ca="1"/>
        <v>0.55429839467336373</v>
      </c>
      <c r="X6708" s="2">
        <f ca="1"/>
        <v>41.845746990461322</v>
      </c>
      <c r="AG6708" s="2">
        <f ca="1"/>
        <v>0.65915868789559484</v>
      </c>
      <c r="AH6708" s="2" t="str">
        <f ca="1"/>
        <v>Bad</v>
      </c>
    </row>
    <row r="6709" spans="2:34" x14ac:dyDescent="0.2">
      <c r="B6709" s="2">
        <f ca="1"/>
        <v>9.7546338267143762E-2</v>
      </c>
      <c r="O6709" s="2">
        <f ca="1"/>
        <v>0.6168589708186577</v>
      </c>
      <c r="X6709" s="2">
        <f ca="1"/>
        <v>37.135059527708101</v>
      </c>
      <c r="AG6709" s="2">
        <f ca="1"/>
        <v>0.40552676753876504</v>
      </c>
      <c r="AH6709" s="2" t="str">
        <f ca="1"/>
        <v>Bad</v>
      </c>
    </row>
    <row r="6710" spans="2:34" x14ac:dyDescent="0.2">
      <c r="B6710" s="2">
        <f ca="1"/>
        <v>0.64777360225591529</v>
      </c>
      <c r="O6710" s="2">
        <f ca="1"/>
        <v>-0.38397854564632872</v>
      </c>
      <c r="X6710" s="2">
        <f ca="1"/>
        <v>44.997511664519116</v>
      </c>
      <c r="AG6710" s="2">
        <f ca="1"/>
        <v>0.65679231155396778</v>
      </c>
      <c r="AH6710" s="2" t="str">
        <f ca="1"/>
        <v>Bad</v>
      </c>
    </row>
    <row r="6711" spans="2:34" x14ac:dyDescent="0.2">
      <c r="B6711" s="2">
        <f ca="1"/>
        <v>0.57102617564661906</v>
      </c>
      <c r="O6711" s="2">
        <f ca="1"/>
        <v>0.14448774695496031</v>
      </c>
      <c r="X6711" s="2">
        <f ca="1"/>
        <v>58.989060316370143</v>
      </c>
      <c r="AG6711" s="2">
        <f ca="1"/>
        <v>0.88585448131726952</v>
      </c>
      <c r="AH6711" s="2" t="str">
        <f ca="1"/>
        <v>Bad</v>
      </c>
    </row>
    <row r="6712" spans="2:34" x14ac:dyDescent="0.2">
      <c r="B6712" s="2">
        <f ca="1"/>
        <v>0.79748574305308706</v>
      </c>
      <c r="O6712" s="2">
        <f ca="1"/>
        <v>0.30669567941104026</v>
      </c>
      <c r="X6712" s="2">
        <f ca="1"/>
        <v>33.01964128903019</v>
      </c>
      <c r="AG6712" s="2">
        <f ca="1"/>
        <v>0.8797165353590215</v>
      </c>
      <c r="AH6712" s="2" t="str">
        <f ca="1"/>
        <v>Bad</v>
      </c>
    </row>
    <row r="6713" spans="2:34" x14ac:dyDescent="0.2">
      <c r="B6713" s="2">
        <f ca="1"/>
        <v>7.5823856591479721E-2</v>
      </c>
      <c r="O6713" s="2">
        <f ca="1"/>
        <v>0.95953702875395175</v>
      </c>
      <c r="X6713" s="2">
        <f ca="1"/>
        <v>39.322530667502093</v>
      </c>
      <c r="AG6713" s="2">
        <f ca="1"/>
        <v>0.32242603662221492</v>
      </c>
      <c r="AH6713" s="2" t="str">
        <f ca="1"/>
        <v>OK</v>
      </c>
    </row>
    <row r="6714" spans="2:34" x14ac:dyDescent="0.2">
      <c r="B6714" s="2">
        <f ca="1"/>
        <v>0.76865736546254393</v>
      </c>
      <c r="O6714" s="2">
        <f ca="1"/>
        <v>-0.5297286798431724</v>
      </c>
      <c r="X6714" s="2">
        <f ca="1"/>
        <v>40.754691161521883</v>
      </c>
      <c r="AG6714" s="2">
        <f ca="1"/>
        <v>0.31420318377946277</v>
      </c>
      <c r="AH6714" s="2" t="str">
        <f ca="1"/>
        <v>OK</v>
      </c>
    </row>
    <row r="6715" spans="2:34" x14ac:dyDescent="0.2">
      <c r="B6715" s="2">
        <f ca="1"/>
        <v>6.8797989596725673E-2</v>
      </c>
      <c r="O6715" s="2">
        <f ca="1"/>
        <v>-0.28153994888616213</v>
      </c>
      <c r="X6715" s="2">
        <f ca="1"/>
        <v>48.74364634257546</v>
      </c>
      <c r="AG6715" s="2">
        <f ca="1"/>
        <v>0.61795853154113711</v>
      </c>
      <c r="AH6715" s="2" t="str">
        <f ca="1"/>
        <v>Bad</v>
      </c>
    </row>
    <row r="6716" spans="2:34" x14ac:dyDescent="0.2">
      <c r="B6716" s="2">
        <f ca="1"/>
        <v>0.91464634686036694</v>
      </c>
      <c r="O6716" s="2">
        <f ca="1"/>
        <v>-0.23624447001378657</v>
      </c>
      <c r="X6716" s="2">
        <f ca="1"/>
        <v>62.588938965143974</v>
      </c>
      <c r="AG6716" s="2">
        <f ca="1"/>
        <v>6.571593688696109E-2</v>
      </c>
      <c r="AH6716" s="2" t="str">
        <f ca="1"/>
        <v>OK</v>
      </c>
    </row>
    <row r="6717" spans="2:34" x14ac:dyDescent="0.2">
      <c r="B6717" s="2">
        <f ca="1"/>
        <v>0.75717987498962058</v>
      </c>
      <c r="O6717" s="2">
        <f ca="1"/>
        <v>-1.3120491559960268</v>
      </c>
      <c r="X6717" s="2">
        <f ca="1"/>
        <v>46.988225242794897</v>
      </c>
      <c r="AG6717" s="2">
        <f ca="1"/>
        <v>0.87315862166676572</v>
      </c>
      <c r="AH6717" s="2" t="str">
        <f ca="1"/>
        <v>Bad</v>
      </c>
    </row>
    <row r="6718" spans="2:34" x14ac:dyDescent="0.2">
      <c r="B6718" s="2">
        <f ca="1"/>
        <v>0.75311115833679199</v>
      </c>
      <c r="O6718" s="2">
        <f ca="1"/>
        <v>0.51807316958750205</v>
      </c>
      <c r="X6718" s="2">
        <f ca="1"/>
        <v>61.875103574330168</v>
      </c>
      <c r="AG6718" s="2">
        <f ca="1"/>
        <v>0.13299900241416429</v>
      </c>
      <c r="AH6718" s="2" t="str">
        <f ca="1"/>
        <v>OK</v>
      </c>
    </row>
    <row r="6719" spans="2:34" x14ac:dyDescent="0.2">
      <c r="B6719" s="2">
        <f ca="1"/>
        <v>0.27917523380225262</v>
      </c>
      <c r="O6719" s="2">
        <f ca="1"/>
        <v>0.72420864903577864</v>
      </c>
      <c r="X6719" s="2">
        <f ca="1"/>
        <v>16.30706794620253</v>
      </c>
      <c r="AG6719" s="2">
        <f ca="1"/>
        <v>0.12581514282537731</v>
      </c>
      <c r="AH6719" s="2" t="str">
        <f ca="1"/>
        <v>OK</v>
      </c>
    </row>
    <row r="6720" spans="2:34" x14ac:dyDescent="0.2">
      <c r="B6720" s="2">
        <f ca="1"/>
        <v>0.88672689356181889</v>
      </c>
      <c r="O6720" s="2">
        <f ca="1"/>
        <v>0.6946761941060533</v>
      </c>
      <c r="X6720" s="2">
        <f ca="1"/>
        <v>40.854642036885863</v>
      </c>
      <c r="AG6720" s="2">
        <f ca="1"/>
        <v>0.77155858255223797</v>
      </c>
      <c r="AH6720" s="2" t="str">
        <f ca="1"/>
        <v>Bad</v>
      </c>
    </row>
    <row r="6721" spans="2:34" x14ac:dyDescent="0.2">
      <c r="B6721" s="2">
        <f ca="1"/>
        <v>0.89114195576466937</v>
      </c>
      <c r="O6721" s="2">
        <f ca="1"/>
        <v>0.38159159650958546</v>
      </c>
      <c r="X6721" s="2">
        <f ca="1"/>
        <v>32.639424976028423</v>
      </c>
      <c r="AG6721" s="2">
        <f ca="1"/>
        <v>0.18749894523675836</v>
      </c>
      <c r="AH6721" s="2" t="str">
        <f ca="1"/>
        <v>OK</v>
      </c>
    </row>
    <row r="6722" spans="2:34" x14ac:dyDescent="0.2">
      <c r="B6722" s="2">
        <f ca="1"/>
        <v>0.77131340864814368</v>
      </c>
      <c r="O6722" s="2">
        <f ca="1"/>
        <v>0.54063333226500621</v>
      </c>
      <c r="X6722" s="2">
        <f ca="1"/>
        <v>61.627852936435602</v>
      </c>
      <c r="AG6722" s="2">
        <f ca="1"/>
        <v>0.24061089261166013</v>
      </c>
      <c r="AH6722" s="2" t="str">
        <f ca="1"/>
        <v>OK</v>
      </c>
    </row>
    <row r="6723" spans="2:34" x14ac:dyDescent="0.2">
      <c r="B6723" s="2">
        <f ca="1"/>
        <v>6.2713929645977995E-2</v>
      </c>
      <c r="O6723" s="2">
        <f ca="1"/>
        <v>-1.999477700505234</v>
      </c>
      <c r="X6723" s="2">
        <f ca="1"/>
        <v>58.864651484489826</v>
      </c>
      <c r="AG6723" s="2">
        <f ca="1"/>
        <v>0.77277065465402828</v>
      </c>
      <c r="AH6723" s="2" t="str">
        <f ca="1"/>
        <v>Bad</v>
      </c>
    </row>
    <row r="6724" spans="2:34" x14ac:dyDescent="0.2">
      <c r="B6724" s="2">
        <f ca="1"/>
        <v>0.85478522814044533</v>
      </c>
      <c r="O6724" s="2">
        <f ca="1"/>
        <v>0.34652352790807162</v>
      </c>
      <c r="X6724" s="2">
        <f ca="1"/>
        <v>25.29872806100148</v>
      </c>
      <c r="AG6724" s="2">
        <f ca="1"/>
        <v>0.89474449675356404</v>
      </c>
      <c r="AH6724" s="2" t="str">
        <f ca="1"/>
        <v>Bad</v>
      </c>
    </row>
    <row r="6725" spans="2:34" x14ac:dyDescent="0.2">
      <c r="B6725" s="2">
        <f ca="1"/>
        <v>0.25838719822361544</v>
      </c>
      <c r="O6725" s="2">
        <f ca="1"/>
        <v>0.69361430421656911</v>
      </c>
      <c r="X6725" s="2">
        <f ca="1"/>
        <v>36.186627302821407</v>
      </c>
      <c r="AG6725" s="2">
        <f ca="1"/>
        <v>0.38924144771764824</v>
      </c>
      <c r="AH6725" s="2" t="str">
        <f ca="1"/>
        <v>OK</v>
      </c>
    </row>
    <row r="6726" spans="2:34" x14ac:dyDescent="0.2">
      <c r="B6726" s="2">
        <f ca="1"/>
        <v>0.88124284496658456</v>
      </c>
      <c r="O6726" s="2">
        <f ca="1"/>
        <v>0.44914895835045565</v>
      </c>
      <c r="X6726" s="2">
        <f ca="1"/>
        <v>61.431101090461638</v>
      </c>
      <c r="AG6726" s="2">
        <f ca="1"/>
        <v>0.64358200886108308</v>
      </c>
      <c r="AH6726" s="2" t="str">
        <f ca="1"/>
        <v>Bad</v>
      </c>
    </row>
    <row r="6727" spans="2:34" x14ac:dyDescent="0.2">
      <c r="B6727" s="2">
        <f ca="1"/>
        <v>0.77927124292907846</v>
      </c>
      <c r="O6727" s="2">
        <f ca="1"/>
        <v>-4.2702539590784988E-2</v>
      </c>
      <c r="X6727" s="2">
        <f ca="1"/>
        <v>58.194484336263031</v>
      </c>
      <c r="AG6727" s="2">
        <f ca="1"/>
        <v>0.56988255000354449</v>
      </c>
      <c r="AH6727" s="2" t="str">
        <f ca="1"/>
        <v>Bad</v>
      </c>
    </row>
    <row r="6728" spans="2:34" x14ac:dyDescent="0.2">
      <c r="B6728" s="2">
        <f ca="1"/>
        <v>0.68888121831004256</v>
      </c>
      <c r="O6728" s="2">
        <f ca="1"/>
        <v>-7.7710094102871455E-2</v>
      </c>
      <c r="X6728" s="2">
        <f ca="1"/>
        <v>52.400619986212448</v>
      </c>
      <c r="AG6728" s="2">
        <f ca="1"/>
        <v>0.72261996524559891</v>
      </c>
      <c r="AH6728" s="2" t="str">
        <f ca="1"/>
        <v>Bad</v>
      </c>
    </row>
    <row r="6729" spans="2:34" x14ac:dyDescent="0.2">
      <c r="B6729" s="2">
        <f ca="1"/>
        <v>0.45090364885244472</v>
      </c>
      <c r="O6729" s="2">
        <f ca="1"/>
        <v>0.38185333692808215</v>
      </c>
      <c r="X6729" s="2">
        <f ca="1"/>
        <v>47.814288129040357</v>
      </c>
      <c r="AG6729" s="2">
        <f ca="1"/>
        <v>0.18037196272994804</v>
      </c>
      <c r="AH6729" s="2" t="str">
        <f ca="1"/>
        <v>OK</v>
      </c>
    </row>
    <row r="6730" spans="2:34" x14ac:dyDescent="0.2">
      <c r="B6730" s="2">
        <f ca="1"/>
        <v>0.14620004519827079</v>
      </c>
      <c r="O6730" s="2">
        <f ca="1"/>
        <v>0.34498214940502886</v>
      </c>
      <c r="X6730" s="2">
        <f ca="1"/>
        <v>29.58933271297369</v>
      </c>
      <c r="AG6730" s="2">
        <f ca="1"/>
        <v>0.3250786347435739</v>
      </c>
      <c r="AH6730" s="2" t="str">
        <f ca="1"/>
        <v>OK</v>
      </c>
    </row>
    <row r="6731" spans="2:34" x14ac:dyDescent="0.2">
      <c r="B6731" s="2">
        <f ca="1"/>
        <v>0.5375663190448956</v>
      </c>
      <c r="O6731" s="2">
        <f ca="1"/>
        <v>-1.0781587145665645</v>
      </c>
      <c r="X6731" s="2">
        <f ca="1"/>
        <v>59.299066859719872</v>
      </c>
      <c r="AG6731" s="2">
        <f ca="1"/>
        <v>0.21279936381972231</v>
      </c>
      <c r="AH6731" s="2" t="str">
        <f ca="1"/>
        <v>OK</v>
      </c>
    </row>
    <row r="6732" spans="2:34" x14ac:dyDescent="0.2">
      <c r="B6732" s="2">
        <f ca="1"/>
        <v>0.78986370546744444</v>
      </c>
      <c r="O6732" s="2">
        <f ca="1"/>
        <v>0.52203347161544777</v>
      </c>
      <c r="X6732" s="2">
        <f ca="1"/>
        <v>62.7275531211437</v>
      </c>
      <c r="AG6732" s="2">
        <f ca="1"/>
        <v>0.10868223231868335</v>
      </c>
      <c r="AH6732" s="2" t="str">
        <f ca="1"/>
        <v>OK</v>
      </c>
    </row>
    <row r="6733" spans="2:34" x14ac:dyDescent="0.2">
      <c r="B6733" s="2">
        <f ca="1"/>
        <v>0.19504030127726124</v>
      </c>
      <c r="O6733" s="2">
        <f ca="1"/>
        <v>-0.57689116957755049</v>
      </c>
      <c r="X6733" s="2">
        <f ca="1"/>
        <v>52.448894706954398</v>
      </c>
      <c r="AG6733" s="2">
        <f ca="1"/>
        <v>0.14837337150016938</v>
      </c>
      <c r="AH6733" s="2" t="str">
        <f ca="1"/>
        <v>OK</v>
      </c>
    </row>
    <row r="6734" spans="2:34" x14ac:dyDescent="0.2">
      <c r="B6734" s="2">
        <f ca="1"/>
        <v>0.51332974618963068</v>
      </c>
      <c r="O6734" s="2">
        <f ca="1"/>
        <v>-1.1694218958715916</v>
      </c>
      <c r="X6734" s="2">
        <f ca="1"/>
        <v>27.270438603356087</v>
      </c>
      <c r="AG6734" s="2">
        <f ca="1"/>
        <v>0.85408100888259453</v>
      </c>
      <c r="AH6734" s="2" t="str">
        <f ca="1"/>
        <v>Bad</v>
      </c>
    </row>
    <row r="6735" spans="2:34" x14ac:dyDescent="0.2">
      <c r="B6735" s="2">
        <f ca="1"/>
        <v>0.27762953732508922</v>
      </c>
      <c r="O6735" s="2">
        <f ca="1"/>
        <v>-1.1848478062294518</v>
      </c>
      <c r="X6735" s="2">
        <f ca="1"/>
        <v>23.626490312356403</v>
      </c>
      <c r="AG6735" s="2">
        <f ca="1"/>
        <v>0.16605070293411672</v>
      </c>
      <c r="AH6735" s="2" t="str">
        <f ca="1"/>
        <v>OK</v>
      </c>
    </row>
    <row r="6736" spans="2:34" x14ac:dyDescent="0.2">
      <c r="B6736" s="2">
        <f ca="1"/>
        <v>0.88910327694143532</v>
      </c>
      <c r="O6736" s="2">
        <f ca="1"/>
        <v>-0.61273067767976075</v>
      </c>
      <c r="X6736" s="2">
        <f ca="1"/>
        <v>56.424997621227398</v>
      </c>
      <c r="AG6736" s="2">
        <f ca="1"/>
        <v>0.71921607087849004</v>
      </c>
      <c r="AH6736" s="2" t="str">
        <f ca="1"/>
        <v>Bad</v>
      </c>
    </row>
    <row r="6737" spans="2:34" x14ac:dyDescent="0.2">
      <c r="B6737" s="2">
        <f ca="1"/>
        <v>0.75582824473683452</v>
      </c>
      <c r="O6737" s="2">
        <f ca="1"/>
        <v>0.13844886286224145</v>
      </c>
      <c r="X6737" s="2">
        <f ca="1"/>
        <v>56.629359562157518</v>
      </c>
      <c r="AG6737" s="2">
        <f ca="1"/>
        <v>0.80631195375850573</v>
      </c>
      <c r="AH6737" s="2" t="str">
        <f ca="1"/>
        <v>Bad</v>
      </c>
    </row>
    <row r="6738" spans="2:34" x14ac:dyDescent="0.2">
      <c r="B6738" s="2">
        <f ca="1"/>
        <v>0.31578903431587446</v>
      </c>
      <c r="O6738" s="2">
        <f ca="1"/>
        <v>-0.22223903387608746</v>
      </c>
      <c r="X6738" s="2">
        <f ca="1"/>
        <v>31.135930183180914</v>
      </c>
      <c r="AG6738" s="2">
        <f ca="1"/>
        <v>0.15801389914128761</v>
      </c>
      <c r="AH6738" s="2" t="str">
        <f ca="1"/>
        <v>OK</v>
      </c>
    </row>
    <row r="6739" spans="2:34" x14ac:dyDescent="0.2">
      <c r="B6739" s="2">
        <f ca="1"/>
        <v>0.33275833945614264</v>
      </c>
      <c r="O6739" s="2">
        <f ca="1"/>
        <v>0.75839509300107777</v>
      </c>
      <c r="X6739" s="2">
        <f ca="1"/>
        <v>46.413790852325796</v>
      </c>
      <c r="AG6739" s="2">
        <f ca="1"/>
        <v>0.89439921075265927</v>
      </c>
      <c r="AH6739" s="2" t="str">
        <f ca="1"/>
        <v>Bad</v>
      </c>
    </row>
    <row r="6740" spans="2:34" x14ac:dyDescent="0.2">
      <c r="B6740" s="2">
        <f ca="1"/>
        <v>0.8813798416794294</v>
      </c>
      <c r="O6740" s="2">
        <f ca="1"/>
        <v>1.4376076555440833</v>
      </c>
      <c r="X6740" s="2">
        <f ca="1"/>
        <v>33.886846770453054</v>
      </c>
      <c r="AG6740" s="2">
        <f ca="1"/>
        <v>0.33833621022158011</v>
      </c>
      <c r="AH6740" s="2" t="str">
        <f ca="1"/>
        <v>OK</v>
      </c>
    </row>
    <row r="6741" spans="2:34" x14ac:dyDescent="0.2">
      <c r="B6741" s="2">
        <f ca="1"/>
        <v>0.13752013513149719</v>
      </c>
      <c r="O6741" s="2">
        <f ca="1"/>
        <v>-2.645247500094456</v>
      </c>
      <c r="X6741" s="2">
        <f ca="1"/>
        <v>44.109624922908409</v>
      </c>
      <c r="AG6741" s="2">
        <f ca="1"/>
        <v>0.12726504037024866</v>
      </c>
      <c r="AH6741" s="2" t="str">
        <f ca="1"/>
        <v>OK</v>
      </c>
    </row>
    <row r="6742" spans="2:34" x14ac:dyDescent="0.2">
      <c r="B6742" s="2">
        <f ca="1"/>
        <v>0.15729703807615025</v>
      </c>
      <c r="O6742" s="2">
        <f ca="1"/>
        <v>1.9914769124398009</v>
      </c>
      <c r="X6742" s="2">
        <f ca="1"/>
        <v>63.69801155810525</v>
      </c>
      <c r="AG6742" s="2">
        <f ca="1"/>
        <v>0.50130922535205391</v>
      </c>
      <c r="AH6742" s="2" t="str">
        <f ca="1"/>
        <v>Bad</v>
      </c>
    </row>
    <row r="6743" spans="2:34" x14ac:dyDescent="0.2">
      <c r="B6743" s="2">
        <f ca="1"/>
        <v>0.80085807593931624</v>
      </c>
      <c r="O6743" s="2">
        <f ca="1"/>
        <v>9.1065873781827844E-2</v>
      </c>
      <c r="X6743" s="2">
        <f ca="1"/>
        <v>48.996621180673408</v>
      </c>
      <c r="AG6743" s="2">
        <f ca="1"/>
        <v>0.76361464421484615</v>
      </c>
      <c r="AH6743" s="2" t="str">
        <f ca="1"/>
        <v>Bad</v>
      </c>
    </row>
    <row r="6744" spans="2:34" x14ac:dyDescent="0.2">
      <c r="B6744" s="2">
        <f ca="1"/>
        <v>0.67532713258094823</v>
      </c>
      <c r="O6744" s="2">
        <f ca="1"/>
        <v>0.6721392632138552</v>
      </c>
      <c r="X6744" s="2">
        <f ca="1"/>
        <v>58.968608653665903</v>
      </c>
      <c r="AG6744" s="2">
        <f ca="1"/>
        <v>0.89629473904191781</v>
      </c>
      <c r="AH6744" s="2" t="str">
        <f ca="1"/>
        <v>Bad</v>
      </c>
    </row>
    <row r="6745" spans="2:34" x14ac:dyDescent="0.2">
      <c r="B6745" s="2">
        <f ca="1"/>
        <v>0.38574342968256925</v>
      </c>
      <c r="O6745" s="2">
        <f ca="1"/>
        <v>-0.64366722752318062</v>
      </c>
      <c r="X6745" s="2">
        <f ca="1"/>
        <v>45.861026014344077</v>
      </c>
      <c r="AG6745" s="2">
        <f ca="1"/>
        <v>0.66422666596387714</v>
      </c>
      <c r="AH6745" s="2" t="str">
        <f ca="1"/>
        <v>Bad</v>
      </c>
    </row>
    <row r="6746" spans="2:34" x14ac:dyDescent="0.2">
      <c r="B6746" s="2">
        <f ca="1"/>
        <v>0.9925720456570073</v>
      </c>
      <c r="O6746" s="2">
        <f ca="1"/>
        <v>-0.39153986857932854</v>
      </c>
      <c r="X6746" s="2">
        <f ca="1"/>
        <v>43.197458699304654</v>
      </c>
      <c r="AG6746" s="2">
        <f ca="1"/>
        <v>0.79629760619620393</v>
      </c>
      <c r="AH6746" s="2" t="str">
        <f ca="1"/>
        <v>Bad</v>
      </c>
    </row>
    <row r="6747" spans="2:34" x14ac:dyDescent="0.2">
      <c r="B6747" s="2">
        <f ca="1"/>
        <v>0.54116205791870664</v>
      </c>
      <c r="O6747" s="2">
        <f ca="1"/>
        <v>4.2999298549980698E-2</v>
      </c>
      <c r="X6747" s="2">
        <f ca="1"/>
        <v>33.62935353154986</v>
      </c>
      <c r="AG6747" s="2">
        <f ca="1"/>
        <v>0.17651706885480523</v>
      </c>
      <c r="AH6747" s="2" t="str">
        <f ca="1"/>
        <v>OK</v>
      </c>
    </row>
    <row r="6748" spans="2:34" x14ac:dyDescent="0.2">
      <c r="B6748" s="2">
        <f ca="1"/>
        <v>0.77903229701060339</v>
      </c>
      <c r="O6748" s="2">
        <f ca="1"/>
        <v>-6.9445797440905954E-2</v>
      </c>
      <c r="X6748" s="2">
        <f ca="1"/>
        <v>45.201003382173688</v>
      </c>
      <c r="AG6748" s="2">
        <f ca="1"/>
        <v>0.56112994667501037</v>
      </c>
      <c r="AH6748" s="2" t="str">
        <f ca="1"/>
        <v>Bad</v>
      </c>
    </row>
    <row r="6749" spans="2:34" x14ac:dyDescent="0.2">
      <c r="B6749" s="2">
        <f ca="1"/>
        <v>3.0815816645039407E-2</v>
      </c>
      <c r="O6749" s="2">
        <f ca="1"/>
        <v>-0.90284827630910036</v>
      </c>
      <c r="X6749" s="2">
        <f ca="1"/>
        <v>56.34194825990641</v>
      </c>
      <c r="AG6749" s="2">
        <f ca="1"/>
        <v>0.61891711683494632</v>
      </c>
      <c r="AH6749" s="2" t="str">
        <f ca="1"/>
        <v>Bad</v>
      </c>
    </row>
    <row r="6750" spans="2:34" x14ac:dyDescent="0.2">
      <c r="B6750" s="2">
        <f ca="1"/>
        <v>0.22762929584864167</v>
      </c>
      <c r="O6750" s="2">
        <f ca="1"/>
        <v>-0.87524892524459541</v>
      </c>
      <c r="X6750" s="2">
        <f ca="1"/>
        <v>35.689440069494339</v>
      </c>
      <c r="AG6750" s="2">
        <f ca="1"/>
        <v>0.48727176280455309</v>
      </c>
      <c r="AH6750" s="2" t="str">
        <f ca="1"/>
        <v>Bad</v>
      </c>
    </row>
    <row r="6751" spans="2:34" x14ac:dyDescent="0.2">
      <c r="B6751" s="2">
        <f ca="1"/>
        <v>0.31104736471729355</v>
      </c>
      <c r="O6751" s="2">
        <f ca="1"/>
        <v>0.9223164719210627</v>
      </c>
      <c r="X6751" s="2">
        <f ca="1"/>
        <v>54.739821970609441</v>
      </c>
      <c r="AG6751" s="2">
        <f ca="1"/>
        <v>0.68071734220656999</v>
      </c>
      <c r="AH6751" s="2" t="str">
        <f ca="1"/>
        <v>Bad</v>
      </c>
    </row>
    <row r="6752" spans="2:34" x14ac:dyDescent="0.2">
      <c r="B6752" s="2">
        <f ca="1"/>
        <v>4.0729006075117535E-2</v>
      </c>
      <c r="O6752" s="2">
        <f ca="1"/>
        <v>0.14816965694212697</v>
      </c>
      <c r="X6752" s="2">
        <f ca="1"/>
        <v>39.109454171700435</v>
      </c>
      <c r="AG6752" s="2">
        <f ca="1"/>
        <v>0.47390327542281452</v>
      </c>
      <c r="AH6752" s="2" t="str">
        <f ca="1"/>
        <v>Bad</v>
      </c>
    </row>
    <row r="6753" spans="2:34" x14ac:dyDescent="0.2">
      <c r="B6753" s="2">
        <f ca="1"/>
        <v>0.47345405991273526</v>
      </c>
      <c r="O6753" s="2">
        <f ca="1"/>
        <v>1.1104388430948564</v>
      </c>
      <c r="X6753" s="2">
        <f ca="1"/>
        <v>58.997781933482898</v>
      </c>
      <c r="AG6753" s="2">
        <f ca="1"/>
        <v>0.27826314695151066</v>
      </c>
      <c r="AH6753" s="2" t="str">
        <f ca="1"/>
        <v>OK</v>
      </c>
    </row>
    <row r="6754" spans="2:34" x14ac:dyDescent="0.2">
      <c r="B6754" s="2">
        <f ca="1"/>
        <v>0.79159274325571816</v>
      </c>
      <c r="O6754" s="2">
        <f ca="1"/>
        <v>1.5664926070827738</v>
      </c>
      <c r="X6754" s="2">
        <f ca="1"/>
        <v>61.224283989680586</v>
      </c>
      <c r="AG6754" s="2">
        <f ca="1"/>
        <v>0.11859246555279279</v>
      </c>
      <c r="AH6754" s="2" t="str">
        <f ca="1"/>
        <v>OK</v>
      </c>
    </row>
    <row r="6755" spans="2:34" x14ac:dyDescent="0.2">
      <c r="B6755" s="2">
        <f ca="1"/>
        <v>0.34357988088604263</v>
      </c>
      <c r="O6755" s="2">
        <f ca="1"/>
        <v>-0.32878130962014074</v>
      </c>
      <c r="X6755" s="2">
        <f ca="1"/>
        <v>44.148365964899845</v>
      </c>
      <c r="AG6755" s="2">
        <f ca="1"/>
        <v>0.1223433038549524</v>
      </c>
      <c r="AH6755" s="2" t="str">
        <f ca="1"/>
        <v>OK</v>
      </c>
    </row>
    <row r="6756" spans="2:34" x14ac:dyDescent="0.2">
      <c r="B6756" s="2">
        <f ca="1"/>
        <v>7.1888833797025375E-2</v>
      </c>
      <c r="O6756" s="2">
        <f ca="1"/>
        <v>-0.22758419878457914</v>
      </c>
      <c r="X6756" s="2">
        <f ca="1"/>
        <v>47.495209968900383</v>
      </c>
      <c r="AG6756" s="2">
        <f ca="1"/>
        <v>0.55566071236494419</v>
      </c>
      <c r="AH6756" s="2" t="str">
        <f ca="1"/>
        <v>Bad</v>
      </c>
    </row>
    <row r="6757" spans="2:34" x14ac:dyDescent="0.2">
      <c r="B6757" s="2">
        <f ca="1"/>
        <v>0.18792524009815992</v>
      </c>
      <c r="O6757" s="2">
        <f ca="1"/>
        <v>-1.1927922353361942</v>
      </c>
      <c r="X6757" s="2">
        <f ca="1"/>
        <v>60.779968777658873</v>
      </c>
      <c r="AG6757" s="2">
        <f ca="1"/>
        <v>0.73267569648018926</v>
      </c>
      <c r="AH6757" s="2" t="str">
        <f ca="1"/>
        <v>Bad</v>
      </c>
    </row>
    <row r="6758" spans="2:34" x14ac:dyDescent="0.2">
      <c r="B6758" s="2">
        <f ca="1"/>
        <v>0.44843813237199215</v>
      </c>
      <c r="O6758" s="2">
        <f ca="1"/>
        <v>-0.57551976837353136</v>
      </c>
      <c r="X6758" s="2">
        <f ca="1"/>
        <v>57.871037748760372</v>
      </c>
      <c r="AG6758" s="2">
        <f ca="1"/>
        <v>0.72476225881519318</v>
      </c>
      <c r="AH6758" s="2" t="str">
        <f ca="1"/>
        <v>Bad</v>
      </c>
    </row>
    <row r="6759" spans="2:34" x14ac:dyDescent="0.2">
      <c r="B6759" s="2">
        <f ca="1"/>
        <v>3.3649739896481234E-2</v>
      </c>
      <c r="O6759" s="2">
        <f ca="1"/>
        <v>0.95244929918354193</v>
      </c>
      <c r="X6759" s="2">
        <f ca="1"/>
        <v>33.176985767338813</v>
      </c>
      <c r="AG6759" s="2">
        <f ca="1"/>
        <v>0.83525188192910749</v>
      </c>
      <c r="AH6759" s="2" t="str">
        <f ca="1"/>
        <v>Bad</v>
      </c>
    </row>
    <row r="6760" spans="2:34" x14ac:dyDescent="0.2">
      <c r="B6760" s="2">
        <f ca="1"/>
        <v>0.28845216776643912</v>
      </c>
      <c r="O6760" s="2">
        <f ca="1"/>
        <v>-0.8456196858649021</v>
      </c>
      <c r="X6760" s="2">
        <f ca="1"/>
        <v>32.029812942134882</v>
      </c>
      <c r="AG6760" s="2">
        <f ca="1"/>
        <v>0.70515036373028606</v>
      </c>
      <c r="AH6760" s="2" t="str">
        <f ca="1"/>
        <v>Bad</v>
      </c>
    </row>
    <row r="6761" spans="2:34" x14ac:dyDescent="0.2">
      <c r="B6761" s="2">
        <f ca="1"/>
        <v>7.8014176342049435E-3</v>
      </c>
      <c r="O6761" s="2">
        <f ca="1"/>
        <v>0.7846377920162293</v>
      </c>
      <c r="X6761" s="2">
        <f ca="1"/>
        <v>52.73338547242291</v>
      </c>
      <c r="AG6761" s="2">
        <f ca="1"/>
        <v>0.2594895774670507</v>
      </c>
      <c r="AH6761" s="2" t="str">
        <f ca="1"/>
        <v>OK</v>
      </c>
    </row>
    <row r="6762" spans="2:34" x14ac:dyDescent="0.2">
      <c r="B6762" s="2">
        <f ca="1"/>
        <v>7.0486770670480592E-2</v>
      </c>
      <c r="O6762" s="2">
        <f ca="1"/>
        <v>-3.4740611156429943E-2</v>
      </c>
      <c r="X6762" s="2">
        <f ca="1"/>
        <v>72.154576724710779</v>
      </c>
      <c r="AG6762" s="2">
        <f ca="1"/>
        <v>0.90668547006469602</v>
      </c>
      <c r="AH6762" s="2" t="str">
        <f ca="1"/>
        <v>Bad</v>
      </c>
    </row>
    <row r="6763" spans="2:34" x14ac:dyDescent="0.2">
      <c r="B6763" s="2">
        <f ca="1"/>
        <v>0.34137582058094051</v>
      </c>
      <c r="O6763" s="2">
        <f ca="1"/>
        <v>1.200262298014743</v>
      </c>
      <c r="X6763" s="2">
        <f ca="1"/>
        <v>78.621617838959594</v>
      </c>
      <c r="AG6763" s="2">
        <f ca="1"/>
        <v>0.14281923619307002</v>
      </c>
      <c r="AH6763" s="2" t="str">
        <f ca="1"/>
        <v>OK</v>
      </c>
    </row>
    <row r="6764" spans="2:34" x14ac:dyDescent="0.2">
      <c r="B6764" s="2">
        <f ca="1"/>
        <v>3.710388101608042E-2</v>
      </c>
      <c r="O6764" s="2">
        <f ca="1"/>
        <v>0.60670086116490929</v>
      </c>
      <c r="X6764" s="2">
        <f ca="1"/>
        <v>59.139729811573751</v>
      </c>
      <c r="AG6764" s="2">
        <f ca="1"/>
        <v>0.56456960245443555</v>
      </c>
      <c r="AH6764" s="2" t="str">
        <f ca="1"/>
        <v>Bad</v>
      </c>
    </row>
    <row r="6765" spans="2:34" x14ac:dyDescent="0.2">
      <c r="B6765" s="2">
        <f ca="1"/>
        <v>0.70427051807719754</v>
      </c>
      <c r="O6765" s="2">
        <f ca="1"/>
        <v>0.98033562901044791</v>
      </c>
      <c r="X6765" s="2">
        <f ca="1"/>
        <v>55.032762472111656</v>
      </c>
      <c r="AG6765" s="2">
        <f ca="1"/>
        <v>0.17875577298783396</v>
      </c>
      <c r="AH6765" s="2" t="str">
        <f ca="1"/>
        <v>OK</v>
      </c>
    </row>
    <row r="6766" spans="2:34" x14ac:dyDescent="0.2">
      <c r="B6766" s="2">
        <f ca="1"/>
        <v>0.95114671816060015</v>
      </c>
      <c r="O6766" s="2">
        <f ca="1"/>
        <v>-0.34421307078003471</v>
      </c>
      <c r="X6766" s="2">
        <f ca="1"/>
        <v>44.889944322377858</v>
      </c>
      <c r="AG6766" s="2">
        <f ca="1"/>
        <v>0.28578143644657095</v>
      </c>
      <c r="AH6766" s="2" t="str">
        <f ca="1"/>
        <v>OK</v>
      </c>
    </row>
    <row r="6767" spans="2:34" x14ac:dyDescent="0.2">
      <c r="B6767" s="2">
        <f ca="1"/>
        <v>0.54331309642399916</v>
      </c>
      <c r="O6767" s="2">
        <f ca="1"/>
        <v>0.40839597848232551</v>
      </c>
      <c r="X6767" s="2">
        <f ca="1"/>
        <v>36.452424502934988</v>
      </c>
      <c r="AG6767" s="2">
        <f ca="1"/>
        <v>0.9495603139601656</v>
      </c>
      <c r="AH6767" s="2" t="str">
        <f ca="1"/>
        <v>Bad</v>
      </c>
    </row>
    <row r="6768" spans="2:34" x14ac:dyDescent="0.2">
      <c r="B6768" s="2">
        <f ca="1"/>
        <v>0.46001503511898778</v>
      </c>
      <c r="O6768" s="2">
        <f ca="1"/>
        <v>-1.028599932644972</v>
      </c>
      <c r="X6768" s="2">
        <f ca="1"/>
        <v>32.447015044879663</v>
      </c>
      <c r="AG6768" s="2">
        <f ca="1"/>
        <v>0.14302274964036532</v>
      </c>
      <c r="AH6768" s="2" t="str">
        <f ca="1"/>
        <v>OK</v>
      </c>
    </row>
    <row r="6769" spans="2:34" x14ac:dyDescent="0.2">
      <c r="B6769" s="2">
        <f ca="1"/>
        <v>0.91730710619861999</v>
      </c>
      <c r="O6769" s="2">
        <f ca="1"/>
        <v>0.25297513481072198</v>
      </c>
      <c r="X6769" s="2">
        <f ca="1"/>
        <v>86.848377343785742</v>
      </c>
      <c r="AG6769" s="2">
        <f ca="1"/>
        <v>0.26878941155948044</v>
      </c>
      <c r="AH6769" s="2" t="str">
        <f ca="1"/>
        <v>OK</v>
      </c>
    </row>
    <row r="6770" spans="2:34" x14ac:dyDescent="0.2">
      <c r="B6770" s="2">
        <f ca="1"/>
        <v>0.13402616298608705</v>
      </c>
      <c r="O6770" s="2">
        <f ca="1"/>
        <v>-0.91285460171056831</v>
      </c>
      <c r="X6770" s="2">
        <f ca="1"/>
        <v>40.024140952197556</v>
      </c>
      <c r="AG6770" s="2">
        <f ca="1"/>
        <v>0.30058536265509539</v>
      </c>
      <c r="AH6770" s="2" t="str">
        <f ca="1"/>
        <v>OK</v>
      </c>
    </row>
    <row r="6771" spans="2:34" x14ac:dyDescent="0.2">
      <c r="B6771" s="2">
        <f ca="1"/>
        <v>0.25508039810045879</v>
      </c>
      <c r="O6771" s="2">
        <f ca="1"/>
        <v>-0.83844634430627196</v>
      </c>
      <c r="X6771" s="2">
        <f ca="1"/>
        <v>53.8669338299567</v>
      </c>
      <c r="AG6771" s="2">
        <f ca="1"/>
        <v>0.75158854836112488</v>
      </c>
      <c r="AH6771" s="2" t="str">
        <f ca="1"/>
        <v>Bad</v>
      </c>
    </row>
    <row r="6772" spans="2:34" x14ac:dyDescent="0.2">
      <c r="B6772" s="2">
        <f ca="1"/>
        <v>0.80445352155473038</v>
      </c>
      <c r="O6772" s="2">
        <f ca="1"/>
        <v>-1.2891318908934832</v>
      </c>
      <c r="X6772" s="2">
        <f ca="1"/>
        <v>45.500767289577666</v>
      </c>
      <c r="AG6772" s="2">
        <f ca="1"/>
        <v>0.69358190086313432</v>
      </c>
      <c r="AH6772" s="2" t="str">
        <f ca="1"/>
        <v>Bad</v>
      </c>
    </row>
    <row r="6773" spans="2:34" x14ac:dyDescent="0.2">
      <c r="B6773" s="2">
        <f ca="1"/>
        <v>0.83092065530025128</v>
      </c>
      <c r="O6773" s="2">
        <f ca="1"/>
        <v>1.5679314165372558</v>
      </c>
      <c r="X6773" s="2">
        <f ca="1"/>
        <v>53.75938274249522</v>
      </c>
      <c r="AG6773" s="2">
        <f ca="1"/>
        <v>5.1501337800803126E-2</v>
      </c>
      <c r="AH6773" s="2" t="str">
        <f ca="1"/>
        <v>OK</v>
      </c>
    </row>
    <row r="6774" spans="2:34" x14ac:dyDescent="0.2">
      <c r="B6774" s="2">
        <f ca="1"/>
        <v>0.78225630565911541</v>
      </c>
      <c r="O6774" s="2">
        <f ca="1"/>
        <v>0.30938445285733074</v>
      </c>
      <c r="X6774" s="2">
        <f ca="1"/>
        <v>57.616745992778874</v>
      </c>
      <c r="AG6774" s="2">
        <f ca="1"/>
        <v>0.85815503304154617</v>
      </c>
      <c r="AH6774" s="2" t="str">
        <f ca="1"/>
        <v>Bad</v>
      </c>
    </row>
    <row r="6775" spans="2:34" x14ac:dyDescent="0.2">
      <c r="B6775" s="2">
        <f ca="1"/>
        <v>0.94761307217270874</v>
      </c>
      <c r="O6775" s="2">
        <f ca="1"/>
        <v>-0.55004588229549034</v>
      </c>
      <c r="X6775" s="2">
        <f ca="1"/>
        <v>25.47678766032227</v>
      </c>
      <c r="AG6775" s="2">
        <f ca="1"/>
        <v>0.64695303229937351</v>
      </c>
      <c r="AH6775" s="2" t="str">
        <f ca="1"/>
        <v>Bad</v>
      </c>
    </row>
    <row r="6776" spans="2:34" x14ac:dyDescent="0.2">
      <c r="B6776" s="2">
        <f ca="1"/>
        <v>0.67905231071102867</v>
      </c>
      <c r="O6776" s="2">
        <f ca="1"/>
        <v>0.41009436227059809</v>
      </c>
      <c r="X6776" s="2">
        <f ca="1"/>
        <v>50.979713974389909</v>
      </c>
      <c r="AG6776" s="2">
        <f ca="1"/>
        <v>0.90496620906155556</v>
      </c>
      <c r="AH6776" s="2" t="str">
        <f ca="1"/>
        <v>Bad</v>
      </c>
    </row>
    <row r="6777" spans="2:34" x14ac:dyDescent="0.2">
      <c r="B6777" s="2">
        <f ca="1"/>
        <v>1.7018758332778772E-2</v>
      </c>
      <c r="O6777" s="2">
        <f ca="1"/>
        <v>-0.95730840910115556</v>
      </c>
      <c r="X6777" s="2">
        <f ca="1"/>
        <v>32.428371334720708</v>
      </c>
      <c r="AG6777" s="2">
        <f ca="1"/>
        <v>0.25135520325995553</v>
      </c>
      <c r="AH6777" s="2" t="str">
        <f ca="1"/>
        <v>OK</v>
      </c>
    </row>
    <row r="6778" spans="2:34" x14ac:dyDescent="0.2">
      <c r="B6778" s="2">
        <f ca="1"/>
        <v>0.74136480862928944</v>
      </c>
      <c r="O6778" s="2">
        <f ca="1"/>
        <v>-0.81917028769250122</v>
      </c>
      <c r="X6778" s="2">
        <f ca="1"/>
        <v>43.717265252405262</v>
      </c>
      <c r="AG6778" s="2">
        <f ca="1"/>
        <v>0.74731151431354403</v>
      </c>
      <c r="AH6778" s="2" t="str">
        <f ca="1"/>
        <v>Bad</v>
      </c>
    </row>
    <row r="6779" spans="2:34" x14ac:dyDescent="0.2">
      <c r="B6779" s="2">
        <f ca="1"/>
        <v>0.43841586735712013</v>
      </c>
      <c r="O6779" s="2">
        <f ca="1"/>
        <v>-0.24234648795346711</v>
      </c>
      <c r="X6779" s="2">
        <f ca="1"/>
        <v>25.688073068572152</v>
      </c>
      <c r="AG6779" s="2">
        <f ca="1"/>
        <v>2.5458997911620429E-5</v>
      </c>
      <c r="AH6779" s="2" t="str">
        <f ca="1"/>
        <v>Good</v>
      </c>
    </row>
    <row r="6780" spans="2:34" x14ac:dyDescent="0.2">
      <c r="B6780" s="2">
        <f ca="1"/>
        <v>0.59561561802723051</v>
      </c>
      <c r="O6780" s="2">
        <f ca="1"/>
        <v>-0.21334396487576701</v>
      </c>
      <c r="X6780" s="2">
        <f ca="1"/>
        <v>30.608587200309671</v>
      </c>
      <c r="AG6780" s="2">
        <f ca="1"/>
        <v>1.0057578850651616E-2</v>
      </c>
      <c r="AH6780" s="2" t="str">
        <f ca="1"/>
        <v>Good</v>
      </c>
    </row>
    <row r="6781" spans="2:34" x14ac:dyDescent="0.2">
      <c r="B6781" s="2">
        <f ca="1"/>
        <v>0.4369504989858457</v>
      </c>
      <c r="O6781" s="2">
        <f ca="1"/>
        <v>0.90313503735231038</v>
      </c>
      <c r="X6781" s="2">
        <f ca="1"/>
        <v>45.403169516026608</v>
      </c>
      <c r="AG6781" s="2">
        <f ca="1"/>
        <v>4.5801902982880005E-2</v>
      </c>
      <c r="AH6781" s="2" t="str">
        <f ca="1"/>
        <v>Good</v>
      </c>
    </row>
    <row r="6782" spans="2:34" x14ac:dyDescent="0.2">
      <c r="B6782" s="2">
        <f ca="1"/>
        <v>7.1950114975332768E-2</v>
      </c>
      <c r="O6782" s="2">
        <f ca="1"/>
        <v>-9.4595587678275736E-2</v>
      </c>
      <c r="X6782" s="2">
        <f ca="1"/>
        <v>48.94097529031648</v>
      </c>
      <c r="AG6782" s="2">
        <f ca="1"/>
        <v>0.22081306350179619</v>
      </c>
      <c r="AH6782" s="2" t="str">
        <f ca="1"/>
        <v>OK</v>
      </c>
    </row>
    <row r="6783" spans="2:34" x14ac:dyDescent="0.2">
      <c r="B6783" s="2">
        <f ca="1"/>
        <v>0.11751773471246363</v>
      </c>
      <c r="O6783" s="2">
        <f ca="1"/>
        <v>-1.1156653637803264</v>
      </c>
      <c r="X6783" s="2">
        <f ca="1"/>
        <v>65.5579836179989</v>
      </c>
      <c r="AG6783" s="2">
        <f ca="1"/>
        <v>0.41267693970576946</v>
      </c>
      <c r="AH6783" s="2" t="str">
        <f ca="1"/>
        <v>Bad</v>
      </c>
    </row>
    <row r="6784" spans="2:34" x14ac:dyDescent="0.2">
      <c r="B6784" s="2">
        <f ca="1"/>
        <v>0.85847638221838451</v>
      </c>
      <c r="O6784" s="2">
        <f ca="1"/>
        <v>1.0216409445570127</v>
      </c>
      <c r="X6784" s="2">
        <f ca="1"/>
        <v>40.270322178764644</v>
      </c>
      <c r="AG6784" s="2">
        <f ca="1"/>
        <v>0.34218152212239272</v>
      </c>
      <c r="AH6784" s="2" t="str">
        <f ca="1"/>
        <v>OK</v>
      </c>
    </row>
    <row r="6785" spans="2:34" x14ac:dyDescent="0.2">
      <c r="B6785" s="2">
        <f ca="1"/>
        <v>0.48803438021716317</v>
      </c>
      <c r="O6785" s="2">
        <f ca="1"/>
        <v>-0.30497830986670499</v>
      </c>
      <c r="X6785" s="2">
        <f ca="1"/>
        <v>50.633317025302063</v>
      </c>
      <c r="AG6785" s="2">
        <f ca="1"/>
        <v>0.33616170440020943</v>
      </c>
      <c r="AH6785" s="2" t="str">
        <f ca="1"/>
        <v>OK</v>
      </c>
    </row>
    <row r="6786" spans="2:34" x14ac:dyDescent="0.2">
      <c r="B6786" s="2">
        <f ca="1"/>
        <v>0.86257442717087685</v>
      </c>
      <c r="O6786" s="2">
        <f ca="1"/>
        <v>-0.89556952971060111</v>
      </c>
      <c r="X6786" s="2">
        <f ca="1"/>
        <v>28.825240558681084</v>
      </c>
      <c r="AG6786" s="2">
        <f ca="1"/>
        <v>0.15148679557441014</v>
      </c>
      <c r="AH6786" s="2" t="str">
        <f ca="1"/>
        <v>OK</v>
      </c>
    </row>
    <row r="6787" spans="2:34" x14ac:dyDescent="0.2">
      <c r="B6787" s="2">
        <f ca="1"/>
        <v>1.9121300117100448E-2</v>
      </c>
      <c r="O6787" s="2">
        <f ca="1"/>
        <v>-1.1730040471199168</v>
      </c>
      <c r="X6787" s="2">
        <f ca="1"/>
        <v>35.800587274021055</v>
      </c>
      <c r="AG6787" s="2">
        <f ca="1"/>
        <v>0.47803031093532766</v>
      </c>
      <c r="AH6787" s="2" t="str">
        <f ca="1"/>
        <v>Bad</v>
      </c>
    </row>
    <row r="6788" spans="2:34" x14ac:dyDescent="0.2">
      <c r="B6788" s="2">
        <f ca="1"/>
        <v>2.1981173720673208E-3</v>
      </c>
      <c r="O6788" s="2">
        <f ca="1"/>
        <v>-0.16342143680814847</v>
      </c>
      <c r="X6788" s="2">
        <f ca="1"/>
        <v>39.698881074696246</v>
      </c>
      <c r="AG6788" s="2">
        <f ca="1"/>
        <v>0.90960292043867219</v>
      </c>
      <c r="AH6788" s="2" t="str">
        <f ca="1"/>
        <v>Bad</v>
      </c>
    </row>
    <row r="6789" spans="2:34" x14ac:dyDescent="0.2">
      <c r="B6789" s="2">
        <f ca="1"/>
        <v>0.42807995863742199</v>
      </c>
      <c r="O6789" s="2">
        <f ca="1"/>
        <v>-1.2502747124456408</v>
      </c>
      <c r="X6789" s="2">
        <f ca="1"/>
        <v>30.79643738163962</v>
      </c>
      <c r="AG6789" s="2">
        <f ca="1"/>
        <v>0.73191352811532751</v>
      </c>
      <c r="AH6789" s="2" t="str">
        <f ca="1"/>
        <v>Bad</v>
      </c>
    </row>
    <row r="6790" spans="2:34" x14ac:dyDescent="0.2">
      <c r="B6790" s="2">
        <f ca="1"/>
        <v>0.92499561304457401</v>
      </c>
      <c r="O6790" s="2">
        <f ca="1"/>
        <v>0.68296920681848938</v>
      </c>
      <c r="X6790" s="2">
        <f ca="1"/>
        <v>34.754744901897645</v>
      </c>
      <c r="AG6790" s="2">
        <f ca="1"/>
        <v>0.10331935629970612</v>
      </c>
      <c r="AH6790" s="2" t="str">
        <f ca="1"/>
        <v>OK</v>
      </c>
    </row>
    <row r="6791" spans="2:34" x14ac:dyDescent="0.2">
      <c r="B6791" s="2">
        <f ca="1"/>
        <v>0.43851245658856142</v>
      </c>
      <c r="O6791" s="2">
        <f ca="1"/>
        <v>1.5528893915072475</v>
      </c>
      <c r="X6791" s="2">
        <f ca="1"/>
        <v>70.821523836293224</v>
      </c>
      <c r="AG6791" s="2">
        <f ca="1"/>
        <v>0.82777062526437151</v>
      </c>
      <c r="AH6791" s="2" t="str">
        <f ca="1"/>
        <v>Bad</v>
      </c>
    </row>
    <row r="6792" spans="2:34" x14ac:dyDescent="0.2">
      <c r="B6792" s="2">
        <f ca="1"/>
        <v>0.17237335395758069</v>
      </c>
      <c r="O6792" s="2">
        <f ca="1"/>
        <v>-1.3133496212445821</v>
      </c>
      <c r="X6792" s="2">
        <f ca="1"/>
        <v>49.188989472924206</v>
      </c>
      <c r="AG6792" s="2">
        <f ca="1"/>
        <v>0.27672473484710158</v>
      </c>
      <c r="AH6792" s="2" t="str">
        <f ca="1"/>
        <v>OK</v>
      </c>
    </row>
    <row r="6793" spans="2:34" x14ac:dyDescent="0.2">
      <c r="B6793" s="2">
        <f ca="1"/>
        <v>0.36750596347266962</v>
      </c>
      <c r="O6793" s="2">
        <f ca="1"/>
        <v>0.71366727470366387</v>
      </c>
      <c r="X6793" s="2">
        <f ca="1"/>
        <v>26.500030509317646</v>
      </c>
      <c r="AG6793" s="2">
        <f ca="1"/>
        <v>0.50819918989348856</v>
      </c>
      <c r="AH6793" s="2" t="str">
        <f ca="1"/>
        <v>Bad</v>
      </c>
    </row>
    <row r="6794" spans="2:34" x14ac:dyDescent="0.2">
      <c r="B6794" s="2">
        <f ca="1"/>
        <v>0.3509774542082349</v>
      </c>
      <c r="O6794" s="2">
        <f ca="1"/>
        <v>-0.44130171734487961</v>
      </c>
      <c r="X6794" s="2">
        <f ca="1"/>
        <v>80.743181689933522</v>
      </c>
      <c r="AG6794" s="2">
        <f ca="1"/>
        <v>0.72667060677812434</v>
      </c>
      <c r="AH6794" s="2" t="str">
        <f ca="1"/>
        <v>Bad</v>
      </c>
    </row>
    <row r="6795" spans="2:34" x14ac:dyDescent="0.2">
      <c r="B6795" s="2">
        <f ca="1"/>
        <v>6.423486983585458E-2</v>
      </c>
      <c r="O6795" s="2">
        <f ca="1"/>
        <v>0.30503169191654361</v>
      </c>
      <c r="X6795" s="2">
        <f ca="1"/>
        <v>42.591924837722459</v>
      </c>
      <c r="AG6795" s="2">
        <f ca="1"/>
        <v>0.99768823915509919</v>
      </c>
      <c r="AH6795" s="2" t="str">
        <f ca="1"/>
        <v>Bad</v>
      </c>
    </row>
    <row r="6796" spans="2:34" x14ac:dyDescent="0.2">
      <c r="B6796" s="2">
        <f ca="1"/>
        <v>0.98248321457270205</v>
      </c>
      <c r="O6796" s="2">
        <f ca="1"/>
        <v>0.30455938824236745</v>
      </c>
      <c r="X6796" s="2">
        <f ca="1"/>
        <v>60.839739267331787</v>
      </c>
      <c r="AG6796" s="2">
        <f ca="1"/>
        <v>0.61989579721760313</v>
      </c>
      <c r="AH6796" s="2" t="str">
        <f ca="1"/>
        <v>Bad</v>
      </c>
    </row>
    <row r="6797" spans="2:34" x14ac:dyDescent="0.2">
      <c r="B6797" s="2">
        <f ca="1"/>
        <v>0.94614258144766383</v>
      </c>
      <c r="O6797" s="2">
        <f ca="1"/>
        <v>3.5090810146069993</v>
      </c>
      <c r="X6797" s="2">
        <f ca="1"/>
        <v>67.652265744189549</v>
      </c>
      <c r="AG6797" s="2">
        <f ca="1"/>
        <v>0.17636056070009842</v>
      </c>
      <c r="AH6797" s="2" t="str">
        <f ca="1"/>
        <v>OK</v>
      </c>
    </row>
    <row r="6798" spans="2:34" x14ac:dyDescent="0.2">
      <c r="B6798" s="2">
        <f ca="1"/>
        <v>0.68808451208663657</v>
      </c>
      <c r="O6798" s="2">
        <f ca="1"/>
        <v>0.39985766537685896</v>
      </c>
      <c r="X6798" s="2">
        <f ca="1"/>
        <v>31.364938390817795</v>
      </c>
      <c r="AG6798" s="2">
        <f ca="1"/>
        <v>0.5582868851767413</v>
      </c>
      <c r="AH6798" s="2" t="str">
        <f ca="1"/>
        <v>Bad</v>
      </c>
    </row>
    <row r="6799" spans="2:34" x14ac:dyDescent="0.2">
      <c r="B6799" s="2">
        <f ca="1"/>
        <v>0.3329187320572724</v>
      </c>
      <c r="O6799" s="2">
        <f ca="1"/>
        <v>-1.903610824926989</v>
      </c>
      <c r="X6799" s="2">
        <f ca="1"/>
        <v>66.679920279378223</v>
      </c>
      <c r="AG6799" s="2">
        <f ca="1"/>
        <v>0.20975324359905323</v>
      </c>
      <c r="AH6799" s="2" t="str">
        <f ca="1"/>
        <v>OK</v>
      </c>
    </row>
    <row r="6800" spans="2:34" x14ac:dyDescent="0.2">
      <c r="B6800" s="2">
        <f ca="1"/>
        <v>0.4047393199191498</v>
      </c>
      <c r="O6800" s="2">
        <f ca="1"/>
        <v>9.9350001596278839E-2</v>
      </c>
      <c r="X6800" s="2">
        <f ca="1"/>
        <v>47.953531531658115</v>
      </c>
      <c r="AG6800" s="2">
        <f ca="1"/>
        <v>0.33264719881722127</v>
      </c>
      <c r="AH6800" s="2" t="str">
        <f ca="1"/>
        <v>OK</v>
      </c>
    </row>
    <row r="6801" spans="2:34" x14ac:dyDescent="0.2">
      <c r="B6801" s="2">
        <f ca="1"/>
        <v>0.12429619203728182</v>
      </c>
      <c r="O6801" s="2">
        <f ca="1"/>
        <v>-0.49476303550385475</v>
      </c>
      <c r="X6801" s="2">
        <f ca="1"/>
        <v>25.167619670535132</v>
      </c>
      <c r="AG6801" s="2">
        <f ca="1"/>
        <v>0.96433946717380614</v>
      </c>
      <c r="AH6801" s="2" t="str">
        <f ca="1"/>
        <v>Bad</v>
      </c>
    </row>
    <row r="6802" spans="2:34" x14ac:dyDescent="0.2">
      <c r="B6802" s="2">
        <f ca="1"/>
        <v>0.48778560302872664</v>
      </c>
      <c r="O6802" s="2">
        <f ca="1"/>
        <v>0.58932148159055142</v>
      </c>
      <c r="X6802" s="2">
        <f ca="1"/>
        <v>28.312195086670251</v>
      </c>
      <c r="AG6802" s="2">
        <f ca="1"/>
        <v>0.21521933536292415</v>
      </c>
      <c r="AH6802" s="2" t="str">
        <f ca="1"/>
        <v>OK</v>
      </c>
    </row>
    <row r="6803" spans="2:34" x14ac:dyDescent="0.2">
      <c r="B6803" s="2">
        <f ca="1"/>
        <v>0.5282639960117792</v>
      </c>
      <c r="O6803" s="2">
        <f ca="1"/>
        <v>0.29349566668423549</v>
      </c>
      <c r="X6803" s="2">
        <f ca="1"/>
        <v>73.211344686725582</v>
      </c>
      <c r="AG6803" s="2">
        <f ca="1"/>
        <v>6.2675817389745703E-4</v>
      </c>
      <c r="AH6803" s="2" t="str">
        <f ca="1"/>
        <v>Good</v>
      </c>
    </row>
    <row r="6804" spans="2:34" x14ac:dyDescent="0.2">
      <c r="B6804" s="2">
        <f ca="1"/>
        <v>0.89887033911003145</v>
      </c>
      <c r="O6804" s="2">
        <f ca="1"/>
        <v>9.1405274753670551E-2</v>
      </c>
      <c r="X6804" s="2">
        <f ca="1"/>
        <v>69.936993213601809</v>
      </c>
      <c r="AG6804" s="2">
        <f ca="1"/>
        <v>0.25613063059564856</v>
      </c>
      <c r="AH6804" s="2" t="str">
        <f ca="1"/>
        <v>OK</v>
      </c>
    </row>
    <row r="6805" spans="2:34" x14ac:dyDescent="0.2">
      <c r="B6805" s="2">
        <f ca="1"/>
        <v>5.6012862177730049E-2</v>
      </c>
      <c r="O6805" s="2">
        <f ca="1"/>
        <v>0.16222839199522693</v>
      </c>
      <c r="X6805" s="2">
        <f ca="1"/>
        <v>61.99798161397468</v>
      </c>
      <c r="AG6805" s="2">
        <f ca="1"/>
        <v>0.97798433886531555</v>
      </c>
      <c r="AH6805" s="2" t="str">
        <f ca="1"/>
        <v>Bad</v>
      </c>
    </row>
    <row r="6806" spans="2:34" x14ac:dyDescent="0.2">
      <c r="B6806" s="2">
        <f ca="1"/>
        <v>0.98690594614364358</v>
      </c>
      <c r="O6806" s="2">
        <f ca="1"/>
        <v>1.0231571302712752</v>
      </c>
      <c r="X6806" s="2">
        <f ca="1"/>
        <v>39.131786481890231</v>
      </c>
      <c r="AG6806" s="2">
        <f ca="1"/>
        <v>0.86121568823961292</v>
      </c>
      <c r="AH6806" s="2" t="str">
        <f ca="1"/>
        <v>Bad</v>
      </c>
    </row>
    <row r="6807" spans="2:34" x14ac:dyDescent="0.2">
      <c r="B6807" s="2">
        <f ca="1"/>
        <v>0.79797834276724933</v>
      </c>
      <c r="O6807" s="2">
        <f ca="1"/>
        <v>0.50642906829761669</v>
      </c>
      <c r="X6807" s="2">
        <f ca="1"/>
        <v>38.132099353008392</v>
      </c>
      <c r="AG6807" s="2">
        <f ca="1"/>
        <v>3.4563320698689282E-2</v>
      </c>
      <c r="AH6807" s="2" t="str">
        <f ca="1"/>
        <v>Good</v>
      </c>
    </row>
    <row r="6808" spans="2:34" x14ac:dyDescent="0.2">
      <c r="B6808" s="2">
        <f ca="1"/>
        <v>0.82187235825901905</v>
      </c>
      <c r="O6808" s="2">
        <f ca="1"/>
        <v>0.63431287772525125</v>
      </c>
      <c r="X6808" s="2">
        <f ca="1"/>
        <v>18.650641400252233</v>
      </c>
      <c r="AG6808" s="2">
        <f ca="1"/>
        <v>0.72853365660382496</v>
      </c>
      <c r="AH6808" s="2" t="str">
        <f ca="1"/>
        <v>Bad</v>
      </c>
    </row>
    <row r="6809" spans="2:34" x14ac:dyDescent="0.2">
      <c r="B6809" s="2">
        <f ca="1"/>
        <v>2.7344427512184133E-2</v>
      </c>
      <c r="O6809" s="2">
        <f ca="1"/>
        <v>-8.4287372485347026E-2</v>
      </c>
      <c r="X6809" s="2">
        <f ca="1"/>
        <v>48.564985604600295</v>
      </c>
      <c r="AG6809" s="2">
        <f ca="1"/>
        <v>0.5458649457718312</v>
      </c>
      <c r="AH6809" s="2" t="str">
        <f ca="1"/>
        <v>Bad</v>
      </c>
    </row>
    <row r="6810" spans="2:34" x14ac:dyDescent="0.2">
      <c r="B6810" s="2">
        <f ca="1"/>
        <v>0.25091747017855459</v>
      </c>
      <c r="O6810" s="2">
        <f ca="1"/>
        <v>-7.072627742173053E-2</v>
      </c>
      <c r="X6810" s="2">
        <f ca="1"/>
        <v>50.849890089730707</v>
      </c>
      <c r="AG6810" s="2">
        <f ca="1"/>
        <v>0.33514596401721608</v>
      </c>
      <c r="AH6810" s="2" t="str">
        <f ca="1"/>
        <v>OK</v>
      </c>
    </row>
    <row r="6811" spans="2:34" x14ac:dyDescent="0.2">
      <c r="B6811" s="2">
        <f ca="1"/>
        <v>0.37578935442018002</v>
      </c>
      <c r="O6811" s="2">
        <f ca="1"/>
        <v>0.87845208541137509</v>
      </c>
      <c r="X6811" s="2">
        <f ca="1"/>
        <v>63.918176685425514</v>
      </c>
      <c r="AG6811" s="2">
        <f ca="1"/>
        <v>0.98989297314826574</v>
      </c>
      <c r="AH6811" s="2" t="str">
        <f ca="1"/>
        <v>Bad</v>
      </c>
    </row>
    <row r="6812" spans="2:34" x14ac:dyDescent="0.2">
      <c r="B6812" s="2">
        <f ca="1"/>
        <v>0.1526517792178621</v>
      </c>
      <c r="O6812" s="2">
        <f ca="1"/>
        <v>0.76126125506374542</v>
      </c>
      <c r="X6812" s="2">
        <f ca="1"/>
        <v>29.853005945247855</v>
      </c>
      <c r="AG6812" s="2">
        <f ca="1"/>
        <v>0.29709357064689224</v>
      </c>
      <c r="AH6812" s="2" t="str">
        <f ca="1"/>
        <v>OK</v>
      </c>
    </row>
    <row r="6813" spans="2:34" x14ac:dyDescent="0.2">
      <c r="B6813" s="2">
        <f ca="1"/>
        <v>4.4906461699256717E-3</v>
      </c>
      <c r="O6813" s="2">
        <f ca="1"/>
        <v>0.98282564323149058</v>
      </c>
      <c r="X6813" s="2">
        <f ca="1"/>
        <v>52.369324655620375</v>
      </c>
      <c r="AG6813" s="2">
        <f ca="1"/>
        <v>0.80820058422492713</v>
      </c>
      <c r="AH6813" s="2" t="str">
        <f ca="1"/>
        <v>Bad</v>
      </c>
    </row>
    <row r="6814" spans="2:34" x14ac:dyDescent="0.2">
      <c r="B6814" s="2">
        <f ca="1"/>
        <v>0.7842047548050497</v>
      </c>
      <c r="O6814" s="2">
        <f ca="1"/>
        <v>-0.36901571754716089</v>
      </c>
      <c r="X6814" s="2">
        <f ca="1"/>
        <v>68.288600080449726</v>
      </c>
      <c r="AG6814" s="2">
        <f ca="1"/>
        <v>0.47586972439263198</v>
      </c>
      <c r="AH6814" s="2" t="str">
        <f ca="1"/>
        <v>Bad</v>
      </c>
    </row>
    <row r="6815" spans="2:34" x14ac:dyDescent="0.2">
      <c r="B6815" s="2">
        <f ca="1"/>
        <v>0.22949018101910501</v>
      </c>
      <c r="O6815" s="2">
        <f ca="1"/>
        <v>-0.40207024231082417</v>
      </c>
      <c r="X6815" s="2">
        <f ca="1"/>
        <v>68.276330847691483</v>
      </c>
      <c r="AG6815" s="2">
        <f ca="1"/>
        <v>0.62352950579950894</v>
      </c>
      <c r="AH6815" s="2" t="str">
        <f ca="1"/>
        <v>Bad</v>
      </c>
    </row>
    <row r="6816" spans="2:34" x14ac:dyDescent="0.2">
      <c r="B6816" s="2">
        <f ca="1"/>
        <v>0.38951404228667408</v>
      </c>
      <c r="O6816" s="2">
        <f ca="1"/>
        <v>-0.28637551133800243</v>
      </c>
      <c r="X6816" s="2">
        <f ca="1"/>
        <v>30.605231943110795</v>
      </c>
      <c r="AG6816" s="2">
        <f ca="1"/>
        <v>0.34832462922667951</v>
      </c>
      <c r="AH6816" s="2" t="str">
        <f ca="1"/>
        <v>OK</v>
      </c>
    </row>
    <row r="6817" spans="2:34" x14ac:dyDescent="0.2">
      <c r="B6817" s="2">
        <f ca="1"/>
        <v>0.24833469244419004</v>
      </c>
      <c r="O6817" s="2">
        <f ca="1"/>
        <v>-0.93868182737836303</v>
      </c>
      <c r="X6817" s="2">
        <f ca="1"/>
        <v>33.604296378949599</v>
      </c>
      <c r="AG6817" s="2">
        <f ca="1"/>
        <v>0.77459077955097366</v>
      </c>
      <c r="AH6817" s="2" t="str">
        <f ca="1"/>
        <v>Bad</v>
      </c>
    </row>
    <row r="6818" spans="2:34" x14ac:dyDescent="0.2">
      <c r="B6818" s="2">
        <f ca="1"/>
        <v>0.14191962014924231</v>
      </c>
      <c r="O6818" s="2">
        <f ca="1"/>
        <v>-0.49288718371825302</v>
      </c>
      <c r="X6818" s="2">
        <f ca="1"/>
        <v>26.771322559738707</v>
      </c>
      <c r="AG6818" s="2">
        <f ca="1"/>
        <v>0.98712653316331278</v>
      </c>
      <c r="AH6818" s="2" t="str">
        <f ca="1"/>
        <v>Bad</v>
      </c>
    </row>
    <row r="6819" spans="2:34" x14ac:dyDescent="0.2">
      <c r="B6819" s="2">
        <f ca="1"/>
        <v>0.71737366264433478</v>
      </c>
      <c r="O6819" s="2">
        <f ca="1"/>
        <v>0.85951348807257433</v>
      </c>
      <c r="X6819" s="2">
        <f ca="1"/>
        <v>122.81732380275025</v>
      </c>
      <c r="AG6819" s="2">
        <f ca="1"/>
        <v>6.7234221144640838E-3</v>
      </c>
      <c r="AH6819" s="2" t="str">
        <f ca="1"/>
        <v>Good</v>
      </c>
    </row>
    <row r="6820" spans="2:34" x14ac:dyDescent="0.2">
      <c r="B6820" s="2">
        <f ca="1"/>
        <v>0.83829309014753917</v>
      </c>
      <c r="O6820" s="2">
        <f ca="1"/>
        <v>-0.72344238662546345</v>
      </c>
      <c r="X6820" s="2">
        <f ca="1"/>
        <v>60.702772843453644</v>
      </c>
      <c r="AG6820" s="2">
        <f ca="1"/>
        <v>0.55217093476765844</v>
      </c>
      <c r="AH6820" s="2" t="str">
        <f ca="1"/>
        <v>Bad</v>
      </c>
    </row>
    <row r="6821" spans="2:34" x14ac:dyDescent="0.2">
      <c r="B6821" s="2">
        <f ca="1"/>
        <v>0.79019256660449377</v>
      </c>
      <c r="O6821" s="2">
        <f ca="1"/>
        <v>1.0764676098568011</v>
      </c>
      <c r="X6821" s="2">
        <f ca="1"/>
        <v>72.494792687521411</v>
      </c>
      <c r="AG6821" s="2">
        <f ca="1"/>
        <v>0.17798671570320046</v>
      </c>
      <c r="AH6821" s="2" t="str">
        <f ca="1"/>
        <v>OK</v>
      </c>
    </row>
    <row r="6822" spans="2:34" x14ac:dyDescent="0.2">
      <c r="B6822" s="2">
        <f ca="1"/>
        <v>0.88575795975508487</v>
      </c>
      <c r="O6822" s="2">
        <f ca="1"/>
        <v>0.41087625716870174</v>
      </c>
      <c r="X6822" s="2">
        <f ca="1"/>
        <v>29.748555060382923</v>
      </c>
      <c r="AG6822" s="2">
        <f ca="1"/>
        <v>0.11547879789806914</v>
      </c>
      <c r="AH6822" s="2" t="str">
        <f ca="1"/>
        <v>OK</v>
      </c>
    </row>
    <row r="6823" spans="2:34" x14ac:dyDescent="0.2">
      <c r="B6823" s="2">
        <f ca="1"/>
        <v>6.2266460069641205E-2</v>
      </c>
      <c r="O6823" s="2">
        <f ca="1"/>
        <v>-0.6477482495914062</v>
      </c>
      <c r="X6823" s="2">
        <f ca="1"/>
        <v>67.29538925477992</v>
      </c>
      <c r="AG6823" s="2">
        <f ca="1"/>
        <v>0.79938262259887805</v>
      </c>
      <c r="AH6823" s="2" t="str">
        <f ca="1"/>
        <v>Bad</v>
      </c>
    </row>
    <row r="6824" spans="2:34" x14ac:dyDescent="0.2">
      <c r="B6824" s="2">
        <f ca="1"/>
        <v>0.22271566674833099</v>
      </c>
      <c r="O6824" s="2">
        <f ca="1"/>
        <v>0.6548106149855577</v>
      </c>
      <c r="X6824" s="2">
        <f ca="1"/>
        <v>60.850794043327582</v>
      </c>
      <c r="AG6824" s="2">
        <f ca="1"/>
        <v>0.82922091497458106</v>
      </c>
      <c r="AH6824" s="2" t="str">
        <f ca="1"/>
        <v>Bad</v>
      </c>
    </row>
    <row r="6825" spans="2:34" x14ac:dyDescent="0.2">
      <c r="B6825" s="2">
        <f ca="1"/>
        <v>0.52703954087100069</v>
      </c>
      <c r="O6825" s="2">
        <f ca="1"/>
        <v>-0.90228083068105891</v>
      </c>
      <c r="X6825" s="2">
        <f ca="1"/>
        <v>54.156143886906946</v>
      </c>
      <c r="AG6825" s="2">
        <f ca="1"/>
        <v>0.79472435967338151</v>
      </c>
      <c r="AH6825" s="2" t="str">
        <f ca="1"/>
        <v>Bad</v>
      </c>
    </row>
    <row r="6826" spans="2:34" x14ac:dyDescent="0.2">
      <c r="B6826" s="2">
        <f ca="1"/>
        <v>4.9579825353414098E-2</v>
      </c>
      <c r="O6826" s="2">
        <f ca="1"/>
        <v>-1.9281072413541043</v>
      </c>
      <c r="X6826" s="2">
        <f ca="1"/>
        <v>39.862652159627885</v>
      </c>
      <c r="AG6826" s="2">
        <f ca="1"/>
        <v>0.19484226982968011</v>
      </c>
      <c r="AH6826" s="2" t="str">
        <f ca="1"/>
        <v>OK</v>
      </c>
    </row>
    <row r="6827" spans="2:34" x14ac:dyDescent="0.2">
      <c r="B6827" s="2">
        <f ca="1"/>
        <v>0.32388717559263092</v>
      </c>
      <c r="O6827" s="2">
        <f ca="1"/>
        <v>1.058832522235295</v>
      </c>
      <c r="X6827" s="2">
        <f ca="1"/>
        <v>42.095665630587256</v>
      </c>
      <c r="AG6827" s="2">
        <f ca="1"/>
        <v>0.68193013293855786</v>
      </c>
      <c r="AH6827" s="2" t="str">
        <f ca="1"/>
        <v>Bad</v>
      </c>
    </row>
    <row r="6828" spans="2:34" x14ac:dyDescent="0.2">
      <c r="B6828" s="2">
        <f ca="1"/>
        <v>0.45480885557428397</v>
      </c>
      <c r="O6828" s="2">
        <f ca="1"/>
        <v>0.38600368704571453</v>
      </c>
      <c r="X6828" s="2">
        <f ca="1"/>
        <v>68.966121289663846</v>
      </c>
      <c r="AG6828" s="2">
        <f ca="1"/>
        <v>0.63668247712033366</v>
      </c>
      <c r="AH6828" s="2" t="str">
        <f ca="1"/>
        <v>Bad</v>
      </c>
    </row>
    <row r="6829" spans="2:34" x14ac:dyDescent="0.2">
      <c r="B6829" s="2">
        <f ca="1"/>
        <v>0.77518894905585012</v>
      </c>
      <c r="O6829" s="2">
        <f ca="1"/>
        <v>-0.47726728379536981</v>
      </c>
      <c r="X6829" s="2">
        <f ca="1"/>
        <v>43.188217745394617</v>
      </c>
      <c r="AG6829" s="2">
        <f ca="1"/>
        <v>0.36053785703321428</v>
      </c>
      <c r="AH6829" s="2" t="str">
        <f ca="1"/>
        <v>OK</v>
      </c>
    </row>
    <row r="6830" spans="2:34" x14ac:dyDescent="0.2">
      <c r="B6830" s="2">
        <f ca="1"/>
        <v>0.71634244237138578</v>
      </c>
      <c r="O6830" s="2">
        <f ca="1"/>
        <v>-1.0979953560852065</v>
      </c>
      <c r="X6830" s="2">
        <f ca="1"/>
        <v>55.857455334595976</v>
      </c>
      <c r="AG6830" s="2">
        <f ca="1"/>
        <v>0.89790534527407662</v>
      </c>
      <c r="AH6830" s="2" t="str">
        <f ca="1"/>
        <v>Bad</v>
      </c>
    </row>
    <row r="6831" spans="2:34" x14ac:dyDescent="0.2">
      <c r="B6831" s="2">
        <f ca="1"/>
        <v>0.28127918402192331</v>
      </c>
      <c r="O6831" s="2">
        <f ca="1"/>
        <v>-1.144542451872016</v>
      </c>
      <c r="X6831" s="2">
        <f ca="1"/>
        <v>53.870391950432193</v>
      </c>
      <c r="AG6831" s="2">
        <f ca="1"/>
        <v>0.5259821796294617</v>
      </c>
      <c r="AH6831" s="2" t="str">
        <f ca="1"/>
        <v>Bad</v>
      </c>
    </row>
    <row r="6832" spans="2:34" x14ac:dyDescent="0.2">
      <c r="B6832" s="2">
        <f ca="1"/>
        <v>0.69150197424691173</v>
      </c>
      <c r="O6832" s="2">
        <f ca="1"/>
        <v>-0.25317498904061259</v>
      </c>
      <c r="X6832" s="2">
        <f ca="1"/>
        <v>52.390828337702843</v>
      </c>
      <c r="AG6832" s="2">
        <f ca="1"/>
        <v>0.6130538885802852</v>
      </c>
      <c r="AH6832" s="2" t="str">
        <f ca="1"/>
        <v>Bad</v>
      </c>
    </row>
    <row r="6833" spans="2:34" x14ac:dyDescent="0.2">
      <c r="B6833" s="2">
        <f ca="1"/>
        <v>0.73263815969228463</v>
      </c>
      <c r="O6833" s="2">
        <f ca="1"/>
        <v>-1.4373734980873769</v>
      </c>
      <c r="X6833" s="2">
        <f ca="1"/>
        <v>42.612349159330563</v>
      </c>
      <c r="AG6833" s="2">
        <f ca="1"/>
        <v>0.19455019339418156</v>
      </c>
      <c r="AH6833" s="2" t="str">
        <f ca="1"/>
        <v>OK</v>
      </c>
    </row>
    <row r="6834" spans="2:34" x14ac:dyDescent="0.2">
      <c r="B6834" s="2">
        <f ca="1"/>
        <v>0.19431472383813619</v>
      </c>
      <c r="O6834" s="2">
        <f ca="1"/>
        <v>1.3175994934380428</v>
      </c>
      <c r="X6834" s="2">
        <f ca="1"/>
        <v>48.681870041733823</v>
      </c>
      <c r="AG6834" s="2">
        <f ca="1"/>
        <v>0.43805160813283273</v>
      </c>
      <c r="AH6834" s="2" t="str">
        <f ca="1"/>
        <v>Bad</v>
      </c>
    </row>
    <row r="6835" spans="2:34" x14ac:dyDescent="0.2">
      <c r="B6835" s="2">
        <f ca="1"/>
        <v>0.83895300831048192</v>
      </c>
      <c r="O6835" s="2">
        <f ca="1"/>
        <v>0.47502532842757644</v>
      </c>
      <c r="X6835" s="2">
        <f ca="1"/>
        <v>28.881904655086107</v>
      </c>
      <c r="AG6835" s="2">
        <f ca="1"/>
        <v>0.23625310035316027</v>
      </c>
      <c r="AH6835" s="2" t="str">
        <f ca="1"/>
        <v>OK</v>
      </c>
    </row>
    <row r="6836" spans="2:34" x14ac:dyDescent="0.2">
      <c r="B6836" s="2">
        <f ca="1"/>
        <v>0.72729844983031544</v>
      </c>
      <c r="O6836" s="2">
        <f ca="1"/>
        <v>-0.47930153609483339</v>
      </c>
      <c r="X6836" s="2">
        <f ca="1"/>
        <v>46.941086579528928</v>
      </c>
      <c r="AG6836" s="2">
        <f ca="1"/>
        <v>0.35374805772830542</v>
      </c>
      <c r="AH6836" s="2" t="str">
        <f ca="1"/>
        <v>OK</v>
      </c>
    </row>
    <row r="6837" spans="2:34" x14ac:dyDescent="0.2">
      <c r="B6837" s="2">
        <f ca="1"/>
        <v>0.69700080424282751</v>
      </c>
      <c r="O6837" s="2">
        <f ca="1"/>
        <v>9.7427874177464832E-2</v>
      </c>
      <c r="X6837" s="2">
        <f ca="1"/>
        <v>47.709292135179609</v>
      </c>
      <c r="AG6837" s="2">
        <f ca="1"/>
        <v>0.31458571614403796</v>
      </c>
      <c r="AH6837" s="2" t="str">
        <f ca="1"/>
        <v>OK</v>
      </c>
    </row>
    <row r="6838" spans="2:34" x14ac:dyDescent="0.2">
      <c r="B6838" s="2">
        <f ca="1"/>
        <v>0.3425645774579682</v>
      </c>
      <c r="O6838" s="2">
        <f ca="1"/>
        <v>0.12397825685481906</v>
      </c>
      <c r="X6838" s="2">
        <f ca="1"/>
        <v>39.48135294504587</v>
      </c>
      <c r="AG6838" s="2">
        <f ca="1"/>
        <v>0.50366505506117565</v>
      </c>
      <c r="AH6838" s="2" t="str">
        <f ca="1"/>
        <v>Bad</v>
      </c>
    </row>
    <row r="6839" spans="2:34" x14ac:dyDescent="0.2">
      <c r="B6839" s="2">
        <f ca="1"/>
        <v>0.14216005239354468</v>
      </c>
      <c r="O6839" s="2">
        <f ca="1"/>
        <v>-0.29684237113531931</v>
      </c>
      <c r="X6839" s="2">
        <f ca="1"/>
        <v>67.312923965752688</v>
      </c>
      <c r="AG6839" s="2">
        <f ca="1"/>
        <v>0.44064098217341563</v>
      </c>
      <c r="AH6839" s="2" t="str">
        <f ca="1"/>
        <v>Bad</v>
      </c>
    </row>
    <row r="6840" spans="2:34" x14ac:dyDescent="0.2">
      <c r="B6840" s="2">
        <f ca="1"/>
        <v>0.89227877055086369</v>
      </c>
      <c r="O6840" s="2">
        <f ca="1"/>
        <v>-0.43524553148867751</v>
      </c>
      <c r="X6840" s="2">
        <f ca="1"/>
        <v>35.478712527787465</v>
      </c>
      <c r="AG6840" s="2">
        <f ca="1"/>
        <v>0.37731506438875684</v>
      </c>
      <c r="AH6840" s="2" t="str">
        <f ca="1"/>
        <v>OK</v>
      </c>
    </row>
    <row r="6841" spans="2:34" x14ac:dyDescent="0.2">
      <c r="B6841" s="2">
        <f ca="1"/>
        <v>0.78417224017031617</v>
      </c>
      <c r="O6841" s="2">
        <f ca="1"/>
        <v>1.5718285325951542</v>
      </c>
      <c r="X6841" s="2">
        <f ca="1"/>
        <v>40.766902898424178</v>
      </c>
      <c r="AG6841" s="2">
        <f ca="1"/>
        <v>0.23274434529445509</v>
      </c>
      <c r="AH6841" s="2" t="str">
        <f ca="1"/>
        <v>OK</v>
      </c>
    </row>
    <row r="6842" spans="2:34" x14ac:dyDescent="0.2">
      <c r="B6842" s="2">
        <f ca="1"/>
        <v>0.1723001614510884</v>
      </c>
      <c r="O6842" s="2">
        <f ca="1"/>
        <v>0.45840781619637849</v>
      </c>
      <c r="X6842" s="2">
        <f ca="1"/>
        <v>45.73190911093667</v>
      </c>
      <c r="AG6842" s="2">
        <f ca="1"/>
        <v>0.6925879641621655</v>
      </c>
      <c r="AH6842" s="2" t="str">
        <f ca="1"/>
        <v>Bad</v>
      </c>
    </row>
    <row r="6843" spans="2:34" x14ac:dyDescent="0.2">
      <c r="B6843" s="2">
        <f ca="1"/>
        <v>0.40590560527604835</v>
      </c>
      <c r="O6843" s="2">
        <f ca="1"/>
        <v>0.71159046063582343</v>
      </c>
      <c r="X6843" s="2">
        <f ca="1"/>
        <v>38.842256822315932</v>
      </c>
      <c r="AG6843" s="2">
        <f ca="1"/>
        <v>0.98412282224073477</v>
      </c>
      <c r="AH6843" s="2" t="str">
        <f ca="1"/>
        <v>Bad</v>
      </c>
    </row>
    <row r="6844" spans="2:34" x14ac:dyDescent="0.2">
      <c r="B6844" s="2">
        <f ca="1"/>
        <v>0.38333414294911594</v>
      </c>
      <c r="O6844" s="2">
        <f ca="1"/>
        <v>0.65199631520555024</v>
      </c>
      <c r="X6844" s="2">
        <f ca="1"/>
        <v>72.766478619856073</v>
      </c>
      <c r="AG6844" s="2">
        <f ca="1"/>
        <v>0.43641641297174893</v>
      </c>
      <c r="AH6844" s="2" t="str">
        <f ca="1"/>
        <v>Bad</v>
      </c>
    </row>
    <row r="6845" spans="2:34" x14ac:dyDescent="0.2">
      <c r="B6845" s="2">
        <f ca="1"/>
        <v>0.92355664550827687</v>
      </c>
      <c r="O6845" s="2">
        <f ca="1"/>
        <v>1.22401689083504</v>
      </c>
      <c r="X6845" s="2">
        <f ca="1"/>
        <v>53.776465251819481</v>
      </c>
      <c r="AG6845" s="2">
        <f ca="1"/>
        <v>0.31080945133012339</v>
      </c>
      <c r="AH6845" s="2" t="str">
        <f ca="1"/>
        <v>OK</v>
      </c>
    </row>
    <row r="6846" spans="2:34" x14ac:dyDescent="0.2">
      <c r="B6846" s="2">
        <f ca="1"/>
        <v>0.64424009506072766</v>
      </c>
      <c r="O6846" s="2">
        <f ca="1"/>
        <v>0.15765761034411005</v>
      </c>
      <c r="X6846" s="2">
        <f ca="1"/>
        <v>56.832730309177435</v>
      </c>
      <c r="AG6846" s="2">
        <f ca="1"/>
        <v>0.11820704152588579</v>
      </c>
      <c r="AH6846" s="2" t="str">
        <f ca="1"/>
        <v>OK</v>
      </c>
    </row>
    <row r="6847" spans="2:34" x14ac:dyDescent="0.2">
      <c r="B6847" s="2">
        <f ca="1"/>
        <v>0.37032549656136515</v>
      </c>
      <c r="O6847" s="2">
        <f ca="1"/>
        <v>5.8992748989394002E-2</v>
      </c>
      <c r="X6847" s="2">
        <f ca="1"/>
        <v>76.540626052389754</v>
      </c>
      <c r="AG6847" s="2">
        <f ca="1"/>
        <v>0.51419023609567405</v>
      </c>
      <c r="AH6847" s="2" t="str">
        <f ca="1"/>
        <v>Bad</v>
      </c>
    </row>
    <row r="6848" spans="2:34" x14ac:dyDescent="0.2">
      <c r="B6848" s="2">
        <f ca="1"/>
        <v>0.64974670098617349</v>
      </c>
      <c r="O6848" s="2">
        <f ca="1"/>
        <v>0.34546768531920591</v>
      </c>
      <c r="X6848" s="2">
        <f ca="1"/>
        <v>66.965374946727593</v>
      </c>
      <c r="AG6848" s="2">
        <f ca="1"/>
        <v>0.57258971778007117</v>
      </c>
      <c r="AH6848" s="2" t="str">
        <f ca="1"/>
        <v>Bad</v>
      </c>
    </row>
    <row r="6849" spans="2:34" x14ac:dyDescent="0.2">
      <c r="B6849" s="2">
        <f ca="1"/>
        <v>0.57641320943587693</v>
      </c>
      <c r="O6849" s="2">
        <f ca="1"/>
        <v>0.38832865798632088</v>
      </c>
      <c r="X6849" s="2">
        <f ca="1"/>
        <v>39.568043916402026</v>
      </c>
      <c r="AG6849" s="2">
        <f ca="1"/>
        <v>0.34344081197563825</v>
      </c>
      <c r="AH6849" s="2" t="str">
        <f ca="1"/>
        <v>OK</v>
      </c>
    </row>
    <row r="6850" spans="2:34" x14ac:dyDescent="0.2">
      <c r="B6850" s="2">
        <f ca="1"/>
        <v>0.57907703979596103</v>
      </c>
      <c r="O6850" s="2">
        <f ca="1"/>
        <v>-0.50226349596682374</v>
      </c>
      <c r="X6850" s="2">
        <f ca="1"/>
        <v>67.043165705210086</v>
      </c>
      <c r="AG6850" s="2">
        <f ca="1"/>
        <v>0.83075967350374458</v>
      </c>
      <c r="AH6850" s="2" t="str">
        <f ca="1"/>
        <v>Bad</v>
      </c>
    </row>
    <row r="6851" spans="2:34" x14ac:dyDescent="0.2">
      <c r="B6851" s="2">
        <f ca="1"/>
        <v>0.15613849815132275</v>
      </c>
      <c r="O6851" s="2">
        <f ca="1"/>
        <v>0.55166607169321169</v>
      </c>
      <c r="X6851" s="2">
        <f ca="1"/>
        <v>44.005358211297462</v>
      </c>
      <c r="AG6851" s="2">
        <f ca="1"/>
        <v>0.89271274145843238</v>
      </c>
      <c r="AH6851" s="2" t="str">
        <f ca="1"/>
        <v>Bad</v>
      </c>
    </row>
    <row r="6852" spans="2:34" x14ac:dyDescent="0.2">
      <c r="B6852" s="2">
        <f ca="1"/>
        <v>0.62020483820000938</v>
      </c>
      <c r="O6852" s="2">
        <f ca="1"/>
        <v>6.3849290640371675E-2</v>
      </c>
      <c r="X6852" s="2">
        <f ca="1"/>
        <v>86.4408380682207</v>
      </c>
      <c r="AG6852" s="2">
        <f ca="1"/>
        <v>0.60579996603255992</v>
      </c>
      <c r="AH6852" s="2" t="str">
        <f ca="1"/>
        <v>Bad</v>
      </c>
    </row>
    <row r="6853" spans="2:34" x14ac:dyDescent="0.2">
      <c r="B6853" s="2">
        <f ca="1"/>
        <v>0.5075856654054649</v>
      </c>
      <c r="O6853" s="2">
        <f ca="1"/>
        <v>1.7529559236516181</v>
      </c>
      <c r="X6853" s="2">
        <f ca="1"/>
        <v>90.34081880903598</v>
      </c>
      <c r="AG6853" s="2">
        <f ca="1"/>
        <v>0.41292573804686294</v>
      </c>
      <c r="AH6853" s="2" t="str">
        <f ca="1"/>
        <v>Bad</v>
      </c>
    </row>
    <row r="6854" spans="2:34" x14ac:dyDescent="0.2">
      <c r="B6854" s="2">
        <f ca="1"/>
        <v>0.38786325179157632</v>
      </c>
      <c r="O6854" s="2">
        <f ca="1"/>
        <v>0.41685273138094142</v>
      </c>
      <c r="X6854" s="2">
        <f ca="1"/>
        <v>71.311136097197164</v>
      </c>
      <c r="AG6854" s="2">
        <f ca="1"/>
        <v>0.74106144805609753</v>
      </c>
      <c r="AH6854" s="2" t="str">
        <f ca="1"/>
        <v>Bad</v>
      </c>
    </row>
    <row r="6855" spans="2:34" x14ac:dyDescent="0.2">
      <c r="B6855" s="2">
        <f ca="1"/>
        <v>0.77059541589029878</v>
      </c>
      <c r="O6855" s="2">
        <f ca="1"/>
        <v>3.6488103179448945</v>
      </c>
      <c r="X6855" s="2">
        <f ca="1"/>
        <v>41.485958353621726</v>
      </c>
      <c r="AG6855" s="2">
        <f ca="1"/>
        <v>9.5365181685237665E-2</v>
      </c>
      <c r="AH6855" s="2" t="str">
        <f ca="1"/>
        <v>OK</v>
      </c>
    </row>
    <row r="6856" spans="2:34" x14ac:dyDescent="0.2">
      <c r="B6856" s="2">
        <f ca="1"/>
        <v>0.15154179023816927</v>
      </c>
      <c r="O6856" s="2">
        <f ca="1"/>
        <v>0.31312612478552682</v>
      </c>
      <c r="X6856" s="2">
        <f ca="1"/>
        <v>48.130717861591719</v>
      </c>
      <c r="AG6856" s="2">
        <f ca="1"/>
        <v>0.41488530164026538</v>
      </c>
      <c r="AH6856" s="2" t="str">
        <f ca="1"/>
        <v>Bad</v>
      </c>
    </row>
    <row r="6857" spans="2:34" x14ac:dyDescent="0.2">
      <c r="B6857" s="2">
        <f ca="1"/>
        <v>0.32482110950778931</v>
      </c>
      <c r="O6857" s="2">
        <f ca="1"/>
        <v>6.6412668827018045E-2</v>
      </c>
      <c r="X6857" s="2">
        <f ca="1"/>
        <v>57.051525983042595</v>
      </c>
      <c r="AG6857" s="2">
        <f ca="1"/>
        <v>0.86706714831598086</v>
      </c>
      <c r="AH6857" s="2" t="str">
        <f ca="1"/>
        <v>Bad</v>
      </c>
    </row>
    <row r="6858" spans="2:34" x14ac:dyDescent="0.2">
      <c r="B6858" s="2">
        <f ca="1"/>
        <v>0.31447905215843508</v>
      </c>
      <c r="O6858" s="2">
        <f ca="1"/>
        <v>1.359243217761678</v>
      </c>
      <c r="X6858" s="2">
        <f ca="1"/>
        <v>63.429625791053525</v>
      </c>
      <c r="AG6858" s="2">
        <f ca="1"/>
        <v>0.12411930235912072</v>
      </c>
      <c r="AH6858" s="2" t="str">
        <f ca="1"/>
        <v>OK</v>
      </c>
    </row>
    <row r="6859" spans="2:34" x14ac:dyDescent="0.2">
      <c r="B6859" s="2">
        <f ca="1"/>
        <v>0.13770795038722872</v>
      </c>
      <c r="O6859" s="2">
        <f ca="1"/>
        <v>-1.0973495235047237</v>
      </c>
      <c r="X6859" s="2">
        <f ca="1"/>
        <v>27.933803231682717</v>
      </c>
      <c r="AG6859" s="2">
        <f ca="1"/>
        <v>0.93063277966449087</v>
      </c>
      <c r="AH6859" s="2" t="str">
        <f ca="1"/>
        <v>Bad</v>
      </c>
    </row>
    <row r="6860" spans="2:34" x14ac:dyDescent="0.2">
      <c r="B6860" s="2">
        <f ca="1"/>
        <v>0.29250690468455343</v>
      </c>
      <c r="O6860" s="2">
        <f ca="1"/>
        <v>-9.2234165192338208E-2</v>
      </c>
      <c r="X6860" s="2">
        <f ca="1"/>
        <v>39.642711527965943</v>
      </c>
      <c r="AG6860" s="2">
        <f ca="1"/>
        <v>0.29959770755670934</v>
      </c>
      <c r="AH6860" s="2" t="str">
        <f ca="1"/>
        <v>OK</v>
      </c>
    </row>
    <row r="6861" spans="2:34" x14ac:dyDescent="0.2">
      <c r="B6861" s="2">
        <f ca="1"/>
        <v>0.42761007883118607</v>
      </c>
      <c r="O6861" s="2">
        <f ca="1"/>
        <v>-8.4443384411351685E-2</v>
      </c>
      <c r="X6861" s="2">
        <f ca="1"/>
        <v>48.29622430702392</v>
      </c>
      <c r="AG6861" s="2">
        <f ca="1"/>
        <v>0.66999383198839757</v>
      </c>
      <c r="AH6861" s="2" t="str">
        <f ca="1"/>
        <v>Bad</v>
      </c>
    </row>
    <row r="6862" spans="2:34" x14ac:dyDescent="0.2">
      <c r="B6862" s="2">
        <f ca="1"/>
        <v>0.14147888676997855</v>
      </c>
      <c r="O6862" s="2">
        <f ca="1"/>
        <v>0.17895827921149368</v>
      </c>
      <c r="X6862" s="2">
        <f ca="1"/>
        <v>53.283276557945683</v>
      </c>
      <c r="AG6862" s="2">
        <f ca="1"/>
        <v>0.45058072573516439</v>
      </c>
      <c r="AH6862" s="2" t="str">
        <f ca="1"/>
        <v>Bad</v>
      </c>
    </row>
    <row r="6863" spans="2:34" x14ac:dyDescent="0.2">
      <c r="B6863" s="2">
        <f ca="1"/>
        <v>0.25062879699259244</v>
      </c>
      <c r="O6863" s="2">
        <f ca="1"/>
        <v>-0.11491700442997481</v>
      </c>
      <c r="X6863" s="2">
        <f ca="1"/>
        <v>40.127654552191167</v>
      </c>
      <c r="AG6863" s="2">
        <f ca="1"/>
        <v>2.7696255553369742E-2</v>
      </c>
      <c r="AH6863" s="2" t="str">
        <f ca="1"/>
        <v>Good</v>
      </c>
    </row>
    <row r="6864" spans="2:34" x14ac:dyDescent="0.2">
      <c r="B6864" s="2">
        <f ca="1"/>
        <v>7.6237884481096474E-2</v>
      </c>
      <c r="O6864" s="2">
        <f ca="1"/>
        <v>-0.2198393478699395</v>
      </c>
      <c r="X6864" s="2">
        <f ca="1"/>
        <v>52.086360488177817</v>
      </c>
      <c r="AG6864" s="2">
        <f ca="1"/>
        <v>0.92153329699508113</v>
      </c>
      <c r="AH6864" s="2" t="str">
        <f ca="1"/>
        <v>Bad</v>
      </c>
    </row>
    <row r="6865" spans="2:34" x14ac:dyDescent="0.2">
      <c r="B6865" s="2">
        <f ca="1"/>
        <v>0.68010038234740344</v>
      </c>
      <c r="O6865" s="2">
        <f ca="1"/>
        <v>-0.25222055004112154</v>
      </c>
      <c r="X6865" s="2">
        <f ca="1"/>
        <v>52.429837017832888</v>
      </c>
      <c r="AG6865" s="2">
        <f ca="1"/>
        <v>0.93779984402434335</v>
      </c>
      <c r="AH6865" s="2" t="str">
        <f ca="1"/>
        <v>Bad</v>
      </c>
    </row>
    <row r="6866" spans="2:34" x14ac:dyDescent="0.2">
      <c r="B6866" s="2">
        <f ca="1"/>
        <v>0.79661892997336792</v>
      </c>
      <c r="O6866" s="2">
        <f ca="1"/>
        <v>1.259230747274424</v>
      </c>
      <c r="X6866" s="2">
        <f ca="1"/>
        <v>43.681475391509991</v>
      </c>
      <c r="AG6866" s="2">
        <f ca="1"/>
        <v>0.77567534024583451</v>
      </c>
      <c r="AH6866" s="2" t="str">
        <f ca="1"/>
        <v>Bad</v>
      </c>
    </row>
    <row r="6867" spans="2:34" x14ac:dyDescent="0.2">
      <c r="B6867" s="2">
        <f ca="1"/>
        <v>0.82908665521429681</v>
      </c>
      <c r="O6867" s="2">
        <f ca="1"/>
        <v>-0.4212011665887227</v>
      </c>
      <c r="X6867" s="2">
        <f ca="1"/>
        <v>42.373731771938317</v>
      </c>
      <c r="AG6867" s="2">
        <f ca="1"/>
        <v>0.49245943193588748</v>
      </c>
      <c r="AH6867" s="2" t="str">
        <f ca="1"/>
        <v>Bad</v>
      </c>
    </row>
    <row r="6868" spans="2:34" x14ac:dyDescent="0.2">
      <c r="B6868" s="2">
        <f ca="1"/>
        <v>0.9697006176493117</v>
      </c>
      <c r="O6868" s="2">
        <f ca="1"/>
        <v>0.28576892445733992</v>
      </c>
      <c r="X6868" s="2">
        <f ca="1"/>
        <v>62.002426087579757</v>
      </c>
      <c r="AG6868" s="2">
        <f ca="1"/>
        <v>0.29820448100676922</v>
      </c>
      <c r="AH6868" s="2" t="str">
        <f ca="1"/>
        <v>OK</v>
      </c>
    </row>
    <row r="6869" spans="2:34" x14ac:dyDescent="0.2">
      <c r="B6869" s="2">
        <f ca="1"/>
        <v>0.62772926020582132</v>
      </c>
      <c r="O6869" s="2">
        <f ca="1"/>
        <v>0.1505292483272149</v>
      </c>
      <c r="X6869" s="2">
        <f ca="1"/>
        <v>65.937074182768868</v>
      </c>
      <c r="AG6869" s="2">
        <f ca="1"/>
        <v>0.65153755445405626</v>
      </c>
      <c r="AH6869" s="2" t="str">
        <f ca="1"/>
        <v>Bad</v>
      </c>
    </row>
    <row r="6870" spans="2:34" x14ac:dyDescent="0.2">
      <c r="B6870" s="2">
        <f ca="1"/>
        <v>0.7692517001670538</v>
      </c>
      <c r="O6870" s="2">
        <f ca="1"/>
        <v>-1.1410582013181032</v>
      </c>
      <c r="X6870" s="2">
        <f ca="1"/>
        <v>40.601480810636815</v>
      </c>
      <c r="AG6870" s="2">
        <f ca="1"/>
        <v>0.57447241096258073</v>
      </c>
      <c r="AH6870" s="2" t="str">
        <f ca="1"/>
        <v>Bad</v>
      </c>
    </row>
    <row r="6871" spans="2:34" x14ac:dyDescent="0.2">
      <c r="B6871" s="2">
        <f ca="1"/>
        <v>0.90438026716319109</v>
      </c>
      <c r="O6871" s="2">
        <f ca="1"/>
        <v>2.3443214273199224</v>
      </c>
      <c r="X6871" s="2">
        <f ca="1"/>
        <v>41.124352251142227</v>
      </c>
      <c r="AG6871" s="2">
        <f ca="1"/>
        <v>0.54699906913029617</v>
      </c>
      <c r="AH6871" s="2" t="str">
        <f ca="1"/>
        <v>Bad</v>
      </c>
    </row>
    <row r="6872" spans="2:34" x14ac:dyDescent="0.2">
      <c r="B6872" s="2">
        <f ca="1"/>
        <v>0.53229073422730844</v>
      </c>
      <c r="O6872" s="2">
        <f ca="1"/>
        <v>3.0351806420662288E-2</v>
      </c>
      <c r="X6872" s="2">
        <f ca="1"/>
        <v>57.673950675386195</v>
      </c>
      <c r="AG6872" s="2">
        <f ca="1"/>
        <v>6.0122601689390986E-2</v>
      </c>
      <c r="AH6872" s="2" t="str">
        <f ca="1"/>
        <v>OK</v>
      </c>
    </row>
    <row r="6873" spans="2:34" x14ac:dyDescent="0.2">
      <c r="B6873" s="2">
        <f ca="1"/>
        <v>0.51409307658970116</v>
      </c>
      <c r="O6873" s="2">
        <f ca="1"/>
        <v>-1.0197094918011768E-3</v>
      </c>
      <c r="X6873" s="2">
        <f ca="1"/>
        <v>39.843335555817447</v>
      </c>
      <c r="AG6873" s="2">
        <f ca="1"/>
        <v>0.76819403179449508</v>
      </c>
      <c r="AH6873" s="2" t="str">
        <f ca="1"/>
        <v>Bad</v>
      </c>
    </row>
    <row r="6874" spans="2:34" x14ac:dyDescent="0.2">
      <c r="B6874" s="2">
        <f ca="1"/>
        <v>0.19148175624107266</v>
      </c>
      <c r="O6874" s="2">
        <f ca="1"/>
        <v>0.94547315522434272</v>
      </c>
      <c r="X6874" s="2">
        <f ca="1"/>
        <v>43.893170141711991</v>
      </c>
      <c r="AG6874" s="2">
        <f ca="1"/>
        <v>0.76068512089690521</v>
      </c>
      <c r="AH6874" s="2" t="str">
        <f ca="1"/>
        <v>Bad</v>
      </c>
    </row>
    <row r="6875" spans="2:34" x14ac:dyDescent="0.2">
      <c r="B6875" s="2">
        <f ca="1"/>
        <v>0.65291533456064665</v>
      </c>
      <c r="O6875" s="2">
        <f ca="1"/>
        <v>9.4019212146906408E-2</v>
      </c>
      <c r="X6875" s="2">
        <f ca="1"/>
        <v>40.485471730134194</v>
      </c>
      <c r="AG6875" s="2">
        <f ca="1"/>
        <v>0.37875702953550161</v>
      </c>
      <c r="AH6875" s="2" t="str">
        <f ca="1"/>
        <v>OK</v>
      </c>
    </row>
    <row r="6876" spans="2:34" x14ac:dyDescent="0.2">
      <c r="B6876" s="2">
        <f ca="1"/>
        <v>8.8438432341361173E-2</v>
      </c>
      <c r="O6876" s="2">
        <f ca="1"/>
        <v>-0.81223133057190144</v>
      </c>
      <c r="X6876" s="2">
        <f ca="1"/>
        <v>35.244078521622697</v>
      </c>
      <c r="AG6876" s="2">
        <f ca="1"/>
        <v>0.97830598797943669</v>
      </c>
      <c r="AH6876" s="2" t="str">
        <f ca="1"/>
        <v>Bad</v>
      </c>
    </row>
    <row r="6877" spans="2:34" x14ac:dyDescent="0.2">
      <c r="B6877" s="2">
        <f ca="1"/>
        <v>0.2925858361263316</v>
      </c>
      <c r="O6877" s="2">
        <f ca="1"/>
        <v>-0.42981043256723711</v>
      </c>
      <c r="X6877" s="2">
        <f ca="1"/>
        <v>48.915354149842727</v>
      </c>
      <c r="AG6877" s="2">
        <f ca="1"/>
        <v>0.390873436915953</v>
      </c>
      <c r="AH6877" s="2" t="str">
        <f ca="1"/>
        <v>OK</v>
      </c>
    </row>
    <row r="6878" spans="2:34" x14ac:dyDescent="0.2">
      <c r="B6878" s="2">
        <f ca="1"/>
        <v>0.40341844722301601</v>
      </c>
      <c r="O6878" s="2">
        <f ca="1"/>
        <v>-0.47257888504523476</v>
      </c>
      <c r="X6878" s="2">
        <f ca="1"/>
        <v>45.838957271208258</v>
      </c>
      <c r="AG6878" s="2">
        <f ca="1"/>
        <v>0.92247448790354736</v>
      </c>
      <c r="AH6878" s="2" t="str">
        <f ca="1"/>
        <v>Bad</v>
      </c>
    </row>
    <row r="6879" spans="2:34" x14ac:dyDescent="0.2">
      <c r="B6879" s="2">
        <f ca="1"/>
        <v>0.51474915033826663</v>
      </c>
      <c r="O6879" s="2">
        <f ca="1"/>
        <v>-0.51355150224191437</v>
      </c>
      <c r="X6879" s="2">
        <f ca="1"/>
        <v>28.077622145140854</v>
      </c>
      <c r="AG6879" s="2">
        <f ca="1"/>
        <v>0.96713018411505747</v>
      </c>
      <c r="AH6879" s="2" t="str">
        <f ca="1"/>
        <v>Bad</v>
      </c>
    </row>
    <row r="6880" spans="2:34" x14ac:dyDescent="0.2">
      <c r="B6880" s="2">
        <f ca="1"/>
        <v>0.61962160446455217</v>
      </c>
      <c r="O6880" s="2">
        <f ca="1"/>
        <v>-0.74064869872823802</v>
      </c>
      <c r="X6880" s="2">
        <f ca="1"/>
        <v>40.693737680426281</v>
      </c>
      <c r="AG6880" s="2">
        <f ca="1"/>
        <v>0.41893488512212729</v>
      </c>
      <c r="AH6880" s="2" t="str">
        <f ca="1"/>
        <v>Bad</v>
      </c>
    </row>
    <row r="6881" spans="2:34" x14ac:dyDescent="0.2">
      <c r="B6881" s="2">
        <f ca="1"/>
        <v>0.75257290046441838</v>
      </c>
      <c r="O6881" s="2">
        <f ca="1"/>
        <v>-0.47361979430131479</v>
      </c>
      <c r="X6881" s="2">
        <f ca="1"/>
        <v>101.02393647477989</v>
      </c>
      <c r="AG6881" s="2">
        <f ca="1"/>
        <v>0.15879578251183801</v>
      </c>
      <c r="AH6881" s="2" t="str">
        <f ca="1"/>
        <v>OK</v>
      </c>
    </row>
    <row r="6882" spans="2:34" x14ac:dyDescent="0.2">
      <c r="B6882" s="2">
        <f ca="1"/>
        <v>0.34286092953448577</v>
      </c>
      <c r="O6882" s="2">
        <f ca="1"/>
        <v>-1.1487766421343448</v>
      </c>
      <c r="X6882" s="2">
        <f ca="1"/>
        <v>32.258486769298436</v>
      </c>
      <c r="AG6882" s="2">
        <f ca="1"/>
        <v>0.98847295791774847</v>
      </c>
      <c r="AH6882" s="2" t="str">
        <f ca="1"/>
        <v>Bad</v>
      </c>
    </row>
    <row r="6883" spans="2:34" x14ac:dyDescent="0.2">
      <c r="B6883" s="2">
        <f ca="1"/>
        <v>0.35777650844715692</v>
      </c>
      <c r="O6883" s="2">
        <f ca="1"/>
        <v>1.3462473590970514</v>
      </c>
      <c r="X6883" s="2">
        <f ca="1"/>
        <v>40.628272743147235</v>
      </c>
      <c r="AG6883" s="2">
        <f ca="1"/>
        <v>0.85574684975218052</v>
      </c>
      <c r="AH6883" s="2" t="str">
        <f ca="1"/>
        <v>Bad</v>
      </c>
    </row>
    <row r="6884" spans="2:34" x14ac:dyDescent="0.2">
      <c r="B6884" s="2">
        <f ca="1"/>
        <v>0.71384923057802308</v>
      </c>
      <c r="O6884" s="2">
        <f ca="1"/>
        <v>-1.6124917759674813</v>
      </c>
      <c r="X6884" s="2">
        <f ca="1"/>
        <v>36.190171568403613</v>
      </c>
      <c r="AG6884" s="2">
        <f ca="1"/>
        <v>0.22272924152585927</v>
      </c>
      <c r="AH6884" s="2" t="str">
        <f ca="1"/>
        <v>OK</v>
      </c>
    </row>
    <row r="6885" spans="2:34" x14ac:dyDescent="0.2">
      <c r="B6885" s="2">
        <f ca="1"/>
        <v>0.55535329308087888</v>
      </c>
      <c r="O6885" s="2">
        <f ca="1"/>
        <v>0.31690136111636774</v>
      </c>
      <c r="X6885" s="2">
        <f ca="1"/>
        <v>67.140862380515401</v>
      </c>
      <c r="AG6885" s="2">
        <f ca="1"/>
        <v>0.7570804145817871</v>
      </c>
      <c r="AH6885" s="2" t="str">
        <f ca="1"/>
        <v>Bad</v>
      </c>
    </row>
    <row r="6886" spans="2:34" x14ac:dyDescent="0.2">
      <c r="B6886" s="2">
        <f ca="1"/>
        <v>0.46454052550260316</v>
      </c>
      <c r="O6886" s="2">
        <f ca="1"/>
        <v>0.51784445478984642</v>
      </c>
      <c r="X6886" s="2">
        <f ca="1"/>
        <v>62.259739551256821</v>
      </c>
      <c r="AG6886" s="2">
        <f ca="1"/>
        <v>0.20978518019601</v>
      </c>
      <c r="AH6886" s="2" t="str">
        <f ca="1"/>
        <v>OK</v>
      </c>
    </row>
    <row r="6887" spans="2:34" x14ac:dyDescent="0.2">
      <c r="B6887" s="2">
        <f ca="1"/>
        <v>0.72973925274823626</v>
      </c>
      <c r="O6887" s="2">
        <f ca="1"/>
        <v>-0.20494168756589626</v>
      </c>
      <c r="X6887" s="2">
        <f ca="1"/>
        <v>44.673548141240531</v>
      </c>
      <c r="AG6887" s="2">
        <f ca="1"/>
        <v>0.62551874432976518</v>
      </c>
      <c r="AH6887" s="2" t="str">
        <f ca="1"/>
        <v>Bad</v>
      </c>
    </row>
    <row r="6888" spans="2:34" x14ac:dyDescent="0.2">
      <c r="B6888" s="2">
        <f ca="1"/>
        <v>0.23923525158774006</v>
      </c>
      <c r="O6888" s="2">
        <f ca="1"/>
        <v>1.4587421211054035</v>
      </c>
      <c r="X6888" s="2">
        <f ca="1"/>
        <v>42.712395537725826</v>
      </c>
      <c r="AG6888" s="2">
        <f ca="1"/>
        <v>0.30932696192520037</v>
      </c>
      <c r="AH6888" s="2" t="str">
        <f ca="1"/>
        <v>OK</v>
      </c>
    </row>
    <row r="6889" spans="2:34" x14ac:dyDescent="0.2">
      <c r="B6889" s="2">
        <f ca="1"/>
        <v>0.59828106238989553</v>
      </c>
      <c r="O6889" s="2">
        <f ca="1"/>
        <v>0.26642366517713562</v>
      </c>
      <c r="X6889" s="2">
        <f ca="1"/>
        <v>34.000991107446936</v>
      </c>
      <c r="AG6889" s="2">
        <f ca="1"/>
        <v>0.99671819556356134</v>
      </c>
      <c r="AH6889" s="2" t="str">
        <f ca="1"/>
        <v>Bad</v>
      </c>
    </row>
    <row r="6890" spans="2:34" x14ac:dyDescent="0.2">
      <c r="B6890" s="2">
        <f ca="1"/>
        <v>0.13428960153649827</v>
      </c>
      <c r="O6890" s="2">
        <f ca="1"/>
        <v>0.60359543446076391</v>
      </c>
      <c r="X6890" s="2">
        <f ca="1"/>
        <v>27.439325515649166</v>
      </c>
      <c r="AG6890" s="2">
        <f ca="1"/>
        <v>0.27039985020503443</v>
      </c>
      <c r="AH6890" s="2" t="str">
        <f ca="1"/>
        <v>OK</v>
      </c>
    </row>
    <row r="6891" spans="2:34" x14ac:dyDescent="0.2">
      <c r="B6891" s="2">
        <f ca="1"/>
        <v>0.93102619823866317</v>
      </c>
      <c r="O6891" s="2">
        <f ca="1"/>
        <v>-1.4561043817951631</v>
      </c>
      <c r="X6891" s="2">
        <f ca="1"/>
        <v>48.829705624585351</v>
      </c>
      <c r="AG6891" s="2">
        <f ca="1"/>
        <v>0.53204032135163581</v>
      </c>
      <c r="AH6891" s="2" t="str">
        <f ca="1"/>
        <v>Bad</v>
      </c>
    </row>
    <row r="6892" spans="2:34" x14ac:dyDescent="0.2">
      <c r="B6892" s="2">
        <f ca="1"/>
        <v>0.16554820427259198</v>
      </c>
      <c r="O6892" s="2">
        <f ca="1"/>
        <v>-1.0727873779352544</v>
      </c>
      <c r="X6892" s="2">
        <f ca="1"/>
        <v>42.667576715336253</v>
      </c>
      <c r="AG6892" s="2">
        <f ca="1"/>
        <v>0.98105257135205104</v>
      </c>
      <c r="AH6892" s="2" t="str">
        <f ca="1"/>
        <v>Bad</v>
      </c>
    </row>
    <row r="6893" spans="2:34" x14ac:dyDescent="0.2">
      <c r="B6893" s="2">
        <f ca="1"/>
        <v>0.37090383398591964</v>
      </c>
      <c r="O6893" s="2">
        <f ca="1"/>
        <v>1.3624180034141353</v>
      </c>
      <c r="X6893" s="2">
        <f ca="1"/>
        <v>36.252102023327055</v>
      </c>
      <c r="AG6893" s="2">
        <f ca="1"/>
        <v>0.20630354310264609</v>
      </c>
      <c r="AH6893" s="2" t="str">
        <f ca="1"/>
        <v>OK</v>
      </c>
    </row>
    <row r="6894" spans="2:34" x14ac:dyDescent="0.2">
      <c r="B6894" s="2">
        <f ca="1"/>
        <v>0.70114458046829919</v>
      </c>
      <c r="O6894" s="2">
        <f ca="1"/>
        <v>0.28437594588865234</v>
      </c>
      <c r="X6894" s="2">
        <f ca="1"/>
        <v>36.655841397256083</v>
      </c>
      <c r="AG6894" s="2">
        <f ca="1"/>
        <v>0.86755533925329931</v>
      </c>
      <c r="AH6894" s="2" t="str">
        <f ca="1"/>
        <v>Bad</v>
      </c>
    </row>
    <row r="6895" spans="2:34" x14ac:dyDescent="0.2">
      <c r="B6895" s="2">
        <f ca="1"/>
        <v>0.36509913024644236</v>
      </c>
      <c r="O6895" s="2">
        <f ca="1"/>
        <v>2.4432369806642245E-2</v>
      </c>
      <c r="X6895" s="2">
        <f ca="1"/>
        <v>67.640511307747474</v>
      </c>
      <c r="AG6895" s="2">
        <f ca="1"/>
        <v>1.4582884566023857E-2</v>
      </c>
      <c r="AH6895" s="2" t="str">
        <f ca="1"/>
        <v>Good</v>
      </c>
    </row>
    <row r="6896" spans="2:34" x14ac:dyDescent="0.2">
      <c r="B6896" s="2">
        <f ca="1"/>
        <v>0.25644194251228525</v>
      </c>
      <c r="O6896" s="2">
        <f ca="1"/>
        <v>0.3157021243128208</v>
      </c>
      <c r="X6896" s="2">
        <f ca="1"/>
        <v>59.145285078323575</v>
      </c>
      <c r="AG6896" s="2">
        <f ca="1"/>
        <v>0.16007588082921775</v>
      </c>
      <c r="AH6896" s="2" t="str">
        <f ca="1"/>
        <v>OK</v>
      </c>
    </row>
    <row r="6897" spans="2:34" x14ac:dyDescent="0.2">
      <c r="B6897" s="2">
        <f ca="1"/>
        <v>0.83239522295372526</v>
      </c>
      <c r="O6897" s="2">
        <f ca="1"/>
        <v>1.2187618196323275</v>
      </c>
      <c r="X6897" s="2">
        <f ca="1"/>
        <v>47.052372952751789</v>
      </c>
      <c r="AG6897" s="2">
        <f ca="1"/>
        <v>0.4916939505048199</v>
      </c>
      <c r="AH6897" s="2" t="str">
        <f ca="1"/>
        <v>Bad</v>
      </c>
    </row>
    <row r="6898" spans="2:34" x14ac:dyDescent="0.2">
      <c r="B6898" s="2">
        <f ca="1"/>
        <v>0.6434396027049869</v>
      </c>
      <c r="O6898" s="2">
        <f ca="1"/>
        <v>-0.84533185053241156</v>
      </c>
      <c r="X6898" s="2">
        <f ca="1"/>
        <v>55.126817745911879</v>
      </c>
      <c r="AG6898" s="2">
        <f ca="1"/>
        <v>0.86508392739977769</v>
      </c>
      <c r="AH6898" s="2" t="str">
        <f ca="1"/>
        <v>Bad</v>
      </c>
    </row>
    <row r="6899" spans="2:34" x14ac:dyDescent="0.2">
      <c r="B6899" s="2">
        <f ca="1"/>
        <v>4.9761590425492663E-2</v>
      </c>
      <c r="O6899" s="2">
        <f ca="1"/>
        <v>-0.50956443876538127</v>
      </c>
      <c r="X6899" s="2">
        <f ca="1"/>
        <v>47.845907876461538</v>
      </c>
      <c r="AG6899" s="2">
        <f ca="1"/>
        <v>0.68225729843730099</v>
      </c>
      <c r="AH6899" s="2" t="str">
        <f ca="1"/>
        <v>Bad</v>
      </c>
    </row>
    <row r="6900" spans="2:34" x14ac:dyDescent="0.2">
      <c r="B6900" s="2">
        <f ca="1"/>
        <v>0.57877673670248542</v>
      </c>
      <c r="O6900" s="2">
        <f ca="1"/>
        <v>-0.40909907649421273</v>
      </c>
      <c r="X6900" s="2">
        <f ca="1"/>
        <v>40.159608094724597</v>
      </c>
      <c r="AG6900" s="2">
        <f ca="1"/>
        <v>6.055270589757078E-2</v>
      </c>
      <c r="AH6900" s="2" t="str">
        <f ca="1"/>
        <v>OK</v>
      </c>
    </row>
    <row r="6901" spans="2:34" x14ac:dyDescent="0.2">
      <c r="B6901" s="2">
        <f ca="1"/>
        <v>0.25189561442524888</v>
      </c>
      <c r="O6901" s="2">
        <f ca="1"/>
        <v>0.56154692605812229</v>
      </c>
      <c r="X6901" s="2">
        <f ca="1"/>
        <v>79.001095374453001</v>
      </c>
      <c r="AG6901" s="2">
        <f ca="1"/>
        <v>0.77551601437341611</v>
      </c>
      <c r="AH6901" s="2" t="str">
        <f ca="1"/>
        <v>Bad</v>
      </c>
    </row>
    <row r="6902" spans="2:34" x14ac:dyDescent="0.2">
      <c r="B6902" s="2">
        <f ca="1"/>
        <v>0.70074544732302213</v>
      </c>
      <c r="O6902" s="2">
        <f ca="1"/>
        <v>0.54415986097539659</v>
      </c>
      <c r="X6902" s="2">
        <f ca="1"/>
        <v>56.93994954472209</v>
      </c>
      <c r="AG6902" s="2">
        <f ca="1"/>
        <v>0.18862542630906431</v>
      </c>
      <c r="AH6902" s="2" t="str">
        <f ca="1"/>
        <v>OK</v>
      </c>
    </row>
    <row r="6903" spans="2:34" x14ac:dyDescent="0.2">
      <c r="B6903" s="2">
        <f ca="1"/>
        <v>0.41820071861609809</v>
      </c>
      <c r="O6903" s="2">
        <f ca="1"/>
        <v>0.19432537715031736</v>
      </c>
      <c r="X6903" s="2">
        <f ca="1"/>
        <v>57.504371868265636</v>
      </c>
      <c r="AG6903" s="2">
        <f ca="1"/>
        <v>0.3128185927882936</v>
      </c>
      <c r="AH6903" s="2" t="str">
        <f ca="1"/>
        <v>OK</v>
      </c>
    </row>
    <row r="6904" spans="2:34" x14ac:dyDescent="0.2">
      <c r="B6904" s="2">
        <f ca="1"/>
        <v>0.20031628452008765</v>
      </c>
      <c r="O6904" s="2">
        <f ca="1"/>
        <v>0.55939599753693747</v>
      </c>
      <c r="X6904" s="2">
        <f ca="1"/>
        <v>31.453161156150657</v>
      </c>
      <c r="AG6904" s="2">
        <f ca="1"/>
        <v>0.65444717200390978</v>
      </c>
      <c r="AH6904" s="2" t="str">
        <f ca="1"/>
        <v>Bad</v>
      </c>
    </row>
    <row r="6905" spans="2:34" x14ac:dyDescent="0.2">
      <c r="B6905" s="2">
        <f ca="1"/>
        <v>0.64614736924280791</v>
      </c>
      <c r="O6905" s="2">
        <f ca="1"/>
        <v>0.16098682779245058</v>
      </c>
      <c r="X6905" s="2">
        <f ca="1"/>
        <v>72.912689313552931</v>
      </c>
      <c r="AG6905" s="2">
        <f ca="1"/>
        <v>0.48580736484617004</v>
      </c>
      <c r="AH6905" s="2" t="str">
        <f ca="1"/>
        <v>Bad</v>
      </c>
    </row>
    <row r="6906" spans="2:34" x14ac:dyDescent="0.2">
      <c r="B6906" s="2">
        <f ca="1"/>
        <v>0.27080171089660898</v>
      </c>
      <c r="O6906" s="2">
        <f ca="1"/>
        <v>-1.625198581860428</v>
      </c>
      <c r="X6906" s="2">
        <f ca="1"/>
        <v>56.934048637041819</v>
      </c>
      <c r="AG6906" s="2">
        <f ca="1"/>
        <v>0.7863767034080158</v>
      </c>
      <c r="AH6906" s="2" t="str">
        <f ca="1"/>
        <v>Bad</v>
      </c>
    </row>
    <row r="6907" spans="2:34" x14ac:dyDescent="0.2">
      <c r="B6907" s="2">
        <f ca="1"/>
        <v>0.14970154215622355</v>
      </c>
      <c r="O6907" s="2">
        <f ca="1"/>
        <v>0.18766335121541527</v>
      </c>
      <c r="X6907" s="2">
        <f ca="1"/>
        <v>52.767598073053776</v>
      </c>
      <c r="AG6907" s="2">
        <f ca="1"/>
        <v>0.18165839882957258</v>
      </c>
      <c r="AH6907" s="2" t="str">
        <f ca="1"/>
        <v>OK</v>
      </c>
    </row>
    <row r="6908" spans="2:34" x14ac:dyDescent="0.2">
      <c r="B6908" s="2">
        <f ca="1"/>
        <v>0.86523119663220416</v>
      </c>
      <c r="O6908" s="2">
        <f ca="1"/>
        <v>1.1364400253853248</v>
      </c>
      <c r="X6908" s="2">
        <f ca="1"/>
        <v>29.450305209201208</v>
      </c>
      <c r="AG6908" s="2">
        <f ca="1"/>
        <v>0.52446133051359833</v>
      </c>
      <c r="AH6908" s="2" t="str">
        <f ca="1"/>
        <v>Bad</v>
      </c>
    </row>
    <row r="6909" spans="2:34" x14ac:dyDescent="0.2">
      <c r="B6909" s="2">
        <f ca="1"/>
        <v>0.78186990683186242</v>
      </c>
      <c r="O6909" s="2">
        <f ca="1"/>
        <v>1.0110778733854444</v>
      </c>
      <c r="X6909" s="2">
        <f ca="1"/>
        <v>26.706536611062898</v>
      </c>
      <c r="AG6909" s="2">
        <f ca="1"/>
        <v>0.72128182878702862</v>
      </c>
      <c r="AH6909" s="2" t="str">
        <f ca="1"/>
        <v>Bad</v>
      </c>
    </row>
    <row r="6910" spans="2:34" x14ac:dyDescent="0.2">
      <c r="B6910" s="2">
        <f ca="1"/>
        <v>0.93688199546898709</v>
      </c>
      <c r="O6910" s="2">
        <f ca="1"/>
        <v>-0.73265323270586624</v>
      </c>
      <c r="X6910" s="2">
        <f ca="1"/>
        <v>48.434664828350378</v>
      </c>
      <c r="AG6910" s="2">
        <f ca="1"/>
        <v>0.47616338232729349</v>
      </c>
      <c r="AH6910" s="2" t="str">
        <f ca="1"/>
        <v>Bad</v>
      </c>
    </row>
    <row r="6911" spans="2:34" x14ac:dyDescent="0.2">
      <c r="B6911" s="2">
        <f ca="1"/>
        <v>0.93902566598327808</v>
      </c>
      <c r="O6911" s="2">
        <f ca="1"/>
        <v>0.26099620387459171</v>
      </c>
      <c r="X6911" s="2">
        <f ca="1"/>
        <v>59.957940852537128</v>
      </c>
      <c r="AG6911" s="2">
        <f ca="1"/>
        <v>0.64653962664255205</v>
      </c>
      <c r="AH6911" s="2" t="str">
        <f ca="1"/>
        <v>Bad</v>
      </c>
    </row>
    <row r="6912" spans="2:34" x14ac:dyDescent="0.2">
      <c r="B6912" s="2">
        <f ca="1"/>
        <v>0.60637144323149617</v>
      </c>
      <c r="O6912" s="2">
        <f ca="1"/>
        <v>1.9968919329056183</v>
      </c>
      <c r="X6912" s="2">
        <f ca="1"/>
        <v>14.242708154280564</v>
      </c>
      <c r="AG6912" s="2">
        <f ca="1"/>
        <v>0.33833869060384858</v>
      </c>
      <c r="AH6912" s="2" t="str">
        <f ca="1"/>
        <v>OK</v>
      </c>
    </row>
    <row r="6913" spans="2:34" x14ac:dyDescent="0.2">
      <c r="B6913" s="2">
        <f ca="1"/>
        <v>0.56115779790372033</v>
      </c>
      <c r="O6913" s="2">
        <f ca="1"/>
        <v>-0.50118186740800008</v>
      </c>
      <c r="X6913" s="2">
        <f ca="1"/>
        <v>51.474254490241421</v>
      </c>
      <c r="AG6913" s="2">
        <f ca="1"/>
        <v>0.87134684744856039</v>
      </c>
      <c r="AH6913" s="2" t="str">
        <f ca="1"/>
        <v>Bad</v>
      </c>
    </row>
    <row r="6914" spans="2:34" x14ac:dyDescent="0.2">
      <c r="B6914" s="2">
        <f ca="1"/>
        <v>0.42706045170309848</v>
      </c>
      <c r="O6914" s="2">
        <f ca="1"/>
        <v>0.40445123159454616</v>
      </c>
      <c r="X6914" s="2">
        <f ca="1"/>
        <v>32.396418443052532</v>
      </c>
      <c r="AG6914" s="2">
        <f ca="1"/>
        <v>5.7270450168447118E-2</v>
      </c>
      <c r="AH6914" s="2" t="str">
        <f ca="1"/>
        <v>OK</v>
      </c>
    </row>
    <row r="6915" spans="2:34" x14ac:dyDescent="0.2">
      <c r="B6915" s="2">
        <f ca="1"/>
        <v>0.71987262275103525</v>
      </c>
      <c r="O6915" s="2">
        <f ca="1"/>
        <v>0.73029525211152768</v>
      </c>
      <c r="X6915" s="2">
        <f ca="1"/>
        <v>49.365581070505236</v>
      </c>
      <c r="AG6915" s="2">
        <f ca="1"/>
        <v>0.86319135776185818</v>
      </c>
      <c r="AH6915" s="2" t="str">
        <f ca="1"/>
        <v>Bad</v>
      </c>
    </row>
    <row r="6916" spans="2:34" x14ac:dyDescent="0.2">
      <c r="B6916" s="2">
        <f ca="1"/>
        <v>8.7121966679110097E-2</v>
      </c>
      <c r="O6916" s="2">
        <f ca="1"/>
        <v>1.5960153341512704</v>
      </c>
      <c r="X6916" s="2">
        <f ca="1"/>
        <v>37.609652535508047</v>
      </c>
      <c r="AG6916" s="2">
        <f ca="1"/>
        <v>0.27015724990949441</v>
      </c>
      <c r="AH6916" s="2" t="str">
        <f ca="1"/>
        <v>OK</v>
      </c>
    </row>
    <row r="6917" spans="2:34" x14ac:dyDescent="0.2">
      <c r="B6917" s="2">
        <f ca="1"/>
        <v>0.68945157632592613</v>
      </c>
      <c r="O6917" s="2">
        <f ca="1"/>
        <v>-0.1387690613718377</v>
      </c>
      <c r="X6917" s="2">
        <f ca="1"/>
        <v>36.152609392122017</v>
      </c>
      <c r="AG6917" s="2">
        <f ca="1"/>
        <v>8.6848313076175021E-2</v>
      </c>
      <c r="AH6917" s="2" t="str">
        <f ca="1"/>
        <v>OK</v>
      </c>
    </row>
    <row r="6918" spans="2:34" x14ac:dyDescent="0.2">
      <c r="B6918" s="2">
        <f ca="1"/>
        <v>0.34088632276563136</v>
      </c>
      <c r="O6918" s="2">
        <f ca="1"/>
        <v>0.81264596628857111</v>
      </c>
      <c r="X6918" s="2">
        <f ca="1"/>
        <v>40.369383050429462</v>
      </c>
      <c r="AG6918" s="2">
        <f ca="1"/>
        <v>0.22325240418187664</v>
      </c>
      <c r="AH6918" s="2" t="str">
        <f ca="1"/>
        <v>OK</v>
      </c>
    </row>
    <row r="6919" spans="2:34" x14ac:dyDescent="0.2">
      <c r="B6919" s="2">
        <f ca="1"/>
        <v>0.24025224294274028</v>
      </c>
      <c r="O6919" s="2">
        <f ca="1"/>
        <v>0.83480389594823279</v>
      </c>
      <c r="X6919" s="2">
        <f ca="1"/>
        <v>60.566032727296843</v>
      </c>
      <c r="AG6919" s="2">
        <f ca="1"/>
        <v>0.11995710817032901</v>
      </c>
      <c r="AH6919" s="2" t="str">
        <f ca="1"/>
        <v>OK</v>
      </c>
    </row>
    <row r="6920" spans="2:34" x14ac:dyDescent="0.2">
      <c r="B6920" s="2">
        <f ca="1"/>
        <v>0.17666662542130473</v>
      </c>
      <c r="O6920" s="2">
        <f ca="1"/>
        <v>-1.0659069370939998</v>
      </c>
      <c r="X6920" s="2">
        <f ca="1"/>
        <v>34.385233608334985</v>
      </c>
      <c r="AG6920" s="2">
        <f ca="1"/>
        <v>0.57614265514554153</v>
      </c>
      <c r="AH6920" s="2" t="str">
        <f ca="1"/>
        <v>Bad</v>
      </c>
    </row>
    <row r="6921" spans="2:34" x14ac:dyDescent="0.2">
      <c r="B6921" s="2">
        <f ca="1"/>
        <v>0.28301222239984214</v>
      </c>
      <c r="O6921" s="2">
        <f ca="1"/>
        <v>-5.3552314235446347E-2</v>
      </c>
      <c r="X6921" s="2">
        <f ca="1"/>
        <v>86.986768301370034</v>
      </c>
      <c r="AG6921" s="2">
        <f ca="1"/>
        <v>0.3127192871185922</v>
      </c>
      <c r="AH6921" s="2" t="str">
        <f ca="1"/>
        <v>OK</v>
      </c>
    </row>
    <row r="6922" spans="2:34" x14ac:dyDescent="0.2">
      <c r="B6922" s="2">
        <f ca="1"/>
        <v>0.88248183358014187</v>
      </c>
      <c r="O6922" s="2">
        <f ca="1"/>
        <v>-1.2948903929152047</v>
      </c>
      <c r="X6922" s="2">
        <f ca="1"/>
        <v>37.341876618543694</v>
      </c>
      <c r="AG6922" s="2">
        <f ca="1"/>
        <v>4.1383950664087843E-2</v>
      </c>
      <c r="AH6922" s="2" t="str">
        <f ca="1"/>
        <v>Good</v>
      </c>
    </row>
    <row r="6923" spans="2:34" x14ac:dyDescent="0.2">
      <c r="B6923" s="2">
        <f ca="1"/>
        <v>1.5126009454936584E-2</v>
      </c>
      <c r="O6923" s="2">
        <f ca="1"/>
        <v>1.3060941992372048</v>
      </c>
      <c r="X6923" s="2">
        <f ca="1"/>
        <v>32.593710419645149</v>
      </c>
      <c r="AG6923" s="2">
        <f ca="1"/>
        <v>0.67087311683528417</v>
      </c>
      <c r="AH6923" s="2" t="str">
        <f ca="1"/>
        <v>Bad</v>
      </c>
    </row>
    <row r="6924" spans="2:34" x14ac:dyDescent="0.2">
      <c r="B6924" s="2">
        <f ca="1"/>
        <v>0.28164035544352162</v>
      </c>
      <c r="O6924" s="2">
        <f ca="1"/>
        <v>-0.33192518571566959</v>
      </c>
      <c r="X6924" s="2">
        <f ca="1"/>
        <v>49.2857428994784</v>
      </c>
      <c r="AG6924" s="2">
        <f ca="1"/>
        <v>0.83268331928759576</v>
      </c>
      <c r="AH6924" s="2" t="str">
        <f ca="1"/>
        <v>Bad</v>
      </c>
    </row>
    <row r="6925" spans="2:34" x14ac:dyDescent="0.2">
      <c r="B6925" s="2">
        <f ca="1"/>
        <v>0.83977282923996155</v>
      </c>
      <c r="O6925" s="2">
        <f ca="1"/>
        <v>6.2418770980265749E-2</v>
      </c>
      <c r="X6925" s="2">
        <f ca="1"/>
        <v>28.384365739216875</v>
      </c>
      <c r="AG6925" s="2">
        <f ca="1"/>
        <v>0.92688581976069662</v>
      </c>
      <c r="AH6925" s="2" t="str">
        <f ca="1"/>
        <v>Bad</v>
      </c>
    </row>
    <row r="6926" spans="2:34" x14ac:dyDescent="0.2">
      <c r="B6926" s="2">
        <f ca="1"/>
        <v>0.44616635634426238</v>
      </c>
      <c r="O6926" s="2">
        <f ca="1"/>
        <v>-1.2571952978317098</v>
      </c>
      <c r="X6926" s="2">
        <f ca="1"/>
        <v>63.280205688700889</v>
      </c>
      <c r="AG6926" s="2">
        <f ca="1"/>
        <v>0.48257536063534112</v>
      </c>
      <c r="AH6926" s="2" t="str">
        <f ca="1"/>
        <v>Bad</v>
      </c>
    </row>
    <row r="6927" spans="2:34" x14ac:dyDescent="0.2">
      <c r="B6927" s="2">
        <f ca="1"/>
        <v>9.1337198128499164E-2</v>
      </c>
      <c r="O6927" s="2">
        <f ca="1"/>
        <v>0.85001116889530814</v>
      </c>
      <c r="X6927" s="2">
        <f ca="1"/>
        <v>27.698291894838263</v>
      </c>
      <c r="AG6927" s="2">
        <f ca="1"/>
        <v>7.5737098563957383E-2</v>
      </c>
      <c r="AH6927" s="2" t="str">
        <f ca="1"/>
        <v>OK</v>
      </c>
    </row>
    <row r="6928" spans="2:34" x14ac:dyDescent="0.2">
      <c r="B6928" s="2">
        <f ca="1"/>
        <v>0.23829242042386967</v>
      </c>
      <c r="O6928" s="2">
        <f ca="1"/>
        <v>-0.93747790794236363</v>
      </c>
      <c r="X6928" s="2">
        <f ca="1"/>
        <v>40.497349608826227</v>
      </c>
      <c r="AG6928" s="2">
        <f ca="1"/>
        <v>0.98514100477621946</v>
      </c>
      <c r="AH6928" s="2" t="str">
        <f ca="1"/>
        <v>Bad</v>
      </c>
    </row>
    <row r="6929" spans="2:34" x14ac:dyDescent="0.2">
      <c r="B6929" s="2">
        <f ca="1"/>
        <v>0.63117559096899223</v>
      </c>
      <c r="O6929" s="2">
        <f ca="1"/>
        <v>0.34012394636547305</v>
      </c>
      <c r="X6929" s="2">
        <f ca="1"/>
        <v>58.749724507611411</v>
      </c>
      <c r="AG6929" s="2">
        <f ca="1"/>
        <v>0.89135190437563527</v>
      </c>
      <c r="AH6929" s="2" t="str">
        <f ca="1"/>
        <v>Bad</v>
      </c>
    </row>
    <row r="6930" spans="2:34" x14ac:dyDescent="0.2">
      <c r="B6930" s="2">
        <f ca="1"/>
        <v>0.32630367776422586</v>
      </c>
      <c r="O6930" s="2">
        <f ca="1"/>
        <v>-1.0476941251332319</v>
      </c>
      <c r="X6930" s="2">
        <f ca="1"/>
        <v>40.495086745986427</v>
      </c>
      <c r="AG6930" s="2">
        <f ca="1"/>
        <v>0.41038909518466871</v>
      </c>
      <c r="AH6930" s="2" t="str">
        <f ca="1"/>
        <v>Bad</v>
      </c>
    </row>
    <row r="6931" spans="2:34" x14ac:dyDescent="0.2">
      <c r="B6931" s="2">
        <f ca="1"/>
        <v>0.12904021305455471</v>
      </c>
      <c r="O6931" s="2">
        <f ca="1"/>
        <v>-1.3542282593763602</v>
      </c>
      <c r="X6931" s="2">
        <f ca="1"/>
        <v>48.716575275794646</v>
      </c>
      <c r="AG6931" s="2">
        <f ca="1"/>
        <v>0.65987764202859944</v>
      </c>
      <c r="AH6931" s="2" t="str">
        <f ca="1"/>
        <v>Bad</v>
      </c>
    </row>
    <row r="6932" spans="2:34" x14ac:dyDescent="0.2">
      <c r="B6932" s="2">
        <f ca="1"/>
        <v>0.64148768987321958</v>
      </c>
      <c r="O6932" s="2">
        <f ca="1"/>
        <v>-1.1148355751744035</v>
      </c>
      <c r="X6932" s="2">
        <f ca="1"/>
        <v>30.38402619819804</v>
      </c>
      <c r="AG6932" s="2">
        <f ca="1"/>
        <v>3.5898360858457545E-2</v>
      </c>
      <c r="AH6932" s="2" t="str">
        <f ca="1"/>
        <v>Good</v>
      </c>
    </row>
    <row r="6933" spans="2:34" x14ac:dyDescent="0.2">
      <c r="B6933" s="2">
        <f ca="1"/>
        <v>0.53391512432639976</v>
      </c>
      <c r="O6933" s="2">
        <f ca="1"/>
        <v>-5.1891485315015154E-2</v>
      </c>
      <c r="X6933" s="2">
        <f ca="1"/>
        <v>48.695204255514462</v>
      </c>
      <c r="AG6933" s="2">
        <f ca="1"/>
        <v>0.43732481123881239</v>
      </c>
      <c r="AH6933" s="2" t="str">
        <f ca="1"/>
        <v>Bad</v>
      </c>
    </row>
    <row r="6934" spans="2:34" x14ac:dyDescent="0.2">
      <c r="B6934" s="2">
        <f ca="1"/>
        <v>0.28000786367601216</v>
      </c>
      <c r="O6934" s="2">
        <f ca="1"/>
        <v>-0.25680635985720968</v>
      </c>
      <c r="X6934" s="2">
        <f ca="1"/>
        <v>41.013601462574641</v>
      </c>
      <c r="AG6934" s="2">
        <f ca="1"/>
        <v>0.62267891149397681</v>
      </c>
      <c r="AH6934" s="2" t="str">
        <f ca="1"/>
        <v>Bad</v>
      </c>
    </row>
    <row r="6935" spans="2:34" x14ac:dyDescent="0.2">
      <c r="B6935" s="2">
        <f ca="1"/>
        <v>0.6289319127207551</v>
      </c>
      <c r="O6935" s="2">
        <f ca="1"/>
        <v>1.0507526673299274</v>
      </c>
      <c r="X6935" s="2">
        <f ca="1"/>
        <v>50.084271753263963</v>
      </c>
      <c r="AG6935" s="2">
        <f ca="1"/>
        <v>0.88752125646033897</v>
      </c>
      <c r="AH6935" s="2" t="str">
        <f ca="1"/>
        <v>Bad</v>
      </c>
    </row>
    <row r="6936" spans="2:34" x14ac:dyDescent="0.2">
      <c r="B6936" s="2">
        <f ca="1"/>
        <v>0.88678561970877134</v>
      </c>
      <c r="O6936" s="2">
        <f ca="1"/>
        <v>0.29558243228172254</v>
      </c>
      <c r="X6936" s="2">
        <f ca="1"/>
        <v>28.276528446173966</v>
      </c>
      <c r="AG6936" s="2">
        <f ca="1"/>
        <v>0.37626023466691105</v>
      </c>
      <c r="AH6936" s="2" t="str">
        <f ca="1"/>
        <v>OK</v>
      </c>
    </row>
    <row r="6937" spans="2:34" x14ac:dyDescent="0.2">
      <c r="B6937" s="2">
        <f ca="1"/>
        <v>0.66258801022061076</v>
      </c>
      <c r="O6937" s="2">
        <f ca="1"/>
        <v>0.4876309122019305</v>
      </c>
      <c r="X6937" s="2">
        <f ca="1"/>
        <v>55.748224263155628</v>
      </c>
      <c r="AG6937" s="2">
        <f ca="1"/>
        <v>0.37617047797987047</v>
      </c>
      <c r="AH6937" s="2" t="str">
        <f ca="1"/>
        <v>OK</v>
      </c>
    </row>
    <row r="6938" spans="2:34" x14ac:dyDescent="0.2">
      <c r="B6938" s="2">
        <f ca="1"/>
        <v>0.53976948195008423</v>
      </c>
      <c r="O6938" s="2">
        <f ca="1"/>
        <v>0.92803590084952192</v>
      </c>
      <c r="X6938" s="2">
        <f ca="1"/>
        <v>24.975451446643397</v>
      </c>
      <c r="AG6938" s="2">
        <f ca="1"/>
        <v>0.99633857326495945</v>
      </c>
      <c r="AH6938" s="2" t="str">
        <f ca="1"/>
        <v>Bad</v>
      </c>
    </row>
    <row r="6939" spans="2:34" x14ac:dyDescent="0.2">
      <c r="B6939" s="2">
        <f ca="1"/>
        <v>0.39565883184234951</v>
      </c>
      <c r="O6939" s="2">
        <f ca="1"/>
        <v>0.93552860136751703</v>
      </c>
      <c r="X6939" s="2">
        <f ca="1"/>
        <v>58.889642423235685</v>
      </c>
      <c r="AG6939" s="2">
        <f ca="1"/>
        <v>0.59502379439962283</v>
      </c>
      <c r="AH6939" s="2" t="str">
        <f ca="1"/>
        <v>Bad</v>
      </c>
    </row>
    <row r="6940" spans="2:34" x14ac:dyDescent="0.2">
      <c r="B6940" s="2">
        <f ca="1"/>
        <v>0.72120853503489868</v>
      </c>
      <c r="O6940" s="2">
        <f ca="1"/>
        <v>0.15836227510447787</v>
      </c>
      <c r="X6940" s="2">
        <f ca="1"/>
        <v>44.011022887148059</v>
      </c>
      <c r="AG6940" s="2">
        <f ca="1"/>
        <v>4.2507815607613075E-3</v>
      </c>
      <c r="AH6940" s="2" t="str">
        <f ca="1"/>
        <v>Good</v>
      </c>
    </row>
    <row r="6941" spans="2:34" x14ac:dyDescent="0.2">
      <c r="B6941" s="2">
        <f ca="1"/>
        <v>0.39485107152276311</v>
      </c>
      <c r="O6941" s="2">
        <f ca="1"/>
        <v>0.18909767830435262</v>
      </c>
      <c r="X6941" s="2">
        <f ca="1"/>
        <v>53.140478486461873</v>
      </c>
      <c r="AG6941" s="2">
        <f ca="1"/>
        <v>0.88789514007589787</v>
      </c>
      <c r="AH6941" s="2" t="str">
        <f ca="1"/>
        <v>Bad</v>
      </c>
    </row>
    <row r="6942" spans="2:34" x14ac:dyDescent="0.2">
      <c r="B6942" s="2">
        <f ca="1"/>
        <v>0.86431107525206818</v>
      </c>
      <c r="O6942" s="2">
        <f ca="1"/>
        <v>0.2093694741474719</v>
      </c>
      <c r="X6942" s="2">
        <f ca="1"/>
        <v>44.635614915842893</v>
      </c>
      <c r="AG6942" s="2">
        <f ca="1"/>
        <v>0.65100980861084312</v>
      </c>
      <c r="AH6942" s="2" t="str">
        <f ca="1"/>
        <v>Bad</v>
      </c>
    </row>
    <row r="6943" spans="2:34" x14ac:dyDescent="0.2">
      <c r="B6943" s="2">
        <f ca="1"/>
        <v>0.62987943894807708</v>
      </c>
      <c r="O6943" s="2">
        <f ca="1"/>
        <v>-0.75339563199793858</v>
      </c>
      <c r="X6943" s="2">
        <f ca="1"/>
        <v>54.500376354716373</v>
      </c>
      <c r="AG6943" s="2">
        <f ca="1"/>
        <v>0.12155924221873016</v>
      </c>
      <c r="AH6943" s="2" t="str">
        <f ca="1"/>
        <v>OK</v>
      </c>
    </row>
    <row r="6944" spans="2:34" x14ac:dyDescent="0.2">
      <c r="B6944" s="2">
        <f ca="1"/>
        <v>0.41892461356584865</v>
      </c>
      <c r="O6944" s="2">
        <f ca="1"/>
        <v>-0.49228319213362315</v>
      </c>
      <c r="X6944" s="2">
        <f ca="1"/>
        <v>54.551220655528837</v>
      </c>
      <c r="AG6944" s="2">
        <f ca="1"/>
        <v>0.47750890910391153</v>
      </c>
      <c r="AH6944" s="2" t="str">
        <f ca="1"/>
        <v>Bad</v>
      </c>
    </row>
    <row r="6945" spans="2:34" x14ac:dyDescent="0.2">
      <c r="B6945" s="2">
        <f ca="1"/>
        <v>0.29408879438178648</v>
      </c>
      <c r="O6945" s="2">
        <f ca="1"/>
        <v>0.70122393371516822</v>
      </c>
      <c r="X6945" s="2">
        <f ca="1"/>
        <v>62.07400830946149</v>
      </c>
      <c r="AG6945" s="2">
        <f ca="1"/>
        <v>0.29958329912099613</v>
      </c>
      <c r="AH6945" s="2" t="str">
        <f ca="1"/>
        <v>OK</v>
      </c>
    </row>
    <row r="6946" spans="2:34" x14ac:dyDescent="0.2">
      <c r="B6946" s="2">
        <f ca="1"/>
        <v>2.9030247713055735E-2</v>
      </c>
      <c r="O6946" s="2">
        <f ca="1"/>
        <v>0.50363186260947956</v>
      </c>
      <c r="X6946" s="2">
        <f ca="1"/>
        <v>65.033647042444187</v>
      </c>
      <c r="AG6946" s="2">
        <f ca="1"/>
        <v>0.45793947592376183</v>
      </c>
      <c r="AH6946" s="2" t="str">
        <f ca="1"/>
        <v>Bad</v>
      </c>
    </row>
    <row r="6947" spans="2:34" x14ac:dyDescent="0.2">
      <c r="B6947" s="2">
        <f ca="1"/>
        <v>0.76411108152484908</v>
      </c>
      <c r="O6947" s="2">
        <f ca="1"/>
        <v>0.28099936684224158</v>
      </c>
      <c r="X6947" s="2">
        <f ca="1"/>
        <v>35.325453476681233</v>
      </c>
      <c r="AG6947" s="2">
        <f ca="1"/>
        <v>0.53362298569495148</v>
      </c>
      <c r="AH6947" s="2" t="str">
        <f ca="1"/>
        <v>Bad</v>
      </c>
    </row>
    <row r="6948" spans="2:34" x14ac:dyDescent="0.2">
      <c r="B6948" s="2">
        <f ca="1"/>
        <v>0.66521489470134898</v>
      </c>
      <c r="O6948" s="2">
        <f ca="1"/>
        <v>-0.39044377180633622</v>
      </c>
      <c r="X6948" s="2">
        <f ca="1"/>
        <v>36.881211267293772</v>
      </c>
      <c r="AG6948" s="2">
        <f ca="1"/>
        <v>0.46566831775499229</v>
      </c>
      <c r="AH6948" s="2" t="str">
        <f ca="1"/>
        <v>Bad</v>
      </c>
    </row>
    <row r="6949" spans="2:34" x14ac:dyDescent="0.2">
      <c r="B6949" s="2">
        <f ca="1"/>
        <v>0.74744708122697112</v>
      </c>
      <c r="O6949" s="2">
        <f ca="1"/>
        <v>-0.69268965494067214</v>
      </c>
      <c r="X6949" s="2">
        <f ca="1"/>
        <v>34.173928353318011</v>
      </c>
      <c r="AG6949" s="2">
        <f ca="1"/>
        <v>1.2126916519718645E-2</v>
      </c>
      <c r="AH6949" s="2" t="str">
        <f ca="1"/>
        <v>Good</v>
      </c>
    </row>
    <row r="6950" spans="2:34" x14ac:dyDescent="0.2">
      <c r="B6950" s="2">
        <f ca="1"/>
        <v>0.4995330257697066</v>
      </c>
      <c r="O6950" s="2">
        <f ca="1"/>
        <v>1.7568240899722953</v>
      </c>
      <c r="X6950" s="2">
        <f ca="1"/>
        <v>53.575905819094949</v>
      </c>
      <c r="AG6950" s="2">
        <f ca="1"/>
        <v>0.21804736228967614</v>
      </c>
      <c r="AH6950" s="2" t="str">
        <f ca="1"/>
        <v>OK</v>
      </c>
    </row>
    <row r="6951" spans="2:34" x14ac:dyDescent="0.2">
      <c r="B6951" s="2">
        <f ca="1"/>
        <v>6.356561319484455E-2</v>
      </c>
      <c r="O6951" s="2">
        <f ca="1"/>
        <v>-0.53769965823559507</v>
      </c>
      <c r="X6951" s="2">
        <f ca="1"/>
        <v>31.67190877779117</v>
      </c>
      <c r="AG6951" s="2">
        <f ca="1"/>
        <v>0.29157609676377882</v>
      </c>
      <c r="AH6951" s="2" t="str">
        <f ca="1"/>
        <v>OK</v>
      </c>
    </row>
    <row r="6952" spans="2:34" x14ac:dyDescent="0.2">
      <c r="B6952" s="2">
        <f ca="1"/>
        <v>0.12098278534280338</v>
      </c>
      <c r="O6952" s="2">
        <f ca="1"/>
        <v>0.65657383594824115</v>
      </c>
      <c r="X6952" s="2">
        <f ca="1"/>
        <v>51.012468203850226</v>
      </c>
      <c r="AG6952" s="2">
        <f ca="1"/>
        <v>0.94663215798842848</v>
      </c>
      <c r="AH6952" s="2" t="str">
        <f ca="1"/>
        <v>Bad</v>
      </c>
    </row>
    <row r="6953" spans="2:34" x14ac:dyDescent="0.2">
      <c r="B6953" s="2">
        <f ca="1"/>
        <v>0.60744628870201578</v>
      </c>
      <c r="O6953" s="2">
        <f ca="1"/>
        <v>0.60388058293674352</v>
      </c>
      <c r="X6953" s="2">
        <f ca="1"/>
        <v>47.237355246858158</v>
      </c>
      <c r="AG6953" s="2">
        <f ca="1"/>
        <v>0.34322127102439204</v>
      </c>
      <c r="AH6953" s="2" t="str">
        <f ca="1"/>
        <v>OK</v>
      </c>
    </row>
    <row r="6954" spans="2:34" x14ac:dyDescent="0.2">
      <c r="B6954" s="2">
        <f ca="1"/>
        <v>0.70669716249194869</v>
      </c>
      <c r="O6954" s="2">
        <f ca="1"/>
        <v>-0.48544755977157839</v>
      </c>
      <c r="X6954" s="2">
        <f ca="1"/>
        <v>98.780891731841081</v>
      </c>
      <c r="AG6954" s="2">
        <f ca="1"/>
        <v>0.75740475983450306</v>
      </c>
      <c r="AH6954" s="2" t="str">
        <f ca="1"/>
        <v>Bad</v>
      </c>
    </row>
    <row r="6955" spans="2:34" x14ac:dyDescent="0.2">
      <c r="B6955" s="2">
        <f ca="1"/>
        <v>0.44943663226823705</v>
      </c>
      <c r="O6955" s="2">
        <f ca="1"/>
        <v>0.45281691382929301</v>
      </c>
      <c r="X6955" s="2">
        <f ca="1"/>
        <v>32.076830727899932</v>
      </c>
      <c r="AG6955" s="2">
        <f ca="1"/>
        <v>0.92454256220235798</v>
      </c>
      <c r="AH6955" s="2" t="str">
        <f ca="1"/>
        <v>Bad</v>
      </c>
    </row>
    <row r="6956" spans="2:34" x14ac:dyDescent="0.2">
      <c r="B6956" s="2">
        <f ca="1"/>
        <v>0.31331457250249706</v>
      </c>
      <c r="O6956" s="2">
        <f ca="1"/>
        <v>-1.4323283009612811</v>
      </c>
      <c r="X6956" s="2">
        <f ca="1"/>
        <v>28.136148420103432</v>
      </c>
      <c r="AG6956" s="2">
        <f ca="1"/>
        <v>0.42330326392003381</v>
      </c>
      <c r="AH6956" s="2" t="str">
        <f ca="1"/>
        <v>Bad</v>
      </c>
    </row>
    <row r="6957" spans="2:34" x14ac:dyDescent="0.2">
      <c r="B6957" s="2">
        <f ca="1"/>
        <v>0.87416484557377694</v>
      </c>
      <c r="O6957" s="2">
        <f ca="1"/>
        <v>-0.69073014131244803</v>
      </c>
      <c r="X6957" s="2">
        <f ca="1"/>
        <v>30.686117851945028</v>
      </c>
      <c r="AG6957" s="2">
        <f ca="1"/>
        <v>6.9730696746582499E-2</v>
      </c>
      <c r="AH6957" s="2" t="str">
        <f ca="1"/>
        <v>OK</v>
      </c>
    </row>
    <row r="6958" spans="2:34" x14ac:dyDescent="0.2">
      <c r="B6958" s="2">
        <f ca="1"/>
        <v>0.5062596037423539</v>
      </c>
      <c r="O6958" s="2">
        <f ca="1"/>
        <v>-0.31548156706914954</v>
      </c>
      <c r="X6958" s="2">
        <f ca="1"/>
        <v>38.205833205191055</v>
      </c>
      <c r="AG6958" s="2">
        <f ca="1"/>
        <v>0.3540601762123512</v>
      </c>
      <c r="AH6958" s="2" t="str">
        <f ca="1"/>
        <v>OK</v>
      </c>
    </row>
    <row r="6959" spans="2:34" x14ac:dyDescent="0.2">
      <c r="B6959" s="2">
        <f ca="1"/>
        <v>0.15685019372639397</v>
      </c>
      <c r="O6959" s="2">
        <f ca="1"/>
        <v>-9.8507445024321391E-2</v>
      </c>
      <c r="X6959" s="2">
        <f ca="1"/>
        <v>65.319320060136747</v>
      </c>
      <c r="AG6959" s="2">
        <f ca="1"/>
        <v>0.4484230881251221</v>
      </c>
      <c r="AH6959" s="2" t="str">
        <f ca="1"/>
        <v>Bad</v>
      </c>
    </row>
    <row r="6960" spans="2:34" x14ac:dyDescent="0.2">
      <c r="B6960" s="2">
        <f ca="1"/>
        <v>0.3652355305825179</v>
      </c>
      <c r="O6960" s="2">
        <f ca="1"/>
        <v>-1.2106056346165206</v>
      </c>
      <c r="X6960" s="2">
        <f ca="1"/>
        <v>50.296625770423404</v>
      </c>
      <c r="AG6960" s="2">
        <f ca="1"/>
        <v>0.34698333672816473</v>
      </c>
      <c r="AH6960" s="2" t="str">
        <f ca="1"/>
        <v>OK</v>
      </c>
    </row>
    <row r="6961" spans="2:34" x14ac:dyDescent="0.2">
      <c r="B6961" s="2">
        <f ca="1"/>
        <v>0.43975796640758191</v>
      </c>
      <c r="O6961" s="2">
        <f ca="1"/>
        <v>-0.29546788693777859</v>
      </c>
      <c r="X6961" s="2">
        <f ca="1"/>
        <v>80.7965090085507</v>
      </c>
      <c r="AG6961" s="2">
        <f ca="1"/>
        <v>0.3256555082081849</v>
      </c>
      <c r="AH6961" s="2" t="str">
        <f ca="1"/>
        <v>OK</v>
      </c>
    </row>
    <row r="6962" spans="2:34" x14ac:dyDescent="0.2">
      <c r="B6962" s="2">
        <f ca="1"/>
        <v>0.40996886110791153</v>
      </c>
      <c r="O6962" s="2">
        <f ca="1"/>
        <v>-1.1749092377676509</v>
      </c>
      <c r="X6962" s="2">
        <f ca="1"/>
        <v>56.542126737362963</v>
      </c>
      <c r="AG6962" s="2">
        <f ca="1"/>
        <v>0.71256142509580322</v>
      </c>
      <c r="AH6962" s="2" t="str">
        <f ca="1"/>
        <v>Bad</v>
      </c>
    </row>
    <row r="6963" spans="2:34" x14ac:dyDescent="0.2">
      <c r="B6963" s="2">
        <f ca="1"/>
        <v>0.97401374182482692</v>
      </c>
      <c r="O6963" s="2">
        <f ca="1"/>
        <v>0.43042854640293721</v>
      </c>
      <c r="X6963" s="2">
        <f ca="1"/>
        <v>59.205722030923262</v>
      </c>
      <c r="AG6963" s="2">
        <f ca="1"/>
        <v>0.64865039935280966</v>
      </c>
      <c r="AH6963" s="2" t="str">
        <f ca="1"/>
        <v>Bad</v>
      </c>
    </row>
    <row r="6964" spans="2:34" x14ac:dyDescent="0.2">
      <c r="B6964" s="2">
        <f ca="1"/>
        <v>0.19509967988893839</v>
      </c>
      <c r="O6964" s="2">
        <f ca="1"/>
        <v>0.27630007893896263</v>
      </c>
      <c r="X6964" s="2">
        <f ca="1"/>
        <v>53.476712236268369</v>
      </c>
      <c r="AG6964" s="2">
        <f ca="1"/>
        <v>0.66218845063467957</v>
      </c>
      <c r="AH6964" s="2" t="str">
        <f ca="1"/>
        <v>Bad</v>
      </c>
    </row>
    <row r="6965" spans="2:34" x14ac:dyDescent="0.2">
      <c r="B6965" s="2">
        <f ca="1"/>
        <v>0.8308007672447193</v>
      </c>
      <c r="O6965" s="2">
        <f ca="1"/>
        <v>-0.92228024466609881</v>
      </c>
      <c r="X6965" s="2">
        <f ca="1"/>
        <v>65.723361803174058</v>
      </c>
      <c r="AG6965" s="2">
        <f ca="1"/>
        <v>0.22819955473925235</v>
      </c>
      <c r="AH6965" s="2" t="str">
        <f ca="1"/>
        <v>OK</v>
      </c>
    </row>
    <row r="6966" spans="2:34" x14ac:dyDescent="0.2">
      <c r="B6966" s="2">
        <f ca="1"/>
        <v>0.3558015214574799</v>
      </c>
      <c r="O6966" s="2">
        <f ca="1"/>
        <v>-7.5140937702309021E-2</v>
      </c>
      <c r="X6966" s="2">
        <f ca="1"/>
        <v>51.506994316326946</v>
      </c>
      <c r="AG6966" s="2">
        <f ca="1"/>
        <v>1.0691238968241201E-2</v>
      </c>
      <c r="AH6966" s="2" t="str">
        <f ca="1"/>
        <v>Good</v>
      </c>
    </row>
    <row r="6967" spans="2:34" x14ac:dyDescent="0.2">
      <c r="B6967" s="2">
        <f ca="1"/>
        <v>0.12598731236667526</v>
      </c>
      <c r="O6967" s="2">
        <f ca="1"/>
        <v>-0.51611566355584249</v>
      </c>
      <c r="X6967" s="2">
        <f ca="1"/>
        <v>45.838022422846748</v>
      </c>
      <c r="AG6967" s="2">
        <f ca="1"/>
        <v>0.26490438449401887</v>
      </c>
      <c r="AH6967" s="2" t="str">
        <f ca="1"/>
        <v>OK</v>
      </c>
    </row>
    <row r="6968" spans="2:34" x14ac:dyDescent="0.2">
      <c r="B6968" s="2">
        <f ca="1"/>
        <v>0.95795852037867557</v>
      </c>
      <c r="O6968" s="2">
        <f ca="1"/>
        <v>1.2952646322567547</v>
      </c>
      <c r="X6968" s="2">
        <f ca="1"/>
        <v>61.839565626963633</v>
      </c>
      <c r="AG6968" s="2">
        <f ca="1"/>
        <v>0.73408165690808724</v>
      </c>
      <c r="AH6968" s="2" t="str">
        <f ca="1"/>
        <v>Bad</v>
      </c>
    </row>
    <row r="6969" spans="2:34" x14ac:dyDescent="0.2">
      <c r="B6969" s="2">
        <f ca="1"/>
        <v>0.39761878297952213</v>
      </c>
      <c r="O6969" s="2">
        <f ca="1"/>
        <v>0.65092213884692607</v>
      </c>
      <c r="X6969" s="2">
        <f ca="1"/>
        <v>26.553321578454543</v>
      </c>
      <c r="AG6969" s="2">
        <f ca="1"/>
        <v>0.22616902387636428</v>
      </c>
      <c r="AH6969" s="2" t="str">
        <f ca="1"/>
        <v>OK</v>
      </c>
    </row>
    <row r="6970" spans="2:34" x14ac:dyDescent="0.2">
      <c r="B6970" s="2">
        <f ca="1"/>
        <v>0.64864473405797285</v>
      </c>
      <c r="O6970" s="2">
        <f ca="1"/>
        <v>4.1143893304478527E-2</v>
      </c>
      <c r="X6970" s="2">
        <f ca="1"/>
        <v>26.602327845588896</v>
      </c>
      <c r="AG6970" s="2">
        <f ca="1"/>
        <v>0.68964161159496618</v>
      </c>
      <c r="AH6970" s="2" t="str">
        <f ca="1"/>
        <v>Bad</v>
      </c>
    </row>
    <row r="6971" spans="2:34" x14ac:dyDescent="0.2">
      <c r="B6971" s="2">
        <f ca="1"/>
        <v>0.45685116993260499</v>
      </c>
      <c r="O6971" s="2">
        <f ca="1"/>
        <v>-1.681099516672774</v>
      </c>
      <c r="X6971" s="2">
        <f ca="1"/>
        <v>37.423735718657902</v>
      </c>
      <c r="AG6971" s="2">
        <f ca="1"/>
        <v>0.52662998363872449</v>
      </c>
      <c r="AH6971" s="2" t="str">
        <f ca="1"/>
        <v>Bad</v>
      </c>
    </row>
    <row r="6972" spans="2:34" x14ac:dyDescent="0.2">
      <c r="B6972" s="2">
        <f ca="1"/>
        <v>0.62992428695416391</v>
      </c>
      <c r="O6972" s="2">
        <f ca="1"/>
        <v>1.1628109507061446</v>
      </c>
      <c r="X6972" s="2">
        <f ca="1"/>
        <v>46.239405572482219</v>
      </c>
      <c r="AG6972" s="2">
        <f ca="1"/>
        <v>0.26338382442877739</v>
      </c>
      <c r="AH6972" s="2" t="str">
        <f ca="1"/>
        <v>OK</v>
      </c>
    </row>
    <row r="6973" spans="2:34" x14ac:dyDescent="0.2">
      <c r="B6973" s="2">
        <f ca="1"/>
        <v>2.5597755195727601E-3</v>
      </c>
      <c r="O6973" s="2">
        <f ca="1"/>
        <v>0.95838895528957668</v>
      </c>
      <c r="X6973" s="2">
        <f ca="1"/>
        <v>30.000951582614785</v>
      </c>
      <c r="AG6973" s="2">
        <f ca="1"/>
        <v>1.0727706542650095E-2</v>
      </c>
      <c r="AH6973" s="2" t="str">
        <f ca="1"/>
        <v>Good</v>
      </c>
    </row>
    <row r="6974" spans="2:34" x14ac:dyDescent="0.2">
      <c r="B6974" s="2">
        <f ca="1"/>
        <v>0.50659534305133769</v>
      </c>
      <c r="O6974" s="2">
        <f ca="1"/>
        <v>0.43979542451813652</v>
      </c>
      <c r="X6974" s="2">
        <f ca="1"/>
        <v>57.594384615974825</v>
      </c>
      <c r="AG6974" s="2">
        <f ca="1"/>
        <v>0.56809317141833793</v>
      </c>
      <c r="AH6974" s="2" t="str">
        <f ca="1"/>
        <v>Bad</v>
      </c>
    </row>
    <row r="6975" spans="2:34" x14ac:dyDescent="0.2">
      <c r="B6975" s="2">
        <f ca="1"/>
        <v>0.31985712543915912</v>
      </c>
      <c r="O6975" s="2">
        <f ca="1"/>
        <v>-0.13297702472630238</v>
      </c>
      <c r="X6975" s="2">
        <f ca="1"/>
        <v>49.425317737762207</v>
      </c>
      <c r="AG6975" s="2">
        <f ca="1"/>
        <v>0.89747041118033821</v>
      </c>
      <c r="AH6975" s="2" t="str">
        <f ca="1"/>
        <v>Bad</v>
      </c>
    </row>
    <row r="6976" spans="2:34" x14ac:dyDescent="0.2">
      <c r="B6976" s="2">
        <f ca="1"/>
        <v>0.30095931677120324</v>
      </c>
      <c r="O6976" s="2">
        <f ca="1"/>
        <v>0.46178602954303943</v>
      </c>
      <c r="X6976" s="2">
        <f ca="1"/>
        <v>32.135795404947551</v>
      </c>
      <c r="AG6976" s="2">
        <f ca="1"/>
        <v>0.46899125412253739</v>
      </c>
      <c r="AH6976" s="2" t="str">
        <f ca="1"/>
        <v>Bad</v>
      </c>
    </row>
    <row r="6977" spans="2:34" x14ac:dyDescent="0.2">
      <c r="B6977" s="2">
        <f ca="1"/>
        <v>0.15647457026130884</v>
      </c>
      <c r="O6977" s="2">
        <f ca="1"/>
        <v>1.2318959575425998</v>
      </c>
      <c r="X6977" s="2">
        <f ca="1"/>
        <v>76.830419925180507</v>
      </c>
      <c r="AG6977" s="2">
        <f ca="1"/>
        <v>0.79269302539029884</v>
      </c>
      <c r="AH6977" s="2" t="str">
        <f ca="1"/>
        <v>Bad</v>
      </c>
    </row>
    <row r="6978" spans="2:34" x14ac:dyDescent="0.2">
      <c r="B6978" s="2">
        <f ca="1"/>
        <v>0.86657350503294817</v>
      </c>
      <c r="O6978" s="2">
        <f ca="1"/>
        <v>-8.4063682792155883E-2</v>
      </c>
      <c r="X6978" s="2">
        <f ca="1"/>
        <v>72.606033442239465</v>
      </c>
      <c r="AG6978" s="2">
        <f ca="1"/>
        <v>0.34910967747600119</v>
      </c>
      <c r="AH6978" s="2" t="str">
        <f ca="1"/>
        <v>OK</v>
      </c>
    </row>
    <row r="6979" spans="2:34" x14ac:dyDescent="0.2">
      <c r="B6979" s="2">
        <f ca="1"/>
        <v>0.9119741830420498</v>
      </c>
      <c r="O6979" s="2">
        <f ca="1"/>
        <v>-1.1265227378192118</v>
      </c>
      <c r="X6979" s="2">
        <f ca="1"/>
        <v>46.479617770155656</v>
      </c>
      <c r="AG6979" s="2">
        <f ca="1"/>
        <v>0.34721922802764449</v>
      </c>
      <c r="AH6979" s="2" t="str">
        <f ca="1"/>
        <v>OK</v>
      </c>
    </row>
    <row r="6980" spans="2:34" x14ac:dyDescent="0.2">
      <c r="B6980" s="2">
        <f ca="1"/>
        <v>0.78145989104105307</v>
      </c>
      <c r="O6980" s="2">
        <f ca="1"/>
        <v>0.47226900466715954</v>
      </c>
      <c r="X6980" s="2">
        <f ca="1"/>
        <v>37.392550813782719</v>
      </c>
      <c r="AG6980" s="2">
        <f ca="1"/>
        <v>0.46047133393645789</v>
      </c>
      <c r="AH6980" s="2" t="str">
        <f ca="1"/>
        <v>Bad</v>
      </c>
    </row>
    <row r="6981" spans="2:34" x14ac:dyDescent="0.2">
      <c r="B6981" s="2">
        <f ca="1"/>
        <v>0.27088435043166714</v>
      </c>
      <c r="O6981" s="2">
        <f ca="1"/>
        <v>-0.90594651994168918</v>
      </c>
      <c r="X6981" s="2">
        <f ca="1"/>
        <v>26.827678565769855</v>
      </c>
      <c r="AG6981" s="2">
        <f ca="1"/>
        <v>0.35062082569254271</v>
      </c>
      <c r="AH6981" s="2" t="str">
        <f ca="1"/>
        <v>OK</v>
      </c>
    </row>
    <row r="6982" spans="2:34" x14ac:dyDescent="0.2">
      <c r="B6982" s="2">
        <f ca="1"/>
        <v>0.39647527766472712</v>
      </c>
      <c r="O6982" s="2">
        <f ca="1"/>
        <v>0.12939616475708521</v>
      </c>
      <c r="X6982" s="2">
        <f ca="1"/>
        <v>57.711138577491127</v>
      </c>
      <c r="AG6982" s="2">
        <f ca="1"/>
        <v>0.39948780580775534</v>
      </c>
      <c r="AH6982" s="2" t="str">
        <f ca="1"/>
        <v>OK</v>
      </c>
    </row>
    <row r="6983" spans="2:34" x14ac:dyDescent="0.2">
      <c r="B6983" s="2">
        <f ca="1"/>
        <v>0.49478450711893984</v>
      </c>
      <c r="O6983" s="2">
        <f ca="1"/>
        <v>1.0078526569453798</v>
      </c>
      <c r="X6983" s="2">
        <f ca="1"/>
        <v>46.815597861226152</v>
      </c>
      <c r="AG6983" s="2">
        <f ca="1"/>
        <v>0.18776793409380454</v>
      </c>
      <c r="AH6983" s="2" t="str">
        <f ca="1"/>
        <v>OK</v>
      </c>
    </row>
    <row r="6984" spans="2:34" x14ac:dyDescent="0.2">
      <c r="B6984" s="2">
        <f ca="1"/>
        <v>0.2605830938296565</v>
      </c>
      <c r="O6984" s="2">
        <f ca="1"/>
        <v>0.17886231138715408</v>
      </c>
      <c r="X6984" s="2">
        <f ca="1"/>
        <v>69.59258132939334</v>
      </c>
      <c r="AG6984" s="2">
        <f ca="1"/>
        <v>0.42037227851312453</v>
      </c>
      <c r="AH6984" s="2" t="str">
        <f ca="1"/>
        <v>Bad</v>
      </c>
    </row>
    <row r="6985" spans="2:34" x14ac:dyDescent="0.2">
      <c r="B6985" s="2">
        <f ca="1"/>
        <v>4.0042826255310304E-2</v>
      </c>
      <c r="O6985" s="2">
        <f ca="1"/>
        <v>1.2032050845554985</v>
      </c>
      <c r="X6985" s="2">
        <f ca="1"/>
        <v>32.841036063301488</v>
      </c>
      <c r="AG6985" s="2">
        <f ca="1"/>
        <v>0.13667106616069691</v>
      </c>
      <c r="AH6985" s="2" t="str">
        <f ca="1"/>
        <v>OK</v>
      </c>
    </row>
    <row r="6986" spans="2:34" x14ac:dyDescent="0.2">
      <c r="B6986" s="2">
        <f ca="1"/>
        <v>0.40867945566384001</v>
      </c>
      <c r="O6986" s="2">
        <f ca="1"/>
        <v>8.6158421673831462E-2</v>
      </c>
      <c r="X6986" s="2">
        <f ca="1"/>
        <v>60.296135910307349</v>
      </c>
      <c r="AG6986" s="2">
        <f ca="1"/>
        <v>0.16962574028212196</v>
      </c>
      <c r="AH6986" s="2" t="str">
        <f ca="1"/>
        <v>OK</v>
      </c>
    </row>
    <row r="6987" spans="2:34" x14ac:dyDescent="0.2">
      <c r="B6987" s="2">
        <f ca="1"/>
        <v>0.75885017284507117</v>
      </c>
      <c r="O6987" s="2">
        <f ca="1"/>
        <v>0.58513057444062633</v>
      </c>
      <c r="X6987" s="2">
        <f ca="1"/>
        <v>61.050422056128859</v>
      </c>
      <c r="AG6987" s="2">
        <f ca="1"/>
        <v>0.67619947906622113</v>
      </c>
      <c r="AH6987" s="2" t="str">
        <f ca="1"/>
        <v>Bad</v>
      </c>
    </row>
    <row r="6988" spans="2:34" x14ac:dyDescent="0.2">
      <c r="B6988" s="2">
        <f ca="1"/>
        <v>0.76065750571103408</v>
      </c>
      <c r="O6988" s="2">
        <f ca="1"/>
        <v>0.74594702869208918</v>
      </c>
      <c r="X6988" s="2">
        <f ca="1"/>
        <v>41.70973650541022</v>
      </c>
      <c r="AG6988" s="2">
        <f ca="1"/>
        <v>0.82692443263182347</v>
      </c>
      <c r="AH6988" s="2" t="str">
        <f ca="1"/>
        <v>Bad</v>
      </c>
    </row>
    <row r="6989" spans="2:34" x14ac:dyDescent="0.2">
      <c r="B6989" s="2">
        <f ca="1"/>
        <v>0.80127076013985143</v>
      </c>
      <c r="O6989" s="2">
        <f ca="1"/>
        <v>-0.5765340404441921</v>
      </c>
      <c r="X6989" s="2">
        <f ca="1"/>
        <v>73.279305588196323</v>
      </c>
      <c r="AG6989" s="2">
        <f ca="1"/>
        <v>0.19858787760306629</v>
      </c>
      <c r="AH6989" s="2" t="str">
        <f ca="1"/>
        <v>OK</v>
      </c>
    </row>
    <row r="6990" spans="2:34" x14ac:dyDescent="0.2">
      <c r="B6990" s="2">
        <f ca="1"/>
        <v>0.6779056784240185</v>
      </c>
      <c r="O6990" s="2">
        <f ca="1"/>
        <v>1.1786480958541972</v>
      </c>
      <c r="X6990" s="2">
        <f ca="1"/>
        <v>35.946046843975921</v>
      </c>
      <c r="AG6990" s="2">
        <f ca="1"/>
        <v>0.68445983594119486</v>
      </c>
      <c r="AH6990" s="2" t="str">
        <f ca="1"/>
        <v>Bad</v>
      </c>
    </row>
    <row r="6991" spans="2:34" x14ac:dyDescent="0.2">
      <c r="B6991" s="2">
        <f ca="1"/>
        <v>0.71570032521593552</v>
      </c>
      <c r="O6991" s="2">
        <f ca="1"/>
        <v>-0.93725265231615262</v>
      </c>
      <c r="X6991" s="2">
        <f ca="1"/>
        <v>57.861559486908433</v>
      </c>
      <c r="AG6991" s="2">
        <f ca="1"/>
        <v>0.36840084009450114</v>
      </c>
      <c r="AH6991" s="2" t="str">
        <f ca="1"/>
        <v>OK</v>
      </c>
    </row>
    <row r="6992" spans="2:34" x14ac:dyDescent="0.2">
      <c r="B6992" s="2">
        <f ca="1"/>
        <v>0.20152366687479595</v>
      </c>
      <c r="O6992" s="2">
        <f ca="1"/>
        <v>-0.33240934638720931</v>
      </c>
      <c r="X6992" s="2">
        <f ca="1"/>
        <v>66.732657716967807</v>
      </c>
      <c r="AG6992" s="2">
        <f ca="1"/>
        <v>0.31170783125600177</v>
      </c>
      <c r="AH6992" s="2" t="str">
        <f ca="1"/>
        <v>OK</v>
      </c>
    </row>
    <row r="6993" spans="2:34" x14ac:dyDescent="0.2">
      <c r="B6993" s="2">
        <f ca="1"/>
        <v>0.70047881571753634</v>
      </c>
      <c r="O6993" s="2">
        <f ca="1"/>
        <v>0.52980541658656577</v>
      </c>
      <c r="X6993" s="2">
        <f ca="1"/>
        <v>49.278435126263361</v>
      </c>
      <c r="AG6993" s="2">
        <f ca="1"/>
        <v>0.3161337196115328</v>
      </c>
      <c r="AH6993" s="2" t="str">
        <f ca="1"/>
        <v>OK</v>
      </c>
    </row>
    <row r="6994" spans="2:34" x14ac:dyDescent="0.2">
      <c r="B6994" s="2">
        <f ca="1"/>
        <v>0.19628390842461574</v>
      </c>
      <c r="O6994" s="2">
        <f ca="1"/>
        <v>-1.4666972077854135</v>
      </c>
      <c r="X6994" s="2">
        <f ca="1"/>
        <v>26.484162397201956</v>
      </c>
      <c r="AG6994" s="2">
        <f ca="1"/>
        <v>0.40445140225050857</v>
      </c>
      <c r="AH6994" s="2" t="str">
        <f ca="1"/>
        <v>Bad</v>
      </c>
    </row>
    <row r="6995" spans="2:34" x14ac:dyDescent="0.2">
      <c r="B6995" s="2">
        <f ca="1"/>
        <v>4.4812224736314521E-2</v>
      </c>
      <c r="O6995" s="2">
        <f ca="1"/>
        <v>1.4928354948720748</v>
      </c>
      <c r="X6995" s="2">
        <f ca="1"/>
        <v>39.518020036096402</v>
      </c>
      <c r="AG6995" s="2">
        <f ca="1"/>
        <v>0.62046179960569758</v>
      </c>
      <c r="AH6995" s="2" t="str">
        <f ca="1"/>
        <v>Bad</v>
      </c>
    </row>
    <row r="6996" spans="2:34" x14ac:dyDescent="0.2">
      <c r="B6996" s="2">
        <f ca="1"/>
        <v>1.4792105328596428E-2</v>
      </c>
      <c r="O6996" s="2">
        <f ca="1"/>
        <v>-1.6787403470750437</v>
      </c>
      <c r="X6996" s="2">
        <f ca="1"/>
        <v>39.82502982527167</v>
      </c>
      <c r="AG6996" s="2">
        <f ca="1"/>
        <v>0.37098190654691332</v>
      </c>
      <c r="AH6996" s="2" t="str">
        <f ca="1"/>
        <v>OK</v>
      </c>
    </row>
    <row r="6997" spans="2:34" x14ac:dyDescent="0.2">
      <c r="B6997" s="2">
        <f ca="1"/>
        <v>0.26072473872828006</v>
      </c>
      <c r="O6997" s="2">
        <f ca="1"/>
        <v>0.83118818676850525</v>
      </c>
      <c r="X6997" s="2">
        <f ca="1"/>
        <v>65.861452347009092</v>
      </c>
      <c r="AG6997" s="2">
        <f ca="1"/>
        <v>0.26854958031207277</v>
      </c>
      <c r="AH6997" s="2" t="str">
        <f ca="1"/>
        <v>OK</v>
      </c>
    </row>
    <row r="6998" spans="2:34" x14ac:dyDescent="0.2">
      <c r="B6998" s="2">
        <f ca="1"/>
        <v>4.8748461377756902E-2</v>
      </c>
      <c r="O6998" s="2">
        <f ca="1"/>
        <v>1.536218938272417</v>
      </c>
      <c r="X6998" s="2">
        <f ca="1"/>
        <v>57.922474607084659</v>
      </c>
      <c r="AG6998" s="2">
        <f ca="1"/>
        <v>0.41896078421701954</v>
      </c>
      <c r="AH6998" s="2" t="str">
        <f ca="1"/>
        <v>Bad</v>
      </c>
    </row>
    <row r="6999" spans="2:34" x14ac:dyDescent="0.2">
      <c r="B6999" s="2">
        <f ca="1"/>
        <v>0.58545131567069086</v>
      </c>
      <c r="O6999" s="2">
        <f ca="1"/>
        <v>0.54827063242829199</v>
      </c>
      <c r="X6999" s="2">
        <f ca="1"/>
        <v>43.474013157221464</v>
      </c>
      <c r="AG6999" s="2">
        <f ca="1"/>
        <v>0.64297738527405657</v>
      </c>
      <c r="AH6999" s="2" t="str">
        <f ca="1"/>
        <v>Bad</v>
      </c>
    </row>
    <row r="7000" spans="2:34" x14ac:dyDescent="0.2">
      <c r="B7000" s="2">
        <f ca="1"/>
        <v>0.84006076480511105</v>
      </c>
      <c r="O7000" s="2">
        <f ca="1"/>
        <v>0.15696746941050641</v>
      </c>
      <c r="X7000" s="2">
        <f ca="1"/>
        <v>31.924620926105636</v>
      </c>
      <c r="AG7000" s="2">
        <f ca="1"/>
        <v>0.53258548689801377</v>
      </c>
      <c r="AH7000" s="2" t="str">
        <f ca="1"/>
        <v>Bad</v>
      </c>
    </row>
    <row r="7001" spans="2:34" x14ac:dyDescent="0.2">
      <c r="B7001" s="2">
        <f ca="1"/>
        <v>0.20903093346924417</v>
      </c>
      <c r="O7001" s="2">
        <f ca="1"/>
        <v>0.49762661221009197</v>
      </c>
      <c r="X7001" s="2">
        <f ca="1"/>
        <v>36.622558540167176</v>
      </c>
      <c r="AG7001" s="2">
        <f ca="1"/>
        <v>0.6432189894249416</v>
      </c>
      <c r="AH7001" s="2" t="str">
        <f ca="1"/>
        <v>Bad</v>
      </c>
    </row>
    <row r="7002" spans="2:34" x14ac:dyDescent="0.2">
      <c r="B7002" s="2">
        <f ca="1"/>
        <v>0.69261345756072079</v>
      </c>
      <c r="O7002" s="2">
        <f ca="1"/>
        <v>-0.28992434291899288</v>
      </c>
      <c r="X7002" s="2">
        <f ca="1"/>
        <v>28.675032048905425</v>
      </c>
      <c r="AG7002" s="2">
        <f ca="1"/>
        <v>1.4030659831739012E-2</v>
      </c>
      <c r="AH7002" s="2" t="str">
        <f ca="1"/>
        <v>Good</v>
      </c>
    </row>
    <row r="7003" spans="2:34" x14ac:dyDescent="0.2">
      <c r="B7003" s="2">
        <f ca="1"/>
        <v>0.8051507364501036</v>
      </c>
      <c r="O7003" s="2">
        <f ca="1"/>
        <v>-1.5429645946462574E-2</v>
      </c>
      <c r="X7003" s="2">
        <f ca="1"/>
        <v>33.861805514993812</v>
      </c>
      <c r="AG7003" s="2">
        <f ca="1"/>
        <v>0.18904099819933018</v>
      </c>
      <c r="AH7003" s="2" t="str">
        <f ca="1"/>
        <v>OK</v>
      </c>
    </row>
    <row r="7004" spans="2:34" x14ac:dyDescent="0.2">
      <c r="B7004" s="2">
        <f ca="1"/>
        <v>1.6903304219326509E-2</v>
      </c>
      <c r="O7004" s="2">
        <f ca="1"/>
        <v>0.12066111073584793</v>
      </c>
      <c r="X7004" s="2">
        <f ca="1"/>
        <v>60.272512893442247</v>
      </c>
      <c r="AG7004" s="2">
        <f ca="1"/>
        <v>0.60432857102927051</v>
      </c>
      <c r="AH7004" s="2" t="str">
        <f ca="1"/>
        <v>Bad</v>
      </c>
    </row>
    <row r="7005" spans="2:34" x14ac:dyDescent="0.2">
      <c r="B7005" s="2">
        <f ca="1"/>
        <v>0.25942523327051448</v>
      </c>
      <c r="O7005" s="2">
        <f ca="1"/>
        <v>-9.3397244005543292E-2</v>
      </c>
      <c r="X7005" s="2">
        <f ca="1"/>
        <v>94.412769218704753</v>
      </c>
      <c r="AG7005" s="2">
        <f ca="1"/>
        <v>0.94433377952412512</v>
      </c>
      <c r="AH7005" s="2" t="str">
        <f ca="1"/>
        <v>Bad</v>
      </c>
    </row>
    <row r="7006" spans="2:34" x14ac:dyDescent="0.2">
      <c r="B7006" s="2">
        <f ca="1"/>
        <v>0.41015439539749843</v>
      </c>
      <c r="O7006" s="2">
        <f ca="1"/>
        <v>1.660589353796192</v>
      </c>
      <c r="X7006" s="2">
        <f ca="1"/>
        <v>40.57919012759556</v>
      </c>
      <c r="AG7006" s="2">
        <f ca="1"/>
        <v>0.30853817282659013</v>
      </c>
      <c r="AH7006" s="2" t="str">
        <f ca="1"/>
        <v>OK</v>
      </c>
    </row>
    <row r="7007" spans="2:34" x14ac:dyDescent="0.2">
      <c r="B7007" s="2">
        <f ca="1"/>
        <v>0.84224755447235955</v>
      </c>
      <c r="O7007" s="2">
        <f ca="1"/>
        <v>0.67775920050867811</v>
      </c>
      <c r="X7007" s="2">
        <f ca="1"/>
        <v>39.865087125021375</v>
      </c>
      <c r="AG7007" s="2">
        <f ca="1"/>
        <v>0.48679292001374308</v>
      </c>
      <c r="AH7007" s="2" t="str">
        <f ca="1"/>
        <v>Bad</v>
      </c>
    </row>
    <row r="7008" spans="2:34" x14ac:dyDescent="0.2">
      <c r="B7008" s="2">
        <f ca="1"/>
        <v>0.16904337561985439</v>
      </c>
      <c r="O7008" s="2">
        <f ca="1"/>
        <v>0.7654477209034285</v>
      </c>
      <c r="X7008" s="2">
        <f ca="1"/>
        <v>64.787236780097999</v>
      </c>
      <c r="AG7008" s="2">
        <f ca="1"/>
        <v>0.64867495749569959</v>
      </c>
      <c r="AH7008" s="2" t="str">
        <f ca="1"/>
        <v>Bad</v>
      </c>
    </row>
    <row r="7009" spans="2:34" x14ac:dyDescent="0.2">
      <c r="B7009" s="2">
        <f ca="1"/>
        <v>0.78122649596836835</v>
      </c>
      <c r="O7009" s="2">
        <f ca="1"/>
        <v>1.7522024503480902</v>
      </c>
      <c r="X7009" s="2">
        <f ca="1"/>
        <v>85.423818913249704</v>
      </c>
      <c r="AG7009" s="2">
        <f ca="1"/>
        <v>0.79574633963030195</v>
      </c>
      <c r="AH7009" s="2" t="str">
        <f ca="1"/>
        <v>Bad</v>
      </c>
    </row>
    <row r="7010" spans="2:34" x14ac:dyDescent="0.2">
      <c r="B7010" s="2">
        <f ca="1"/>
        <v>0.42497347456310797</v>
      </c>
      <c r="O7010" s="2">
        <f ca="1"/>
        <v>-1.2727693138041176</v>
      </c>
      <c r="X7010" s="2">
        <f ca="1"/>
        <v>63.929051521169612</v>
      </c>
      <c r="AG7010" s="2">
        <f ca="1"/>
        <v>0.14788401248798189</v>
      </c>
      <c r="AH7010" s="2" t="str">
        <f ca="1"/>
        <v>OK</v>
      </c>
    </row>
    <row r="7011" spans="2:34" x14ac:dyDescent="0.2">
      <c r="B7011" s="2">
        <f ca="1"/>
        <v>0.48096844179823139</v>
      </c>
      <c r="O7011" s="2">
        <f ca="1"/>
        <v>-0.52356838427219166</v>
      </c>
      <c r="X7011" s="2">
        <f ca="1"/>
        <v>12.1964627010105</v>
      </c>
      <c r="AG7011" s="2">
        <f ca="1"/>
        <v>0.96803529261862153</v>
      </c>
      <c r="AH7011" s="2" t="str">
        <f ca="1"/>
        <v>Bad</v>
      </c>
    </row>
    <row r="7012" spans="2:34" x14ac:dyDescent="0.2">
      <c r="B7012" s="2">
        <f ca="1"/>
        <v>0.33643306647868587</v>
      </c>
      <c r="O7012" s="2">
        <f ca="1"/>
        <v>1.2673802680117714</v>
      </c>
      <c r="X7012" s="2">
        <f ca="1"/>
        <v>36.275862113633366</v>
      </c>
      <c r="AG7012" s="2">
        <f ca="1"/>
        <v>0.27230292368247966</v>
      </c>
      <c r="AH7012" s="2" t="str">
        <f ca="1"/>
        <v>OK</v>
      </c>
    </row>
    <row r="7013" spans="2:34" x14ac:dyDescent="0.2">
      <c r="B7013" s="2">
        <f ca="1"/>
        <v>0.94834941114402227</v>
      </c>
      <c r="O7013" s="2">
        <f ca="1"/>
        <v>-1.2065275670364402</v>
      </c>
      <c r="X7013" s="2">
        <f ca="1"/>
        <v>37.900172914880571</v>
      </c>
      <c r="AG7013" s="2">
        <f ca="1"/>
        <v>0.1480495935718622</v>
      </c>
      <c r="AH7013" s="2" t="str">
        <f ca="1"/>
        <v>OK</v>
      </c>
    </row>
    <row r="7014" spans="2:34" x14ac:dyDescent="0.2">
      <c r="B7014" s="2">
        <f ca="1"/>
        <v>9.4299273871948808E-2</v>
      </c>
      <c r="O7014" s="2">
        <f ca="1"/>
        <v>-1.2322950398854551</v>
      </c>
      <c r="X7014" s="2">
        <f ca="1"/>
        <v>38.992726746272773</v>
      </c>
      <c r="AG7014" s="2">
        <f ca="1"/>
        <v>0.99666949386966319</v>
      </c>
      <c r="AH7014" s="2" t="str">
        <f ca="1"/>
        <v>Bad</v>
      </c>
    </row>
    <row r="7015" spans="2:34" x14ac:dyDescent="0.2">
      <c r="B7015" s="2">
        <f ca="1"/>
        <v>0.10147112221051002</v>
      </c>
      <c r="O7015" s="2">
        <f ca="1"/>
        <v>-0.46848223136170181</v>
      </c>
      <c r="X7015" s="2">
        <f ca="1"/>
        <v>80.160205586648175</v>
      </c>
      <c r="AG7015" s="2">
        <f ca="1"/>
        <v>0.27722619439565399</v>
      </c>
      <c r="AH7015" s="2" t="str">
        <f ca="1"/>
        <v>OK</v>
      </c>
    </row>
    <row r="7016" spans="2:34" x14ac:dyDescent="0.2">
      <c r="B7016" s="2">
        <f ca="1"/>
        <v>0.87761191735645561</v>
      </c>
      <c r="O7016" s="2">
        <f ca="1"/>
        <v>-1.603195544212741</v>
      </c>
      <c r="X7016" s="2">
        <f ca="1"/>
        <v>81.798014856014092</v>
      </c>
      <c r="AG7016" s="2">
        <f ca="1"/>
        <v>6.986906191675768E-2</v>
      </c>
      <c r="AH7016" s="2" t="str">
        <f ca="1"/>
        <v>OK</v>
      </c>
    </row>
    <row r="7017" spans="2:34" x14ac:dyDescent="0.2">
      <c r="B7017" s="2">
        <f ca="1"/>
        <v>0.94599991677545647</v>
      </c>
      <c r="O7017" s="2">
        <f ca="1"/>
        <v>-1.1730885141348855</v>
      </c>
      <c r="X7017" s="2">
        <f ca="1"/>
        <v>50.992678487641044</v>
      </c>
      <c r="AG7017" s="2">
        <f ca="1"/>
        <v>0.83011751467225237</v>
      </c>
      <c r="AH7017" s="2" t="str">
        <f ca="1"/>
        <v>Bad</v>
      </c>
    </row>
    <row r="7018" spans="2:34" x14ac:dyDescent="0.2">
      <c r="B7018" s="2">
        <f ca="1"/>
        <v>0.56082983408563303</v>
      </c>
      <c r="O7018" s="2">
        <f ca="1"/>
        <v>-0.48222800291359175</v>
      </c>
      <c r="X7018" s="2">
        <f ca="1"/>
        <v>31.773982083700496</v>
      </c>
      <c r="AG7018" s="2">
        <f ca="1"/>
        <v>3.0878923273686354E-2</v>
      </c>
      <c r="AH7018" s="2" t="str">
        <f ca="1"/>
        <v>Good</v>
      </c>
    </row>
    <row r="7019" spans="2:34" x14ac:dyDescent="0.2">
      <c r="B7019" s="2">
        <f ca="1"/>
        <v>0.90032370465797817</v>
      </c>
      <c r="O7019" s="2">
        <f ca="1"/>
        <v>-0.24333458683040946</v>
      </c>
      <c r="X7019" s="2">
        <f ca="1"/>
        <v>78.256704715283988</v>
      </c>
      <c r="AG7019" s="2">
        <f ca="1"/>
        <v>0.14720570358778762</v>
      </c>
      <c r="AH7019" s="2" t="str">
        <f ca="1"/>
        <v>OK</v>
      </c>
    </row>
    <row r="7020" spans="2:34" x14ac:dyDescent="0.2">
      <c r="B7020" s="2">
        <f ca="1"/>
        <v>0.36627392186612462</v>
      </c>
      <c r="O7020" s="2">
        <f ca="1"/>
        <v>-1.0351629524705035</v>
      </c>
      <c r="X7020" s="2">
        <f ca="1"/>
        <v>54.21465152705548</v>
      </c>
      <c r="AG7020" s="2">
        <f ca="1"/>
        <v>0.22752787590989088</v>
      </c>
      <c r="AH7020" s="2" t="str">
        <f ca="1"/>
        <v>OK</v>
      </c>
    </row>
    <row r="7021" spans="2:34" x14ac:dyDescent="0.2">
      <c r="B7021" s="2">
        <f ca="1"/>
        <v>0.66723043040645846</v>
      </c>
      <c r="O7021" s="2">
        <f ca="1"/>
        <v>1.2976149678434259</v>
      </c>
      <c r="X7021" s="2">
        <f ca="1"/>
        <v>60.019933157173071</v>
      </c>
      <c r="AG7021" s="2">
        <f ca="1"/>
        <v>0.24837103834260121</v>
      </c>
      <c r="AH7021" s="2" t="str">
        <f ca="1"/>
        <v>OK</v>
      </c>
    </row>
    <row r="7022" spans="2:34" x14ac:dyDescent="0.2">
      <c r="B7022" s="2">
        <f ca="1"/>
        <v>0.61742628879747885</v>
      </c>
      <c r="O7022" s="2">
        <f ca="1"/>
        <v>1.5749804162147523</v>
      </c>
      <c r="X7022" s="2">
        <f ca="1"/>
        <v>35.752812816337972</v>
      </c>
      <c r="AG7022" s="2">
        <f ca="1"/>
        <v>4.3876260877238282E-2</v>
      </c>
      <c r="AH7022" s="2" t="str">
        <f ca="1"/>
        <v>Good</v>
      </c>
    </row>
    <row r="7023" spans="2:34" x14ac:dyDescent="0.2">
      <c r="B7023" s="2">
        <f ca="1"/>
        <v>0.12269124528821873</v>
      </c>
      <c r="O7023" s="2">
        <f ca="1"/>
        <v>-0.69020173633768911</v>
      </c>
      <c r="X7023" s="2">
        <f ca="1"/>
        <v>48.784082503028436</v>
      </c>
      <c r="AG7023" s="2">
        <f ca="1"/>
        <v>0.12221797945683321</v>
      </c>
      <c r="AH7023" s="2" t="str">
        <f ca="1"/>
        <v>OK</v>
      </c>
    </row>
    <row r="7024" spans="2:34" x14ac:dyDescent="0.2">
      <c r="B7024" s="2">
        <f ca="1"/>
        <v>0.73220131132407196</v>
      </c>
      <c r="O7024" s="2">
        <f ca="1"/>
        <v>-0.24037255561218698</v>
      </c>
      <c r="X7024" s="2">
        <f ca="1"/>
        <v>46.968288782244009</v>
      </c>
      <c r="AG7024" s="2">
        <f ca="1"/>
        <v>0.41073878947172382</v>
      </c>
      <c r="AH7024" s="2" t="str">
        <f ca="1"/>
        <v>Bad</v>
      </c>
    </row>
    <row r="7025" spans="2:34" x14ac:dyDescent="0.2">
      <c r="B7025" s="2">
        <f ca="1"/>
        <v>0.26036161342359332</v>
      </c>
      <c r="O7025" s="2">
        <f ca="1"/>
        <v>-0.15676091795071931</v>
      </c>
      <c r="X7025" s="2">
        <f ca="1"/>
        <v>77.543217646464285</v>
      </c>
      <c r="AG7025" s="2">
        <f ca="1"/>
        <v>0.62083386719535349</v>
      </c>
      <c r="AH7025" s="2" t="str">
        <f ca="1"/>
        <v>Bad</v>
      </c>
    </row>
    <row r="7026" spans="2:34" x14ac:dyDescent="0.2">
      <c r="B7026" s="2">
        <f ca="1"/>
        <v>0.92651358422612873</v>
      </c>
      <c r="O7026" s="2">
        <f ca="1"/>
        <v>0.17707269701008721</v>
      </c>
      <c r="X7026" s="2">
        <f ca="1"/>
        <v>35.296684764014827</v>
      </c>
      <c r="AG7026" s="2">
        <f ca="1"/>
        <v>0.38552653631541278</v>
      </c>
      <c r="AH7026" s="2" t="str">
        <f ca="1"/>
        <v>OK</v>
      </c>
    </row>
    <row r="7027" spans="2:34" x14ac:dyDescent="0.2">
      <c r="B7027" s="2">
        <f ca="1"/>
        <v>0.42279785369397094</v>
      </c>
      <c r="O7027" s="2">
        <f ca="1"/>
        <v>-2.5090836931895333</v>
      </c>
      <c r="X7027" s="2">
        <f ca="1"/>
        <v>45.086945389996458</v>
      </c>
      <c r="AG7027" s="2">
        <f ca="1"/>
        <v>0.5163174100166259</v>
      </c>
      <c r="AH7027" s="2" t="str">
        <f ca="1"/>
        <v>Bad</v>
      </c>
    </row>
    <row r="7028" spans="2:34" x14ac:dyDescent="0.2">
      <c r="B7028" s="2">
        <f ca="1"/>
        <v>7.2631308415108453E-2</v>
      </c>
      <c r="O7028" s="2">
        <f ca="1"/>
        <v>-0.94913968688331518</v>
      </c>
      <c r="X7028" s="2">
        <f ca="1"/>
        <v>38.771224512245723</v>
      </c>
      <c r="AG7028" s="2">
        <f ca="1"/>
        <v>0.33098995050163449</v>
      </c>
      <c r="AH7028" s="2" t="str">
        <f ca="1"/>
        <v>OK</v>
      </c>
    </row>
    <row r="7029" spans="2:34" x14ac:dyDescent="0.2">
      <c r="B7029" s="2">
        <f ca="1"/>
        <v>0.32145812066001644</v>
      </c>
      <c r="O7029" s="2">
        <f ca="1"/>
        <v>-0.80713194977060398</v>
      </c>
      <c r="X7029" s="2">
        <f ca="1"/>
        <v>49.142677389562905</v>
      </c>
      <c r="AG7029" s="2">
        <f ca="1"/>
        <v>0.11582246816124231</v>
      </c>
      <c r="AH7029" s="2" t="str">
        <f ca="1"/>
        <v>OK</v>
      </c>
    </row>
    <row r="7030" spans="2:34" x14ac:dyDescent="0.2">
      <c r="B7030" s="2">
        <f ca="1"/>
        <v>0.16371332658362614</v>
      </c>
      <c r="O7030" s="2">
        <f ca="1"/>
        <v>1.4693605965276684</v>
      </c>
      <c r="X7030" s="2">
        <f ca="1"/>
        <v>66.644324854190089</v>
      </c>
      <c r="AG7030" s="2">
        <f ca="1"/>
        <v>0.76843414316245306</v>
      </c>
      <c r="AH7030" s="2" t="str">
        <f ca="1"/>
        <v>Bad</v>
      </c>
    </row>
    <row r="7031" spans="2:34" x14ac:dyDescent="0.2">
      <c r="B7031" s="2">
        <f ca="1"/>
        <v>0.28709948624985726</v>
      </c>
      <c r="O7031" s="2">
        <f ca="1"/>
        <v>-1.1521941053506422</v>
      </c>
      <c r="X7031" s="2">
        <f ca="1"/>
        <v>64.515682940523405</v>
      </c>
      <c r="AG7031" s="2">
        <f ca="1"/>
        <v>0.42716685249537156</v>
      </c>
      <c r="AH7031" s="2" t="str">
        <f ca="1"/>
        <v>Bad</v>
      </c>
    </row>
    <row r="7032" spans="2:34" x14ac:dyDescent="0.2">
      <c r="B7032" s="2">
        <f ca="1"/>
        <v>0.90461243942625691</v>
      </c>
      <c r="O7032" s="2">
        <f ca="1"/>
        <v>0.43622578877380974</v>
      </c>
      <c r="X7032" s="2">
        <f ca="1"/>
        <v>109.61181071810549</v>
      </c>
      <c r="AG7032" s="2">
        <f ca="1"/>
        <v>1.1258511789544734E-2</v>
      </c>
      <c r="AH7032" s="2" t="str">
        <f ca="1"/>
        <v>Good</v>
      </c>
    </row>
    <row r="7033" spans="2:34" x14ac:dyDescent="0.2">
      <c r="B7033" s="2">
        <f ca="1"/>
        <v>0.34143283361156951</v>
      </c>
      <c r="O7033" s="2">
        <f ca="1"/>
        <v>-0.7827009639558089</v>
      </c>
      <c r="X7033" s="2">
        <f ca="1"/>
        <v>64.980245342185896</v>
      </c>
      <c r="AG7033" s="2">
        <f ca="1"/>
        <v>0.9810499139307014</v>
      </c>
      <c r="AH7033" s="2" t="str">
        <f ca="1"/>
        <v>Bad</v>
      </c>
    </row>
    <row r="7034" spans="2:34" x14ac:dyDescent="0.2">
      <c r="B7034" s="2">
        <f ca="1"/>
        <v>8.8486499302190325E-2</v>
      </c>
      <c r="O7034" s="2">
        <f ca="1"/>
        <v>1.5093124561330578</v>
      </c>
      <c r="X7034" s="2">
        <f ca="1"/>
        <v>47.453599492037412</v>
      </c>
      <c r="AG7034" s="2">
        <f ca="1"/>
        <v>0.83790439196603916</v>
      </c>
      <c r="AH7034" s="2" t="str">
        <f ca="1"/>
        <v>Bad</v>
      </c>
    </row>
    <row r="7035" spans="2:34" x14ac:dyDescent="0.2">
      <c r="B7035" s="2">
        <f ca="1"/>
        <v>1.4647764492212056E-2</v>
      </c>
      <c r="O7035" s="2">
        <f ca="1"/>
        <v>-0.176585851502429</v>
      </c>
      <c r="X7035" s="2">
        <f ca="1"/>
        <v>24.508520071880028</v>
      </c>
      <c r="AG7035" s="2">
        <f ca="1"/>
        <v>0.32849269783690538</v>
      </c>
      <c r="AH7035" s="2" t="str">
        <f ca="1"/>
        <v>OK</v>
      </c>
    </row>
    <row r="7036" spans="2:34" x14ac:dyDescent="0.2">
      <c r="B7036" s="2">
        <f ca="1"/>
        <v>0.46022015145242401</v>
      </c>
      <c r="O7036" s="2">
        <f ca="1"/>
        <v>-0.10443888399786798</v>
      </c>
      <c r="X7036" s="2">
        <f ca="1"/>
        <v>49.839266457550131</v>
      </c>
      <c r="AG7036" s="2">
        <f ca="1"/>
        <v>0.80437872843642078</v>
      </c>
      <c r="AH7036" s="2" t="str">
        <f ca="1"/>
        <v>Bad</v>
      </c>
    </row>
    <row r="7037" spans="2:34" x14ac:dyDescent="0.2">
      <c r="B7037" s="2">
        <f ca="1"/>
        <v>0.35105650989993431</v>
      </c>
      <c r="O7037" s="2">
        <f ca="1"/>
        <v>-0.53808086461680971</v>
      </c>
      <c r="X7037" s="2">
        <f ca="1"/>
        <v>55.340441955816971</v>
      </c>
      <c r="AG7037" s="2">
        <f ca="1"/>
        <v>0.80479278202538307</v>
      </c>
      <c r="AH7037" s="2" t="str">
        <f ca="1"/>
        <v>Bad</v>
      </c>
    </row>
    <row r="7038" spans="2:34" x14ac:dyDescent="0.2">
      <c r="B7038" s="2">
        <f ca="1"/>
        <v>0.69580385649675836</v>
      </c>
      <c r="O7038" s="2">
        <f ca="1"/>
        <v>-0.39039693496243444</v>
      </c>
      <c r="X7038" s="2">
        <f ca="1"/>
        <v>82.762378424328006</v>
      </c>
      <c r="AG7038" s="2">
        <f ca="1"/>
        <v>0.52909988235931804</v>
      </c>
      <c r="AH7038" s="2" t="str">
        <f ca="1"/>
        <v>Bad</v>
      </c>
    </row>
    <row r="7039" spans="2:34" x14ac:dyDescent="0.2">
      <c r="B7039" s="2">
        <f ca="1"/>
        <v>0.72058139606931704</v>
      </c>
      <c r="O7039" s="2">
        <f ca="1"/>
        <v>-0.54241790659163558</v>
      </c>
      <c r="X7039" s="2">
        <f ca="1"/>
        <v>41.559368692726977</v>
      </c>
      <c r="AG7039" s="2">
        <f ca="1"/>
        <v>0.11131901008505074</v>
      </c>
      <c r="AH7039" s="2" t="str">
        <f ca="1"/>
        <v>OK</v>
      </c>
    </row>
    <row r="7040" spans="2:34" x14ac:dyDescent="0.2">
      <c r="B7040" s="2">
        <f ca="1"/>
        <v>0.30968296551249086</v>
      </c>
      <c r="O7040" s="2">
        <f ca="1"/>
        <v>-0.50068830351365279</v>
      </c>
      <c r="X7040" s="2">
        <f ca="1"/>
        <v>62.188376796388063</v>
      </c>
      <c r="AG7040" s="2">
        <f ca="1"/>
        <v>0.5347130415082253</v>
      </c>
      <c r="AH7040" s="2" t="str">
        <f ca="1"/>
        <v>Bad</v>
      </c>
    </row>
    <row r="7041" spans="2:34" x14ac:dyDescent="0.2">
      <c r="B7041" s="2">
        <f ca="1"/>
        <v>0.11735495343915225</v>
      </c>
      <c r="O7041" s="2">
        <f ca="1"/>
        <v>-4.6195684143608987E-2</v>
      </c>
      <c r="X7041" s="2">
        <f ca="1"/>
        <v>68.385230486257342</v>
      </c>
      <c r="AG7041" s="2">
        <f ca="1"/>
        <v>8.0937620518082731E-2</v>
      </c>
      <c r="AH7041" s="2" t="str">
        <f ca="1"/>
        <v>OK</v>
      </c>
    </row>
    <row r="7042" spans="2:34" x14ac:dyDescent="0.2">
      <c r="B7042" s="2">
        <f ca="1"/>
        <v>0.96200460803440824</v>
      </c>
      <c r="O7042" s="2">
        <f ca="1"/>
        <v>-0.36994283759828883</v>
      </c>
      <c r="X7042" s="2">
        <f ca="1"/>
        <v>39.722798669628276</v>
      </c>
      <c r="AG7042" s="2">
        <f ca="1"/>
        <v>0.19795262221667143</v>
      </c>
      <c r="AH7042" s="2" t="str">
        <f ca="1"/>
        <v>OK</v>
      </c>
    </row>
    <row r="7043" spans="2:34" x14ac:dyDescent="0.2">
      <c r="B7043" s="2">
        <f ca="1"/>
        <v>5.3826523629447953E-2</v>
      </c>
      <c r="O7043" s="2">
        <f ca="1"/>
        <v>1.615899214726477</v>
      </c>
      <c r="X7043" s="2">
        <f ca="1"/>
        <v>52.320281718819288</v>
      </c>
      <c r="AG7043" s="2">
        <f ca="1"/>
        <v>0.59888858564219327</v>
      </c>
      <c r="AH7043" s="2" t="str">
        <f ca="1"/>
        <v>Bad</v>
      </c>
    </row>
    <row r="7044" spans="2:34" x14ac:dyDescent="0.2">
      <c r="B7044" s="2">
        <f ca="1"/>
        <v>0.73422224845928863</v>
      </c>
      <c r="O7044" s="2">
        <f ca="1"/>
        <v>0.74424894100481565</v>
      </c>
      <c r="X7044" s="2">
        <f ca="1"/>
        <v>44.335937251255061</v>
      </c>
      <c r="AG7044" s="2">
        <f ca="1"/>
        <v>0.64795198137350241</v>
      </c>
      <c r="AH7044" s="2" t="str">
        <f ca="1"/>
        <v>Bad</v>
      </c>
    </row>
    <row r="7045" spans="2:34" x14ac:dyDescent="0.2">
      <c r="B7045" s="2">
        <f ca="1"/>
        <v>0.57678243902830695</v>
      </c>
      <c r="O7045" s="2">
        <f ca="1"/>
        <v>-0.49895333138614145</v>
      </c>
      <c r="X7045" s="2">
        <f ca="1"/>
        <v>46.005962900143054</v>
      </c>
      <c r="AG7045" s="2">
        <f ca="1"/>
        <v>0.75822233982898557</v>
      </c>
      <c r="AH7045" s="2" t="str">
        <f ca="1"/>
        <v>Bad</v>
      </c>
    </row>
    <row r="7046" spans="2:34" x14ac:dyDescent="0.2">
      <c r="B7046" s="2">
        <f ca="1"/>
        <v>0.98332767119054121</v>
      </c>
      <c r="O7046" s="2">
        <f ca="1"/>
        <v>1.1762649691038718</v>
      </c>
      <c r="X7046" s="2">
        <f ca="1"/>
        <v>76.992429755951449</v>
      </c>
      <c r="AG7046" s="2">
        <f ca="1"/>
        <v>0.68944406037651973</v>
      </c>
      <c r="AH7046" s="2" t="str">
        <f ca="1"/>
        <v>Bad</v>
      </c>
    </row>
    <row r="7047" spans="2:34" x14ac:dyDescent="0.2">
      <c r="B7047" s="2">
        <f ca="1"/>
        <v>0.65040466577778022</v>
      </c>
      <c r="O7047" s="2">
        <f ca="1"/>
        <v>-0.1240549920029122</v>
      </c>
      <c r="X7047" s="2">
        <f ca="1"/>
        <v>56.132592903451844</v>
      </c>
      <c r="AG7047" s="2">
        <f ca="1"/>
        <v>0.64824618420901103</v>
      </c>
      <c r="AH7047" s="2" t="str">
        <f ca="1"/>
        <v>Bad</v>
      </c>
    </row>
    <row r="7048" spans="2:34" x14ac:dyDescent="0.2">
      <c r="B7048" s="2">
        <f ca="1"/>
        <v>0.56347538877231695</v>
      </c>
      <c r="O7048" s="2">
        <f ca="1"/>
        <v>-0.27611610391395747</v>
      </c>
      <c r="X7048" s="2">
        <f ca="1"/>
        <v>49.752134020729841</v>
      </c>
      <c r="AG7048" s="2">
        <f ca="1"/>
        <v>0.85061569070598564</v>
      </c>
      <c r="AH7048" s="2" t="str">
        <f ca="1"/>
        <v>Bad</v>
      </c>
    </row>
    <row r="7049" spans="2:34" x14ac:dyDescent="0.2">
      <c r="B7049" s="2">
        <f ca="1"/>
        <v>0.68961133770731675</v>
      </c>
      <c r="O7049" s="2">
        <f ca="1"/>
        <v>-0.27715587911218298</v>
      </c>
      <c r="X7049" s="2">
        <f ca="1"/>
        <v>56.315049569398035</v>
      </c>
      <c r="AG7049" s="2">
        <f ca="1"/>
        <v>0.98707597322988372</v>
      </c>
      <c r="AH7049" s="2" t="str">
        <f ca="1"/>
        <v>Bad</v>
      </c>
    </row>
    <row r="7050" spans="2:34" x14ac:dyDescent="0.2">
      <c r="B7050" s="2">
        <f ca="1"/>
        <v>0.95046039836222174</v>
      </c>
      <c r="O7050" s="2">
        <f ca="1"/>
        <v>2.2939137179585969</v>
      </c>
      <c r="X7050" s="2">
        <f ca="1"/>
        <v>46.119746460284397</v>
      </c>
      <c r="AG7050" s="2">
        <f ca="1"/>
        <v>0.25660484643824177</v>
      </c>
      <c r="AH7050" s="2" t="str">
        <f ca="1"/>
        <v>OK</v>
      </c>
    </row>
    <row r="7051" spans="2:34" x14ac:dyDescent="0.2">
      <c r="B7051" s="2">
        <f ca="1"/>
        <v>0.86333514460701233</v>
      </c>
      <c r="O7051" s="2">
        <f ca="1"/>
        <v>0.88157576033472762</v>
      </c>
      <c r="X7051" s="2">
        <f ca="1"/>
        <v>41.07760710976266</v>
      </c>
      <c r="AG7051" s="2">
        <f ca="1"/>
        <v>4.82652609721963E-2</v>
      </c>
      <c r="AH7051" s="2" t="str">
        <f ca="1"/>
        <v>Good</v>
      </c>
    </row>
    <row r="7052" spans="2:34" x14ac:dyDescent="0.2">
      <c r="B7052" s="2">
        <f ca="1"/>
        <v>0.22397290679986614</v>
      </c>
      <c r="O7052" s="2">
        <f ca="1"/>
        <v>0.73871982226874855</v>
      </c>
      <c r="X7052" s="2">
        <f ca="1"/>
        <v>71.273262460012745</v>
      </c>
      <c r="AG7052" s="2">
        <f ca="1"/>
        <v>0.54179516738128775</v>
      </c>
      <c r="AH7052" s="2" t="str">
        <f ca="1"/>
        <v>Bad</v>
      </c>
    </row>
    <row r="7053" spans="2:34" x14ac:dyDescent="0.2">
      <c r="B7053" s="2">
        <f ca="1"/>
        <v>0.33233280184734815</v>
      </c>
      <c r="O7053" s="2">
        <f ca="1"/>
        <v>-1.7762857125228519</v>
      </c>
      <c r="X7053" s="2">
        <f ca="1"/>
        <v>57.637992722715509</v>
      </c>
      <c r="AG7053" s="2">
        <f ca="1"/>
        <v>0.96495940894667198</v>
      </c>
      <c r="AH7053" s="2" t="str">
        <f ca="1"/>
        <v>Bad</v>
      </c>
    </row>
    <row r="7054" spans="2:34" x14ac:dyDescent="0.2">
      <c r="B7054" s="2">
        <f ca="1"/>
        <v>0.77438331553630224</v>
      </c>
      <c r="O7054" s="2">
        <f ca="1"/>
        <v>0.55400688600189241</v>
      </c>
      <c r="X7054" s="2">
        <f ca="1"/>
        <v>40.996066494867335</v>
      </c>
      <c r="AG7054" s="2">
        <f ca="1"/>
        <v>0.26505729927646837</v>
      </c>
      <c r="AH7054" s="2" t="str">
        <f ca="1"/>
        <v>OK</v>
      </c>
    </row>
    <row r="7055" spans="2:34" x14ac:dyDescent="0.2">
      <c r="B7055" s="2">
        <f ca="1"/>
        <v>0.76338076649513886</v>
      </c>
      <c r="O7055" s="2">
        <f ca="1"/>
        <v>-6.2981041843957725E-2</v>
      </c>
      <c r="X7055" s="2">
        <f ca="1"/>
        <v>32.38750618947963</v>
      </c>
      <c r="AG7055" s="2">
        <f ca="1"/>
        <v>0.11207868536472865</v>
      </c>
      <c r="AH7055" s="2" t="str">
        <f ca="1"/>
        <v>OK</v>
      </c>
    </row>
    <row r="7056" spans="2:34" x14ac:dyDescent="0.2">
      <c r="B7056" s="2">
        <f ca="1"/>
        <v>0.6321270610794687</v>
      </c>
      <c r="O7056" s="2">
        <f ca="1"/>
        <v>0.42715565233495378</v>
      </c>
      <c r="X7056" s="2">
        <f ca="1"/>
        <v>34.703802012858141</v>
      </c>
      <c r="AG7056" s="2">
        <f ca="1"/>
        <v>0.17521780784701257</v>
      </c>
      <c r="AH7056" s="2" t="str">
        <f ca="1"/>
        <v>OK</v>
      </c>
    </row>
    <row r="7057" spans="2:34" x14ac:dyDescent="0.2">
      <c r="B7057" s="2">
        <f ca="1"/>
        <v>0.61329429482000064</v>
      </c>
      <c r="O7057" s="2">
        <f ca="1"/>
        <v>0.74561557683789825</v>
      </c>
      <c r="X7057" s="2">
        <f ca="1"/>
        <v>65.379811882895879</v>
      </c>
      <c r="AG7057" s="2">
        <f ca="1"/>
        <v>0.98919897555958314</v>
      </c>
      <c r="AH7057" s="2" t="str">
        <f ca="1"/>
        <v>Bad</v>
      </c>
    </row>
    <row r="7058" spans="2:34" x14ac:dyDescent="0.2">
      <c r="B7058" s="2">
        <f ca="1"/>
        <v>0.31691953845078302</v>
      </c>
      <c r="O7058" s="2">
        <f ca="1"/>
        <v>-1.8412622546920088</v>
      </c>
      <c r="X7058" s="2">
        <f ca="1"/>
        <v>43.095372631452989</v>
      </c>
      <c r="AG7058" s="2">
        <f ca="1"/>
        <v>0.40047549909980873</v>
      </c>
      <c r="AH7058" s="2" t="str">
        <f ca="1"/>
        <v>Bad</v>
      </c>
    </row>
    <row r="7059" spans="2:34" x14ac:dyDescent="0.2">
      <c r="B7059" s="2">
        <f ca="1"/>
        <v>0.78359397351523197</v>
      </c>
      <c r="O7059" s="2">
        <f ca="1"/>
        <v>0.71888598418971061</v>
      </c>
      <c r="X7059" s="2">
        <f ca="1"/>
        <v>62.210359114999527</v>
      </c>
      <c r="AG7059" s="2">
        <f ca="1"/>
        <v>0.33726063774425108</v>
      </c>
      <c r="AH7059" s="2" t="str">
        <f ca="1"/>
        <v>OK</v>
      </c>
    </row>
    <row r="7060" spans="2:34" x14ac:dyDescent="0.2">
      <c r="B7060" s="2">
        <f ca="1"/>
        <v>0.62621141361516619</v>
      </c>
      <c r="O7060" s="2">
        <f ca="1"/>
        <v>-1.2401174002312507</v>
      </c>
      <c r="X7060" s="2">
        <f ca="1"/>
        <v>52.778461761052007</v>
      </c>
      <c r="AG7060" s="2">
        <f ca="1"/>
        <v>0.56284264917853544</v>
      </c>
      <c r="AH7060" s="2" t="str">
        <f ca="1"/>
        <v>Bad</v>
      </c>
    </row>
    <row r="7061" spans="2:34" x14ac:dyDescent="0.2">
      <c r="B7061" s="2">
        <f ca="1"/>
        <v>0.67339214930105684</v>
      </c>
      <c r="O7061" s="2">
        <f ca="1"/>
        <v>-0.27260308981758274</v>
      </c>
      <c r="X7061" s="2">
        <f ca="1"/>
        <v>69.939333805076387</v>
      </c>
      <c r="AG7061" s="2">
        <f ca="1"/>
        <v>0.21575789711643378</v>
      </c>
      <c r="AH7061" s="2" t="str">
        <f ca="1"/>
        <v>OK</v>
      </c>
    </row>
    <row r="7062" spans="2:34" x14ac:dyDescent="0.2">
      <c r="B7062" s="2">
        <f ca="1"/>
        <v>0.73025776843743606</v>
      </c>
      <c r="O7062" s="2">
        <f ca="1"/>
        <v>-0.46590475304764567</v>
      </c>
      <c r="X7062" s="2">
        <f ca="1"/>
        <v>42.629301561705987</v>
      </c>
      <c r="AG7062" s="2">
        <f ca="1"/>
        <v>0.11028918300773038</v>
      </c>
      <c r="AH7062" s="2" t="str">
        <f ca="1"/>
        <v>OK</v>
      </c>
    </row>
    <row r="7063" spans="2:34" x14ac:dyDescent="0.2">
      <c r="B7063" s="2">
        <f ca="1"/>
        <v>0.64306883907272083</v>
      </c>
      <c r="O7063" s="2">
        <f ca="1"/>
        <v>1.9891286133514843</v>
      </c>
      <c r="X7063" s="2">
        <f ca="1"/>
        <v>49.167396943642956</v>
      </c>
      <c r="AG7063" s="2">
        <f ca="1"/>
        <v>0.84182950988237915</v>
      </c>
      <c r="AH7063" s="2" t="str">
        <f ca="1"/>
        <v>Bad</v>
      </c>
    </row>
    <row r="7064" spans="2:34" x14ac:dyDescent="0.2">
      <c r="B7064" s="2">
        <f ca="1"/>
        <v>0.38616483900547438</v>
      </c>
      <c r="O7064" s="2">
        <f ca="1"/>
        <v>-0.25443216734636209</v>
      </c>
      <c r="X7064" s="2">
        <f ca="1"/>
        <v>26.091549034121822</v>
      </c>
      <c r="AG7064" s="2">
        <f ca="1"/>
        <v>0.32748462304277237</v>
      </c>
      <c r="AH7064" s="2" t="str">
        <f ca="1"/>
        <v>OK</v>
      </c>
    </row>
    <row r="7065" spans="2:34" x14ac:dyDescent="0.2">
      <c r="B7065" s="2">
        <f ca="1"/>
        <v>0.17752444363290376</v>
      </c>
      <c r="O7065" s="2">
        <f ca="1"/>
        <v>-8.7232110926573014E-2</v>
      </c>
      <c r="X7065" s="2">
        <f ca="1"/>
        <v>38.702399444796043</v>
      </c>
      <c r="AG7065" s="2">
        <f ca="1"/>
        <v>0.74924629768451001</v>
      </c>
      <c r="AH7065" s="2" t="str">
        <f ca="1"/>
        <v>Bad</v>
      </c>
    </row>
    <row r="7066" spans="2:34" x14ac:dyDescent="0.2">
      <c r="B7066" s="2">
        <f ca="1"/>
        <v>0.20271747355209824</v>
      </c>
      <c r="O7066" s="2">
        <f ca="1"/>
        <v>-0.5411988021251557</v>
      </c>
      <c r="X7066" s="2">
        <f ca="1"/>
        <v>72.220215271360885</v>
      </c>
      <c r="AG7066" s="2">
        <f ca="1"/>
        <v>1.1324726737527824E-2</v>
      </c>
      <c r="AH7066" s="2" t="str">
        <f ca="1"/>
        <v>Good</v>
      </c>
    </row>
    <row r="7067" spans="2:34" x14ac:dyDescent="0.2">
      <c r="B7067" s="2">
        <f ca="1"/>
        <v>0.65686305599772998</v>
      </c>
      <c r="O7067" s="2">
        <f ca="1"/>
        <v>-1.2621154182525054</v>
      </c>
      <c r="X7067" s="2">
        <f ca="1"/>
        <v>58.749310723930378</v>
      </c>
      <c r="AG7067" s="2">
        <f ca="1"/>
        <v>0.3468805217661115</v>
      </c>
      <c r="AH7067" s="2" t="str">
        <f ca="1"/>
        <v>OK</v>
      </c>
    </row>
    <row r="7068" spans="2:34" x14ac:dyDescent="0.2">
      <c r="B7068" s="2">
        <f ca="1"/>
        <v>0.89910993331059608</v>
      </c>
      <c r="O7068" s="2">
        <f ca="1"/>
        <v>-1.5034228190537586</v>
      </c>
      <c r="X7068" s="2">
        <f ca="1"/>
        <v>32.102180651619456</v>
      </c>
      <c r="AG7068" s="2">
        <f ca="1"/>
        <v>7.3974964856291514E-3</v>
      </c>
      <c r="AH7068" s="2" t="str">
        <f ca="1"/>
        <v>Good</v>
      </c>
    </row>
    <row r="7069" spans="2:34" x14ac:dyDescent="0.2">
      <c r="B7069" s="2">
        <f ca="1"/>
        <v>0.44162029963589</v>
      </c>
      <c r="O7069" s="2">
        <f ca="1"/>
        <v>-1.6086901198776056</v>
      </c>
      <c r="X7069" s="2">
        <f ca="1"/>
        <v>26.652827710499771</v>
      </c>
      <c r="AG7069" s="2">
        <f ca="1"/>
        <v>0.15565047089945527</v>
      </c>
      <c r="AH7069" s="2" t="str">
        <f ca="1"/>
        <v>OK</v>
      </c>
    </row>
    <row r="7070" spans="2:34" x14ac:dyDescent="0.2">
      <c r="B7070" s="2">
        <f ca="1"/>
        <v>0.99771377220718827</v>
      </c>
      <c r="O7070" s="2">
        <f ca="1"/>
        <v>0.46630967363795334</v>
      </c>
      <c r="X7070" s="2">
        <f ca="1"/>
        <v>50.831945204681979</v>
      </c>
      <c r="AG7070" s="2">
        <f ca="1"/>
        <v>0.80196865159049158</v>
      </c>
      <c r="AH7070" s="2" t="str">
        <f ca="1"/>
        <v>Bad</v>
      </c>
    </row>
    <row r="7071" spans="2:34" x14ac:dyDescent="0.2">
      <c r="B7071" s="2">
        <f ca="1"/>
        <v>0.19404194341983083</v>
      </c>
      <c r="O7071" s="2">
        <f ca="1"/>
        <v>0.25451519572714482</v>
      </c>
      <c r="X7071" s="2">
        <f ca="1"/>
        <v>65.072329812619984</v>
      </c>
      <c r="AG7071" s="2">
        <f ca="1"/>
        <v>4.9237436490357833E-2</v>
      </c>
      <c r="AH7071" s="2" t="str">
        <f ca="1"/>
        <v>Good</v>
      </c>
    </row>
    <row r="7072" spans="2:34" x14ac:dyDescent="0.2">
      <c r="B7072" s="2">
        <f ca="1"/>
        <v>0.60400813440608681</v>
      </c>
      <c r="O7072" s="2">
        <f ca="1"/>
        <v>-1.123810985500209</v>
      </c>
      <c r="X7072" s="2">
        <f ca="1"/>
        <v>48.436572256698305</v>
      </c>
      <c r="AG7072" s="2">
        <f ca="1"/>
        <v>5.7010404215829702E-2</v>
      </c>
      <c r="AH7072" s="2" t="str">
        <f ca="1"/>
        <v>OK</v>
      </c>
    </row>
    <row r="7073" spans="2:34" x14ac:dyDescent="0.2">
      <c r="B7073" s="2">
        <f ca="1"/>
        <v>3.8500965379441476E-2</v>
      </c>
      <c r="O7073" s="2">
        <f ca="1"/>
        <v>-3.3985900622014653</v>
      </c>
      <c r="X7073" s="2">
        <f ca="1"/>
        <v>27.051462433646979</v>
      </c>
      <c r="AG7073" s="2">
        <f ca="1"/>
        <v>0.61162650396976903</v>
      </c>
      <c r="AH7073" s="2" t="str">
        <f ca="1"/>
        <v>Bad</v>
      </c>
    </row>
    <row r="7074" spans="2:34" x14ac:dyDescent="0.2">
      <c r="B7074" s="2">
        <f ca="1"/>
        <v>0.97225639868606484</v>
      </c>
      <c r="O7074" s="2">
        <f ca="1"/>
        <v>1.1328621499165924E-2</v>
      </c>
      <c r="X7074" s="2">
        <f ca="1"/>
        <v>43.491387974456892</v>
      </c>
      <c r="AG7074" s="2">
        <f ca="1"/>
        <v>0.10393918023757598</v>
      </c>
      <c r="AH7074" s="2" t="str">
        <f ca="1"/>
        <v>OK</v>
      </c>
    </row>
    <row r="7075" spans="2:34" x14ac:dyDescent="0.2">
      <c r="B7075" s="2">
        <f ca="1"/>
        <v>1.4729329905279753E-2</v>
      </c>
      <c r="O7075" s="2">
        <f ca="1"/>
        <v>-1.5710016327165295</v>
      </c>
      <c r="X7075" s="2">
        <f ca="1"/>
        <v>64.216008381449939</v>
      </c>
      <c r="AG7075" s="2">
        <f ca="1"/>
        <v>0.24331397400648203</v>
      </c>
      <c r="AH7075" s="2" t="str">
        <f ca="1"/>
        <v>OK</v>
      </c>
    </row>
    <row r="7076" spans="2:34" x14ac:dyDescent="0.2">
      <c r="B7076" s="2">
        <f ca="1"/>
        <v>0.75465685363068213</v>
      </c>
      <c r="O7076" s="2">
        <f ca="1"/>
        <v>0.35889993071406323</v>
      </c>
      <c r="X7076" s="2">
        <f ca="1"/>
        <v>72.327188768982907</v>
      </c>
      <c r="AG7076" s="2">
        <f ca="1"/>
        <v>0.32243421881198242</v>
      </c>
      <c r="AH7076" s="2" t="str">
        <f ca="1"/>
        <v>OK</v>
      </c>
    </row>
    <row r="7077" spans="2:34" x14ac:dyDescent="0.2">
      <c r="B7077" s="2">
        <f ca="1"/>
        <v>0.97758251488734005</v>
      </c>
      <c r="O7077" s="2">
        <f ca="1"/>
        <v>0.87469971214120124</v>
      </c>
      <c r="X7077" s="2">
        <f ca="1"/>
        <v>32.929649357763012</v>
      </c>
      <c r="AG7077" s="2">
        <f ca="1"/>
        <v>0.30018276436896185</v>
      </c>
      <c r="AH7077" s="2" t="str">
        <f ca="1"/>
        <v>OK</v>
      </c>
    </row>
    <row r="7078" spans="2:34" x14ac:dyDescent="0.2">
      <c r="B7078" s="2">
        <f ca="1"/>
        <v>0.61749334678905021</v>
      </c>
      <c r="O7078" s="2">
        <f ca="1"/>
        <v>1.1933188734912503</v>
      </c>
      <c r="X7078" s="2">
        <f ca="1"/>
        <v>34.973978743020652</v>
      </c>
      <c r="AG7078" s="2">
        <f ca="1"/>
        <v>0.72493870316706266</v>
      </c>
      <c r="AH7078" s="2" t="str">
        <f ca="1"/>
        <v>Bad</v>
      </c>
    </row>
    <row r="7079" spans="2:34" x14ac:dyDescent="0.2">
      <c r="B7079" s="2">
        <f ca="1"/>
        <v>0.5534071926208517</v>
      </c>
      <c r="O7079" s="2">
        <f ca="1"/>
        <v>0.45817792406699698</v>
      </c>
      <c r="X7079" s="2">
        <f ca="1"/>
        <v>22.448554674768157</v>
      </c>
      <c r="AG7079" s="2">
        <f ca="1"/>
        <v>0.5863416202120677</v>
      </c>
      <c r="AH7079" s="2" t="str">
        <f ca="1"/>
        <v>Bad</v>
      </c>
    </row>
    <row r="7080" spans="2:34" x14ac:dyDescent="0.2">
      <c r="B7080" s="2">
        <f ca="1"/>
        <v>8.7503053212305337E-2</v>
      </c>
      <c r="O7080" s="2">
        <f ca="1"/>
        <v>-0.58016002753348328</v>
      </c>
      <c r="X7080" s="2">
        <f ca="1"/>
        <v>26.663834960162376</v>
      </c>
      <c r="AG7080" s="2">
        <f ca="1"/>
        <v>0.40717479015081048</v>
      </c>
      <c r="AH7080" s="2" t="str">
        <f ca="1"/>
        <v>Bad</v>
      </c>
    </row>
    <row r="7081" spans="2:34" x14ac:dyDescent="0.2">
      <c r="B7081" s="2">
        <f ca="1"/>
        <v>0.68847380563397143</v>
      </c>
      <c r="O7081" s="2">
        <f ca="1"/>
        <v>0.36792511787233689</v>
      </c>
      <c r="X7081" s="2">
        <f ca="1"/>
        <v>50.860918574846046</v>
      </c>
      <c r="AG7081" s="2">
        <f ca="1"/>
        <v>0.48993128823375742</v>
      </c>
      <c r="AH7081" s="2" t="str">
        <f ca="1"/>
        <v>Bad</v>
      </c>
    </row>
    <row r="7082" spans="2:34" x14ac:dyDescent="0.2">
      <c r="B7082" s="2">
        <f ca="1"/>
        <v>0.2591634097669453</v>
      </c>
      <c r="O7082" s="2">
        <f ca="1"/>
        <v>0.82125405198488166</v>
      </c>
      <c r="X7082" s="2">
        <f ca="1"/>
        <v>44.711033934765382</v>
      </c>
      <c r="AG7082" s="2">
        <f ca="1"/>
        <v>0.8417311816554196</v>
      </c>
      <c r="AH7082" s="2" t="str">
        <f ca="1"/>
        <v>Bad</v>
      </c>
    </row>
    <row r="7083" spans="2:34" x14ac:dyDescent="0.2">
      <c r="B7083" s="2">
        <f ca="1"/>
        <v>0.21635626375907102</v>
      </c>
      <c r="O7083" s="2">
        <f ca="1"/>
        <v>0.16672109854872774</v>
      </c>
      <c r="X7083" s="2">
        <f ca="1"/>
        <v>53.450982454297886</v>
      </c>
      <c r="AG7083" s="2">
        <f ca="1"/>
        <v>0.77129604181715616</v>
      </c>
      <c r="AH7083" s="2" t="str">
        <f ca="1"/>
        <v>Bad</v>
      </c>
    </row>
    <row r="7084" spans="2:34" x14ac:dyDescent="0.2">
      <c r="B7084" s="2">
        <f ca="1"/>
        <v>0.63963325788412551</v>
      </c>
      <c r="O7084" s="2">
        <f ca="1"/>
        <v>0.26010950252939635</v>
      </c>
      <c r="X7084" s="2">
        <f ca="1"/>
        <v>42.031350451183599</v>
      </c>
      <c r="AG7084" s="2">
        <f ca="1"/>
        <v>0.97151351485541881</v>
      </c>
      <c r="AH7084" s="2" t="str">
        <f ca="1"/>
        <v>Bad</v>
      </c>
    </row>
    <row r="7085" spans="2:34" x14ac:dyDescent="0.2">
      <c r="B7085" s="2">
        <f ca="1"/>
        <v>0.99960087247463658</v>
      </c>
      <c r="O7085" s="2">
        <f ca="1"/>
        <v>-1.5294823910823374</v>
      </c>
      <c r="X7085" s="2">
        <f ca="1"/>
        <v>55.529349053885689</v>
      </c>
      <c r="AG7085" s="2">
        <f ca="1"/>
        <v>0.21513633932361742</v>
      </c>
      <c r="AH7085" s="2" t="str">
        <f ca="1"/>
        <v>OK</v>
      </c>
    </row>
    <row r="7086" spans="2:34" x14ac:dyDescent="0.2">
      <c r="B7086" s="2">
        <f ca="1"/>
        <v>0.15839715967819101</v>
      </c>
      <c r="O7086" s="2">
        <f ca="1"/>
        <v>-3.2228763781878196</v>
      </c>
      <c r="X7086" s="2">
        <f ca="1"/>
        <v>74.643524083904865</v>
      </c>
      <c r="AG7086" s="2">
        <f ca="1"/>
        <v>1.0292276678157686E-2</v>
      </c>
      <c r="AH7086" s="2" t="str">
        <f ca="1"/>
        <v>Good</v>
      </c>
    </row>
    <row r="7087" spans="2:34" x14ac:dyDescent="0.2">
      <c r="B7087" s="2">
        <f ca="1"/>
        <v>0.49675887821534204</v>
      </c>
      <c r="O7087" s="2">
        <f ca="1"/>
        <v>-0.37830307079416908</v>
      </c>
      <c r="X7087" s="2">
        <f ca="1"/>
        <v>46.783886067609643</v>
      </c>
      <c r="AG7087" s="2">
        <f ca="1"/>
        <v>0.32395359124520939</v>
      </c>
      <c r="AH7087" s="2" t="str">
        <f ca="1"/>
        <v>OK</v>
      </c>
    </row>
    <row r="7088" spans="2:34" x14ac:dyDescent="0.2">
      <c r="B7088" s="2">
        <f ca="1"/>
        <v>0.48868870870198</v>
      </c>
      <c r="O7088" s="2">
        <f ca="1"/>
        <v>-1.4104833349792361</v>
      </c>
      <c r="X7088" s="2">
        <f ca="1"/>
        <v>51.947419891057365</v>
      </c>
      <c r="AG7088" s="2">
        <f ca="1"/>
        <v>0.10073665259568121</v>
      </c>
      <c r="AH7088" s="2" t="str">
        <f ca="1"/>
        <v>OK</v>
      </c>
    </row>
    <row r="7089" spans="2:34" x14ac:dyDescent="0.2">
      <c r="B7089" s="2">
        <f ca="1"/>
        <v>0.48072393183508555</v>
      </c>
      <c r="O7089" s="2">
        <f ca="1"/>
        <v>0.10149723561149085</v>
      </c>
      <c r="X7089" s="2">
        <f ca="1"/>
        <v>56.767888717234413</v>
      </c>
      <c r="AG7089" s="2">
        <f ca="1"/>
        <v>0.13581385169392091</v>
      </c>
      <c r="AH7089" s="2" t="str">
        <f ca="1"/>
        <v>OK</v>
      </c>
    </row>
    <row r="7090" spans="2:34" x14ac:dyDescent="0.2">
      <c r="B7090" s="2">
        <f ca="1"/>
        <v>0.56243750186307229</v>
      </c>
      <c r="O7090" s="2">
        <f ca="1"/>
        <v>-0.14160164243313506</v>
      </c>
      <c r="X7090" s="2">
        <f ca="1"/>
        <v>117.64189013801099</v>
      </c>
      <c r="AG7090" s="2">
        <f ca="1"/>
        <v>0.76422271398585151</v>
      </c>
      <c r="AH7090" s="2" t="str">
        <f ca="1"/>
        <v>Bad</v>
      </c>
    </row>
    <row r="7091" spans="2:34" x14ac:dyDescent="0.2">
      <c r="B7091" s="2">
        <f ca="1"/>
        <v>0.75894067427777734</v>
      </c>
      <c r="O7091" s="2">
        <f ca="1"/>
        <v>0.14878896305774747</v>
      </c>
      <c r="X7091" s="2">
        <f ca="1"/>
        <v>28.442326392059798</v>
      </c>
      <c r="AG7091" s="2">
        <f ca="1"/>
        <v>0.69592743727449213</v>
      </c>
      <c r="AH7091" s="2" t="str">
        <f ca="1"/>
        <v>Bad</v>
      </c>
    </row>
    <row r="7092" spans="2:34" x14ac:dyDescent="0.2">
      <c r="B7092" s="2">
        <f ca="1"/>
        <v>0.78045703569384828</v>
      </c>
      <c r="O7092" s="2">
        <f ca="1"/>
        <v>-0.48766820186653626</v>
      </c>
      <c r="X7092" s="2">
        <f ca="1"/>
        <v>51.590191620749266</v>
      </c>
      <c r="AG7092" s="2">
        <f ca="1"/>
        <v>0.77082771389239402</v>
      </c>
      <c r="AH7092" s="2" t="str">
        <f ca="1"/>
        <v>Bad</v>
      </c>
    </row>
    <row r="7093" spans="2:34" x14ac:dyDescent="0.2">
      <c r="B7093" s="2">
        <f ca="1"/>
        <v>0.24676962948076575</v>
      </c>
      <c r="O7093" s="2">
        <f ca="1"/>
        <v>-1.4141276231631725</v>
      </c>
      <c r="X7093" s="2">
        <f ca="1"/>
        <v>53.798316297250793</v>
      </c>
      <c r="AG7093" s="2">
        <f ca="1"/>
        <v>0.3828885046961219</v>
      </c>
      <c r="AH7093" s="2" t="str">
        <f ca="1"/>
        <v>OK</v>
      </c>
    </row>
    <row r="7094" spans="2:34" x14ac:dyDescent="0.2">
      <c r="B7094" s="2">
        <f ca="1"/>
        <v>0.50310141812311859</v>
      </c>
      <c r="O7094" s="2">
        <f ca="1"/>
        <v>-0.59270873515719447</v>
      </c>
      <c r="X7094" s="2">
        <f ca="1"/>
        <v>65.516074077649336</v>
      </c>
      <c r="AG7094" s="2">
        <f ca="1"/>
        <v>0.46065591863275945</v>
      </c>
      <c r="AH7094" s="2" t="str">
        <f ca="1"/>
        <v>Bad</v>
      </c>
    </row>
    <row r="7095" spans="2:34" x14ac:dyDescent="0.2">
      <c r="B7095" s="2">
        <f ca="1"/>
        <v>0.60371925514691771</v>
      </c>
      <c r="O7095" s="2">
        <f ca="1"/>
        <v>-0.90218429340680484</v>
      </c>
      <c r="X7095" s="2">
        <f ca="1"/>
        <v>80.801081694029534</v>
      </c>
      <c r="AG7095" s="2">
        <f ca="1"/>
        <v>0.21237845569141345</v>
      </c>
      <c r="AH7095" s="2" t="str">
        <f ca="1"/>
        <v>OK</v>
      </c>
    </row>
    <row r="7096" spans="2:34" x14ac:dyDescent="0.2">
      <c r="B7096" s="2">
        <f ca="1"/>
        <v>0.24206710220215122</v>
      </c>
      <c r="O7096" s="2">
        <f ca="1"/>
        <v>0.81115602315913093</v>
      </c>
      <c r="X7096" s="2">
        <f ca="1"/>
        <v>66.135488738003588</v>
      </c>
      <c r="AG7096" s="2">
        <f ca="1"/>
        <v>4.8291868709582575E-2</v>
      </c>
      <c r="AH7096" s="2" t="str">
        <f ca="1"/>
        <v>Good</v>
      </c>
    </row>
    <row r="7097" spans="2:34" x14ac:dyDescent="0.2">
      <c r="B7097" s="2">
        <f ca="1"/>
        <v>0.1539081927578434</v>
      </c>
      <c r="O7097" s="2">
        <f ca="1"/>
        <v>7.6791371545457482E-2</v>
      </c>
      <c r="X7097" s="2">
        <f ca="1"/>
        <v>76.244990038043937</v>
      </c>
      <c r="AG7097" s="2">
        <f ca="1"/>
        <v>0.99556539136385247</v>
      </c>
      <c r="AH7097" s="2" t="str">
        <f ca="1"/>
        <v>Bad</v>
      </c>
    </row>
    <row r="7098" spans="2:34" x14ac:dyDescent="0.2">
      <c r="B7098" s="2">
        <f ca="1"/>
        <v>0.79160396370092623</v>
      </c>
      <c r="O7098" s="2">
        <f ca="1"/>
        <v>0.19963107889558546</v>
      </c>
      <c r="X7098" s="2">
        <f ca="1"/>
        <v>35.162059568623803</v>
      </c>
      <c r="AG7098" s="2">
        <f ca="1"/>
        <v>0.7908627892389799</v>
      </c>
      <c r="AH7098" s="2" t="str">
        <f ca="1"/>
        <v>Bad</v>
      </c>
    </row>
    <row r="7099" spans="2:34" x14ac:dyDescent="0.2">
      <c r="B7099" s="2">
        <f ca="1"/>
        <v>0.32969961424460248</v>
      </c>
      <c r="O7099" s="2">
        <f ca="1"/>
        <v>-0.788925016289864</v>
      </c>
      <c r="X7099" s="2">
        <f ca="1"/>
        <v>29.174250583575073</v>
      </c>
      <c r="AG7099" s="2">
        <f ca="1"/>
        <v>1.6622097739541264E-2</v>
      </c>
      <c r="AH7099" s="2" t="str">
        <f ca="1"/>
        <v>Good</v>
      </c>
    </row>
    <row r="7100" spans="2:34" x14ac:dyDescent="0.2">
      <c r="B7100" s="2">
        <f ca="1"/>
        <v>0.33931695324798694</v>
      </c>
      <c r="O7100" s="2">
        <f ca="1"/>
        <v>0.18683842834334699</v>
      </c>
      <c r="X7100" s="2">
        <f ca="1"/>
        <v>43.952086082277546</v>
      </c>
      <c r="AG7100" s="2">
        <f ca="1"/>
        <v>0.27108679064892671</v>
      </c>
      <c r="AH7100" s="2" t="str">
        <f ca="1"/>
        <v>OK</v>
      </c>
    </row>
    <row r="7101" spans="2:34" x14ac:dyDescent="0.2">
      <c r="B7101" s="2">
        <f ca="1"/>
        <v>0.30385561167727415</v>
      </c>
      <c r="O7101" s="2">
        <f ca="1"/>
        <v>0.62303451953837452</v>
      </c>
      <c r="X7101" s="2">
        <f ca="1"/>
        <v>38.765487404003061</v>
      </c>
      <c r="AG7101" s="2">
        <f ca="1"/>
        <v>0.43489118959663475</v>
      </c>
      <c r="AH7101" s="2" t="str">
        <f ca="1"/>
        <v>Bad</v>
      </c>
    </row>
    <row r="7102" spans="2:34" x14ac:dyDescent="0.2">
      <c r="B7102" s="2">
        <f ca="1"/>
        <v>0.76692117358981182</v>
      </c>
      <c r="O7102" s="2">
        <f ca="1"/>
        <v>-0.47675676742552098</v>
      </c>
      <c r="X7102" s="2">
        <f ca="1"/>
        <v>75.951783561345962</v>
      </c>
      <c r="AG7102" s="2">
        <f ca="1"/>
        <v>9.5731688237753909E-2</v>
      </c>
      <c r="AH7102" s="2" t="str">
        <f ca="1"/>
        <v>OK</v>
      </c>
    </row>
    <row r="7103" spans="2:34" x14ac:dyDescent="0.2">
      <c r="B7103" s="2">
        <f ca="1"/>
        <v>5.7724290271420342E-2</v>
      </c>
      <c r="O7103" s="2">
        <f ca="1"/>
        <v>0.17914397715046146</v>
      </c>
      <c r="X7103" s="2">
        <f ca="1"/>
        <v>46.071768865845719</v>
      </c>
      <c r="AG7103" s="2">
        <f ca="1"/>
        <v>0.96681480411049026</v>
      </c>
      <c r="AH7103" s="2" t="str">
        <f ca="1"/>
        <v>Bad</v>
      </c>
    </row>
    <row r="7104" spans="2:34" x14ac:dyDescent="0.2">
      <c r="B7104" s="2">
        <f ca="1"/>
        <v>0.88645996810856964</v>
      </c>
      <c r="O7104" s="2">
        <f ca="1"/>
        <v>-0.82029710826968205</v>
      </c>
      <c r="X7104" s="2">
        <f ca="1"/>
        <v>38.608544763664064</v>
      </c>
      <c r="AG7104" s="2">
        <f ca="1"/>
        <v>0.45686609983614956</v>
      </c>
      <c r="AH7104" s="2" t="str">
        <f ca="1"/>
        <v>Bad</v>
      </c>
    </row>
    <row r="7105" spans="2:34" x14ac:dyDescent="0.2">
      <c r="B7105" s="2">
        <f ca="1"/>
        <v>0.61821200522524111</v>
      </c>
      <c r="O7105" s="2">
        <f ca="1"/>
        <v>-0.31221854030269475</v>
      </c>
      <c r="X7105" s="2">
        <f ca="1"/>
        <v>47.97986028928679</v>
      </c>
      <c r="AG7105" s="2">
        <f ca="1"/>
        <v>0.95417949125595802</v>
      </c>
      <c r="AH7105" s="2" t="str">
        <f ca="1"/>
        <v>Bad</v>
      </c>
    </row>
    <row r="7106" spans="2:34" x14ac:dyDescent="0.2">
      <c r="B7106" s="2">
        <f ca="1"/>
        <v>0.39312482307015606</v>
      </c>
      <c r="O7106" s="2">
        <f ca="1"/>
        <v>-0.46849380440099825</v>
      </c>
      <c r="X7106" s="2">
        <f ca="1"/>
        <v>54.747108439993646</v>
      </c>
      <c r="AG7106" s="2">
        <f ca="1"/>
        <v>0.45921731068425475</v>
      </c>
      <c r="AH7106" s="2" t="str">
        <f ca="1"/>
        <v>Bad</v>
      </c>
    </row>
    <row r="7107" spans="2:34" x14ac:dyDescent="0.2">
      <c r="B7107" s="2">
        <f ca="1"/>
        <v>0.57537009823322882</v>
      </c>
      <c r="O7107" s="2">
        <f ca="1"/>
        <v>1.5540494393172368</v>
      </c>
      <c r="X7107" s="2">
        <f ca="1"/>
        <v>55.166280451485676</v>
      </c>
      <c r="AG7107" s="2">
        <f ca="1"/>
        <v>0.76632659543950221</v>
      </c>
      <c r="AH7107" s="2" t="str">
        <f ca="1"/>
        <v>Bad</v>
      </c>
    </row>
    <row r="7108" spans="2:34" x14ac:dyDescent="0.2">
      <c r="B7108" s="2">
        <f ca="1"/>
        <v>0.89047301589778471</v>
      </c>
      <c r="O7108" s="2">
        <f ca="1"/>
        <v>-0.16716189165111967</v>
      </c>
      <c r="X7108" s="2">
        <f ca="1"/>
        <v>41.360883209042072</v>
      </c>
      <c r="AG7108" s="2">
        <f ca="1"/>
        <v>0.56272516193504885</v>
      </c>
      <c r="AH7108" s="2" t="str">
        <f ca="1"/>
        <v>Bad</v>
      </c>
    </row>
    <row r="7109" spans="2:34" x14ac:dyDescent="0.2">
      <c r="B7109" s="2">
        <f ca="1"/>
        <v>0.97950929952205512</v>
      </c>
      <c r="O7109" s="2">
        <f ca="1"/>
        <v>1.0114036410458864</v>
      </c>
      <c r="X7109" s="2">
        <f ca="1"/>
        <v>34.544869187219795</v>
      </c>
      <c r="AG7109" s="2">
        <f ca="1"/>
        <v>0.95356096839425653</v>
      </c>
      <c r="AH7109" s="2" t="str">
        <f ca="1"/>
        <v>Bad</v>
      </c>
    </row>
    <row r="7110" spans="2:34" x14ac:dyDescent="0.2">
      <c r="B7110" s="2">
        <f ca="1"/>
        <v>0.53032345927836233</v>
      </c>
      <c r="O7110" s="2">
        <f ca="1"/>
        <v>0.83487416640958767</v>
      </c>
      <c r="X7110" s="2">
        <f ca="1"/>
        <v>51.804384573776858</v>
      </c>
      <c r="AG7110" s="2">
        <f ca="1"/>
        <v>0.62011381883969685</v>
      </c>
      <c r="AH7110" s="2" t="str">
        <f ca="1"/>
        <v>Bad</v>
      </c>
    </row>
    <row r="7111" spans="2:34" x14ac:dyDescent="0.2">
      <c r="B7111" s="2">
        <f ca="1"/>
        <v>0.16921237200516592</v>
      </c>
      <c r="O7111" s="2">
        <f ca="1"/>
        <v>0.59770178492578852</v>
      </c>
      <c r="X7111" s="2">
        <f ca="1"/>
        <v>36.553299955717968</v>
      </c>
      <c r="AG7111" s="2">
        <f ca="1"/>
        <v>0.3069884649545922</v>
      </c>
      <c r="AH7111" s="2" t="str">
        <f ca="1"/>
        <v>OK</v>
      </c>
    </row>
    <row r="7112" spans="2:34" x14ac:dyDescent="0.2">
      <c r="B7112" s="2">
        <f ca="1"/>
        <v>0.80811265479473282</v>
      </c>
      <c r="O7112" s="2">
        <f ca="1"/>
        <v>-0.28664739636985853</v>
      </c>
      <c r="X7112" s="2">
        <f ca="1"/>
        <v>34.679091327036225</v>
      </c>
      <c r="AG7112" s="2">
        <f ca="1"/>
        <v>0.88752639608201522</v>
      </c>
      <c r="AH7112" s="2" t="str">
        <f ca="1"/>
        <v>Bad</v>
      </c>
    </row>
    <row r="7113" spans="2:34" x14ac:dyDescent="0.2">
      <c r="B7113" s="2">
        <f ca="1"/>
        <v>0.14394037071282995</v>
      </c>
      <c r="O7113" s="2">
        <f ca="1"/>
        <v>-0.59060444052995453</v>
      </c>
      <c r="X7113" s="2">
        <f ca="1"/>
        <v>33.101171772544923</v>
      </c>
      <c r="AG7113" s="2">
        <f ca="1"/>
        <v>0.84014321239762491</v>
      </c>
      <c r="AH7113" s="2" t="str">
        <f ca="1"/>
        <v>Bad</v>
      </c>
    </row>
    <row r="7114" spans="2:34" x14ac:dyDescent="0.2">
      <c r="B7114" s="2">
        <f ca="1"/>
        <v>0.75748218798329137</v>
      </c>
      <c r="O7114" s="2">
        <f ca="1"/>
        <v>-0.46738637514442105</v>
      </c>
      <c r="X7114" s="2">
        <f ca="1"/>
        <v>54.108312870272492</v>
      </c>
      <c r="AG7114" s="2">
        <f ca="1"/>
        <v>0.65429829283409568</v>
      </c>
      <c r="AH7114" s="2" t="str">
        <f ca="1"/>
        <v>Bad</v>
      </c>
    </row>
    <row r="7115" spans="2:34" x14ac:dyDescent="0.2">
      <c r="B7115" s="2">
        <f ca="1"/>
        <v>1.1975336159375516E-2</v>
      </c>
      <c r="O7115" s="2">
        <f ca="1"/>
        <v>-0.68377878624181965</v>
      </c>
      <c r="X7115" s="2">
        <f ca="1"/>
        <v>22.126466809348898</v>
      </c>
      <c r="AG7115" s="2">
        <f ca="1"/>
        <v>0.82314438712236115</v>
      </c>
      <c r="AH7115" s="2" t="str">
        <f ca="1"/>
        <v>Bad</v>
      </c>
    </row>
    <row r="7116" spans="2:34" x14ac:dyDescent="0.2">
      <c r="B7116" s="2">
        <f ca="1"/>
        <v>0.4055508398190375</v>
      </c>
      <c r="O7116" s="2">
        <f ca="1"/>
        <v>-0.974905366757019</v>
      </c>
      <c r="X7116" s="2">
        <f ca="1"/>
        <v>53.80192621234162</v>
      </c>
      <c r="AG7116" s="2">
        <f ca="1"/>
        <v>0.1523654988272507</v>
      </c>
      <c r="AH7116" s="2" t="str">
        <f ca="1"/>
        <v>OK</v>
      </c>
    </row>
    <row r="7117" spans="2:34" x14ac:dyDescent="0.2">
      <c r="B7117" s="2">
        <f ca="1"/>
        <v>0.99418385223742534</v>
      </c>
      <c r="O7117" s="2">
        <f ca="1"/>
        <v>-0.64659587308091659</v>
      </c>
      <c r="X7117" s="2">
        <f ca="1"/>
        <v>60.741641462887806</v>
      </c>
      <c r="AG7117" s="2">
        <f ca="1"/>
        <v>0.96102270056851546</v>
      </c>
      <c r="AH7117" s="2" t="str">
        <f ca="1"/>
        <v>Bad</v>
      </c>
    </row>
    <row r="7118" spans="2:34" x14ac:dyDescent="0.2">
      <c r="B7118" s="2">
        <f ca="1"/>
        <v>3.3976107733274086E-2</v>
      </c>
      <c r="O7118" s="2">
        <f ca="1"/>
        <v>1.7174588200194258E-2</v>
      </c>
      <c r="X7118" s="2">
        <f ca="1"/>
        <v>32.127568666086887</v>
      </c>
      <c r="AG7118" s="2">
        <f ca="1"/>
        <v>0.45189070466512304</v>
      </c>
      <c r="AH7118" s="2" t="str">
        <f ca="1"/>
        <v>Bad</v>
      </c>
    </row>
    <row r="7119" spans="2:34" x14ac:dyDescent="0.2">
      <c r="B7119" s="2">
        <f ca="1"/>
        <v>0.65055082229391181</v>
      </c>
      <c r="O7119" s="2">
        <f ca="1"/>
        <v>0.31269150176361465</v>
      </c>
      <c r="X7119" s="2">
        <f ca="1"/>
        <v>56.286160345487417</v>
      </c>
      <c r="AG7119" s="2">
        <f ca="1"/>
        <v>0.25574216052296683</v>
      </c>
      <c r="AH7119" s="2" t="str">
        <f ca="1"/>
        <v>OK</v>
      </c>
    </row>
    <row r="7120" spans="2:34" x14ac:dyDescent="0.2">
      <c r="B7120" s="2">
        <f ca="1"/>
        <v>0.17960163813303898</v>
      </c>
      <c r="O7120" s="2">
        <f ca="1"/>
        <v>-3.4859986102989543E-2</v>
      </c>
      <c r="X7120" s="2">
        <f ca="1"/>
        <v>51.491419838103681</v>
      </c>
      <c r="AG7120" s="2">
        <f ca="1"/>
        <v>3.3780301768858489E-2</v>
      </c>
      <c r="AH7120" s="2" t="str">
        <f ca="1"/>
        <v>Good</v>
      </c>
    </row>
    <row r="7121" spans="2:34" x14ac:dyDescent="0.2">
      <c r="B7121" s="2">
        <f ca="1"/>
        <v>0.98386488835622243</v>
      </c>
      <c r="O7121" s="2">
        <f ca="1"/>
        <v>-0.12976035523781027</v>
      </c>
      <c r="X7121" s="2">
        <f ca="1"/>
        <v>63.266893380269877</v>
      </c>
      <c r="AG7121" s="2">
        <f ca="1"/>
        <v>0.83804421256577344</v>
      </c>
      <c r="AH7121" s="2" t="str">
        <f ca="1"/>
        <v>Bad</v>
      </c>
    </row>
    <row r="7122" spans="2:34" x14ac:dyDescent="0.2">
      <c r="B7122" s="2">
        <f ca="1"/>
        <v>0.46463748416501671</v>
      </c>
      <c r="O7122" s="2">
        <f ca="1"/>
        <v>0.12913944987291515</v>
      </c>
      <c r="X7122" s="2">
        <f ca="1"/>
        <v>40.045188985835011</v>
      </c>
      <c r="AG7122" s="2">
        <f ca="1"/>
        <v>0.47692021801647644</v>
      </c>
      <c r="AH7122" s="2" t="str">
        <f ca="1"/>
        <v>Bad</v>
      </c>
    </row>
    <row r="7123" spans="2:34" x14ac:dyDescent="0.2">
      <c r="B7123" s="2">
        <f ca="1"/>
        <v>0.36321765290545605</v>
      </c>
      <c r="O7123" s="2">
        <f ca="1"/>
        <v>-0.58376454211011763</v>
      </c>
      <c r="X7123" s="2">
        <f ca="1"/>
        <v>66.216156904282187</v>
      </c>
      <c r="AG7123" s="2">
        <f ca="1"/>
        <v>3.9767561692949593E-2</v>
      </c>
      <c r="AH7123" s="2" t="str">
        <f ca="1"/>
        <v>Good</v>
      </c>
    </row>
    <row r="7124" spans="2:34" x14ac:dyDescent="0.2">
      <c r="B7124" s="2">
        <f ca="1"/>
        <v>8.3890269156378539E-2</v>
      </c>
      <c r="O7124" s="2">
        <f ca="1"/>
        <v>-0.85798623966279308</v>
      </c>
      <c r="X7124" s="2">
        <f ca="1"/>
        <v>48.890742525824926</v>
      </c>
      <c r="AG7124" s="2">
        <f ca="1"/>
        <v>0.75944729453004189</v>
      </c>
      <c r="AH7124" s="2" t="str">
        <f ca="1"/>
        <v>Bad</v>
      </c>
    </row>
    <row r="7125" spans="2:34" x14ac:dyDescent="0.2">
      <c r="B7125" s="2">
        <f ca="1"/>
        <v>0.11891108004532103</v>
      </c>
      <c r="O7125" s="2">
        <f ca="1"/>
        <v>-7.6361364653929169E-3</v>
      </c>
      <c r="X7125" s="2">
        <f ca="1"/>
        <v>50.003011610495768</v>
      </c>
      <c r="AG7125" s="2">
        <f ca="1"/>
        <v>0.85731537249819256</v>
      </c>
      <c r="AH7125" s="2" t="str">
        <f ca="1"/>
        <v>Bad</v>
      </c>
    </row>
    <row r="7126" spans="2:34" x14ac:dyDescent="0.2">
      <c r="B7126" s="2">
        <f ca="1"/>
        <v>0.24387732717934263</v>
      </c>
      <c r="O7126" s="2">
        <f ca="1"/>
        <v>0.97968563668631592</v>
      </c>
      <c r="X7126" s="2">
        <f ca="1"/>
        <v>73.096711798960911</v>
      </c>
      <c r="AG7126" s="2">
        <f ca="1"/>
        <v>0.84857818249132433</v>
      </c>
      <c r="AH7126" s="2" t="str">
        <f ca="1"/>
        <v>Bad</v>
      </c>
    </row>
    <row r="7127" spans="2:34" x14ac:dyDescent="0.2">
      <c r="B7127" s="2">
        <f ca="1"/>
        <v>0.42859296940334057</v>
      </c>
      <c r="O7127" s="2">
        <f ca="1"/>
        <v>1.4727309599291556</v>
      </c>
      <c r="X7127" s="2">
        <f ca="1"/>
        <v>19.647433973386292</v>
      </c>
      <c r="AG7127" s="2">
        <f ca="1"/>
        <v>0.14166429852026718</v>
      </c>
      <c r="AH7127" s="2" t="str">
        <f ca="1"/>
        <v>OK</v>
      </c>
    </row>
    <row r="7128" spans="2:34" x14ac:dyDescent="0.2">
      <c r="B7128" s="2">
        <f ca="1"/>
        <v>0.68379099191353032</v>
      </c>
      <c r="O7128" s="2">
        <f ca="1"/>
        <v>-0.29751717460719151</v>
      </c>
      <c r="X7128" s="2">
        <f ca="1"/>
        <v>24.918938004227975</v>
      </c>
      <c r="AG7128" s="2">
        <f ca="1"/>
        <v>0.82536974040690092</v>
      </c>
      <c r="AH7128" s="2" t="str">
        <f ca="1"/>
        <v>Bad</v>
      </c>
    </row>
    <row r="7129" spans="2:34" x14ac:dyDescent="0.2">
      <c r="B7129" s="2">
        <f ca="1"/>
        <v>0.53221433577428168</v>
      </c>
      <c r="O7129" s="2">
        <f ca="1"/>
        <v>0.67090539954420869</v>
      </c>
      <c r="X7129" s="2">
        <f ca="1"/>
        <v>49.534476143669153</v>
      </c>
      <c r="AG7129" s="2">
        <f ca="1"/>
        <v>0.79650954984146294</v>
      </c>
      <c r="AH7129" s="2" t="str">
        <f ca="1"/>
        <v>Bad</v>
      </c>
    </row>
    <row r="7130" spans="2:34" x14ac:dyDescent="0.2">
      <c r="B7130" s="2">
        <f ca="1"/>
        <v>0.52977275353535891</v>
      </c>
      <c r="O7130" s="2">
        <f ca="1"/>
        <v>-1.0780500376823552</v>
      </c>
      <c r="X7130" s="2">
        <f ca="1"/>
        <v>59.978805676262432</v>
      </c>
      <c r="AG7130" s="2">
        <f ca="1"/>
        <v>0.43692660266282934</v>
      </c>
      <c r="AH7130" s="2" t="str">
        <f ca="1"/>
        <v>Bad</v>
      </c>
    </row>
    <row r="7131" spans="2:34" x14ac:dyDescent="0.2">
      <c r="B7131" s="2">
        <f ca="1"/>
        <v>0.50640304123707236</v>
      </c>
      <c r="O7131" s="2">
        <f ca="1"/>
        <v>-0.45917640997909492</v>
      </c>
      <c r="X7131" s="2">
        <f ca="1"/>
        <v>71.734811379174332</v>
      </c>
      <c r="AG7131" s="2">
        <f ca="1"/>
        <v>0.11104310979699172</v>
      </c>
      <c r="AH7131" s="2" t="str">
        <f ca="1"/>
        <v>OK</v>
      </c>
    </row>
    <row r="7132" spans="2:34" x14ac:dyDescent="0.2">
      <c r="B7132" s="2">
        <f ca="1"/>
        <v>0.35223620069360817</v>
      </c>
      <c r="O7132" s="2">
        <f ca="1"/>
        <v>-1.7389641527736985</v>
      </c>
      <c r="X7132" s="2">
        <f ca="1"/>
        <v>51.667044167138336</v>
      </c>
      <c r="AG7132" s="2">
        <f ca="1"/>
        <v>0.18643216475880342</v>
      </c>
      <c r="AH7132" s="2" t="str">
        <f ca="1"/>
        <v>OK</v>
      </c>
    </row>
    <row r="7133" spans="2:34" x14ac:dyDescent="0.2">
      <c r="B7133" s="2">
        <f ca="1"/>
        <v>0.4173791852108748</v>
      </c>
      <c r="O7133" s="2">
        <f ca="1"/>
        <v>-0.19135725008075385</v>
      </c>
      <c r="X7133" s="2">
        <f ca="1"/>
        <v>33.435190336912122</v>
      </c>
      <c r="AG7133" s="2">
        <f ca="1"/>
        <v>2.0537835012070627E-2</v>
      </c>
      <c r="AH7133" s="2" t="str">
        <f ca="1"/>
        <v>Good</v>
      </c>
    </row>
    <row r="7134" spans="2:34" x14ac:dyDescent="0.2">
      <c r="B7134" s="2">
        <f ca="1"/>
        <v>0.9064228215285004</v>
      </c>
      <c r="O7134" s="2">
        <f ca="1"/>
        <v>0.2116816719814964</v>
      </c>
      <c r="X7134" s="2">
        <f ca="1"/>
        <v>47.556436454403197</v>
      </c>
      <c r="AG7134" s="2">
        <f ca="1"/>
        <v>0.71247388053329397</v>
      </c>
      <c r="AH7134" s="2" t="str">
        <f ca="1"/>
        <v>Bad</v>
      </c>
    </row>
    <row r="7135" spans="2:34" x14ac:dyDescent="0.2">
      <c r="B7135" s="2">
        <f ca="1"/>
        <v>0.78407793988120988</v>
      </c>
      <c r="O7135" s="2">
        <f ca="1"/>
        <v>-0.8913272411486719</v>
      </c>
      <c r="X7135" s="2">
        <f ca="1"/>
        <v>39.183568325493027</v>
      </c>
      <c r="AG7135" s="2">
        <f ca="1"/>
        <v>4.4856604906741149E-2</v>
      </c>
      <c r="AH7135" s="2" t="str">
        <f ca="1"/>
        <v>Good</v>
      </c>
    </row>
    <row r="7136" spans="2:34" x14ac:dyDescent="0.2">
      <c r="B7136" s="2">
        <f ca="1"/>
        <v>0.35894844930583436</v>
      </c>
      <c r="O7136" s="2">
        <f ca="1"/>
        <v>8.3387900840551407E-2</v>
      </c>
      <c r="X7136" s="2">
        <f ca="1"/>
        <v>27.249591783502897</v>
      </c>
      <c r="AG7136" s="2">
        <f ca="1"/>
        <v>8.9323093914252194E-2</v>
      </c>
      <c r="AH7136" s="2" t="str">
        <f ca="1"/>
        <v>OK</v>
      </c>
    </row>
    <row r="7137" spans="2:34" x14ac:dyDescent="0.2">
      <c r="B7137" s="2">
        <f ca="1"/>
        <v>0.1654382655288118</v>
      </c>
      <c r="O7137" s="2">
        <f ca="1"/>
        <v>0.1447970638217034</v>
      </c>
      <c r="X7137" s="2">
        <f ca="1"/>
        <v>44.467493917293588</v>
      </c>
      <c r="AG7137" s="2">
        <f ca="1"/>
        <v>0.77404452449880923</v>
      </c>
      <c r="AH7137" s="2" t="str">
        <f ca="1"/>
        <v>Bad</v>
      </c>
    </row>
    <row r="7138" spans="2:34" x14ac:dyDescent="0.2">
      <c r="B7138" s="2">
        <f ca="1"/>
        <v>0.87374711025397223</v>
      </c>
      <c r="O7138" s="2">
        <f ca="1"/>
        <v>-1.2141086793398972</v>
      </c>
      <c r="X7138" s="2">
        <f ca="1"/>
        <v>51.70762920055467</v>
      </c>
      <c r="AG7138" s="2">
        <f ca="1"/>
        <v>0.22886488959490681</v>
      </c>
      <c r="AH7138" s="2" t="str">
        <f ca="1"/>
        <v>OK</v>
      </c>
    </row>
    <row r="7139" spans="2:34" x14ac:dyDescent="0.2">
      <c r="B7139" s="2">
        <f ca="1"/>
        <v>0.64534389909840062</v>
      </c>
      <c r="O7139" s="2">
        <f ca="1"/>
        <v>0.95557963220342024</v>
      </c>
      <c r="X7139" s="2">
        <f ca="1"/>
        <v>50.41703657013629</v>
      </c>
      <c r="AG7139" s="2">
        <f ca="1"/>
        <v>0.57902799605356492</v>
      </c>
      <c r="AH7139" s="2" t="str">
        <f ca="1"/>
        <v>Bad</v>
      </c>
    </row>
    <row r="7140" spans="2:34" x14ac:dyDescent="0.2">
      <c r="B7140" s="2">
        <f ca="1"/>
        <v>4.3730642718047719E-2</v>
      </c>
      <c r="O7140" s="2">
        <f ca="1"/>
        <v>6.5325452389946595E-2</v>
      </c>
      <c r="X7140" s="2">
        <f ca="1"/>
        <v>39.674147146832617</v>
      </c>
      <c r="AG7140" s="2">
        <f ca="1"/>
        <v>0.75941565145066114</v>
      </c>
      <c r="AH7140" s="2" t="str">
        <f ca="1"/>
        <v>Bad</v>
      </c>
    </row>
    <row r="7141" spans="2:34" x14ac:dyDescent="0.2">
      <c r="B7141" s="2">
        <f ca="1"/>
        <v>1.6212522343913571E-2</v>
      </c>
      <c r="O7141" s="2">
        <f ca="1"/>
        <v>1.2394641380541747</v>
      </c>
      <c r="X7141" s="2">
        <f ca="1"/>
        <v>42.170343412344351</v>
      </c>
      <c r="AG7141" s="2">
        <f ca="1"/>
        <v>0.16908021059928435</v>
      </c>
      <c r="AH7141" s="2" t="str">
        <f ca="1"/>
        <v>OK</v>
      </c>
    </row>
    <row r="7142" spans="2:34" x14ac:dyDescent="0.2">
      <c r="B7142" s="2">
        <f ca="1"/>
        <v>0.78767815694638488</v>
      </c>
      <c r="O7142" s="2">
        <f ca="1"/>
        <v>5.5825109503468522E-2</v>
      </c>
      <c r="X7142" s="2">
        <f ca="1"/>
        <v>44.470539215627973</v>
      </c>
      <c r="AG7142" s="2">
        <f ca="1"/>
        <v>0.86231075047410433</v>
      </c>
      <c r="AH7142" s="2" t="str">
        <f ca="1"/>
        <v>Bad</v>
      </c>
    </row>
    <row r="7143" spans="2:34" x14ac:dyDescent="0.2">
      <c r="B7143" s="2">
        <f ca="1"/>
        <v>0.23582593214943492</v>
      </c>
      <c r="O7143" s="2">
        <f ca="1"/>
        <v>-1.1794814496156711</v>
      </c>
      <c r="X7143" s="2">
        <f ca="1"/>
        <v>19.008674916663079</v>
      </c>
      <c r="AG7143" s="2">
        <f ca="1"/>
        <v>2.7574145460414146E-2</v>
      </c>
      <c r="AH7143" s="2" t="str">
        <f ca="1"/>
        <v>Good</v>
      </c>
    </row>
    <row r="7144" spans="2:34" x14ac:dyDescent="0.2">
      <c r="B7144" s="2">
        <f ca="1"/>
        <v>0.60477787663775828</v>
      </c>
      <c r="O7144" s="2">
        <f ca="1"/>
        <v>0.8293583284523085</v>
      </c>
      <c r="X7144" s="2">
        <f ca="1"/>
        <v>37.636495002155364</v>
      </c>
      <c r="AG7144" s="2">
        <f ca="1"/>
        <v>0.21666843410180925</v>
      </c>
      <c r="AH7144" s="2" t="str">
        <f ca="1"/>
        <v>OK</v>
      </c>
    </row>
    <row r="7145" spans="2:34" x14ac:dyDescent="0.2">
      <c r="B7145" s="2">
        <f ca="1"/>
        <v>0.46821515131589897</v>
      </c>
      <c r="O7145" s="2">
        <f ca="1"/>
        <v>-0.59231238310748269</v>
      </c>
      <c r="X7145" s="2">
        <f ca="1"/>
        <v>37.087855264100348</v>
      </c>
      <c r="AG7145" s="2">
        <f ca="1"/>
        <v>0.84650434333946101</v>
      </c>
      <c r="AH7145" s="2" t="str">
        <f ca="1"/>
        <v>Bad</v>
      </c>
    </row>
    <row r="7146" spans="2:34" x14ac:dyDescent="0.2">
      <c r="B7146" s="2">
        <f ca="1"/>
        <v>0.14484674173733758</v>
      </c>
      <c r="O7146" s="2">
        <f ca="1"/>
        <v>-0.2633457417766954</v>
      </c>
      <c r="X7146" s="2">
        <f ca="1"/>
        <v>44.796536472296403</v>
      </c>
      <c r="AG7146" s="2">
        <f ca="1"/>
        <v>0.78413791222327411</v>
      </c>
      <c r="AH7146" s="2" t="str">
        <f ca="1"/>
        <v>Bad</v>
      </c>
    </row>
    <row r="7147" spans="2:34" x14ac:dyDescent="0.2">
      <c r="B7147" s="2">
        <f ca="1"/>
        <v>3.6301174417757265E-2</v>
      </c>
      <c r="O7147" s="2">
        <f ca="1"/>
        <v>0.55780658247138315</v>
      </c>
      <c r="X7147" s="2">
        <f ca="1"/>
        <v>32.725429456344351</v>
      </c>
      <c r="AG7147" s="2">
        <f ca="1"/>
        <v>0.53652277334248666</v>
      </c>
      <c r="AH7147" s="2" t="str">
        <f ca="1"/>
        <v>Bad</v>
      </c>
    </row>
    <row r="7148" spans="2:34" x14ac:dyDescent="0.2">
      <c r="B7148" s="2">
        <f ca="1"/>
        <v>0.20122554083001565</v>
      </c>
      <c r="O7148" s="2">
        <f ca="1"/>
        <v>0.53931963693820895</v>
      </c>
      <c r="X7148" s="2">
        <f ca="1"/>
        <v>36.339037649700508</v>
      </c>
      <c r="AG7148" s="2">
        <f ca="1"/>
        <v>0.35368914555188979</v>
      </c>
      <c r="AH7148" s="2" t="str">
        <f ca="1"/>
        <v>OK</v>
      </c>
    </row>
    <row r="7149" spans="2:34" x14ac:dyDescent="0.2">
      <c r="B7149" s="2">
        <f ca="1"/>
        <v>0.97627170431892663</v>
      </c>
      <c r="O7149" s="2">
        <f ca="1"/>
        <v>-0.43817288677926231</v>
      </c>
      <c r="X7149" s="2">
        <f ca="1"/>
        <v>53.423699283223769</v>
      </c>
      <c r="AG7149" s="2">
        <f ca="1"/>
        <v>0.72869750577270542</v>
      </c>
      <c r="AH7149" s="2" t="str">
        <f ca="1"/>
        <v>Bad</v>
      </c>
    </row>
    <row r="7150" spans="2:34" x14ac:dyDescent="0.2">
      <c r="B7150" s="2">
        <f ca="1"/>
        <v>3.2681756548079033E-2</v>
      </c>
      <c r="O7150" s="2">
        <f ca="1"/>
        <v>1.974275462237882E-2</v>
      </c>
      <c r="X7150" s="2">
        <f ca="1"/>
        <v>46.295586940805464</v>
      </c>
      <c r="AG7150" s="2">
        <f ca="1"/>
        <v>0.72033820665388371</v>
      </c>
      <c r="AH7150" s="2" t="str">
        <f ca="1"/>
        <v>Bad</v>
      </c>
    </row>
    <row r="7151" spans="2:34" x14ac:dyDescent="0.2">
      <c r="B7151" s="2">
        <f ca="1"/>
        <v>0.10639130250561513</v>
      </c>
      <c r="O7151" s="2">
        <f ca="1"/>
        <v>-0.90875015154506555</v>
      </c>
      <c r="X7151" s="2">
        <f ca="1"/>
        <v>52.726324315370256</v>
      </c>
      <c r="AG7151" s="2">
        <f ca="1"/>
        <v>3.5801558482497331E-2</v>
      </c>
      <c r="AH7151" s="2" t="str">
        <f ca="1"/>
        <v>Good</v>
      </c>
    </row>
    <row r="7152" spans="2:34" x14ac:dyDescent="0.2">
      <c r="B7152" s="2">
        <f ca="1"/>
        <v>0.80850251317118738</v>
      </c>
      <c r="O7152" s="2">
        <f ca="1"/>
        <v>0.73609170723104844</v>
      </c>
      <c r="X7152" s="2">
        <f ca="1"/>
        <v>60.781000835291024</v>
      </c>
      <c r="AG7152" s="2">
        <f ca="1"/>
        <v>0.84416673390591423</v>
      </c>
      <c r="AH7152" s="2" t="str">
        <f ca="1"/>
        <v>Bad</v>
      </c>
    </row>
    <row r="7153" spans="2:34" x14ac:dyDescent="0.2">
      <c r="B7153" s="2">
        <f ca="1"/>
        <v>0.67447445694295616</v>
      </c>
      <c r="O7153" s="2">
        <f ca="1"/>
        <v>0.81620946843232312</v>
      </c>
      <c r="X7153" s="2">
        <f ca="1"/>
        <v>77.376995662263226</v>
      </c>
      <c r="AG7153" s="2">
        <f ca="1"/>
        <v>2.7593696340419305E-2</v>
      </c>
      <c r="AH7153" s="2" t="str">
        <f ca="1"/>
        <v>Good</v>
      </c>
    </row>
    <row r="7154" spans="2:34" x14ac:dyDescent="0.2">
      <c r="B7154" s="2">
        <f ca="1"/>
        <v>0.85546429747939667</v>
      </c>
      <c r="O7154" s="2">
        <f ca="1"/>
        <v>2.0110149023237227</v>
      </c>
      <c r="X7154" s="2">
        <f ca="1"/>
        <v>30.969510571491799</v>
      </c>
      <c r="AG7154" s="2">
        <f ca="1"/>
        <v>0.41821951382194134</v>
      </c>
      <c r="AH7154" s="2" t="str">
        <f ca="1"/>
        <v>Bad</v>
      </c>
    </row>
    <row r="7155" spans="2:34" x14ac:dyDescent="0.2">
      <c r="B7155" s="2">
        <f ca="1"/>
        <v>0.60601097696144168</v>
      </c>
      <c r="O7155" s="2">
        <f ca="1"/>
        <v>-4.4653710668351426E-3</v>
      </c>
      <c r="X7155" s="2">
        <f ca="1"/>
        <v>60.923708737362638</v>
      </c>
      <c r="AG7155" s="2">
        <f ca="1"/>
        <v>0.80474104879075004</v>
      </c>
      <c r="AH7155" s="2" t="str">
        <f ca="1"/>
        <v>Bad</v>
      </c>
    </row>
    <row r="7156" spans="2:34" x14ac:dyDescent="0.2">
      <c r="B7156" s="2">
        <f ca="1"/>
        <v>0.96582127706767995</v>
      </c>
      <c r="O7156" s="2">
        <f ca="1"/>
        <v>0.79756222241342589</v>
      </c>
      <c r="X7156" s="2">
        <f ca="1"/>
        <v>40.279581317718154</v>
      </c>
      <c r="AG7156" s="2">
        <f ca="1"/>
        <v>0.43860510983434375</v>
      </c>
      <c r="AH7156" s="2" t="str">
        <f ca="1"/>
        <v>Bad</v>
      </c>
    </row>
    <row r="7157" spans="2:34" x14ac:dyDescent="0.2">
      <c r="B7157" s="2">
        <f ca="1"/>
        <v>0.96134194515538418</v>
      </c>
      <c r="O7157" s="2">
        <f ca="1"/>
        <v>0.20322901332998636</v>
      </c>
      <c r="X7157" s="2">
        <f ca="1"/>
        <v>43.354329534956513</v>
      </c>
      <c r="AG7157" s="2">
        <f ca="1"/>
        <v>0.47416365916509839</v>
      </c>
      <c r="AH7157" s="2" t="str">
        <f ca="1"/>
        <v>Bad</v>
      </c>
    </row>
    <row r="7158" spans="2:34" x14ac:dyDescent="0.2">
      <c r="B7158" s="2">
        <f ca="1"/>
        <v>0.54944454086093208</v>
      </c>
      <c r="O7158" s="2">
        <f ca="1"/>
        <v>5.1259123975983239E-3</v>
      </c>
      <c r="X7158" s="2">
        <f ca="1"/>
        <v>48.511831097522318</v>
      </c>
      <c r="AG7158" s="2">
        <f ca="1"/>
        <v>0.53093213743335754</v>
      </c>
      <c r="AH7158" s="2" t="str">
        <f ca="1"/>
        <v>Bad</v>
      </c>
    </row>
    <row r="7159" spans="2:34" x14ac:dyDescent="0.2">
      <c r="B7159" s="2">
        <f ca="1"/>
        <v>0.53972652936702836</v>
      </c>
      <c r="O7159" s="2">
        <f ca="1"/>
        <v>-0.11602431339273261</v>
      </c>
      <c r="X7159" s="2">
        <f ca="1"/>
        <v>95.073166698000932</v>
      </c>
      <c r="AG7159" s="2">
        <f ca="1"/>
        <v>0.40289770799388092</v>
      </c>
      <c r="AH7159" s="2" t="str">
        <f ca="1"/>
        <v>Bad</v>
      </c>
    </row>
    <row r="7160" spans="2:34" x14ac:dyDescent="0.2">
      <c r="B7160" s="2">
        <f ca="1"/>
        <v>0.83854595096211693</v>
      </c>
      <c r="O7160" s="2">
        <f ca="1"/>
        <v>2.5307243848298242</v>
      </c>
      <c r="X7160" s="2">
        <f ca="1"/>
        <v>35.99798409238926</v>
      </c>
      <c r="AG7160" s="2">
        <f ca="1"/>
        <v>0.2268570943689574</v>
      </c>
      <c r="AH7160" s="2" t="str">
        <f ca="1"/>
        <v>OK</v>
      </c>
    </row>
    <row r="7161" spans="2:34" x14ac:dyDescent="0.2">
      <c r="B7161" s="2">
        <f ca="1"/>
        <v>0.89367393971940756</v>
      </c>
      <c r="O7161" s="2">
        <f ca="1"/>
        <v>-5.2596733397877585E-2</v>
      </c>
      <c r="X7161" s="2">
        <f ca="1"/>
        <v>55.149106653707832</v>
      </c>
      <c r="AG7161" s="2">
        <f ca="1"/>
        <v>0.45676297953676914</v>
      </c>
      <c r="AH7161" s="2" t="str">
        <f ca="1"/>
        <v>Bad</v>
      </c>
    </row>
    <row r="7162" spans="2:34" x14ac:dyDescent="0.2">
      <c r="B7162" s="2">
        <f ca="1"/>
        <v>0.38354661962065473</v>
      </c>
      <c r="O7162" s="2">
        <f ca="1"/>
        <v>-0.56743888178073509</v>
      </c>
      <c r="X7162" s="2">
        <f ca="1"/>
        <v>53.27900767219888</v>
      </c>
      <c r="AG7162" s="2">
        <f ca="1"/>
        <v>0.4000190283523668</v>
      </c>
      <c r="AH7162" s="2" t="str">
        <f ca="1"/>
        <v>Bad</v>
      </c>
    </row>
    <row r="7163" spans="2:34" x14ac:dyDescent="0.2">
      <c r="B7163" s="2">
        <f ca="1"/>
        <v>0.74169745990289426</v>
      </c>
      <c r="O7163" s="2">
        <f ca="1"/>
        <v>-0.69360895125261979</v>
      </c>
      <c r="X7163" s="2">
        <f ca="1"/>
        <v>92.166318966142484</v>
      </c>
      <c r="AG7163" s="2">
        <f ca="1"/>
        <v>0.69818757037802026</v>
      </c>
      <c r="AH7163" s="2" t="str">
        <f ca="1"/>
        <v>Bad</v>
      </c>
    </row>
    <row r="7164" spans="2:34" x14ac:dyDescent="0.2">
      <c r="B7164" s="2">
        <f ca="1"/>
        <v>2.0931990370775866E-2</v>
      </c>
      <c r="O7164" s="2">
        <f ca="1"/>
        <v>0.42208054898704256</v>
      </c>
      <c r="X7164" s="2">
        <f ca="1"/>
        <v>46.695288674527589</v>
      </c>
      <c r="AG7164" s="2">
        <f ca="1"/>
        <v>0.98373101936169194</v>
      </c>
      <c r="AH7164" s="2" t="str">
        <f ca="1"/>
        <v>Bad</v>
      </c>
    </row>
    <row r="7165" spans="2:34" x14ac:dyDescent="0.2">
      <c r="B7165" s="2">
        <f ca="1"/>
        <v>0.63243499011442572</v>
      </c>
      <c r="O7165" s="2">
        <f ca="1"/>
        <v>-0.5996801724694103</v>
      </c>
      <c r="X7165" s="2">
        <f ca="1"/>
        <v>51.009008511059022</v>
      </c>
      <c r="AG7165" s="2">
        <f ca="1"/>
        <v>0.85219774000606185</v>
      </c>
      <c r="AH7165" s="2" t="str">
        <f ca="1"/>
        <v>Bad</v>
      </c>
    </row>
    <row r="7166" spans="2:34" x14ac:dyDescent="0.2">
      <c r="B7166" s="2">
        <f ca="1"/>
        <v>0.85708101353347188</v>
      </c>
      <c r="O7166" s="2">
        <f ca="1"/>
        <v>-1.2904052805839035</v>
      </c>
      <c r="X7166" s="2">
        <f ca="1"/>
        <v>53.052384256624308</v>
      </c>
      <c r="AG7166" s="2">
        <f ca="1"/>
        <v>0.93780861669000104</v>
      </c>
      <c r="AH7166" s="2" t="str">
        <f ca="1"/>
        <v>Bad</v>
      </c>
    </row>
    <row r="7167" spans="2:34" x14ac:dyDescent="0.2">
      <c r="B7167" s="2">
        <f ca="1"/>
        <v>0.3253513651635036</v>
      </c>
      <c r="O7167" s="2">
        <f ca="1"/>
        <v>-0.36092342850340137</v>
      </c>
      <c r="X7167" s="2">
        <f ca="1"/>
        <v>35.527361078393362</v>
      </c>
      <c r="AG7167" s="2">
        <f ca="1"/>
        <v>2.7095342453710591E-2</v>
      </c>
      <c r="AH7167" s="2" t="str">
        <f ca="1"/>
        <v>Good</v>
      </c>
    </row>
    <row r="7168" spans="2:34" x14ac:dyDescent="0.2">
      <c r="B7168" s="2">
        <f ca="1"/>
        <v>1.8326054905520861E-2</v>
      </c>
      <c r="O7168" s="2">
        <f ca="1"/>
        <v>0.16232990115027868</v>
      </c>
      <c r="X7168" s="2">
        <f ca="1"/>
        <v>41.856311224198194</v>
      </c>
      <c r="AG7168" s="2">
        <f ca="1"/>
        <v>0.69582636242212814</v>
      </c>
      <c r="AH7168" s="2" t="str">
        <f ca="1"/>
        <v>Bad</v>
      </c>
    </row>
    <row r="7169" spans="2:34" x14ac:dyDescent="0.2">
      <c r="B7169" s="2">
        <f ca="1"/>
        <v>0.50349888782052776</v>
      </c>
      <c r="O7169" s="2">
        <f ca="1"/>
        <v>-1.8833696540082356</v>
      </c>
      <c r="X7169" s="2">
        <f ca="1"/>
        <v>40.710324999136851</v>
      </c>
      <c r="AG7169" s="2">
        <f ca="1"/>
        <v>0.25627759138182449</v>
      </c>
      <c r="AH7169" s="2" t="str">
        <f ca="1"/>
        <v>OK</v>
      </c>
    </row>
    <row r="7170" spans="2:34" x14ac:dyDescent="0.2">
      <c r="B7170" s="2">
        <f ca="1"/>
        <v>0.93567003112025371</v>
      </c>
      <c r="O7170" s="2">
        <f ca="1"/>
        <v>-0.82486995624809034</v>
      </c>
      <c r="X7170" s="2">
        <f ca="1"/>
        <v>83.460971981936737</v>
      </c>
      <c r="AG7170" s="2">
        <f ca="1"/>
        <v>3.1804122525294076E-2</v>
      </c>
      <c r="AH7170" s="2" t="str">
        <f ca="1"/>
        <v>Good</v>
      </c>
    </row>
    <row r="7171" spans="2:34" x14ac:dyDescent="0.2">
      <c r="B7171" s="2">
        <f ca="1"/>
        <v>0.76354202682364636</v>
      </c>
      <c r="O7171" s="2">
        <f ca="1"/>
        <v>0.39827007288403371</v>
      </c>
      <c r="X7171" s="2">
        <f ca="1"/>
        <v>51.336927951442092</v>
      </c>
      <c r="AG7171" s="2">
        <f ca="1"/>
        <v>0.9044619886110643</v>
      </c>
      <c r="AH7171" s="2" t="str">
        <f ca="1"/>
        <v>Bad</v>
      </c>
    </row>
    <row r="7172" spans="2:34" x14ac:dyDescent="0.2">
      <c r="B7172" s="2">
        <f ca="1"/>
        <v>0.12184292674479802</v>
      </c>
      <c r="O7172" s="2">
        <f ca="1"/>
        <v>0.48522244204392473</v>
      </c>
      <c r="X7172" s="2">
        <f ca="1"/>
        <v>44.626855794591158</v>
      </c>
      <c r="AG7172" s="2">
        <f ca="1"/>
        <v>0.57999476534590499</v>
      </c>
      <c r="AH7172" s="2" t="str">
        <f ca="1"/>
        <v>Bad</v>
      </c>
    </row>
    <row r="7173" spans="2:34" x14ac:dyDescent="0.2">
      <c r="B7173" s="2">
        <f ca="1"/>
        <v>0.73834492900808835</v>
      </c>
      <c r="O7173" s="2">
        <f ca="1"/>
        <v>0.18587956412641218</v>
      </c>
      <c r="X7173" s="2">
        <f ca="1"/>
        <v>61.559867785207672</v>
      </c>
      <c r="AG7173" s="2">
        <f ca="1"/>
        <v>0.8550429105210644</v>
      </c>
      <c r="AH7173" s="2" t="str">
        <f ca="1"/>
        <v>Bad</v>
      </c>
    </row>
    <row r="7174" spans="2:34" x14ac:dyDescent="0.2">
      <c r="B7174" s="2">
        <f ca="1"/>
        <v>0.2393440052632676</v>
      </c>
      <c r="O7174" s="2">
        <f ca="1"/>
        <v>0.18817771110479234</v>
      </c>
      <c r="X7174" s="2">
        <f ca="1"/>
        <v>93.102031418156201</v>
      </c>
      <c r="AG7174" s="2">
        <f ca="1"/>
        <v>0.49332472261052507</v>
      </c>
      <c r="AH7174" s="2" t="str">
        <f ca="1"/>
        <v>Bad</v>
      </c>
    </row>
    <row r="7175" spans="2:34" x14ac:dyDescent="0.2">
      <c r="B7175" s="2">
        <f ca="1"/>
        <v>0.65927743500990799</v>
      </c>
      <c r="O7175" s="2">
        <f ca="1"/>
        <v>1.2250414298686141</v>
      </c>
      <c r="X7175" s="2">
        <f ca="1"/>
        <v>63.673042273823</v>
      </c>
      <c r="AG7175" s="2">
        <f ca="1"/>
        <v>0.22612632836726676</v>
      </c>
      <c r="AH7175" s="2" t="str">
        <f ca="1"/>
        <v>OK</v>
      </c>
    </row>
    <row r="7176" spans="2:34" x14ac:dyDescent="0.2">
      <c r="B7176" s="2">
        <f ca="1"/>
        <v>0.46249773463574173</v>
      </c>
      <c r="O7176" s="2">
        <f ca="1"/>
        <v>-0.31414040369109741</v>
      </c>
      <c r="X7176" s="2">
        <f ca="1"/>
        <v>30.567207543128553</v>
      </c>
      <c r="AG7176" s="2">
        <f ca="1"/>
        <v>7.6785006205498441E-2</v>
      </c>
      <c r="AH7176" s="2" t="str">
        <f ca="1"/>
        <v>OK</v>
      </c>
    </row>
    <row r="7177" spans="2:34" x14ac:dyDescent="0.2">
      <c r="B7177" s="2">
        <f ca="1"/>
        <v>0.79064976659815911</v>
      </c>
      <c r="O7177" s="2">
        <f ca="1"/>
        <v>1.3594098433819641</v>
      </c>
      <c r="X7177" s="2">
        <f ca="1"/>
        <v>34.195386499920915</v>
      </c>
      <c r="AG7177" s="2">
        <f ca="1"/>
        <v>0.67870186451746295</v>
      </c>
      <c r="AH7177" s="2" t="str">
        <f ca="1"/>
        <v>Bad</v>
      </c>
    </row>
    <row r="7178" spans="2:34" x14ac:dyDescent="0.2">
      <c r="B7178" s="2">
        <f ca="1"/>
        <v>0.971844802532426</v>
      </c>
      <c r="O7178" s="2">
        <f ca="1"/>
        <v>0.53229716635010993</v>
      </c>
      <c r="X7178" s="2">
        <f ca="1"/>
        <v>43.555376396152816</v>
      </c>
      <c r="AG7178" s="2">
        <f ca="1"/>
        <v>0.39296486929359031</v>
      </c>
      <c r="AH7178" s="2" t="str">
        <f ca="1"/>
        <v>OK</v>
      </c>
    </row>
    <row r="7179" spans="2:34" x14ac:dyDescent="0.2">
      <c r="B7179" s="2">
        <f ca="1"/>
        <v>2.8548538618269337E-2</v>
      </c>
      <c r="O7179" s="2">
        <f ca="1"/>
        <v>0.75727463412512663</v>
      </c>
      <c r="X7179" s="2">
        <f ca="1"/>
        <v>61.070246430100681</v>
      </c>
      <c r="AG7179" s="2">
        <f ca="1"/>
        <v>5.0375627701024106E-2</v>
      </c>
      <c r="AH7179" s="2" t="str">
        <f ca="1"/>
        <v>OK</v>
      </c>
    </row>
    <row r="7180" spans="2:34" x14ac:dyDescent="0.2">
      <c r="B7180" s="2">
        <f ca="1"/>
        <v>0.53081291252062934</v>
      </c>
      <c r="O7180" s="2">
        <f ca="1"/>
        <v>2.6158760943421404</v>
      </c>
      <c r="X7180" s="2">
        <f ca="1"/>
        <v>85.07933002441726</v>
      </c>
      <c r="AG7180" s="2">
        <f ca="1"/>
        <v>0.46665450063423464</v>
      </c>
      <c r="AH7180" s="2" t="str">
        <f ca="1"/>
        <v>Bad</v>
      </c>
    </row>
    <row r="7181" spans="2:34" x14ac:dyDescent="0.2">
      <c r="B7181" s="2">
        <f ca="1"/>
        <v>0.60674626775799423</v>
      </c>
      <c r="O7181" s="2">
        <f ca="1"/>
        <v>0.73277161390165857</v>
      </c>
      <c r="X7181" s="2">
        <f ca="1"/>
        <v>38.904201256317435</v>
      </c>
      <c r="AG7181" s="2">
        <f ca="1"/>
        <v>0.77175532630781163</v>
      </c>
      <c r="AH7181" s="2" t="str">
        <f ca="1"/>
        <v>Bad</v>
      </c>
    </row>
    <row r="7182" spans="2:34" x14ac:dyDescent="0.2">
      <c r="B7182" s="2">
        <f ca="1"/>
        <v>0.52594568628488059</v>
      </c>
      <c r="O7182" s="2">
        <f ca="1"/>
        <v>-1.18481650273468</v>
      </c>
      <c r="X7182" s="2">
        <f ca="1"/>
        <v>49.272420388739775</v>
      </c>
      <c r="AG7182" s="2">
        <f ca="1"/>
        <v>0.95133458527388726</v>
      </c>
      <c r="AH7182" s="2" t="str">
        <f ca="1"/>
        <v>Bad</v>
      </c>
    </row>
    <row r="7183" spans="2:34" x14ac:dyDescent="0.2">
      <c r="B7183" s="2">
        <f ca="1"/>
        <v>0.19809198449505794</v>
      </c>
      <c r="O7183" s="2">
        <f ca="1"/>
        <v>-1.8028409203119884</v>
      </c>
      <c r="X7183" s="2">
        <f ca="1"/>
        <v>25.497581940469942</v>
      </c>
      <c r="AG7183" s="2">
        <f ca="1"/>
        <v>4.6029197789474452E-2</v>
      </c>
      <c r="AH7183" s="2" t="str">
        <f ca="1"/>
        <v>Good</v>
      </c>
    </row>
    <row r="7184" spans="2:34" x14ac:dyDescent="0.2">
      <c r="B7184" s="2">
        <f ca="1"/>
        <v>0.88155423739345218</v>
      </c>
      <c r="O7184" s="2">
        <f ca="1"/>
        <v>0.69064094562652245</v>
      </c>
      <c r="X7184" s="2">
        <f ca="1"/>
        <v>56.852412643616049</v>
      </c>
      <c r="AG7184" s="2">
        <f ca="1"/>
        <v>0.31127842316702625</v>
      </c>
      <c r="AH7184" s="2" t="str">
        <f ca="1"/>
        <v>OK</v>
      </c>
    </row>
    <row r="7185" spans="2:34" x14ac:dyDescent="0.2">
      <c r="B7185" s="2">
        <f ca="1"/>
        <v>0.15998997711948748</v>
      </c>
      <c r="O7185" s="2">
        <f ca="1"/>
        <v>6.0166041372878051E-2</v>
      </c>
      <c r="X7185" s="2">
        <f ca="1"/>
        <v>42.802244707161449</v>
      </c>
      <c r="AG7185" s="2">
        <f ca="1"/>
        <v>0.19440092403253395</v>
      </c>
      <c r="AH7185" s="2" t="str">
        <f ca="1"/>
        <v>OK</v>
      </c>
    </row>
    <row r="7186" spans="2:34" x14ac:dyDescent="0.2">
      <c r="B7186" s="2">
        <f ca="1"/>
        <v>0.56201366507136763</v>
      </c>
      <c r="O7186" s="2">
        <f ca="1"/>
        <v>-1.0234651882334245</v>
      </c>
      <c r="X7186" s="2">
        <f ca="1"/>
        <v>58.438643035348534</v>
      </c>
      <c r="AG7186" s="2">
        <f ca="1"/>
        <v>0.68348559267187614</v>
      </c>
      <c r="AH7186" s="2" t="str">
        <f ca="1"/>
        <v>Bad</v>
      </c>
    </row>
    <row r="7187" spans="2:34" x14ac:dyDescent="0.2">
      <c r="B7187" s="2">
        <f ca="1"/>
        <v>0.89737182515393044</v>
      </c>
      <c r="O7187" s="2">
        <f ca="1"/>
        <v>-0.30237736079767258</v>
      </c>
      <c r="X7187" s="2">
        <f ca="1"/>
        <v>78.087124391884657</v>
      </c>
      <c r="AG7187" s="2">
        <f ca="1"/>
        <v>0.82746729391772589</v>
      </c>
      <c r="AH7187" s="2" t="str">
        <f ca="1"/>
        <v>Bad</v>
      </c>
    </row>
    <row r="7188" spans="2:34" x14ac:dyDescent="0.2">
      <c r="B7188" s="2">
        <f ca="1"/>
        <v>0.27612049875050704</v>
      </c>
      <c r="O7188" s="2">
        <f ca="1"/>
        <v>-0.71107307553343879</v>
      </c>
      <c r="X7188" s="2">
        <f ca="1"/>
        <v>63.797903095544648</v>
      </c>
      <c r="AG7188" s="2">
        <f ca="1"/>
        <v>0.47509019928562357</v>
      </c>
      <c r="AH7188" s="2" t="str">
        <f ca="1"/>
        <v>Bad</v>
      </c>
    </row>
    <row r="7189" spans="2:34" x14ac:dyDescent="0.2">
      <c r="B7189" s="2">
        <f ca="1"/>
        <v>0.6014297897072225</v>
      </c>
      <c r="O7189" s="2">
        <f ca="1"/>
        <v>0.82194161832399704</v>
      </c>
      <c r="X7189" s="2">
        <f ca="1"/>
        <v>49.181117084473712</v>
      </c>
      <c r="AG7189" s="2">
        <f ca="1"/>
        <v>0.12589747834399345</v>
      </c>
      <c r="AH7189" s="2" t="str">
        <f ca="1"/>
        <v>OK</v>
      </c>
    </row>
    <row r="7190" spans="2:34" x14ac:dyDescent="0.2">
      <c r="B7190" s="2">
        <f ca="1"/>
        <v>0.61408802879183289</v>
      </c>
      <c r="O7190" s="2">
        <f ca="1"/>
        <v>-0.14246788196729721</v>
      </c>
      <c r="X7190" s="2">
        <f ca="1"/>
        <v>42.430985030166994</v>
      </c>
      <c r="AG7190" s="2">
        <f ca="1"/>
        <v>0.32790872666659898</v>
      </c>
      <c r="AH7190" s="2" t="str">
        <f ca="1"/>
        <v>OK</v>
      </c>
    </row>
    <row r="7191" spans="2:34" x14ac:dyDescent="0.2">
      <c r="B7191" s="2">
        <f ca="1"/>
        <v>0.79819127576134052</v>
      </c>
      <c r="O7191" s="2">
        <f ca="1"/>
        <v>-1.7172019118856268</v>
      </c>
      <c r="X7191" s="2">
        <f ca="1"/>
        <v>37.534155393038318</v>
      </c>
      <c r="AG7191" s="2">
        <f ca="1"/>
        <v>0.20566640420274274</v>
      </c>
      <c r="AH7191" s="2" t="str">
        <f ca="1"/>
        <v>OK</v>
      </c>
    </row>
    <row r="7192" spans="2:34" x14ac:dyDescent="0.2">
      <c r="B7192" s="2">
        <f ca="1"/>
        <v>0.34212297077922504</v>
      </c>
      <c r="O7192" s="2">
        <f ca="1"/>
        <v>-0.77582358596247158</v>
      </c>
      <c r="X7192" s="2">
        <f ca="1"/>
        <v>51.884551417442012</v>
      </c>
      <c r="AG7192" s="2">
        <f ca="1"/>
        <v>0.45670780054614357</v>
      </c>
      <c r="AH7192" s="2" t="str">
        <f ca="1"/>
        <v>Bad</v>
      </c>
    </row>
    <row r="7193" spans="2:34" x14ac:dyDescent="0.2">
      <c r="B7193" s="2">
        <f ca="1"/>
        <v>0.70618050380997954</v>
      </c>
      <c r="O7193" s="2">
        <f ca="1"/>
        <v>0.85246388904491732</v>
      </c>
      <c r="X7193" s="2">
        <f ca="1"/>
        <v>65.093981365410855</v>
      </c>
      <c r="AG7193" s="2">
        <f ca="1"/>
        <v>0.89551540355802861</v>
      </c>
      <c r="AH7193" s="2" t="str">
        <f ca="1"/>
        <v>Bad</v>
      </c>
    </row>
    <row r="7194" spans="2:34" x14ac:dyDescent="0.2">
      <c r="B7194" s="2">
        <f ca="1"/>
        <v>0.26031201676391857</v>
      </c>
      <c r="O7194" s="2">
        <f ca="1"/>
        <v>2.4449082447279884</v>
      </c>
      <c r="X7194" s="2">
        <f ca="1"/>
        <v>42.143734708668489</v>
      </c>
      <c r="AG7194" s="2">
        <f ca="1"/>
        <v>0.31821448553943221</v>
      </c>
      <c r="AH7194" s="2" t="str">
        <f ca="1"/>
        <v>OK</v>
      </c>
    </row>
    <row r="7195" spans="2:34" x14ac:dyDescent="0.2">
      <c r="B7195" s="2">
        <f ca="1"/>
        <v>0.82763753777202664</v>
      </c>
      <c r="O7195" s="2">
        <f ca="1"/>
        <v>-1.0944204006257565</v>
      </c>
      <c r="X7195" s="2">
        <f ca="1"/>
        <v>83.366811767460746</v>
      </c>
      <c r="AG7195" s="2">
        <f ca="1"/>
        <v>0.44772751788866372</v>
      </c>
      <c r="AH7195" s="2" t="str">
        <f ca="1"/>
        <v>Bad</v>
      </c>
    </row>
    <row r="7196" spans="2:34" x14ac:dyDescent="0.2">
      <c r="B7196" s="2">
        <f ca="1"/>
        <v>7.9336759764032649E-2</v>
      </c>
      <c r="O7196" s="2">
        <f ca="1"/>
        <v>0.15836605539817805</v>
      </c>
      <c r="X7196" s="2">
        <f ca="1"/>
        <v>37.841873772322757</v>
      </c>
      <c r="AG7196" s="2">
        <f ca="1"/>
        <v>0.58154771159921959</v>
      </c>
      <c r="AH7196" s="2" t="str">
        <f ca="1"/>
        <v>Bad</v>
      </c>
    </row>
    <row r="7197" spans="2:34" x14ac:dyDescent="0.2">
      <c r="B7197" s="2">
        <f ca="1"/>
        <v>0.1839461098981876</v>
      </c>
      <c r="O7197" s="2">
        <f ca="1"/>
        <v>1.5284696984134631</v>
      </c>
      <c r="X7197" s="2">
        <f ca="1"/>
        <v>48.151721266611332</v>
      </c>
      <c r="AG7197" s="2">
        <f ca="1"/>
        <v>0.48705132330296741</v>
      </c>
      <c r="AH7197" s="2" t="str">
        <f ca="1"/>
        <v>Bad</v>
      </c>
    </row>
    <row r="7198" spans="2:34" x14ac:dyDescent="0.2">
      <c r="B7198" s="2">
        <f ca="1"/>
        <v>0.99825271443646102</v>
      </c>
      <c r="O7198" s="2">
        <f ca="1"/>
        <v>0.69799822578149628</v>
      </c>
      <c r="X7198" s="2">
        <f ca="1"/>
        <v>45.608694809541717</v>
      </c>
      <c r="AG7198" s="2">
        <f ca="1"/>
        <v>0.73062665261413762</v>
      </c>
      <c r="AH7198" s="2" t="str">
        <f ca="1"/>
        <v>Bad</v>
      </c>
    </row>
    <row r="7199" spans="2:34" x14ac:dyDescent="0.2">
      <c r="B7199" s="2">
        <f ca="1"/>
        <v>0.88018798895024641</v>
      </c>
      <c r="O7199" s="2">
        <f ca="1"/>
        <v>-0.31317135778974703</v>
      </c>
      <c r="X7199" s="2">
        <f ca="1"/>
        <v>51.767906204193025</v>
      </c>
      <c r="AG7199" s="2">
        <f ca="1"/>
        <v>0.89041177127304261</v>
      </c>
      <c r="AH7199" s="2" t="str">
        <f ca="1"/>
        <v>Bad</v>
      </c>
    </row>
    <row r="7200" spans="2:34" x14ac:dyDescent="0.2">
      <c r="B7200" s="2">
        <f ca="1"/>
        <v>0.65359747002464252</v>
      </c>
      <c r="O7200" s="2">
        <f ca="1"/>
        <v>-0.59490077024328381</v>
      </c>
      <c r="X7200" s="2">
        <f ca="1"/>
        <v>66.727578851767547</v>
      </c>
      <c r="AG7200" s="2">
        <f ca="1"/>
        <v>0.64509217641764915</v>
      </c>
      <c r="AH7200" s="2" t="str">
        <f ca="1"/>
        <v>Bad</v>
      </c>
    </row>
    <row r="7201" spans="2:34" x14ac:dyDescent="0.2">
      <c r="B7201" s="2">
        <f ca="1"/>
        <v>0.96144012694558167</v>
      </c>
      <c r="O7201" s="2">
        <f ca="1"/>
        <v>-7.1418186770103365E-2</v>
      </c>
      <c r="X7201" s="2">
        <f ca="1"/>
        <v>49.032464151126419</v>
      </c>
      <c r="AG7201" s="2">
        <f ca="1"/>
        <v>0.18154992942386006</v>
      </c>
      <c r="AH7201" s="2" t="str">
        <f ca="1"/>
        <v>OK</v>
      </c>
    </row>
    <row r="7202" spans="2:34" x14ac:dyDescent="0.2">
      <c r="B7202" s="2">
        <f ca="1"/>
        <v>9.0127893156871197E-2</v>
      </c>
      <c r="O7202" s="2">
        <f ca="1"/>
        <v>0.96316114934056518</v>
      </c>
      <c r="X7202" s="2">
        <f ca="1"/>
        <v>31.105939440226411</v>
      </c>
      <c r="AG7202" s="2">
        <f ca="1"/>
        <v>0.46292081437053545</v>
      </c>
      <c r="AH7202" s="2" t="str">
        <f ca="1"/>
        <v>Bad</v>
      </c>
    </row>
    <row r="7203" spans="2:34" x14ac:dyDescent="0.2">
      <c r="B7203" s="2">
        <f ca="1"/>
        <v>0.18713679679547557</v>
      </c>
      <c r="O7203" s="2">
        <f ca="1"/>
        <v>0.95247422192791309</v>
      </c>
      <c r="X7203" s="2">
        <f ca="1"/>
        <v>77.180516669315551</v>
      </c>
      <c r="AG7203" s="2">
        <f ca="1"/>
        <v>3.2942829123743245E-3</v>
      </c>
      <c r="AH7203" s="2" t="str">
        <f ca="1"/>
        <v>Good</v>
      </c>
    </row>
    <row r="7204" spans="2:34" x14ac:dyDescent="0.2">
      <c r="B7204" s="2">
        <f ca="1"/>
        <v>0.2418325629267728</v>
      </c>
      <c r="O7204" s="2">
        <f ca="1"/>
        <v>0.79595284831966928</v>
      </c>
      <c r="X7204" s="2">
        <f ca="1"/>
        <v>51.917736432852912</v>
      </c>
      <c r="AG7204" s="2">
        <f ca="1"/>
        <v>8.4586806675055692E-2</v>
      </c>
      <c r="AH7204" s="2" t="str">
        <f ca="1"/>
        <v>OK</v>
      </c>
    </row>
    <row r="7205" spans="2:34" x14ac:dyDescent="0.2">
      <c r="B7205" s="2">
        <f ca="1"/>
        <v>0.31475618798925442</v>
      </c>
      <c r="O7205" s="2">
        <f ca="1"/>
        <v>1.4860375975036537</v>
      </c>
      <c r="X7205" s="2">
        <f ca="1"/>
        <v>87.877590297576319</v>
      </c>
      <c r="AG7205" s="2">
        <f ca="1"/>
        <v>0.72952785823216071</v>
      </c>
      <c r="AH7205" s="2" t="str">
        <f ca="1"/>
        <v>Bad</v>
      </c>
    </row>
    <row r="7206" spans="2:34" x14ac:dyDescent="0.2">
      <c r="B7206" s="2">
        <f ca="1"/>
        <v>0.36412994705734181</v>
      </c>
      <c r="O7206" s="2">
        <f ca="1"/>
        <v>1.7551878528157518</v>
      </c>
      <c r="X7206" s="2">
        <f ca="1"/>
        <v>72.893619722250648</v>
      </c>
      <c r="AG7206" s="2">
        <f ca="1"/>
        <v>0.75276493687545032</v>
      </c>
      <c r="AH7206" s="2" t="str">
        <f ca="1"/>
        <v>Bad</v>
      </c>
    </row>
    <row r="7207" spans="2:34" x14ac:dyDescent="0.2">
      <c r="B7207" s="2">
        <f ca="1"/>
        <v>0.18728181005638511</v>
      </c>
      <c r="O7207" s="2">
        <f ca="1"/>
        <v>1.2899945742455257</v>
      </c>
      <c r="X7207" s="2">
        <f ca="1"/>
        <v>65.321568699072131</v>
      </c>
      <c r="AG7207" s="2">
        <f ca="1"/>
        <v>0.13876035515981888</v>
      </c>
      <c r="AH7207" s="2" t="str">
        <f ca="1"/>
        <v>OK</v>
      </c>
    </row>
    <row r="7208" spans="2:34" x14ac:dyDescent="0.2">
      <c r="B7208" s="2">
        <f ca="1"/>
        <v>0.45830576322478223</v>
      </c>
      <c r="O7208" s="2">
        <f ca="1"/>
        <v>-0.38637916626516866</v>
      </c>
      <c r="X7208" s="2">
        <f ca="1"/>
        <v>25.610960065646488</v>
      </c>
      <c r="AG7208" s="2">
        <f ca="1"/>
        <v>0.10515147748463161</v>
      </c>
      <c r="AH7208" s="2" t="str">
        <f ca="1"/>
        <v>OK</v>
      </c>
    </row>
    <row r="7209" spans="2:34" x14ac:dyDescent="0.2">
      <c r="B7209" s="2">
        <f ca="1"/>
        <v>0.14479336520233876</v>
      </c>
      <c r="O7209" s="2">
        <f ca="1"/>
        <v>3.2921897200888277E-2</v>
      </c>
      <c r="X7209" s="2">
        <f ca="1"/>
        <v>41.61637568259907</v>
      </c>
      <c r="AG7209" s="2">
        <f ca="1"/>
        <v>0.55832951839363498</v>
      </c>
      <c r="AH7209" s="2" t="str">
        <f ca="1"/>
        <v>Bad</v>
      </c>
    </row>
    <row r="7210" spans="2:34" x14ac:dyDescent="0.2">
      <c r="B7210" s="2">
        <f ca="1"/>
        <v>0.27303217470084085</v>
      </c>
      <c r="O7210" s="2">
        <f ca="1"/>
        <v>0.4247571318440807</v>
      </c>
      <c r="X7210" s="2">
        <f ca="1"/>
        <v>39.543306692140071</v>
      </c>
      <c r="AG7210" s="2">
        <f ca="1"/>
        <v>0.10588592725874424</v>
      </c>
      <c r="AH7210" s="2" t="str">
        <f ca="1"/>
        <v>OK</v>
      </c>
    </row>
    <row r="7211" spans="2:34" x14ac:dyDescent="0.2">
      <c r="B7211" s="2">
        <f ca="1"/>
        <v>0.76624963636303223</v>
      </c>
      <c r="O7211" s="2">
        <f ca="1"/>
        <v>0.20526271637617355</v>
      </c>
      <c r="X7211" s="2">
        <f ca="1"/>
        <v>64.327675477357943</v>
      </c>
      <c r="AG7211" s="2">
        <f ca="1"/>
        <v>0.24729711157321566</v>
      </c>
      <c r="AH7211" s="2" t="str">
        <f ca="1"/>
        <v>OK</v>
      </c>
    </row>
    <row r="7212" spans="2:34" x14ac:dyDescent="0.2">
      <c r="B7212" s="2">
        <f ca="1"/>
        <v>0.19695971811217272</v>
      </c>
      <c r="O7212" s="2">
        <f ca="1"/>
        <v>-0.44530767299146934</v>
      </c>
      <c r="X7212" s="2">
        <f ca="1"/>
        <v>61.398887829850295</v>
      </c>
      <c r="AG7212" s="2">
        <f ca="1"/>
        <v>0.51911489363787955</v>
      </c>
      <c r="AH7212" s="2" t="str">
        <f ca="1"/>
        <v>Bad</v>
      </c>
    </row>
    <row r="7213" spans="2:34" x14ac:dyDescent="0.2">
      <c r="B7213" s="2">
        <f ca="1"/>
        <v>0.26725668777922684</v>
      </c>
      <c r="O7213" s="2">
        <f ca="1"/>
        <v>-0.67906313876525459</v>
      </c>
      <c r="X7213" s="2">
        <f ca="1"/>
        <v>34.199095117476226</v>
      </c>
      <c r="AG7213" s="2">
        <f ca="1"/>
        <v>0.17207269468904851</v>
      </c>
      <c r="AH7213" s="2" t="str">
        <f ca="1"/>
        <v>OK</v>
      </c>
    </row>
    <row r="7214" spans="2:34" x14ac:dyDescent="0.2">
      <c r="B7214" s="2">
        <f ca="1"/>
        <v>0.33278431944086306</v>
      </c>
      <c r="O7214" s="2">
        <f ca="1"/>
        <v>-1.0770325576270308</v>
      </c>
      <c r="X7214" s="2">
        <f ca="1"/>
        <v>34.280879561897308</v>
      </c>
      <c r="AG7214" s="2">
        <f ca="1"/>
        <v>0.24081845950911362</v>
      </c>
      <c r="AH7214" s="2" t="str">
        <f ca="1"/>
        <v>OK</v>
      </c>
    </row>
    <row r="7215" spans="2:34" x14ac:dyDescent="0.2">
      <c r="B7215" s="2">
        <f ca="1"/>
        <v>0.45886439426233228</v>
      </c>
      <c r="O7215" s="2">
        <f ca="1"/>
        <v>-1.3937000753871798</v>
      </c>
      <c r="X7215" s="2">
        <f ca="1"/>
        <v>59.691081212522462</v>
      </c>
      <c r="AG7215" s="2">
        <f ca="1"/>
        <v>0.20426741407760596</v>
      </c>
      <c r="AH7215" s="2" t="str">
        <f ca="1"/>
        <v>OK</v>
      </c>
    </row>
    <row r="7216" spans="2:34" x14ac:dyDescent="0.2">
      <c r="B7216" s="2">
        <f ca="1"/>
        <v>0.57477601400052269</v>
      </c>
      <c r="O7216" s="2">
        <f ca="1"/>
        <v>0.68200554482391296</v>
      </c>
      <c r="X7216" s="2">
        <f ca="1"/>
        <v>62.060643916192682</v>
      </c>
      <c r="AG7216" s="2">
        <f ca="1"/>
        <v>0.95203024956637772</v>
      </c>
      <c r="AH7216" s="2" t="str">
        <f ca="1"/>
        <v>Bad</v>
      </c>
    </row>
    <row r="7217" spans="2:34" x14ac:dyDescent="0.2">
      <c r="B7217" s="2">
        <f ca="1"/>
        <v>0.68921392492028688</v>
      </c>
      <c r="O7217" s="2">
        <f ca="1"/>
        <v>0.36123121027782884</v>
      </c>
      <c r="X7217" s="2">
        <f ca="1"/>
        <v>29.608173785145276</v>
      </c>
      <c r="AG7217" s="2">
        <f ca="1"/>
        <v>0.47822632646716534</v>
      </c>
      <c r="AH7217" s="2" t="str">
        <f ca="1"/>
        <v>Bad</v>
      </c>
    </row>
    <row r="7218" spans="2:34" x14ac:dyDescent="0.2">
      <c r="B7218" s="2">
        <f ca="1"/>
        <v>0.80275835689342845</v>
      </c>
      <c r="O7218" s="2">
        <f ca="1"/>
        <v>-9.8398431461886302E-2</v>
      </c>
      <c r="X7218" s="2">
        <f ca="1"/>
        <v>48.266589488579896</v>
      </c>
      <c r="AG7218" s="2">
        <f ca="1"/>
        <v>0.40921749854973744</v>
      </c>
      <c r="AH7218" s="2" t="str">
        <f ca="1"/>
        <v>Bad</v>
      </c>
    </row>
    <row r="7219" spans="2:34" x14ac:dyDescent="0.2">
      <c r="B7219" s="2">
        <f ca="1"/>
        <v>0.97657754725955459</v>
      </c>
      <c r="O7219" s="2">
        <f ca="1"/>
        <v>-0.44445550307759024</v>
      </c>
      <c r="X7219" s="2">
        <f ca="1"/>
        <v>52.14476080099022</v>
      </c>
      <c r="AG7219" s="2">
        <f ca="1"/>
        <v>0.59376358789151817</v>
      </c>
      <c r="AH7219" s="2" t="str">
        <f ca="1"/>
        <v>Bad</v>
      </c>
    </row>
    <row r="7220" spans="2:34" x14ac:dyDescent="0.2">
      <c r="B7220" s="2">
        <f ca="1"/>
        <v>0.42404880754942309</v>
      </c>
      <c r="O7220" s="2">
        <f ca="1"/>
        <v>-1.4557136177599552</v>
      </c>
      <c r="X7220" s="2">
        <f ca="1"/>
        <v>37.556897492256248</v>
      </c>
      <c r="AG7220" s="2">
        <f ca="1"/>
        <v>0.74656775874698766</v>
      </c>
      <c r="AH7220" s="2" t="str">
        <f ca="1"/>
        <v>Bad</v>
      </c>
    </row>
    <row r="7221" spans="2:34" x14ac:dyDescent="0.2">
      <c r="B7221" s="2">
        <f ca="1"/>
        <v>0.49124670707121232</v>
      </c>
      <c r="O7221" s="2">
        <f ca="1"/>
        <v>0.72112893071772344</v>
      </c>
      <c r="X7221" s="2">
        <f ca="1"/>
        <v>31.788488294997332</v>
      </c>
      <c r="AG7221" s="2">
        <f ca="1"/>
        <v>0.32439569817438985</v>
      </c>
      <c r="AH7221" s="2" t="str">
        <f ca="1"/>
        <v>OK</v>
      </c>
    </row>
    <row r="7222" spans="2:34" x14ac:dyDescent="0.2">
      <c r="B7222" s="2">
        <f ca="1"/>
        <v>0.94290763913729325</v>
      </c>
      <c r="O7222" s="2">
        <f ca="1"/>
        <v>-4.6561940205238933E-2</v>
      </c>
      <c r="X7222" s="2">
        <f ca="1"/>
        <v>87.803435267273485</v>
      </c>
      <c r="AG7222" s="2">
        <f ca="1"/>
        <v>0.55051114713470128</v>
      </c>
      <c r="AH7222" s="2" t="str">
        <f ca="1"/>
        <v>Bad</v>
      </c>
    </row>
    <row r="7223" spans="2:34" x14ac:dyDescent="0.2">
      <c r="B7223" s="2">
        <f ca="1"/>
        <v>0.34369530665828329</v>
      </c>
      <c r="O7223" s="2">
        <f ca="1"/>
        <v>1.3391745243509681</v>
      </c>
      <c r="X7223" s="2">
        <f ca="1"/>
        <v>41.860787148636447</v>
      </c>
      <c r="AG7223" s="2">
        <f ca="1"/>
        <v>0.66623446405683739</v>
      </c>
      <c r="AH7223" s="2" t="str">
        <f ca="1"/>
        <v>Bad</v>
      </c>
    </row>
    <row r="7224" spans="2:34" x14ac:dyDescent="0.2">
      <c r="B7224" s="2">
        <f ca="1"/>
        <v>0.55627540636505413</v>
      </c>
      <c r="O7224" s="2">
        <f ca="1"/>
        <v>1.7349467220915977</v>
      </c>
      <c r="X7224" s="2">
        <f ca="1"/>
        <v>39.222517957598193</v>
      </c>
      <c r="AG7224" s="2">
        <f ca="1"/>
        <v>0.95136528379761809</v>
      </c>
      <c r="AH7224" s="2" t="str">
        <f ca="1"/>
        <v>Bad</v>
      </c>
    </row>
    <row r="7225" spans="2:34" x14ac:dyDescent="0.2">
      <c r="B7225" s="2">
        <f ca="1"/>
        <v>0.94497398704789659</v>
      </c>
      <c r="O7225" s="2">
        <f ca="1"/>
        <v>-8.4780764650943877E-2</v>
      </c>
      <c r="X7225" s="2">
        <f ca="1"/>
        <v>43.918219301010339</v>
      </c>
      <c r="AG7225" s="2">
        <f ca="1"/>
        <v>0.80824381442991977</v>
      </c>
      <c r="AH7225" s="2" t="str">
        <f ca="1"/>
        <v>Bad</v>
      </c>
    </row>
    <row r="7226" spans="2:34" x14ac:dyDescent="0.2">
      <c r="B7226" s="2">
        <f ca="1"/>
        <v>0.65628561320904155</v>
      </c>
      <c r="O7226" s="2">
        <f ca="1"/>
        <v>0.45969541072137998</v>
      </c>
      <c r="X7226" s="2">
        <f ca="1"/>
        <v>58.501557446545078</v>
      </c>
      <c r="AG7226" s="2">
        <f ca="1"/>
        <v>0.23918260475405151</v>
      </c>
      <c r="AH7226" s="2" t="str">
        <f ca="1"/>
        <v>OK</v>
      </c>
    </row>
    <row r="7227" spans="2:34" x14ac:dyDescent="0.2">
      <c r="B7227" s="2">
        <f ca="1"/>
        <v>0.95080712817049085</v>
      </c>
      <c r="O7227" s="2">
        <f ca="1"/>
        <v>-0.53326572673733863</v>
      </c>
      <c r="X7227" s="2">
        <f ca="1"/>
        <v>48.389520330005368</v>
      </c>
      <c r="AG7227" s="2">
        <f ca="1"/>
        <v>0.52819109937264641</v>
      </c>
      <c r="AH7227" s="2" t="str">
        <f ca="1"/>
        <v>Bad</v>
      </c>
    </row>
    <row r="7228" spans="2:34" x14ac:dyDescent="0.2">
      <c r="B7228" s="2">
        <f ca="1"/>
        <v>0.92925603085250619</v>
      </c>
      <c r="O7228" s="2">
        <f ca="1"/>
        <v>8.0630338186766695E-2</v>
      </c>
      <c r="X7228" s="2">
        <f ca="1"/>
        <v>62.714921682800131</v>
      </c>
      <c r="AG7228" s="2">
        <f ca="1"/>
        <v>0.12387676941583203</v>
      </c>
      <c r="AH7228" s="2" t="str">
        <f ca="1"/>
        <v>OK</v>
      </c>
    </row>
    <row r="7229" spans="2:34" x14ac:dyDescent="0.2">
      <c r="B7229" s="2">
        <f ca="1"/>
        <v>8.2576735317876127E-2</v>
      </c>
      <c r="O7229" s="2">
        <f ca="1"/>
        <v>2.0196470176919812</v>
      </c>
      <c r="X7229" s="2">
        <f ca="1"/>
        <v>81.02151940136838</v>
      </c>
      <c r="AG7229" s="2">
        <f ca="1"/>
        <v>0.48798895215470606</v>
      </c>
      <c r="AH7229" s="2" t="str">
        <f ca="1"/>
        <v>Bad</v>
      </c>
    </row>
    <row r="7230" spans="2:34" x14ac:dyDescent="0.2">
      <c r="B7230" s="2">
        <f ca="1"/>
        <v>0.71327339746023588</v>
      </c>
      <c r="O7230" s="2">
        <f ca="1"/>
        <v>-0.57047379806233334</v>
      </c>
      <c r="X7230" s="2">
        <f ca="1"/>
        <v>50.618402019508721</v>
      </c>
      <c r="AG7230" s="2">
        <f ca="1"/>
        <v>0.37202599051390028</v>
      </c>
      <c r="AH7230" s="2" t="str">
        <f ca="1"/>
        <v>OK</v>
      </c>
    </row>
    <row r="7231" spans="2:34" x14ac:dyDescent="0.2">
      <c r="B7231" s="2">
        <f ca="1"/>
        <v>0.38275655814883236</v>
      </c>
      <c r="O7231" s="2">
        <f ca="1"/>
        <v>1.4592625674337356</v>
      </c>
      <c r="X7231" s="2">
        <f ca="1"/>
        <v>31.916228303446527</v>
      </c>
      <c r="AG7231" s="2">
        <f ca="1"/>
        <v>0.45891656236692802</v>
      </c>
      <c r="AH7231" s="2" t="str">
        <f ca="1"/>
        <v>Bad</v>
      </c>
    </row>
    <row r="7232" spans="2:34" x14ac:dyDescent="0.2">
      <c r="B7232" s="2">
        <f ca="1"/>
        <v>0.7395767491098495</v>
      </c>
      <c r="O7232" s="2">
        <f ca="1"/>
        <v>0.10673393728516863</v>
      </c>
      <c r="X7232" s="2">
        <f ca="1"/>
        <v>48.302927425058968</v>
      </c>
      <c r="AG7232" s="2">
        <f ca="1"/>
        <v>0.94068632314218625</v>
      </c>
      <c r="AH7232" s="2" t="str">
        <f ca="1"/>
        <v>Bad</v>
      </c>
    </row>
    <row r="7233" spans="2:34" x14ac:dyDescent="0.2">
      <c r="B7233" s="2">
        <f ca="1"/>
        <v>0.75423433279417074</v>
      </c>
      <c r="O7233" s="2">
        <f ca="1"/>
        <v>0.61916128294678852</v>
      </c>
      <c r="X7233" s="2">
        <f ca="1"/>
        <v>41.801688856077341</v>
      </c>
      <c r="AG7233" s="2">
        <f ca="1"/>
        <v>0.42235476301639086</v>
      </c>
      <c r="AH7233" s="2" t="str">
        <f ca="1"/>
        <v>Bad</v>
      </c>
    </row>
    <row r="7234" spans="2:34" x14ac:dyDescent="0.2">
      <c r="B7234" s="2">
        <f ca="1"/>
        <v>0.74614368599603353</v>
      </c>
      <c r="O7234" s="2">
        <f ca="1"/>
        <v>-0.26843339258111543</v>
      </c>
      <c r="X7234" s="2">
        <f ca="1"/>
        <v>70.399760154899809</v>
      </c>
      <c r="AG7234" s="2">
        <f ca="1"/>
        <v>0.68763378675076758</v>
      </c>
      <c r="AH7234" s="2" t="str">
        <f ca="1"/>
        <v>Bad</v>
      </c>
    </row>
    <row r="7235" spans="2:34" x14ac:dyDescent="0.2">
      <c r="B7235" s="2">
        <f ca="1"/>
        <v>0.52976388700917121</v>
      </c>
      <c r="O7235" s="2">
        <f ca="1"/>
        <v>0.53828701275566571</v>
      </c>
      <c r="X7235" s="2">
        <f ca="1"/>
        <v>91.028552630107242</v>
      </c>
      <c r="AG7235" s="2">
        <f ca="1"/>
        <v>0.37270818107819847</v>
      </c>
      <c r="AH7235" s="2" t="str">
        <f ca="1"/>
        <v>OK</v>
      </c>
    </row>
    <row r="7236" spans="2:34" x14ac:dyDescent="0.2">
      <c r="B7236" s="2">
        <f ca="1"/>
        <v>0.6361271358211773</v>
      </c>
      <c r="O7236" s="2">
        <f ca="1"/>
        <v>-0.43590489379318953</v>
      </c>
      <c r="X7236" s="2">
        <f ca="1"/>
        <v>57.122639737640299</v>
      </c>
      <c r="AG7236" s="2">
        <f ca="1"/>
        <v>0.73577070245861043</v>
      </c>
      <c r="AH7236" s="2" t="str">
        <f ca="1"/>
        <v>Bad</v>
      </c>
    </row>
    <row r="7237" spans="2:34" x14ac:dyDescent="0.2">
      <c r="B7237" s="2">
        <f ca="1"/>
        <v>0.75478542953553762</v>
      </c>
      <c r="O7237" s="2">
        <f ca="1"/>
        <v>1.2292903400438877</v>
      </c>
      <c r="X7237" s="2">
        <f ca="1"/>
        <v>62.358883044651165</v>
      </c>
      <c r="AG7237" s="2">
        <f ca="1"/>
        <v>1.5162439604355482E-2</v>
      </c>
      <c r="AH7237" s="2" t="str">
        <f ca="1"/>
        <v>Good</v>
      </c>
    </row>
    <row r="7238" spans="2:34" x14ac:dyDescent="0.2">
      <c r="B7238" s="2">
        <f ca="1"/>
        <v>0.90913050190427636</v>
      </c>
      <c r="O7238" s="2">
        <f ca="1"/>
        <v>-0.24451493674696939</v>
      </c>
      <c r="X7238" s="2">
        <f ca="1"/>
        <v>45.840326757251219</v>
      </c>
      <c r="AG7238" s="2">
        <f ca="1"/>
        <v>0.38842098622102905</v>
      </c>
      <c r="AH7238" s="2" t="str">
        <f ca="1"/>
        <v>OK</v>
      </c>
    </row>
    <row r="7239" spans="2:34" x14ac:dyDescent="0.2">
      <c r="B7239" s="2">
        <f ca="1"/>
        <v>0.31211509362055101</v>
      </c>
      <c r="O7239" s="2">
        <f ca="1"/>
        <v>9.3287578568440582E-2</v>
      </c>
      <c r="X7239" s="2">
        <f ca="1"/>
        <v>82.46804127666519</v>
      </c>
      <c r="AG7239" s="2">
        <f ca="1"/>
        <v>0.66697599231194782</v>
      </c>
      <c r="AH7239" s="2" t="str">
        <f ca="1"/>
        <v>Bad</v>
      </c>
    </row>
    <row r="7240" spans="2:34" x14ac:dyDescent="0.2">
      <c r="B7240" s="2">
        <f ca="1"/>
        <v>0.44526592366646711</v>
      </c>
      <c r="O7240" s="2">
        <f ca="1"/>
        <v>0.4872272090459297</v>
      </c>
      <c r="X7240" s="2">
        <f ca="1"/>
        <v>58.325249050699639</v>
      </c>
      <c r="AG7240" s="2">
        <f ca="1"/>
        <v>0.92592169560857118</v>
      </c>
      <c r="AH7240" s="2" t="str">
        <f ca="1"/>
        <v>Bad</v>
      </c>
    </row>
    <row r="7241" spans="2:34" x14ac:dyDescent="0.2">
      <c r="B7241" s="2">
        <f ca="1"/>
        <v>0.26890243230673949</v>
      </c>
      <c r="O7241" s="2">
        <f ca="1"/>
        <v>-0.90682728391195078</v>
      </c>
      <c r="X7241" s="2">
        <f ca="1"/>
        <v>34.392987906297797</v>
      </c>
      <c r="AG7241" s="2">
        <f ca="1"/>
        <v>0.83821299562443063</v>
      </c>
      <c r="AH7241" s="2" t="str">
        <f ca="1"/>
        <v>Bad</v>
      </c>
    </row>
    <row r="7242" spans="2:34" x14ac:dyDescent="0.2">
      <c r="B7242" s="2">
        <f ca="1"/>
        <v>8.8378698945667855E-2</v>
      </c>
      <c r="O7242" s="2">
        <f ca="1"/>
        <v>3.9712517157639904E-2</v>
      </c>
      <c r="X7242" s="2">
        <f ca="1"/>
        <v>75.069117954172825</v>
      </c>
      <c r="AG7242" s="2">
        <f ca="1"/>
        <v>0.36036986824826323</v>
      </c>
      <c r="AH7242" s="2" t="str">
        <f ca="1"/>
        <v>OK</v>
      </c>
    </row>
    <row r="7243" spans="2:34" x14ac:dyDescent="0.2">
      <c r="B7243" s="2">
        <f ca="1"/>
        <v>0.22482679502260594</v>
      </c>
      <c r="O7243" s="2">
        <f ca="1"/>
        <v>-0.41723333574033583</v>
      </c>
      <c r="X7243" s="2">
        <f ca="1"/>
        <v>64.81617270608497</v>
      </c>
      <c r="AG7243" s="2">
        <f ca="1"/>
        <v>0.78821492651356118</v>
      </c>
      <c r="AH7243" s="2" t="str">
        <f ca="1"/>
        <v>Bad</v>
      </c>
    </row>
    <row r="7244" spans="2:34" x14ac:dyDescent="0.2">
      <c r="B7244" s="2">
        <f ca="1"/>
        <v>0.38354862140811785</v>
      </c>
      <c r="O7244" s="2">
        <f ca="1"/>
        <v>3.6305418729883042E-2</v>
      </c>
      <c r="X7244" s="2">
        <f ca="1"/>
        <v>58.123491486375755</v>
      </c>
      <c r="AG7244" s="2">
        <f ca="1"/>
        <v>6.8991745161395723E-2</v>
      </c>
      <c r="AH7244" s="2" t="str">
        <f ca="1"/>
        <v>OK</v>
      </c>
    </row>
    <row r="7245" spans="2:34" x14ac:dyDescent="0.2">
      <c r="B7245" s="2">
        <f ca="1"/>
        <v>0.57260310784764901</v>
      </c>
      <c r="O7245" s="2">
        <f ca="1"/>
        <v>0.3032097526775811</v>
      </c>
      <c r="X7245" s="2">
        <f ca="1"/>
        <v>37.075906009476107</v>
      </c>
      <c r="AG7245" s="2">
        <f ca="1"/>
        <v>0.75783309433326984</v>
      </c>
      <c r="AH7245" s="2" t="str">
        <f ca="1"/>
        <v>Bad</v>
      </c>
    </row>
    <row r="7246" spans="2:34" x14ac:dyDescent="0.2">
      <c r="B7246" s="2">
        <f ca="1"/>
        <v>0.56684460686757276</v>
      </c>
      <c r="O7246" s="2">
        <f ca="1"/>
        <v>-0.80277037335371904</v>
      </c>
      <c r="X7246" s="2">
        <f ca="1"/>
        <v>40.954277131959586</v>
      </c>
      <c r="AG7246" s="2">
        <f ca="1"/>
        <v>0.86233988866652256</v>
      </c>
      <c r="AH7246" s="2" t="str">
        <f ca="1"/>
        <v>Bad</v>
      </c>
    </row>
    <row r="7247" spans="2:34" x14ac:dyDescent="0.2">
      <c r="B7247" s="2">
        <f ca="1"/>
        <v>0.60139047279026192</v>
      </c>
      <c r="O7247" s="2">
        <f ca="1"/>
        <v>-1.0342702963781769</v>
      </c>
      <c r="X7247" s="2">
        <f ca="1"/>
        <v>29.479390197927717</v>
      </c>
      <c r="AG7247" s="2">
        <f ca="1"/>
        <v>0.39512676309743822</v>
      </c>
      <c r="AH7247" s="2" t="str">
        <f ca="1"/>
        <v>OK</v>
      </c>
    </row>
    <row r="7248" spans="2:34" x14ac:dyDescent="0.2">
      <c r="B7248" s="2">
        <f ca="1"/>
        <v>6.812814136316736E-2</v>
      </c>
      <c r="O7248" s="2">
        <f ca="1"/>
        <v>-1.1262419533285308</v>
      </c>
      <c r="X7248" s="2">
        <f ca="1"/>
        <v>64.697323598760462</v>
      </c>
      <c r="AG7248" s="2">
        <f ca="1"/>
        <v>0.80582208891590734</v>
      </c>
      <c r="AH7248" s="2" t="str">
        <f ca="1"/>
        <v>Bad</v>
      </c>
    </row>
    <row r="7249" spans="2:34" x14ac:dyDescent="0.2">
      <c r="B7249" s="2">
        <f ca="1"/>
        <v>0.32508565965710456</v>
      </c>
      <c r="O7249" s="2">
        <f ca="1"/>
        <v>-0.32092874354443179</v>
      </c>
      <c r="X7249" s="2">
        <f ca="1"/>
        <v>32.095714794213727</v>
      </c>
      <c r="AG7249" s="2">
        <f ca="1"/>
        <v>0.72906844650028146</v>
      </c>
      <c r="AH7249" s="2" t="str">
        <f ca="1"/>
        <v>Bad</v>
      </c>
    </row>
    <row r="7250" spans="2:34" x14ac:dyDescent="0.2">
      <c r="B7250" s="2">
        <f ca="1"/>
        <v>0.91710335954249067</v>
      </c>
      <c r="O7250" s="2">
        <f ca="1"/>
        <v>1.9075523593699808</v>
      </c>
      <c r="X7250" s="2">
        <f ca="1"/>
        <v>47.157702239237182</v>
      </c>
      <c r="AG7250" s="2">
        <f ca="1"/>
        <v>7.817112798868342E-2</v>
      </c>
      <c r="AH7250" s="2" t="str">
        <f ca="1"/>
        <v>OK</v>
      </c>
    </row>
    <row r="7251" spans="2:34" x14ac:dyDescent="0.2">
      <c r="B7251" s="2">
        <f ca="1"/>
        <v>0.17606277511426449</v>
      </c>
      <c r="O7251" s="2">
        <f ca="1"/>
        <v>0.94967468711821446</v>
      </c>
      <c r="X7251" s="2">
        <f ca="1"/>
        <v>55.081022554119265</v>
      </c>
      <c r="AG7251" s="2">
        <f ca="1"/>
        <v>0.89284097614658942</v>
      </c>
      <c r="AH7251" s="2" t="str">
        <f ca="1"/>
        <v>Bad</v>
      </c>
    </row>
    <row r="7252" spans="2:34" x14ac:dyDescent="0.2">
      <c r="B7252" s="2">
        <f ca="1"/>
        <v>0.65378585603242922</v>
      </c>
      <c r="O7252" s="2">
        <f ca="1"/>
        <v>-0.21977636042248336</v>
      </c>
      <c r="X7252" s="2">
        <f ca="1"/>
        <v>88.073204806473882</v>
      </c>
      <c r="AG7252" s="2">
        <f ca="1"/>
        <v>0.70996209396493914</v>
      </c>
      <c r="AH7252" s="2" t="str">
        <f ca="1"/>
        <v>Bad</v>
      </c>
    </row>
    <row r="7253" spans="2:34" x14ac:dyDescent="0.2">
      <c r="B7253" s="2">
        <f ca="1"/>
        <v>0.59311147288335886</v>
      </c>
      <c r="O7253" s="2">
        <f ca="1"/>
        <v>1.0726391391918693</v>
      </c>
      <c r="X7253" s="2">
        <f ca="1"/>
        <v>49.250977476259365</v>
      </c>
      <c r="AG7253" s="2">
        <f ca="1"/>
        <v>0.58813267029185701</v>
      </c>
      <c r="AH7253" s="2" t="str">
        <f ca="1"/>
        <v>Bad</v>
      </c>
    </row>
    <row r="7254" spans="2:34" x14ac:dyDescent="0.2">
      <c r="B7254" s="2">
        <f ca="1"/>
        <v>0.75794214475021859</v>
      </c>
      <c r="O7254" s="2">
        <f ca="1"/>
        <v>0.39830651608393441</v>
      </c>
      <c r="X7254" s="2">
        <f ca="1"/>
        <v>32.456935199093522</v>
      </c>
      <c r="AG7254" s="2">
        <f ca="1"/>
        <v>0.93348314766835694</v>
      </c>
      <c r="AH7254" s="2" t="str">
        <f ca="1"/>
        <v>Bad</v>
      </c>
    </row>
    <row r="7255" spans="2:34" x14ac:dyDescent="0.2">
      <c r="B7255" s="2">
        <f ca="1"/>
        <v>0.57447618165077441</v>
      </c>
      <c r="O7255" s="2">
        <f ca="1"/>
        <v>-0.40334138805263697</v>
      </c>
      <c r="X7255" s="2">
        <f ca="1"/>
        <v>52.809706401250097</v>
      </c>
      <c r="AG7255" s="2">
        <f ca="1"/>
        <v>0.65187929263741484</v>
      </c>
      <c r="AH7255" s="2" t="str">
        <f ca="1"/>
        <v>Bad</v>
      </c>
    </row>
    <row r="7256" spans="2:34" x14ac:dyDescent="0.2">
      <c r="B7256" s="2">
        <f ca="1"/>
        <v>0.50171398426847391</v>
      </c>
      <c r="O7256" s="2">
        <f ca="1"/>
        <v>0.1015213150767621</v>
      </c>
      <c r="X7256" s="2">
        <f ca="1"/>
        <v>27.475889994240283</v>
      </c>
      <c r="AG7256" s="2">
        <f ca="1"/>
        <v>0.78437783757798929</v>
      </c>
      <c r="AH7256" s="2" t="str">
        <f ca="1"/>
        <v>Bad</v>
      </c>
    </row>
    <row r="7257" spans="2:34" x14ac:dyDescent="0.2">
      <c r="B7257" s="2">
        <f ca="1"/>
        <v>7.9121181103348093E-2</v>
      </c>
      <c r="O7257" s="2">
        <f ca="1"/>
        <v>2.5309738052891615</v>
      </c>
      <c r="X7257" s="2">
        <f ca="1"/>
        <v>32.488506333006924</v>
      </c>
      <c r="AG7257" s="2">
        <f ca="1"/>
        <v>0.56836985452509703</v>
      </c>
      <c r="AH7257" s="2" t="str">
        <f ca="1"/>
        <v>Bad</v>
      </c>
    </row>
    <row r="7258" spans="2:34" x14ac:dyDescent="0.2">
      <c r="B7258" s="2">
        <f ca="1"/>
        <v>0.89864216877429914</v>
      </c>
      <c r="O7258" s="2">
        <f ca="1"/>
        <v>0.4198471327752103</v>
      </c>
      <c r="X7258" s="2">
        <f ca="1"/>
        <v>67.61366279728864</v>
      </c>
      <c r="AG7258" s="2">
        <f ca="1"/>
        <v>1.6386633546121354E-2</v>
      </c>
      <c r="AH7258" s="2" t="str">
        <f ca="1"/>
        <v>Good</v>
      </c>
    </row>
    <row r="7259" spans="2:34" x14ac:dyDescent="0.2">
      <c r="B7259" s="2">
        <f ca="1"/>
        <v>0.50773493855943674</v>
      </c>
      <c r="O7259" s="2">
        <f ca="1"/>
        <v>0.31766780735133204</v>
      </c>
      <c r="X7259" s="2">
        <f ca="1"/>
        <v>53.310404204167448</v>
      </c>
      <c r="AG7259" s="2">
        <f ca="1"/>
        <v>0.57182381865861065</v>
      </c>
      <c r="AH7259" s="2" t="str">
        <f ca="1"/>
        <v>Bad</v>
      </c>
    </row>
    <row r="7260" spans="2:34" x14ac:dyDescent="0.2">
      <c r="B7260" s="2">
        <f ca="1"/>
        <v>0.42836278888641099</v>
      </c>
      <c r="O7260" s="2">
        <f ca="1"/>
        <v>0.40595862930500148</v>
      </c>
      <c r="X7260" s="2">
        <f ca="1"/>
        <v>49.998276256430259</v>
      </c>
      <c r="AG7260" s="2">
        <f ca="1"/>
        <v>0.6361236382278026</v>
      </c>
      <c r="AH7260" s="2" t="str">
        <f ca="1"/>
        <v>Bad</v>
      </c>
    </row>
    <row r="7261" spans="2:34" x14ac:dyDescent="0.2">
      <c r="B7261" s="2">
        <f ca="1"/>
        <v>0.6193976088974571</v>
      </c>
      <c r="O7261" s="2">
        <f ca="1"/>
        <v>-2.1943807134914874</v>
      </c>
      <c r="X7261" s="2">
        <f ca="1"/>
        <v>50.439551562239984</v>
      </c>
      <c r="AG7261" s="2">
        <f ca="1"/>
        <v>0.77235643649830421</v>
      </c>
      <c r="AH7261" s="2" t="str">
        <f ca="1"/>
        <v>Bad</v>
      </c>
    </row>
    <row r="7262" spans="2:34" x14ac:dyDescent="0.2">
      <c r="B7262" s="2">
        <f ca="1"/>
        <v>0.752241969103979</v>
      </c>
      <c r="O7262" s="2">
        <f ca="1"/>
        <v>0.55229796945614251</v>
      </c>
      <c r="X7262" s="2">
        <f ca="1"/>
        <v>65.049142545429106</v>
      </c>
      <c r="AG7262" s="2">
        <f ca="1"/>
        <v>0.49004996633851938</v>
      </c>
      <c r="AH7262" s="2" t="str">
        <f ca="1"/>
        <v>Bad</v>
      </c>
    </row>
    <row r="7263" spans="2:34" x14ac:dyDescent="0.2">
      <c r="B7263" s="2">
        <f ca="1"/>
        <v>0.7979660775610935</v>
      </c>
      <c r="O7263" s="2">
        <f ca="1"/>
        <v>-0.75387800128858162</v>
      </c>
      <c r="X7263" s="2">
        <f ca="1"/>
        <v>57.053328894949288</v>
      </c>
      <c r="AG7263" s="2">
        <f ca="1"/>
        <v>0.78977471942222177</v>
      </c>
      <c r="AH7263" s="2" t="str">
        <f ca="1"/>
        <v>Bad</v>
      </c>
    </row>
    <row r="7264" spans="2:34" x14ac:dyDescent="0.2">
      <c r="B7264" s="2">
        <f ca="1"/>
        <v>0.76603707706653124</v>
      </c>
      <c r="O7264" s="2">
        <f ca="1"/>
        <v>1.0814538570543115</v>
      </c>
      <c r="X7264" s="2">
        <f ca="1"/>
        <v>37.889787432865134</v>
      </c>
      <c r="AG7264" s="2">
        <f ca="1"/>
        <v>0.77582463552580072</v>
      </c>
      <c r="AH7264" s="2" t="str">
        <f ca="1"/>
        <v>Bad</v>
      </c>
    </row>
    <row r="7265" spans="2:34" x14ac:dyDescent="0.2">
      <c r="B7265" s="2">
        <f ca="1"/>
        <v>0.85833891068299306</v>
      </c>
      <c r="O7265" s="2">
        <f ca="1"/>
        <v>1.4180899911153866</v>
      </c>
      <c r="X7265" s="2">
        <f ca="1"/>
        <v>49.053996127194061</v>
      </c>
      <c r="AG7265" s="2">
        <f ca="1"/>
        <v>0.32237299475830627</v>
      </c>
      <c r="AH7265" s="2" t="str">
        <f ca="1"/>
        <v>OK</v>
      </c>
    </row>
    <row r="7266" spans="2:34" x14ac:dyDescent="0.2">
      <c r="B7266" s="2">
        <f ca="1"/>
        <v>0.86785514588831369</v>
      </c>
      <c r="O7266" s="2">
        <f ca="1"/>
        <v>-2.9197689290178794</v>
      </c>
      <c r="X7266" s="2">
        <f ca="1"/>
        <v>45.625515265462369</v>
      </c>
      <c r="AG7266" s="2">
        <f ca="1"/>
        <v>0.89774703810019396</v>
      </c>
      <c r="AH7266" s="2" t="str">
        <f ca="1"/>
        <v>Bad</v>
      </c>
    </row>
    <row r="7267" spans="2:34" x14ac:dyDescent="0.2">
      <c r="B7267" s="2">
        <f ca="1"/>
        <v>0.17096425442702579</v>
      </c>
      <c r="O7267" s="2">
        <f ca="1"/>
        <v>0.8536373360605064</v>
      </c>
      <c r="X7267" s="2">
        <f ca="1"/>
        <v>54.758295332997974</v>
      </c>
      <c r="AG7267" s="2">
        <f ca="1"/>
        <v>0.99812162792852899</v>
      </c>
      <c r="AH7267" s="2" t="str">
        <f ca="1"/>
        <v>Bad</v>
      </c>
    </row>
    <row r="7268" spans="2:34" x14ac:dyDescent="0.2">
      <c r="B7268" s="2">
        <f ca="1"/>
        <v>0.99477720244581236</v>
      </c>
      <c r="O7268" s="2">
        <f ca="1"/>
        <v>0.19960285324573682</v>
      </c>
      <c r="X7268" s="2">
        <f ca="1"/>
        <v>40.74919031028336</v>
      </c>
      <c r="AG7268" s="2">
        <f ca="1"/>
        <v>0.4456063787260911</v>
      </c>
      <c r="AH7268" s="2" t="str">
        <f ca="1"/>
        <v>Bad</v>
      </c>
    </row>
    <row r="7269" spans="2:34" x14ac:dyDescent="0.2">
      <c r="B7269" s="2">
        <f ca="1"/>
        <v>0.81021070882493351</v>
      </c>
      <c r="O7269" s="2">
        <f ca="1"/>
        <v>1.1367715583398998</v>
      </c>
      <c r="X7269" s="2">
        <f ca="1"/>
        <v>50.983860221871076</v>
      </c>
      <c r="AG7269" s="2">
        <f ca="1"/>
        <v>0.34341944588947992</v>
      </c>
      <c r="AH7269" s="2" t="str">
        <f ca="1"/>
        <v>OK</v>
      </c>
    </row>
    <row r="7270" spans="2:34" x14ac:dyDescent="0.2">
      <c r="B7270" s="2">
        <f ca="1"/>
        <v>0.77710347154155612</v>
      </c>
      <c r="O7270" s="2">
        <f ca="1"/>
        <v>0.17475803270849918</v>
      </c>
      <c r="X7270" s="2">
        <f ca="1"/>
        <v>41.649225104932405</v>
      </c>
      <c r="AG7270" s="2">
        <f ca="1"/>
        <v>6.2336410044125712E-2</v>
      </c>
      <c r="AH7270" s="2" t="str">
        <f ca="1"/>
        <v>OK</v>
      </c>
    </row>
    <row r="7271" spans="2:34" x14ac:dyDescent="0.2">
      <c r="B7271" s="2">
        <f ca="1"/>
        <v>0.78748611081133579</v>
      </c>
      <c r="O7271" s="2">
        <f ca="1"/>
        <v>-0.58856177977122326</v>
      </c>
      <c r="X7271" s="2">
        <f ca="1"/>
        <v>70.74870946207912</v>
      </c>
      <c r="AG7271" s="2">
        <f ca="1"/>
        <v>5.8181882143689245E-2</v>
      </c>
      <c r="AH7271" s="2" t="str">
        <f ca="1"/>
        <v>OK</v>
      </c>
    </row>
    <row r="7272" spans="2:34" x14ac:dyDescent="0.2">
      <c r="B7272" s="2">
        <f ca="1"/>
        <v>0.92641612518143468</v>
      </c>
      <c r="O7272" s="2">
        <f ca="1"/>
        <v>0.49357248931756498</v>
      </c>
      <c r="X7272" s="2">
        <f ca="1"/>
        <v>58.125601999479095</v>
      </c>
      <c r="AG7272" s="2">
        <f ca="1"/>
        <v>0.14336586793035599</v>
      </c>
      <c r="AH7272" s="2" t="str">
        <f ca="1"/>
        <v>OK</v>
      </c>
    </row>
    <row r="7273" spans="2:34" x14ac:dyDescent="0.2">
      <c r="B7273" s="2">
        <f ca="1"/>
        <v>0.24335408762936184</v>
      </c>
      <c r="O7273" s="2">
        <f ca="1"/>
        <v>0.28665193453793036</v>
      </c>
      <c r="X7273" s="2">
        <f ca="1"/>
        <v>37.226190477011031</v>
      </c>
      <c r="AG7273" s="2">
        <f ca="1"/>
        <v>7.8759234255315835E-2</v>
      </c>
      <c r="AH7273" s="2" t="str">
        <f ca="1"/>
        <v>OK</v>
      </c>
    </row>
    <row r="7274" spans="2:34" x14ac:dyDescent="0.2">
      <c r="B7274" s="2">
        <f ca="1"/>
        <v>3.113753930705454E-2</v>
      </c>
      <c r="O7274" s="2">
        <f ca="1"/>
        <v>1.5946610898796836E-2</v>
      </c>
      <c r="X7274" s="2">
        <f ca="1"/>
        <v>45.231630266693941</v>
      </c>
      <c r="AG7274" s="2">
        <f ca="1"/>
        <v>0.51339756708971862</v>
      </c>
      <c r="AH7274" s="2" t="str">
        <f ca="1"/>
        <v>Bad</v>
      </c>
    </row>
    <row r="7275" spans="2:34" x14ac:dyDescent="0.2">
      <c r="B7275" s="2">
        <f ca="1"/>
        <v>0.63222183983717595</v>
      </c>
      <c r="O7275" s="2">
        <f ca="1"/>
        <v>0.59031897336415551</v>
      </c>
      <c r="X7275" s="2">
        <f ca="1"/>
        <v>57.695929425009467</v>
      </c>
      <c r="AG7275" s="2">
        <f ca="1"/>
        <v>0.42198608661528558</v>
      </c>
      <c r="AH7275" s="2" t="str">
        <f ca="1"/>
        <v>Bad</v>
      </c>
    </row>
    <row r="7276" spans="2:34" x14ac:dyDescent="0.2">
      <c r="B7276" s="2">
        <f ca="1"/>
        <v>0.42430240120621865</v>
      </c>
      <c r="O7276" s="2">
        <f ca="1"/>
        <v>-0.54873542520235341</v>
      </c>
      <c r="X7276" s="2">
        <f ca="1"/>
        <v>40.897334999171946</v>
      </c>
      <c r="AG7276" s="2">
        <f ca="1"/>
        <v>0.69800378181471778</v>
      </c>
      <c r="AH7276" s="2" t="str">
        <f ca="1"/>
        <v>Bad</v>
      </c>
    </row>
    <row r="7277" spans="2:34" x14ac:dyDescent="0.2">
      <c r="B7277" s="2">
        <f ca="1"/>
        <v>0.18715708096273831</v>
      </c>
      <c r="O7277" s="2">
        <f ca="1"/>
        <v>-0.2919701614681639</v>
      </c>
      <c r="X7277" s="2">
        <f ca="1"/>
        <v>35.120594267675742</v>
      </c>
      <c r="AG7277" s="2">
        <f ca="1"/>
        <v>0.47692459892160399</v>
      </c>
      <c r="AH7277" s="2" t="str">
        <f ca="1"/>
        <v>Bad</v>
      </c>
    </row>
    <row r="7278" spans="2:34" x14ac:dyDescent="0.2">
      <c r="B7278" s="2">
        <f ca="1"/>
        <v>0.69323499131802158</v>
      </c>
      <c r="O7278" s="2">
        <f ca="1"/>
        <v>1.1512155818505418</v>
      </c>
      <c r="X7278" s="2">
        <f ca="1"/>
        <v>31.61688189014275</v>
      </c>
      <c r="AG7278" s="2">
        <f ca="1"/>
        <v>0.75786484262267462</v>
      </c>
      <c r="AH7278" s="2" t="str">
        <f ca="1"/>
        <v>Bad</v>
      </c>
    </row>
    <row r="7279" spans="2:34" x14ac:dyDescent="0.2">
      <c r="B7279" s="2">
        <f ca="1"/>
        <v>0.7953553786246359</v>
      </c>
      <c r="O7279" s="2">
        <f ca="1"/>
        <v>-0.83742821345677942</v>
      </c>
      <c r="X7279" s="2">
        <f ca="1"/>
        <v>71.396104904531683</v>
      </c>
      <c r="AG7279" s="2">
        <f ca="1"/>
        <v>0.97907455378655195</v>
      </c>
      <c r="AH7279" s="2" t="str">
        <f ca="1"/>
        <v>Bad</v>
      </c>
    </row>
    <row r="7280" spans="2:34" x14ac:dyDescent="0.2">
      <c r="B7280" s="2">
        <f ca="1"/>
        <v>0.76200085943683149</v>
      </c>
      <c r="O7280" s="2">
        <f ca="1"/>
        <v>-0.28466079863029053</v>
      </c>
      <c r="X7280" s="2">
        <f ca="1"/>
        <v>63.2694304628506</v>
      </c>
      <c r="AG7280" s="2">
        <f ca="1"/>
        <v>0.92215483812276178</v>
      </c>
      <c r="AH7280" s="2" t="str">
        <f ca="1"/>
        <v>Bad</v>
      </c>
    </row>
    <row r="7281" spans="2:34" x14ac:dyDescent="0.2">
      <c r="B7281" s="2">
        <f ca="1"/>
        <v>0.31808590744303311</v>
      </c>
      <c r="O7281" s="2">
        <f ca="1"/>
        <v>-2.2575823740210703</v>
      </c>
      <c r="X7281" s="2">
        <f ca="1"/>
        <v>59.562382094996799</v>
      </c>
      <c r="AG7281" s="2">
        <f ca="1"/>
        <v>6.4991454199696763E-2</v>
      </c>
      <c r="AH7281" s="2" t="str">
        <f ca="1"/>
        <v>OK</v>
      </c>
    </row>
    <row r="7282" spans="2:34" x14ac:dyDescent="0.2">
      <c r="B7282" s="2">
        <f ca="1"/>
        <v>0.48653290045535869</v>
      </c>
      <c r="O7282" s="2">
        <f ca="1"/>
        <v>-1.1283622873927419</v>
      </c>
      <c r="X7282" s="2">
        <f ca="1"/>
        <v>56.171174997740358</v>
      </c>
      <c r="AG7282" s="2">
        <f ca="1"/>
        <v>0.73672166287036855</v>
      </c>
      <c r="AH7282" s="2" t="str">
        <f ca="1"/>
        <v>Bad</v>
      </c>
    </row>
    <row r="7283" spans="2:34" x14ac:dyDescent="0.2">
      <c r="B7283" s="2">
        <f ca="1"/>
        <v>0.45700977140820287</v>
      </c>
      <c r="O7283" s="2">
        <f ca="1"/>
        <v>0.16657011817963174</v>
      </c>
      <c r="X7283" s="2">
        <f ca="1"/>
        <v>40.644993947535248</v>
      </c>
      <c r="AG7283" s="2">
        <f ca="1"/>
        <v>0.23598541076489687</v>
      </c>
      <c r="AH7283" s="2" t="str">
        <f ca="1"/>
        <v>OK</v>
      </c>
    </row>
    <row r="7284" spans="2:34" x14ac:dyDescent="0.2">
      <c r="B7284" s="2">
        <f ca="1"/>
        <v>0.67954541330375595</v>
      </c>
      <c r="O7284" s="2">
        <f ca="1"/>
        <v>0.76209399856961391</v>
      </c>
      <c r="X7284" s="2">
        <f ca="1"/>
        <v>55.060826995913118</v>
      </c>
      <c r="AG7284" s="2">
        <f ca="1"/>
        <v>7.5066007930157275E-2</v>
      </c>
      <c r="AH7284" s="2" t="str">
        <f ca="1"/>
        <v>OK</v>
      </c>
    </row>
    <row r="7285" spans="2:34" x14ac:dyDescent="0.2">
      <c r="B7285" s="2">
        <f ca="1"/>
        <v>0.35480935208249997</v>
      </c>
      <c r="O7285" s="2">
        <f ca="1"/>
        <v>2.7216074655254894</v>
      </c>
      <c r="X7285" s="2">
        <f ca="1"/>
        <v>46.172874303651106</v>
      </c>
      <c r="AG7285" s="2">
        <f ca="1"/>
        <v>0.14391933016859082</v>
      </c>
      <c r="AH7285" s="2" t="str">
        <f ca="1"/>
        <v>OK</v>
      </c>
    </row>
    <row r="7286" spans="2:34" x14ac:dyDescent="0.2">
      <c r="B7286" s="2">
        <f ca="1"/>
        <v>0.98165705301209716</v>
      </c>
      <c r="O7286" s="2">
        <f ca="1"/>
        <v>-2.0465478619655648E-2</v>
      </c>
      <c r="X7286" s="2">
        <f ca="1"/>
        <v>76.468088895738617</v>
      </c>
      <c r="AG7286" s="2">
        <f ca="1"/>
        <v>0.36551697487143553</v>
      </c>
      <c r="AH7286" s="2" t="str">
        <f ca="1"/>
        <v>OK</v>
      </c>
    </row>
    <row r="7287" spans="2:34" x14ac:dyDescent="0.2">
      <c r="B7287" s="2">
        <f ca="1"/>
        <v>0.81923229235324402</v>
      </c>
      <c r="O7287" s="2">
        <f ca="1"/>
        <v>0.95630470178251215</v>
      </c>
      <c r="X7287" s="2">
        <f ca="1"/>
        <v>39.266107813916349</v>
      </c>
      <c r="AG7287" s="2">
        <f ca="1"/>
        <v>0.15448826063689558</v>
      </c>
      <c r="AH7287" s="2" t="str">
        <f ca="1"/>
        <v>OK</v>
      </c>
    </row>
    <row r="7288" spans="2:34" x14ac:dyDescent="0.2">
      <c r="B7288" s="2">
        <f ca="1"/>
        <v>0.93101268635415768</v>
      </c>
      <c r="O7288" s="2">
        <f ca="1"/>
        <v>1.2385930075476739</v>
      </c>
      <c r="X7288" s="2">
        <f ca="1"/>
        <v>27.795741844387543</v>
      </c>
      <c r="AG7288" s="2">
        <f ca="1"/>
        <v>0.21300207055302889</v>
      </c>
      <c r="AH7288" s="2" t="str">
        <f ca="1"/>
        <v>OK</v>
      </c>
    </row>
    <row r="7289" spans="2:34" x14ac:dyDescent="0.2">
      <c r="B7289" s="2">
        <f ca="1"/>
        <v>8.8300043330463707E-2</v>
      </c>
      <c r="O7289" s="2">
        <f ca="1"/>
        <v>1.9325802154220966</v>
      </c>
      <c r="X7289" s="2">
        <f ca="1"/>
        <v>39.276833053565902</v>
      </c>
      <c r="AG7289" s="2">
        <f ca="1"/>
        <v>0.20577932347811734</v>
      </c>
      <c r="AH7289" s="2" t="str">
        <f ca="1"/>
        <v>OK</v>
      </c>
    </row>
    <row r="7290" spans="2:34" x14ac:dyDescent="0.2">
      <c r="B7290" s="2">
        <f ca="1"/>
        <v>0.49757679387271048</v>
      </c>
      <c r="O7290" s="2">
        <f ca="1"/>
        <v>-0.170202298091952</v>
      </c>
      <c r="X7290" s="2">
        <f ca="1"/>
        <v>22.261543271282118</v>
      </c>
      <c r="AG7290" s="2">
        <f ca="1"/>
        <v>0.34846906968048197</v>
      </c>
      <c r="AH7290" s="2" t="str">
        <f ca="1"/>
        <v>OK</v>
      </c>
    </row>
    <row r="7291" spans="2:34" x14ac:dyDescent="0.2">
      <c r="B7291" s="2">
        <f ca="1"/>
        <v>0.18145260543310004</v>
      </c>
      <c r="O7291" s="2">
        <f ca="1"/>
        <v>-0.11566921373127238</v>
      </c>
      <c r="X7291" s="2">
        <f ca="1"/>
        <v>55.637554243965596</v>
      </c>
      <c r="AG7291" s="2">
        <f ca="1"/>
        <v>0.32834428335008536</v>
      </c>
      <c r="AH7291" s="2" t="str">
        <f ca="1"/>
        <v>OK</v>
      </c>
    </row>
    <row r="7292" spans="2:34" x14ac:dyDescent="0.2">
      <c r="B7292" s="2">
        <f ca="1"/>
        <v>0.73640423831761481</v>
      </c>
      <c r="O7292" s="2">
        <f ca="1"/>
        <v>0.50668191620474279</v>
      </c>
      <c r="X7292" s="2">
        <f ca="1"/>
        <v>38.732800696036762</v>
      </c>
      <c r="AG7292" s="2">
        <f ca="1"/>
        <v>0.42808849714059427</v>
      </c>
      <c r="AH7292" s="2" t="str">
        <f ca="1"/>
        <v>Bad</v>
      </c>
    </row>
    <row r="7293" spans="2:34" x14ac:dyDescent="0.2">
      <c r="B7293" s="2">
        <f ca="1"/>
        <v>0.81659285831329087</v>
      </c>
      <c r="O7293" s="2">
        <f ca="1"/>
        <v>-1.9683967747779494</v>
      </c>
      <c r="X7293" s="2">
        <f ca="1"/>
        <v>72.72368671981404</v>
      </c>
      <c r="AG7293" s="2">
        <f ca="1"/>
        <v>0.14896786072098922</v>
      </c>
      <c r="AH7293" s="2" t="str">
        <f ca="1"/>
        <v>OK</v>
      </c>
    </row>
    <row r="7294" spans="2:34" x14ac:dyDescent="0.2">
      <c r="B7294" s="2">
        <f ca="1"/>
        <v>0.34142754989625224</v>
      </c>
      <c r="O7294" s="2">
        <f ca="1"/>
        <v>0.74559053213895565</v>
      </c>
      <c r="X7294" s="2">
        <f ca="1"/>
        <v>33.191710197834304</v>
      </c>
      <c r="AG7294" s="2">
        <f ca="1"/>
        <v>0.32240695929903951</v>
      </c>
      <c r="AH7294" s="2" t="str">
        <f ca="1"/>
        <v>OK</v>
      </c>
    </row>
    <row r="7295" spans="2:34" x14ac:dyDescent="0.2">
      <c r="B7295" s="2">
        <f ca="1"/>
        <v>0.65319746610344764</v>
      </c>
      <c r="O7295" s="2">
        <f ca="1"/>
        <v>-1.0694986673078906</v>
      </c>
      <c r="X7295" s="2">
        <f ca="1"/>
        <v>44.146286776077659</v>
      </c>
      <c r="AG7295" s="2">
        <f ca="1"/>
        <v>0.2693422461372319</v>
      </c>
      <c r="AH7295" s="2" t="str">
        <f ca="1"/>
        <v>OK</v>
      </c>
    </row>
    <row r="7296" spans="2:34" x14ac:dyDescent="0.2">
      <c r="B7296" s="2">
        <f ca="1"/>
        <v>0.37367332192413261</v>
      </c>
      <c r="O7296" s="2">
        <f ca="1"/>
        <v>0.84133342605639816</v>
      </c>
      <c r="X7296" s="2">
        <f ca="1"/>
        <v>19.547666079772529</v>
      </c>
      <c r="AG7296" s="2">
        <f ca="1"/>
        <v>0.40131248188659407</v>
      </c>
      <c r="AH7296" s="2" t="str">
        <f ca="1"/>
        <v>Bad</v>
      </c>
    </row>
    <row r="7297" spans="2:34" x14ac:dyDescent="0.2">
      <c r="B7297" s="2">
        <f ca="1"/>
        <v>0.1175711153375798</v>
      </c>
      <c r="O7297" s="2">
        <f ca="1"/>
        <v>0.23343325929472208</v>
      </c>
      <c r="X7297" s="2">
        <f ca="1"/>
        <v>90.66560500662105</v>
      </c>
      <c r="AG7297" s="2">
        <f ca="1"/>
        <v>0.96243099676383781</v>
      </c>
      <c r="AH7297" s="2" t="str">
        <f ca="1"/>
        <v>Bad</v>
      </c>
    </row>
    <row r="7298" spans="2:34" x14ac:dyDescent="0.2">
      <c r="B7298" s="2">
        <f ca="1"/>
        <v>0.48794439550468938</v>
      </c>
      <c r="O7298" s="2">
        <f ca="1"/>
        <v>1.0223953269840202</v>
      </c>
      <c r="X7298" s="2">
        <f ca="1"/>
        <v>31.337913842595519</v>
      </c>
      <c r="AG7298" s="2">
        <f ca="1"/>
        <v>5.4026107275110924E-2</v>
      </c>
      <c r="AH7298" s="2" t="str">
        <f ca="1"/>
        <v>OK</v>
      </c>
    </row>
    <row r="7299" spans="2:34" x14ac:dyDescent="0.2">
      <c r="B7299" s="2">
        <f ca="1"/>
        <v>0.4928647771427368</v>
      </c>
      <c r="O7299" s="2">
        <f ca="1"/>
        <v>0.5360718844126251</v>
      </c>
      <c r="X7299" s="2">
        <f ca="1"/>
        <v>42.411813766912083</v>
      </c>
      <c r="AG7299" s="2">
        <f ca="1"/>
        <v>0.18294307317197367</v>
      </c>
      <c r="AH7299" s="2" t="str">
        <f ca="1"/>
        <v>OK</v>
      </c>
    </row>
    <row r="7300" spans="2:34" x14ac:dyDescent="0.2">
      <c r="B7300" s="2">
        <f ca="1"/>
        <v>0.57987096635999458</v>
      </c>
      <c r="O7300" s="2">
        <f ca="1"/>
        <v>-1.0346136139975175</v>
      </c>
      <c r="X7300" s="2">
        <f ca="1"/>
        <v>86.712959983055825</v>
      </c>
      <c r="AG7300" s="2">
        <f ca="1"/>
        <v>0.64125117478319882</v>
      </c>
      <c r="AH7300" s="2" t="str">
        <f ca="1"/>
        <v>Bad</v>
      </c>
    </row>
    <row r="7301" spans="2:34" x14ac:dyDescent="0.2">
      <c r="B7301" s="2">
        <f ca="1"/>
        <v>0.80657466700749492</v>
      </c>
      <c r="O7301" s="2">
        <f ca="1"/>
        <v>1.2917714072760891</v>
      </c>
      <c r="X7301" s="2">
        <f ca="1"/>
        <v>37.26817249807246</v>
      </c>
      <c r="AG7301" s="2">
        <f ca="1"/>
        <v>0.64305715793907114</v>
      </c>
      <c r="AH7301" s="2" t="str">
        <f ca="1"/>
        <v>Bad</v>
      </c>
    </row>
    <row r="7302" spans="2:34" x14ac:dyDescent="0.2">
      <c r="B7302" s="2">
        <f ca="1"/>
        <v>0.96529449905735309</v>
      </c>
      <c r="O7302" s="2">
        <f ca="1"/>
        <v>7.2063606523826748E-2</v>
      </c>
      <c r="X7302" s="2">
        <f ca="1"/>
        <v>52.73042187347302</v>
      </c>
      <c r="AG7302" s="2">
        <f ca="1"/>
        <v>6.249742007125314E-2</v>
      </c>
      <c r="AH7302" s="2" t="str">
        <f ca="1"/>
        <v>OK</v>
      </c>
    </row>
    <row r="7303" spans="2:34" x14ac:dyDescent="0.2">
      <c r="B7303" s="2">
        <f ca="1"/>
        <v>0.2919262477740141</v>
      </c>
      <c r="O7303" s="2">
        <f ca="1"/>
        <v>-1.102079915609125</v>
      </c>
      <c r="X7303" s="2">
        <f ca="1"/>
        <v>88.584576764851988</v>
      </c>
      <c r="AG7303" s="2">
        <f ca="1"/>
        <v>6.3506066306664444E-3</v>
      </c>
      <c r="AH7303" s="2" t="str">
        <f ca="1"/>
        <v>Good</v>
      </c>
    </row>
    <row r="7304" spans="2:34" x14ac:dyDescent="0.2">
      <c r="B7304" s="2">
        <f ca="1"/>
        <v>0.13316663823530006</v>
      </c>
      <c r="O7304" s="2">
        <f ca="1"/>
        <v>0.38536221942690846</v>
      </c>
      <c r="X7304" s="2">
        <f ca="1"/>
        <v>53.24656828938744</v>
      </c>
      <c r="AG7304" s="2">
        <f ca="1"/>
        <v>0.29489515293433421</v>
      </c>
      <c r="AH7304" s="2" t="str">
        <f ca="1"/>
        <v>OK</v>
      </c>
    </row>
    <row r="7305" spans="2:34" x14ac:dyDescent="0.2">
      <c r="B7305" s="2">
        <f ca="1"/>
        <v>0.9963621648766241</v>
      </c>
      <c r="O7305" s="2">
        <f ca="1"/>
        <v>-0.90922887523518159</v>
      </c>
      <c r="X7305" s="2">
        <f ca="1"/>
        <v>43.53351442444567</v>
      </c>
      <c r="AG7305" s="2">
        <f ca="1"/>
        <v>0.14260266682866796</v>
      </c>
      <c r="AH7305" s="2" t="str">
        <f ca="1"/>
        <v>OK</v>
      </c>
    </row>
    <row r="7306" spans="2:34" x14ac:dyDescent="0.2">
      <c r="B7306" s="2">
        <f ca="1"/>
        <v>0.95552146602169064</v>
      </c>
      <c r="O7306" s="2">
        <f ca="1"/>
        <v>-0.10764986972566049</v>
      </c>
      <c r="X7306" s="2">
        <f ca="1"/>
        <v>53.217507466044893</v>
      </c>
      <c r="AG7306" s="2">
        <f ca="1"/>
        <v>0.22578995095521326</v>
      </c>
      <c r="AH7306" s="2" t="str">
        <f ca="1"/>
        <v>OK</v>
      </c>
    </row>
    <row r="7307" spans="2:34" x14ac:dyDescent="0.2">
      <c r="B7307" s="2">
        <f ca="1"/>
        <v>0.3699364918611836</v>
      </c>
      <c r="O7307" s="2">
        <f ca="1"/>
        <v>-0.26057341875555212</v>
      </c>
      <c r="X7307" s="2">
        <f ca="1"/>
        <v>45.925345490136266</v>
      </c>
      <c r="AG7307" s="2">
        <f ca="1"/>
        <v>0.51616731164395557</v>
      </c>
      <c r="AH7307" s="2" t="str">
        <f ca="1"/>
        <v>Bad</v>
      </c>
    </row>
    <row r="7308" spans="2:34" x14ac:dyDescent="0.2">
      <c r="B7308" s="2">
        <f ca="1"/>
        <v>0.87192054974880207</v>
      </c>
      <c r="O7308" s="2">
        <f ca="1"/>
        <v>0.64870618289645776</v>
      </c>
      <c r="X7308" s="2">
        <f ca="1"/>
        <v>20.406848474787154</v>
      </c>
      <c r="AG7308" s="2">
        <f ca="1"/>
        <v>0.627978477722549</v>
      </c>
      <c r="AH7308" s="2" t="str">
        <f ca="1"/>
        <v>Bad</v>
      </c>
    </row>
    <row r="7309" spans="2:34" x14ac:dyDescent="0.2">
      <c r="B7309" s="2">
        <f ca="1"/>
        <v>0.2754156080296386</v>
      </c>
      <c r="O7309" s="2">
        <f ca="1"/>
        <v>-0.98894426694183601</v>
      </c>
      <c r="X7309" s="2">
        <f ca="1"/>
        <v>44.12969765705764</v>
      </c>
      <c r="AG7309" s="2">
        <f ca="1"/>
        <v>0.44184983274247225</v>
      </c>
      <c r="AH7309" s="2" t="str">
        <f ca="1"/>
        <v>Bad</v>
      </c>
    </row>
    <row r="7310" spans="2:34" x14ac:dyDescent="0.2">
      <c r="B7310" s="2">
        <f ca="1"/>
        <v>0.10404804399621592</v>
      </c>
      <c r="O7310" s="2">
        <f ca="1"/>
        <v>0.97868912998899027</v>
      </c>
      <c r="X7310" s="2">
        <f ca="1"/>
        <v>34.882843050152282</v>
      </c>
      <c r="AG7310" s="2">
        <f ca="1"/>
        <v>0.28761340101107247</v>
      </c>
      <c r="AH7310" s="2" t="str">
        <f ca="1"/>
        <v>OK</v>
      </c>
    </row>
    <row r="7311" spans="2:34" x14ac:dyDescent="0.2">
      <c r="B7311" s="2">
        <f ca="1"/>
        <v>0.58385049185945692</v>
      </c>
      <c r="O7311" s="2">
        <f ca="1"/>
        <v>0.2193897105992299</v>
      </c>
      <c r="X7311" s="2">
        <f ca="1"/>
        <v>28.173933687941442</v>
      </c>
      <c r="AG7311" s="2">
        <f ca="1"/>
        <v>0.52344192576829185</v>
      </c>
      <c r="AH7311" s="2" t="str">
        <f ca="1"/>
        <v>Bad</v>
      </c>
    </row>
    <row r="7312" spans="2:34" x14ac:dyDescent="0.2">
      <c r="B7312" s="2">
        <f ca="1"/>
        <v>0.49317941259466691</v>
      </c>
      <c r="O7312" s="2">
        <f ca="1"/>
        <v>-0.92508938208881297</v>
      </c>
      <c r="X7312" s="2">
        <f ca="1"/>
        <v>51.272794358250607</v>
      </c>
      <c r="AG7312" s="2">
        <f ca="1"/>
        <v>0.25914273067599014</v>
      </c>
      <c r="AH7312" s="2" t="str">
        <f ca="1"/>
        <v>OK</v>
      </c>
    </row>
    <row r="7313" spans="2:34" x14ac:dyDescent="0.2">
      <c r="B7313" s="2">
        <f ca="1"/>
        <v>0.32213808342821149</v>
      </c>
      <c r="O7313" s="2">
        <f ca="1"/>
        <v>-1.2530168844885309E-2</v>
      </c>
      <c r="X7313" s="2">
        <f ca="1"/>
        <v>45.975321234012938</v>
      </c>
      <c r="AG7313" s="2">
        <f ca="1"/>
        <v>5.2762143721526211E-2</v>
      </c>
      <c r="AH7313" s="2" t="str">
        <f ca="1"/>
        <v>OK</v>
      </c>
    </row>
    <row r="7314" spans="2:34" x14ac:dyDescent="0.2">
      <c r="B7314" s="2">
        <f ca="1"/>
        <v>0.36005131188178607</v>
      </c>
      <c r="O7314" s="2">
        <f ca="1"/>
        <v>0.83900818515674724</v>
      </c>
      <c r="X7314" s="2">
        <f ca="1"/>
        <v>56.328723621075795</v>
      </c>
      <c r="AG7314" s="2">
        <f ca="1"/>
        <v>0.97728221382136771</v>
      </c>
      <c r="AH7314" s="2" t="str">
        <f ca="1"/>
        <v>Bad</v>
      </c>
    </row>
    <row r="7315" spans="2:34" x14ac:dyDescent="0.2">
      <c r="B7315" s="2">
        <f ca="1"/>
        <v>0.47524994886910177</v>
      </c>
      <c r="O7315" s="2">
        <f ca="1"/>
        <v>-0.84020983982426234</v>
      </c>
      <c r="X7315" s="2">
        <f ca="1"/>
        <v>54.708280832231196</v>
      </c>
      <c r="AG7315" s="2">
        <f ca="1"/>
        <v>0.73574262900479614</v>
      </c>
      <c r="AH7315" s="2" t="str">
        <f ca="1"/>
        <v>Bad</v>
      </c>
    </row>
    <row r="7316" spans="2:34" x14ac:dyDescent="0.2">
      <c r="B7316" s="2">
        <f ca="1"/>
        <v>4.8906234653450342E-2</v>
      </c>
      <c r="O7316" s="2">
        <f ca="1"/>
        <v>0.54866440533948957</v>
      </c>
      <c r="X7316" s="2">
        <f ca="1"/>
        <v>38.565270802646893</v>
      </c>
      <c r="AG7316" s="2">
        <f ca="1"/>
        <v>0.69429575077838779</v>
      </c>
      <c r="AH7316" s="2" t="str">
        <f ca="1"/>
        <v>Bad</v>
      </c>
    </row>
    <row r="7317" spans="2:34" x14ac:dyDescent="0.2">
      <c r="B7317" s="2">
        <f ca="1"/>
        <v>0.53003517832394187</v>
      </c>
      <c r="O7317" s="2">
        <f ca="1"/>
        <v>-1.0502779637908461</v>
      </c>
      <c r="X7317" s="2">
        <f ca="1"/>
        <v>51.404006944639079</v>
      </c>
      <c r="AG7317" s="2">
        <f ca="1"/>
        <v>0.75442463644147462</v>
      </c>
      <c r="AH7317" s="2" t="str">
        <f ca="1"/>
        <v>Bad</v>
      </c>
    </row>
    <row r="7318" spans="2:34" x14ac:dyDescent="0.2">
      <c r="B7318" s="2">
        <f ca="1"/>
        <v>0.17741641639572392</v>
      </c>
      <c r="O7318" s="2">
        <f ca="1"/>
        <v>9.2262757350344268E-2</v>
      </c>
      <c r="X7318" s="2">
        <f ca="1"/>
        <v>21.285919997861839</v>
      </c>
      <c r="AG7318" s="2">
        <f ca="1"/>
        <v>0.77411702599579013</v>
      </c>
      <c r="AH7318" s="2" t="str">
        <f ca="1"/>
        <v>Bad</v>
      </c>
    </row>
    <row r="7319" spans="2:34" x14ac:dyDescent="0.2">
      <c r="B7319" s="2">
        <f ca="1"/>
        <v>0.9002943892801063</v>
      </c>
      <c r="O7319" s="2">
        <f ca="1"/>
        <v>1.5106761687210819</v>
      </c>
      <c r="X7319" s="2">
        <f ca="1"/>
        <v>26.744179778574807</v>
      </c>
      <c r="AG7319" s="2">
        <f ca="1"/>
        <v>0.31024793628811631</v>
      </c>
      <c r="AH7319" s="2" t="str">
        <f ca="1"/>
        <v>OK</v>
      </c>
    </row>
    <row r="7320" spans="2:34" x14ac:dyDescent="0.2">
      <c r="B7320" s="2">
        <f ca="1"/>
        <v>0.35737831788334451</v>
      </c>
      <c r="O7320" s="2">
        <f ca="1"/>
        <v>1.0385582869770158</v>
      </c>
      <c r="X7320" s="2">
        <f ca="1"/>
        <v>16.224288274687044</v>
      </c>
      <c r="AG7320" s="2">
        <f ca="1"/>
        <v>0.80511228585548511</v>
      </c>
      <c r="AH7320" s="2" t="str">
        <f ca="1"/>
        <v>Bad</v>
      </c>
    </row>
    <row r="7321" spans="2:34" x14ac:dyDescent="0.2">
      <c r="B7321" s="2">
        <f ca="1"/>
        <v>0.9958716492343811</v>
      </c>
      <c r="O7321" s="2">
        <f ca="1"/>
        <v>0.21132227595682063</v>
      </c>
      <c r="X7321" s="2">
        <f ca="1"/>
        <v>24.287749105736999</v>
      </c>
      <c r="AG7321" s="2">
        <f ca="1"/>
        <v>0.89407170508510037</v>
      </c>
      <c r="AH7321" s="2" t="str">
        <f ca="1"/>
        <v>Bad</v>
      </c>
    </row>
    <row r="7322" spans="2:34" x14ac:dyDescent="0.2">
      <c r="B7322" s="2">
        <f ca="1"/>
        <v>0.50671077884481441</v>
      </c>
      <c r="O7322" s="2">
        <f ca="1"/>
        <v>7.8117764683037869E-2</v>
      </c>
      <c r="X7322" s="2">
        <f ca="1"/>
        <v>48.928041844984008</v>
      </c>
      <c r="AG7322" s="2">
        <f ca="1"/>
        <v>0.48094461256291887</v>
      </c>
      <c r="AH7322" s="2" t="str">
        <f ca="1"/>
        <v>Bad</v>
      </c>
    </row>
    <row r="7323" spans="2:34" x14ac:dyDescent="0.2">
      <c r="B7323" s="2">
        <f ca="1"/>
        <v>0.11534922647753398</v>
      </c>
      <c r="O7323" s="2">
        <f ca="1"/>
        <v>0.4072496335612682</v>
      </c>
      <c r="X7323" s="2">
        <f ca="1"/>
        <v>45.889315189779239</v>
      </c>
      <c r="AG7323" s="2">
        <f ca="1"/>
        <v>0.32117912792545433</v>
      </c>
      <c r="AH7323" s="2" t="str">
        <f ca="1"/>
        <v>OK</v>
      </c>
    </row>
    <row r="7324" spans="2:34" x14ac:dyDescent="0.2">
      <c r="B7324" s="2">
        <f ca="1"/>
        <v>0.38869095514532193</v>
      </c>
      <c r="O7324" s="2">
        <f ca="1"/>
        <v>-0.32525428555600761</v>
      </c>
      <c r="X7324" s="2">
        <f ca="1"/>
        <v>51.022469920283662</v>
      </c>
      <c r="AG7324" s="2">
        <f ca="1"/>
        <v>5.8586640274634227E-2</v>
      </c>
      <c r="AH7324" s="2" t="str">
        <f ca="1"/>
        <v>OK</v>
      </c>
    </row>
    <row r="7325" spans="2:34" x14ac:dyDescent="0.2">
      <c r="B7325" s="2">
        <f ca="1"/>
        <v>0.45972807831068518</v>
      </c>
      <c r="O7325" s="2">
        <f ca="1"/>
        <v>-0.63440136226125432</v>
      </c>
      <c r="X7325" s="2">
        <f ca="1"/>
        <v>89.097803414963039</v>
      </c>
      <c r="AG7325" s="2">
        <f ca="1"/>
        <v>0.12591684679220627</v>
      </c>
      <c r="AH7325" s="2" t="str">
        <f ca="1"/>
        <v>OK</v>
      </c>
    </row>
    <row r="7326" spans="2:34" x14ac:dyDescent="0.2">
      <c r="B7326" s="2">
        <f ca="1"/>
        <v>0.9355878360570995</v>
      </c>
      <c r="O7326" s="2">
        <f ca="1"/>
        <v>-0.91405565530240784</v>
      </c>
      <c r="X7326" s="2">
        <f ca="1"/>
        <v>52.134271953397963</v>
      </c>
      <c r="AG7326" s="2">
        <f ca="1"/>
        <v>0.6213522774261071</v>
      </c>
      <c r="AH7326" s="2" t="str">
        <f ca="1"/>
        <v>Bad</v>
      </c>
    </row>
    <row r="7327" spans="2:34" x14ac:dyDescent="0.2">
      <c r="B7327" s="2">
        <f ca="1"/>
        <v>0.14071960213074308</v>
      </c>
      <c r="O7327" s="2">
        <f ca="1"/>
        <v>-1.136497390378747</v>
      </c>
      <c r="X7327" s="2">
        <f ca="1"/>
        <v>54.304111484256701</v>
      </c>
      <c r="AG7327" s="2">
        <f ca="1"/>
        <v>0.92393560218077697</v>
      </c>
      <c r="AH7327" s="2" t="str">
        <f ca="1"/>
        <v>Bad</v>
      </c>
    </row>
    <row r="7328" spans="2:34" x14ac:dyDescent="0.2">
      <c r="B7328" s="2">
        <f ca="1"/>
        <v>0.6993196072923904</v>
      </c>
      <c r="O7328" s="2">
        <f ca="1"/>
        <v>-0.31008470200356902</v>
      </c>
      <c r="X7328" s="2">
        <f ca="1"/>
        <v>72.925324560245443</v>
      </c>
      <c r="AG7328" s="2">
        <f ca="1"/>
        <v>0.8192475639559913</v>
      </c>
      <c r="AH7328" s="2" t="str">
        <f ca="1"/>
        <v>Bad</v>
      </c>
    </row>
    <row r="7329" spans="2:34" x14ac:dyDescent="0.2">
      <c r="B7329" s="2">
        <f ca="1"/>
        <v>8.313317988073643E-2</v>
      </c>
      <c r="O7329" s="2">
        <f ca="1"/>
        <v>-1.7558315173596288</v>
      </c>
      <c r="X7329" s="2">
        <f ca="1"/>
        <v>19.929236069715536</v>
      </c>
      <c r="AG7329" s="2">
        <f ca="1"/>
        <v>0.42918383815897321</v>
      </c>
      <c r="AH7329" s="2" t="str">
        <f ca="1"/>
        <v>Bad</v>
      </c>
    </row>
    <row r="7330" spans="2:34" x14ac:dyDescent="0.2">
      <c r="B7330" s="2">
        <f ca="1"/>
        <v>0.7034259915361718</v>
      </c>
      <c r="O7330" s="2">
        <f ca="1"/>
        <v>-0.1762073066276264</v>
      </c>
      <c r="X7330" s="2">
        <f ca="1"/>
        <v>26.16460632057024</v>
      </c>
      <c r="AG7330" s="2">
        <f ca="1"/>
        <v>0.82931814515711766</v>
      </c>
      <c r="AH7330" s="2" t="str">
        <f ca="1"/>
        <v>Bad</v>
      </c>
    </row>
    <row r="7331" spans="2:34" x14ac:dyDescent="0.2">
      <c r="B7331" s="2">
        <f ca="1"/>
        <v>0.85282938471052794</v>
      </c>
      <c r="O7331" s="2">
        <f ca="1"/>
        <v>-1.3353506534705017</v>
      </c>
      <c r="X7331" s="2">
        <f ca="1"/>
        <v>36.536423340562656</v>
      </c>
      <c r="AG7331" s="2">
        <f ca="1"/>
        <v>0.43423437371781448</v>
      </c>
      <c r="AH7331" s="2" t="str">
        <f ca="1"/>
        <v>Bad</v>
      </c>
    </row>
    <row r="7332" spans="2:34" x14ac:dyDescent="0.2">
      <c r="B7332" s="2">
        <f ca="1"/>
        <v>0.36286460951252764</v>
      </c>
      <c r="O7332" s="2">
        <f ca="1"/>
        <v>-1.2932027044987087E-2</v>
      </c>
      <c r="X7332" s="2">
        <f ca="1"/>
        <v>36.748032381429766</v>
      </c>
      <c r="AG7332" s="2">
        <f ca="1"/>
        <v>0.82734660845704666</v>
      </c>
      <c r="AH7332" s="2" t="str">
        <f ca="1"/>
        <v>Bad</v>
      </c>
    </row>
    <row r="7333" spans="2:34" x14ac:dyDescent="0.2">
      <c r="B7333" s="2">
        <f ca="1"/>
        <v>0.99168294184296268</v>
      </c>
      <c r="O7333" s="2">
        <f ca="1"/>
        <v>-1.2810369143974814</v>
      </c>
      <c r="X7333" s="2">
        <f ca="1"/>
        <v>71.950592835373158</v>
      </c>
      <c r="AG7333" s="2">
        <f ca="1"/>
        <v>0.31056730245223818</v>
      </c>
      <c r="AH7333" s="2" t="str">
        <f ca="1"/>
        <v>OK</v>
      </c>
    </row>
    <row r="7334" spans="2:34" x14ac:dyDescent="0.2">
      <c r="B7334" s="2">
        <f ca="1"/>
        <v>0.82948175364045529</v>
      </c>
      <c r="O7334" s="2">
        <f ca="1"/>
        <v>2.2680379119058607E-2</v>
      </c>
      <c r="X7334" s="2">
        <f ca="1"/>
        <v>58.331080378799065</v>
      </c>
      <c r="AG7334" s="2">
        <f ca="1"/>
        <v>0.26366593529306726</v>
      </c>
      <c r="AH7334" s="2" t="str">
        <f ca="1"/>
        <v>OK</v>
      </c>
    </row>
    <row r="7335" spans="2:34" x14ac:dyDescent="0.2">
      <c r="B7335" s="2">
        <f ca="1"/>
        <v>0.95132152584574725</v>
      </c>
      <c r="O7335" s="2">
        <f ca="1"/>
        <v>1.0330821023045191</v>
      </c>
      <c r="X7335" s="2">
        <f ca="1"/>
        <v>56.244648353055311</v>
      </c>
      <c r="AG7335" s="2">
        <f ca="1"/>
        <v>0.80543669675234697</v>
      </c>
      <c r="AH7335" s="2" t="str">
        <f ca="1"/>
        <v>Bad</v>
      </c>
    </row>
    <row r="7336" spans="2:34" x14ac:dyDescent="0.2">
      <c r="B7336" s="2">
        <f ca="1"/>
        <v>0.34208007151227005</v>
      </c>
      <c r="O7336" s="2">
        <f ca="1"/>
        <v>1.0381027990066229</v>
      </c>
      <c r="X7336" s="2">
        <f ca="1"/>
        <v>53.293746695174789</v>
      </c>
      <c r="AG7336" s="2">
        <f ca="1"/>
        <v>0.30348412345602571</v>
      </c>
      <c r="AH7336" s="2" t="str">
        <f ca="1"/>
        <v>OK</v>
      </c>
    </row>
    <row r="7337" spans="2:34" x14ac:dyDescent="0.2">
      <c r="B7337" s="2">
        <f ca="1"/>
        <v>0.62896160619266661</v>
      </c>
      <c r="O7337" s="2">
        <f ca="1"/>
        <v>-6.905611850221334E-2</v>
      </c>
      <c r="X7337" s="2">
        <f ca="1"/>
        <v>38.866023125234108</v>
      </c>
      <c r="AG7337" s="2">
        <f ca="1"/>
        <v>0.9815468512008656</v>
      </c>
      <c r="AH7337" s="2" t="str">
        <f ca="1"/>
        <v>Bad</v>
      </c>
    </row>
    <row r="7338" spans="2:34" x14ac:dyDescent="0.2">
      <c r="B7338" s="2">
        <f ca="1"/>
        <v>0.19129376212513871</v>
      </c>
      <c r="O7338" s="2">
        <f ca="1"/>
        <v>1.207981136708369</v>
      </c>
      <c r="X7338" s="2">
        <f ca="1"/>
        <v>46.781339053549367</v>
      </c>
      <c r="AG7338" s="2">
        <f ca="1"/>
        <v>0.36784620244321209</v>
      </c>
      <c r="AH7338" s="2" t="str">
        <f ca="1"/>
        <v>OK</v>
      </c>
    </row>
    <row r="7339" spans="2:34" x14ac:dyDescent="0.2">
      <c r="B7339" s="2">
        <f ca="1"/>
        <v>0.19561204126064147</v>
      </c>
      <c r="O7339" s="2">
        <f ca="1"/>
        <v>0.14878620838473605</v>
      </c>
      <c r="X7339" s="2">
        <f ca="1"/>
        <v>42.106367896302757</v>
      </c>
      <c r="AG7339" s="2">
        <f ca="1"/>
        <v>0.12062887924085408</v>
      </c>
      <c r="AH7339" s="2" t="str">
        <f ca="1"/>
        <v>OK</v>
      </c>
    </row>
    <row r="7340" spans="2:34" x14ac:dyDescent="0.2">
      <c r="B7340" s="2">
        <f ca="1"/>
        <v>4.1032815575250181E-2</v>
      </c>
      <c r="O7340" s="2">
        <f ca="1"/>
        <v>-1.9440047822443043</v>
      </c>
      <c r="X7340" s="2">
        <f ca="1"/>
        <v>55.927689485108829</v>
      </c>
      <c r="AG7340" s="2">
        <f ca="1"/>
        <v>0.10091244131834332</v>
      </c>
      <c r="AH7340" s="2" t="str">
        <f ca="1"/>
        <v>OK</v>
      </c>
    </row>
    <row r="7341" spans="2:34" x14ac:dyDescent="0.2">
      <c r="B7341" s="2">
        <f ca="1"/>
        <v>0.36738552727860485</v>
      </c>
      <c r="O7341" s="2">
        <f ca="1"/>
        <v>0.47250264785693152</v>
      </c>
      <c r="X7341" s="2">
        <f ca="1"/>
        <v>72.372176006404743</v>
      </c>
      <c r="AG7341" s="2">
        <f ca="1"/>
        <v>0.95531761846040575</v>
      </c>
      <c r="AH7341" s="2" t="str">
        <f ca="1"/>
        <v>Bad</v>
      </c>
    </row>
    <row r="7342" spans="2:34" x14ac:dyDescent="0.2">
      <c r="B7342" s="2">
        <f ca="1"/>
        <v>0.98863789911880384</v>
      </c>
      <c r="O7342" s="2">
        <f ca="1"/>
        <v>-2.2649720885030346E-2</v>
      </c>
      <c r="X7342" s="2">
        <f ca="1"/>
        <v>73.217720741145229</v>
      </c>
      <c r="AG7342" s="2">
        <f ca="1"/>
        <v>0.50203623794223473</v>
      </c>
      <c r="AH7342" s="2" t="str">
        <f ca="1"/>
        <v>Bad</v>
      </c>
    </row>
    <row r="7343" spans="2:34" x14ac:dyDescent="0.2">
      <c r="B7343" s="2">
        <f ca="1"/>
        <v>0.5670377912004565</v>
      </c>
      <c r="O7343" s="2">
        <f ca="1"/>
        <v>-0.6688375554420426</v>
      </c>
      <c r="X7343" s="2">
        <f ca="1"/>
        <v>63.919235782824202</v>
      </c>
      <c r="AG7343" s="2">
        <f ca="1"/>
        <v>0.35307272551001656</v>
      </c>
      <c r="AH7343" s="2" t="str">
        <f ca="1"/>
        <v>OK</v>
      </c>
    </row>
    <row r="7344" spans="2:34" x14ac:dyDescent="0.2">
      <c r="B7344" s="2">
        <f ca="1"/>
        <v>6.9118150025458069E-2</v>
      </c>
      <c r="O7344" s="2">
        <f ca="1"/>
        <v>0.62170939485832655</v>
      </c>
      <c r="X7344" s="2">
        <f ca="1"/>
        <v>45.841341989565862</v>
      </c>
      <c r="AG7344" s="2">
        <f ca="1"/>
        <v>0.95187535998919981</v>
      </c>
      <c r="AH7344" s="2" t="str">
        <f ca="1"/>
        <v>Bad</v>
      </c>
    </row>
    <row r="7345" spans="2:34" x14ac:dyDescent="0.2">
      <c r="B7345" s="2">
        <f ca="1"/>
        <v>0.21910580016988224</v>
      </c>
      <c r="O7345" s="2">
        <f ca="1"/>
        <v>0.31253299769296866</v>
      </c>
      <c r="X7345" s="2">
        <f ca="1"/>
        <v>68.34985747277824</v>
      </c>
      <c r="AG7345" s="2">
        <f ca="1"/>
        <v>0.40808601924554111</v>
      </c>
      <c r="AH7345" s="2" t="str">
        <f ca="1"/>
        <v>Bad</v>
      </c>
    </row>
    <row r="7346" spans="2:34" x14ac:dyDescent="0.2">
      <c r="B7346" s="2">
        <f ca="1"/>
        <v>0.79862360528391818</v>
      </c>
      <c r="O7346" s="2">
        <f ca="1"/>
        <v>0.53905365022266227</v>
      </c>
      <c r="X7346" s="2">
        <f ca="1"/>
        <v>69.260059181875008</v>
      </c>
      <c r="AG7346" s="2">
        <f ca="1"/>
        <v>0.14288812283606389</v>
      </c>
      <c r="AH7346" s="2" t="str">
        <f ca="1"/>
        <v>OK</v>
      </c>
    </row>
    <row r="7347" spans="2:34" x14ac:dyDescent="0.2">
      <c r="B7347" s="2">
        <f ca="1"/>
        <v>0.79387033377610972</v>
      </c>
      <c r="O7347" s="2">
        <f ca="1"/>
        <v>-0.45248385243367822</v>
      </c>
      <c r="X7347" s="2">
        <f ca="1"/>
        <v>85.785654735625471</v>
      </c>
      <c r="AG7347" s="2">
        <f ca="1"/>
        <v>0.39077247293900474</v>
      </c>
      <c r="AH7347" s="2" t="str">
        <f ca="1"/>
        <v>OK</v>
      </c>
    </row>
    <row r="7348" spans="2:34" x14ac:dyDescent="0.2">
      <c r="B7348" s="2">
        <f ca="1"/>
        <v>0.20551651998796916</v>
      </c>
      <c r="O7348" s="2">
        <f ca="1"/>
        <v>1.1848817529359419</v>
      </c>
      <c r="X7348" s="2">
        <f ca="1"/>
        <v>48.290003083884827</v>
      </c>
      <c r="AG7348" s="2">
        <f ca="1"/>
        <v>0.69483347606876711</v>
      </c>
      <c r="AH7348" s="2" t="str">
        <f ca="1"/>
        <v>Bad</v>
      </c>
    </row>
    <row r="7349" spans="2:34" x14ac:dyDescent="0.2">
      <c r="B7349" s="2">
        <f ca="1"/>
        <v>0.76362707197650614</v>
      </c>
      <c r="O7349" s="2">
        <f ca="1"/>
        <v>2.3978942675581383</v>
      </c>
      <c r="X7349" s="2">
        <f ca="1"/>
        <v>30.55949712537986</v>
      </c>
      <c r="AG7349" s="2">
        <f ca="1"/>
        <v>0.83462998116944243</v>
      </c>
      <c r="AH7349" s="2" t="str">
        <f ca="1"/>
        <v>Bad</v>
      </c>
    </row>
    <row r="7350" spans="2:34" x14ac:dyDescent="0.2">
      <c r="B7350" s="2">
        <f ca="1"/>
        <v>0.48136712347279098</v>
      </c>
      <c r="O7350" s="2">
        <f ca="1"/>
        <v>-0.29094653333798209</v>
      </c>
      <c r="X7350" s="2">
        <f ca="1"/>
        <v>45.38263160568161</v>
      </c>
      <c r="AG7350" s="2">
        <f ca="1"/>
        <v>0.77394495893668047</v>
      </c>
      <c r="AH7350" s="2" t="str">
        <f ca="1"/>
        <v>Bad</v>
      </c>
    </row>
    <row r="7351" spans="2:34" x14ac:dyDescent="0.2">
      <c r="B7351" s="2">
        <f ca="1"/>
        <v>0.4039062628192911</v>
      </c>
      <c r="O7351" s="2">
        <f ca="1"/>
        <v>0.38427894135872076</v>
      </c>
      <c r="X7351" s="2">
        <f ca="1"/>
        <v>51.771543880101653</v>
      </c>
      <c r="AG7351" s="2">
        <f ca="1"/>
        <v>0.58293564391391284</v>
      </c>
      <c r="AH7351" s="2" t="str">
        <f ca="1"/>
        <v>Bad</v>
      </c>
    </row>
    <row r="7352" spans="2:34" x14ac:dyDescent="0.2">
      <c r="B7352" s="2">
        <f ca="1"/>
        <v>0.15115852174611955</v>
      </c>
      <c r="O7352" s="2">
        <f ca="1"/>
        <v>-0.20493309998917306</v>
      </c>
      <c r="X7352" s="2">
        <f ca="1"/>
        <v>52.790179632187446</v>
      </c>
      <c r="AG7352" s="2">
        <f ca="1"/>
        <v>0.27040331232828718</v>
      </c>
      <c r="AH7352" s="2" t="str">
        <f ca="1"/>
        <v>OK</v>
      </c>
    </row>
    <row r="7353" spans="2:34" x14ac:dyDescent="0.2">
      <c r="B7353" s="2">
        <f ca="1"/>
        <v>0.20913602761515193</v>
      </c>
      <c r="O7353" s="2">
        <f ca="1"/>
        <v>-0.64715518184447673</v>
      </c>
      <c r="X7353" s="2">
        <f ca="1"/>
        <v>41.871182248427516</v>
      </c>
      <c r="AG7353" s="2">
        <f ca="1"/>
        <v>0.44898724804360768</v>
      </c>
      <c r="AH7353" s="2" t="str">
        <f ca="1"/>
        <v>Bad</v>
      </c>
    </row>
    <row r="7354" spans="2:34" x14ac:dyDescent="0.2">
      <c r="B7354" s="2">
        <f ca="1"/>
        <v>0.71557094818753408</v>
      </c>
      <c r="O7354" s="2">
        <f ca="1"/>
        <v>-1.3531979110426196</v>
      </c>
      <c r="X7354" s="2">
        <f ca="1"/>
        <v>80.190418896265811</v>
      </c>
      <c r="AG7354" s="2">
        <f ca="1"/>
        <v>0.47477313597680149</v>
      </c>
      <c r="AH7354" s="2" t="str">
        <f ca="1"/>
        <v>Bad</v>
      </c>
    </row>
    <row r="7355" spans="2:34" x14ac:dyDescent="0.2">
      <c r="B7355" s="2">
        <f ca="1"/>
        <v>0.18098093499684365</v>
      </c>
      <c r="O7355" s="2">
        <f ca="1"/>
        <v>-0.26023146007492298</v>
      </c>
      <c r="X7355" s="2">
        <f ca="1"/>
        <v>49.222951724280534</v>
      </c>
      <c r="AG7355" s="2">
        <f ca="1"/>
        <v>0.20137912980246453</v>
      </c>
      <c r="AH7355" s="2" t="str">
        <f ca="1"/>
        <v>OK</v>
      </c>
    </row>
    <row r="7356" spans="2:34" x14ac:dyDescent="0.2">
      <c r="B7356" s="2">
        <f ca="1"/>
        <v>0.34857709683992932</v>
      </c>
      <c r="O7356" s="2">
        <f ca="1"/>
        <v>-5.8844135957809483E-2</v>
      </c>
      <c r="X7356" s="2">
        <f ca="1"/>
        <v>59.132402209954343</v>
      </c>
      <c r="AG7356" s="2">
        <f ca="1"/>
        <v>0.98762127626489349</v>
      </c>
      <c r="AH7356" s="2" t="str">
        <f ca="1"/>
        <v>Bad</v>
      </c>
    </row>
    <row r="7357" spans="2:34" x14ac:dyDescent="0.2">
      <c r="B7357" s="2">
        <f ca="1"/>
        <v>0.42890980935972234</v>
      </c>
      <c r="O7357" s="2">
        <f ca="1"/>
        <v>-0.70384617025497409</v>
      </c>
      <c r="X7357" s="2">
        <f ca="1"/>
        <v>58.890058318572748</v>
      </c>
      <c r="AG7357" s="2">
        <f ca="1"/>
        <v>1.9452636205294249E-2</v>
      </c>
      <c r="AH7357" s="2" t="str">
        <f ca="1"/>
        <v>Good</v>
      </c>
    </row>
    <row r="7358" spans="2:34" x14ac:dyDescent="0.2">
      <c r="B7358" s="2">
        <f ca="1"/>
        <v>0.75057373801428495</v>
      </c>
      <c r="O7358" s="2">
        <f ca="1"/>
        <v>0.73683254176127633</v>
      </c>
      <c r="X7358" s="2">
        <f ca="1"/>
        <v>66.953166371378302</v>
      </c>
      <c r="AG7358" s="2">
        <f ca="1"/>
        <v>9.0358258102031463E-2</v>
      </c>
      <c r="AH7358" s="2" t="str">
        <f ca="1"/>
        <v>OK</v>
      </c>
    </row>
    <row r="7359" spans="2:34" x14ac:dyDescent="0.2">
      <c r="B7359" s="2">
        <f ca="1"/>
        <v>0.3208528068018337</v>
      </c>
      <c r="O7359" s="2">
        <f ca="1"/>
        <v>1.3845919071255819</v>
      </c>
      <c r="X7359" s="2">
        <f ca="1"/>
        <v>45.97977930546611</v>
      </c>
      <c r="AG7359" s="2">
        <f ca="1"/>
        <v>0.85599864976229156</v>
      </c>
      <c r="AH7359" s="2" t="str">
        <f ca="1"/>
        <v>Bad</v>
      </c>
    </row>
    <row r="7360" spans="2:34" x14ac:dyDescent="0.2">
      <c r="B7360" s="2">
        <f ca="1"/>
        <v>0.74970315559161582</v>
      </c>
      <c r="O7360" s="2">
        <f ca="1"/>
        <v>8.1520077508968336E-2</v>
      </c>
      <c r="X7360" s="2">
        <f ca="1"/>
        <v>36.379945744318469</v>
      </c>
      <c r="AG7360" s="2">
        <f ca="1"/>
        <v>0.93756569525768962</v>
      </c>
      <c r="AH7360" s="2" t="str">
        <f ca="1"/>
        <v>Bad</v>
      </c>
    </row>
    <row r="7361" spans="2:34" x14ac:dyDescent="0.2">
      <c r="B7361" s="2">
        <f ca="1"/>
        <v>0.5336846845163592</v>
      </c>
      <c r="O7361" s="2">
        <f ca="1"/>
        <v>0.29936514348521814</v>
      </c>
      <c r="X7361" s="2">
        <f ca="1"/>
        <v>50.107750368811985</v>
      </c>
      <c r="AG7361" s="2">
        <f ca="1"/>
        <v>0.39729463713825197</v>
      </c>
      <c r="AH7361" s="2" t="str">
        <f ca="1"/>
        <v>OK</v>
      </c>
    </row>
    <row r="7362" spans="2:34" x14ac:dyDescent="0.2">
      <c r="B7362" s="2">
        <f ca="1"/>
        <v>0.25602780422381133</v>
      </c>
      <c r="O7362" s="2">
        <f ca="1"/>
        <v>0.91350337621896782</v>
      </c>
      <c r="X7362" s="2">
        <f ca="1"/>
        <v>55.409936082647484</v>
      </c>
      <c r="AG7362" s="2">
        <f ca="1"/>
        <v>0.98858915827542471</v>
      </c>
      <c r="AH7362" s="2" t="str">
        <f ca="1"/>
        <v>Bad</v>
      </c>
    </row>
    <row r="7363" spans="2:34" x14ac:dyDescent="0.2">
      <c r="B7363" s="2">
        <f ca="1"/>
        <v>2.3145718332168608E-2</v>
      </c>
      <c r="O7363" s="2">
        <f ca="1"/>
        <v>1.8655140806332104</v>
      </c>
      <c r="X7363" s="2">
        <f ca="1"/>
        <v>28.392954197479717</v>
      </c>
      <c r="AG7363" s="2">
        <f ca="1"/>
        <v>0.69136571063684182</v>
      </c>
      <c r="AH7363" s="2" t="str">
        <f ca="1"/>
        <v>Bad</v>
      </c>
    </row>
    <row r="7364" spans="2:34" x14ac:dyDescent="0.2">
      <c r="B7364" s="2">
        <f ca="1"/>
        <v>0.73477466888677179</v>
      </c>
      <c r="O7364" s="2">
        <f ca="1"/>
        <v>-0.94847553479578617</v>
      </c>
      <c r="X7364" s="2">
        <f ca="1"/>
        <v>52.352647352875501</v>
      </c>
      <c r="AG7364" s="2">
        <f ca="1"/>
        <v>0.23134102307694793</v>
      </c>
      <c r="AH7364" s="2" t="str">
        <f ca="1"/>
        <v>OK</v>
      </c>
    </row>
    <row r="7365" spans="2:34" x14ac:dyDescent="0.2">
      <c r="B7365" s="2">
        <f ca="1"/>
        <v>0.91003156441126154</v>
      </c>
      <c r="O7365" s="2">
        <f ca="1"/>
        <v>0.88699348989425741</v>
      </c>
      <c r="X7365" s="2">
        <f ca="1"/>
        <v>41.811277850781252</v>
      </c>
      <c r="AG7365" s="2">
        <f ca="1"/>
        <v>0.6391924374922533</v>
      </c>
      <c r="AH7365" s="2" t="str">
        <f ca="1"/>
        <v>Bad</v>
      </c>
    </row>
    <row r="7366" spans="2:34" x14ac:dyDescent="0.2">
      <c r="B7366" s="2">
        <f ca="1"/>
        <v>0.86446705865586249</v>
      </c>
      <c r="O7366" s="2">
        <f ca="1"/>
        <v>-0.43223152514427965</v>
      </c>
      <c r="X7366" s="2">
        <f ca="1"/>
        <v>52.094987896549362</v>
      </c>
      <c r="AG7366" s="2">
        <f ca="1"/>
        <v>0.32406085833579068</v>
      </c>
      <c r="AH7366" s="2" t="str">
        <f ca="1"/>
        <v>OK</v>
      </c>
    </row>
    <row r="7367" spans="2:34" x14ac:dyDescent="0.2">
      <c r="B7367" s="2">
        <f ca="1"/>
        <v>0.36774806952404071</v>
      </c>
      <c r="O7367" s="2">
        <f ca="1"/>
        <v>1.3613183597155381</v>
      </c>
      <c r="X7367" s="2">
        <f ca="1"/>
        <v>65.605539718525876</v>
      </c>
      <c r="AG7367" s="2">
        <f ca="1"/>
        <v>0.94261815262046467</v>
      </c>
      <c r="AH7367" s="2" t="str">
        <f ca="1"/>
        <v>Bad</v>
      </c>
    </row>
    <row r="7368" spans="2:34" x14ac:dyDescent="0.2">
      <c r="B7368" s="2">
        <f ca="1"/>
        <v>0.58269220204279493</v>
      </c>
      <c r="O7368" s="2">
        <f ca="1"/>
        <v>-0.48638847558781134</v>
      </c>
      <c r="X7368" s="2">
        <f ca="1"/>
        <v>57.773196622392192</v>
      </c>
      <c r="AG7368" s="2">
        <f ca="1"/>
        <v>0.68328239326587648</v>
      </c>
      <c r="AH7368" s="2" t="str">
        <f ca="1"/>
        <v>Bad</v>
      </c>
    </row>
    <row r="7369" spans="2:34" x14ac:dyDescent="0.2">
      <c r="B7369" s="2">
        <f ca="1"/>
        <v>0.88947988562957603</v>
      </c>
      <c r="O7369" s="2">
        <f ca="1"/>
        <v>-1.1876914315542924</v>
      </c>
      <c r="X7369" s="2">
        <f ca="1"/>
        <v>60.912047722301999</v>
      </c>
      <c r="AG7369" s="2">
        <f ca="1"/>
        <v>0.44599879944072929</v>
      </c>
      <c r="AH7369" s="2" t="str">
        <f ca="1"/>
        <v>Bad</v>
      </c>
    </row>
    <row r="7370" spans="2:34" x14ac:dyDescent="0.2">
      <c r="B7370" s="2">
        <f ca="1"/>
        <v>0.96414838885209919</v>
      </c>
      <c r="O7370" s="2">
        <f ca="1"/>
        <v>0.19801060993780387</v>
      </c>
      <c r="X7370" s="2">
        <f ca="1"/>
        <v>37.855016850121956</v>
      </c>
      <c r="AG7370" s="2">
        <f ca="1"/>
        <v>3.2055324113858585E-2</v>
      </c>
      <c r="AH7370" s="2" t="str">
        <f ca="1"/>
        <v>Good</v>
      </c>
    </row>
    <row r="7371" spans="2:34" x14ac:dyDescent="0.2">
      <c r="B7371" s="2">
        <f ca="1"/>
        <v>0.50592981624275568</v>
      </c>
      <c r="O7371" s="2">
        <f ca="1"/>
        <v>0.83605566466983039</v>
      </c>
      <c r="X7371" s="2">
        <f ca="1"/>
        <v>40.253090428234344</v>
      </c>
      <c r="AG7371" s="2">
        <f ca="1"/>
        <v>0.76527820069815067</v>
      </c>
      <c r="AH7371" s="2" t="str">
        <f ca="1"/>
        <v>Bad</v>
      </c>
    </row>
    <row r="7372" spans="2:34" x14ac:dyDescent="0.2">
      <c r="B7372" s="2">
        <f ca="1"/>
        <v>6.5220821626399861E-2</v>
      </c>
      <c r="O7372" s="2">
        <f ca="1"/>
        <v>-0.80029545724347562</v>
      </c>
      <c r="X7372" s="2">
        <f ca="1"/>
        <v>44.676288413269035</v>
      </c>
      <c r="AG7372" s="2">
        <f ca="1"/>
        <v>0.94722952446936581</v>
      </c>
      <c r="AH7372" s="2" t="str">
        <f ca="1"/>
        <v>Bad</v>
      </c>
    </row>
    <row r="7373" spans="2:34" x14ac:dyDescent="0.2">
      <c r="B7373" s="2">
        <f ca="1"/>
        <v>0.74481606107462728</v>
      </c>
      <c r="O7373" s="2">
        <f ca="1"/>
        <v>-2.828622639840777</v>
      </c>
      <c r="X7373" s="2">
        <f ca="1"/>
        <v>84.817025206151499</v>
      </c>
      <c r="AG7373" s="2">
        <f ca="1"/>
        <v>0.29937914575441948</v>
      </c>
      <c r="AH7373" s="2" t="str">
        <f ca="1"/>
        <v>OK</v>
      </c>
    </row>
    <row r="7374" spans="2:34" x14ac:dyDescent="0.2">
      <c r="B7374" s="2">
        <f ca="1"/>
        <v>0.24875027346836176</v>
      </c>
      <c r="O7374" s="2">
        <f ca="1"/>
        <v>0.71570696471290285</v>
      </c>
      <c r="X7374" s="2">
        <f ca="1"/>
        <v>47.674905250285718</v>
      </c>
      <c r="AG7374" s="2">
        <f ca="1"/>
        <v>0.43621648468033003</v>
      </c>
      <c r="AH7374" s="2" t="str">
        <f ca="1"/>
        <v>Bad</v>
      </c>
    </row>
    <row r="7375" spans="2:34" x14ac:dyDescent="0.2">
      <c r="B7375" s="2">
        <f ca="1"/>
        <v>0.3074569544432697</v>
      </c>
      <c r="O7375" s="2">
        <f ca="1"/>
        <v>0.24306264501732217</v>
      </c>
      <c r="X7375" s="2">
        <f ca="1"/>
        <v>80.732432134581771</v>
      </c>
      <c r="AG7375" s="2">
        <f ca="1"/>
        <v>0.36606095034930064</v>
      </c>
      <c r="AH7375" s="2" t="str">
        <f ca="1"/>
        <v>OK</v>
      </c>
    </row>
    <row r="7376" spans="2:34" x14ac:dyDescent="0.2">
      <c r="B7376" s="2">
        <f ca="1"/>
        <v>0.49488547027157193</v>
      </c>
      <c r="O7376" s="2">
        <f ca="1"/>
        <v>0.70806612076242414</v>
      </c>
      <c r="X7376" s="2">
        <f ca="1"/>
        <v>40.617314955814187</v>
      </c>
      <c r="AG7376" s="2">
        <f ca="1"/>
        <v>0.54168104107619697</v>
      </c>
      <c r="AH7376" s="2" t="str">
        <f ca="1"/>
        <v>Bad</v>
      </c>
    </row>
    <row r="7377" spans="2:34" x14ac:dyDescent="0.2">
      <c r="B7377" s="2">
        <f ca="1"/>
        <v>0.87558714402026516</v>
      </c>
      <c r="O7377" s="2">
        <f ca="1"/>
        <v>-0.39013884836155305</v>
      </c>
      <c r="X7377" s="2">
        <f ca="1"/>
        <v>46.736417726265664</v>
      </c>
      <c r="AG7377" s="2">
        <f ca="1"/>
        <v>0.98286903119863367</v>
      </c>
      <c r="AH7377" s="2" t="str">
        <f ca="1"/>
        <v>Bad</v>
      </c>
    </row>
    <row r="7378" spans="2:34" x14ac:dyDescent="0.2">
      <c r="B7378" s="2">
        <f ca="1"/>
        <v>0.36033703138195006</v>
      </c>
      <c r="O7378" s="2">
        <f ca="1"/>
        <v>2.0141926974554272</v>
      </c>
      <c r="X7378" s="2">
        <f ca="1"/>
        <v>51.722386056828391</v>
      </c>
      <c r="AG7378" s="2">
        <f ca="1"/>
        <v>0.90597934203334285</v>
      </c>
      <c r="AH7378" s="2" t="str">
        <f ca="1"/>
        <v>Bad</v>
      </c>
    </row>
    <row r="7379" spans="2:34" x14ac:dyDescent="0.2">
      <c r="B7379" s="2">
        <f ca="1"/>
        <v>0.98364050617305532</v>
      </c>
      <c r="O7379" s="2">
        <f ca="1"/>
        <v>-0.16890776610535832</v>
      </c>
      <c r="X7379" s="2">
        <f ca="1"/>
        <v>78.336525527460864</v>
      </c>
      <c r="AG7379" s="2">
        <f ca="1"/>
        <v>0.42446287557307816</v>
      </c>
      <c r="AH7379" s="2" t="str">
        <f ca="1"/>
        <v>Bad</v>
      </c>
    </row>
    <row r="7380" spans="2:34" x14ac:dyDescent="0.2">
      <c r="B7380" s="2">
        <f ca="1"/>
        <v>0.85981906537530683</v>
      </c>
      <c r="O7380" s="2">
        <f ca="1"/>
        <v>-3.6864057875782695E-2</v>
      </c>
      <c r="X7380" s="2">
        <f ca="1"/>
        <v>67.963610504029234</v>
      </c>
      <c r="AG7380" s="2">
        <f ca="1"/>
        <v>0.86525003589802529</v>
      </c>
      <c r="AH7380" s="2" t="str">
        <f ca="1"/>
        <v>Bad</v>
      </c>
    </row>
    <row r="7381" spans="2:34" x14ac:dyDescent="0.2">
      <c r="B7381" s="2">
        <f ca="1"/>
        <v>0.85814663244632716</v>
      </c>
      <c r="O7381" s="2">
        <f ca="1"/>
        <v>-0.31407723171211166</v>
      </c>
      <c r="X7381" s="2">
        <f ca="1"/>
        <v>55.279081831713029</v>
      </c>
      <c r="AG7381" s="2">
        <f ca="1"/>
        <v>0.46315929416652879</v>
      </c>
      <c r="AH7381" s="2" t="str">
        <f ca="1"/>
        <v>Bad</v>
      </c>
    </row>
    <row r="7382" spans="2:34" x14ac:dyDescent="0.2">
      <c r="B7382" s="2">
        <f ca="1"/>
        <v>0.85762376524002404</v>
      </c>
      <c r="O7382" s="2">
        <f ca="1"/>
        <v>0.23790871376139025</v>
      </c>
      <c r="X7382" s="2">
        <f ca="1"/>
        <v>73.277207879779709</v>
      </c>
      <c r="AG7382" s="2">
        <f ca="1"/>
        <v>0.74394256870108122</v>
      </c>
      <c r="AH7382" s="2" t="str">
        <f ca="1"/>
        <v>Bad</v>
      </c>
    </row>
    <row r="7383" spans="2:34" x14ac:dyDescent="0.2">
      <c r="B7383" s="2">
        <f ca="1"/>
        <v>0.17959874380104046</v>
      </c>
      <c r="O7383" s="2">
        <f ca="1"/>
        <v>-0.9871260097176201</v>
      </c>
      <c r="X7383" s="2">
        <f ca="1"/>
        <v>29.183482107230688</v>
      </c>
      <c r="AG7383" s="2">
        <f ca="1"/>
        <v>0.83917382543925223</v>
      </c>
      <c r="AH7383" s="2" t="str">
        <f ca="1"/>
        <v>Bad</v>
      </c>
    </row>
    <row r="7384" spans="2:34" x14ac:dyDescent="0.2">
      <c r="B7384" s="2">
        <f ca="1"/>
        <v>0.65428510782509286</v>
      </c>
      <c r="O7384" s="2">
        <f ca="1"/>
        <v>0.39721449489705957</v>
      </c>
      <c r="X7384" s="2">
        <f ca="1"/>
        <v>56.418239529867272</v>
      </c>
      <c r="AG7384" s="2">
        <f ca="1"/>
        <v>1.2405240307273857E-2</v>
      </c>
      <c r="AH7384" s="2" t="str">
        <f ca="1"/>
        <v>Good</v>
      </c>
    </row>
    <row r="7385" spans="2:34" x14ac:dyDescent="0.2">
      <c r="B7385" s="2">
        <f ca="1"/>
        <v>0.95598593062162984</v>
      </c>
      <c r="O7385" s="2">
        <f ca="1"/>
        <v>-1.3117344002044768</v>
      </c>
      <c r="X7385" s="2">
        <f ca="1"/>
        <v>65.781638638401148</v>
      </c>
      <c r="AG7385" s="2">
        <f ca="1"/>
        <v>0.41597257680572564</v>
      </c>
      <c r="AH7385" s="2" t="str">
        <f ca="1"/>
        <v>Bad</v>
      </c>
    </row>
    <row r="7386" spans="2:34" x14ac:dyDescent="0.2">
      <c r="B7386" s="2">
        <f ca="1"/>
        <v>6.4243124746356184E-2</v>
      </c>
      <c r="O7386" s="2">
        <f ca="1"/>
        <v>-0.38776489792920588</v>
      </c>
      <c r="X7386" s="2">
        <f ca="1"/>
        <v>61.721130351804554</v>
      </c>
      <c r="AG7386" s="2">
        <f ca="1"/>
        <v>0.80337786688597701</v>
      </c>
      <c r="AH7386" s="2" t="str">
        <f ca="1"/>
        <v>Bad</v>
      </c>
    </row>
    <row r="7387" spans="2:34" x14ac:dyDescent="0.2">
      <c r="B7387" s="2">
        <f ca="1"/>
        <v>0.10398973363698172</v>
      </c>
      <c r="O7387" s="2">
        <f ca="1"/>
        <v>-0.85851245064113846</v>
      </c>
      <c r="X7387" s="2">
        <f ca="1"/>
        <v>42.786915531447974</v>
      </c>
      <c r="AG7387" s="2">
        <f ca="1"/>
        <v>0.51650763640724673</v>
      </c>
      <c r="AH7387" s="2" t="str">
        <f ca="1"/>
        <v>Bad</v>
      </c>
    </row>
    <row r="7388" spans="2:34" x14ac:dyDescent="0.2">
      <c r="B7388" s="2">
        <f ca="1"/>
        <v>0.86797648732171973</v>
      </c>
      <c r="O7388" s="2">
        <f ca="1"/>
        <v>0.56972176770571459</v>
      </c>
      <c r="X7388" s="2">
        <f ca="1"/>
        <v>38.601010051951803</v>
      </c>
      <c r="AG7388" s="2">
        <f ca="1"/>
        <v>0.2633764878675573</v>
      </c>
      <c r="AH7388" s="2" t="str">
        <f ca="1"/>
        <v>OK</v>
      </c>
    </row>
    <row r="7389" spans="2:34" x14ac:dyDescent="0.2">
      <c r="B7389" s="2">
        <f ca="1"/>
        <v>0.71523708839027211</v>
      </c>
      <c r="O7389" s="2">
        <f ca="1"/>
        <v>-0.92737782765666932</v>
      </c>
      <c r="X7389" s="2">
        <f ca="1"/>
        <v>59.346151097799265</v>
      </c>
      <c r="AG7389" s="2">
        <f ca="1"/>
        <v>0.57870573498400302</v>
      </c>
      <c r="AH7389" s="2" t="str">
        <f ca="1"/>
        <v>Bad</v>
      </c>
    </row>
    <row r="7390" spans="2:34" x14ac:dyDescent="0.2">
      <c r="B7390" s="2">
        <f ca="1"/>
        <v>0.11515939682352494</v>
      </c>
      <c r="O7390" s="2">
        <f ca="1"/>
        <v>1.3515845607019177</v>
      </c>
      <c r="X7390" s="2">
        <f ca="1"/>
        <v>60.583259089570085</v>
      </c>
      <c r="AG7390" s="2">
        <f ca="1"/>
        <v>0.37785896505478878</v>
      </c>
      <c r="AH7390" s="2" t="str">
        <f ca="1"/>
        <v>OK</v>
      </c>
    </row>
    <row r="7391" spans="2:34" x14ac:dyDescent="0.2">
      <c r="B7391" s="2">
        <f ca="1"/>
        <v>0.68007035184906095</v>
      </c>
      <c r="O7391" s="2">
        <f ca="1"/>
        <v>0.74117241552850055</v>
      </c>
      <c r="X7391" s="2">
        <f ca="1"/>
        <v>59.994075769546228</v>
      </c>
      <c r="AG7391" s="2">
        <f ca="1"/>
        <v>0.81331448295228759</v>
      </c>
      <c r="AH7391" s="2" t="str">
        <f ca="1"/>
        <v>Bad</v>
      </c>
    </row>
    <row r="7392" spans="2:34" x14ac:dyDescent="0.2">
      <c r="B7392" s="2">
        <f ca="1"/>
        <v>0.6707722511572185</v>
      </c>
      <c r="O7392" s="2">
        <f ca="1"/>
        <v>-0.35481154384223307</v>
      </c>
      <c r="X7392" s="2">
        <f ca="1"/>
        <v>36.576566275567885</v>
      </c>
      <c r="AG7392" s="2">
        <f ca="1"/>
        <v>0.90306057997499534</v>
      </c>
      <c r="AH7392" s="2" t="str">
        <f ca="1"/>
        <v>Bad</v>
      </c>
    </row>
    <row r="7393" spans="2:34" x14ac:dyDescent="0.2">
      <c r="B7393" s="2">
        <f ca="1"/>
        <v>0.60897282891272675</v>
      </c>
      <c r="O7393" s="2">
        <f ca="1"/>
        <v>-1.4834726288783171</v>
      </c>
      <c r="X7393" s="2">
        <f ca="1"/>
        <v>78.190569693673822</v>
      </c>
      <c r="AG7393" s="2">
        <f ca="1"/>
        <v>0.74253599676873638</v>
      </c>
      <c r="AH7393" s="2" t="str">
        <f ca="1"/>
        <v>Bad</v>
      </c>
    </row>
    <row r="7394" spans="2:34" x14ac:dyDescent="0.2">
      <c r="B7394" s="2">
        <f ca="1"/>
        <v>0.56868757179877116</v>
      </c>
      <c r="O7394" s="2">
        <f ca="1"/>
        <v>0.48022244138440701</v>
      </c>
      <c r="X7394" s="2">
        <f ca="1"/>
        <v>36.81557649141218</v>
      </c>
      <c r="AG7394" s="2">
        <f ca="1"/>
        <v>0.67841452296137539</v>
      </c>
      <c r="AH7394" s="2" t="str">
        <f ca="1"/>
        <v>Bad</v>
      </c>
    </row>
    <row r="7395" spans="2:34" x14ac:dyDescent="0.2">
      <c r="B7395" s="2">
        <f ca="1"/>
        <v>0.33323679832494535</v>
      </c>
      <c r="O7395" s="2">
        <f ca="1"/>
        <v>8.8532742099137862E-2</v>
      </c>
      <c r="X7395" s="2">
        <f ca="1"/>
        <v>38.936450373067665</v>
      </c>
      <c r="AG7395" s="2">
        <f ca="1"/>
        <v>0.58443593646097147</v>
      </c>
      <c r="AH7395" s="2" t="str">
        <f ca="1"/>
        <v>Bad</v>
      </c>
    </row>
    <row r="7396" spans="2:34" x14ac:dyDescent="0.2">
      <c r="B7396" s="2">
        <f ca="1"/>
        <v>0.15225368390733229</v>
      </c>
      <c r="O7396" s="2">
        <f ca="1"/>
        <v>-0.41227346659872255</v>
      </c>
      <c r="X7396" s="2">
        <f ca="1"/>
        <v>48.540483447454612</v>
      </c>
      <c r="AG7396" s="2">
        <f ca="1"/>
        <v>0.79094865145901894</v>
      </c>
      <c r="AH7396" s="2" t="str">
        <f ca="1"/>
        <v>Bad</v>
      </c>
    </row>
    <row r="7397" spans="2:34" x14ac:dyDescent="0.2">
      <c r="B7397" s="2">
        <f ca="1"/>
        <v>0.33584594248271071</v>
      </c>
      <c r="O7397" s="2">
        <f ca="1"/>
        <v>-1.9456792136229986</v>
      </c>
      <c r="X7397" s="2">
        <f ca="1"/>
        <v>45.679784700435434</v>
      </c>
      <c r="AG7397" s="2">
        <f ca="1"/>
        <v>8.476340352245626E-2</v>
      </c>
      <c r="AH7397" s="2" t="str">
        <f ca="1"/>
        <v>OK</v>
      </c>
    </row>
    <row r="7398" spans="2:34" x14ac:dyDescent="0.2">
      <c r="B7398" s="2">
        <f ca="1"/>
        <v>0.89505840407096238</v>
      </c>
      <c r="O7398" s="2">
        <f ca="1"/>
        <v>-2.2206111318532319E-2</v>
      </c>
      <c r="X7398" s="2">
        <f ca="1"/>
        <v>58.546351600509922</v>
      </c>
      <c r="AG7398" s="2">
        <f ca="1"/>
        <v>9.3520253018511523E-2</v>
      </c>
      <c r="AH7398" s="2" t="str">
        <f ca="1"/>
        <v>OK</v>
      </c>
    </row>
    <row r="7399" spans="2:34" x14ac:dyDescent="0.2">
      <c r="B7399" s="2">
        <f ca="1"/>
        <v>8.1514373971678156E-2</v>
      </c>
      <c r="O7399" s="2">
        <f ca="1"/>
        <v>1.4407327066152034</v>
      </c>
      <c r="X7399" s="2">
        <f ca="1"/>
        <v>47.230472507397209</v>
      </c>
      <c r="AG7399" s="2">
        <f ca="1"/>
        <v>0.32598810050351013</v>
      </c>
      <c r="AH7399" s="2" t="str">
        <f ca="1"/>
        <v>OK</v>
      </c>
    </row>
    <row r="7400" spans="2:34" x14ac:dyDescent="0.2">
      <c r="B7400" s="2">
        <f ca="1"/>
        <v>0.88241477964776593</v>
      </c>
      <c r="O7400" s="2">
        <f ca="1"/>
        <v>-0.53721837219202417</v>
      </c>
      <c r="X7400" s="2">
        <f ca="1"/>
        <v>21.200292871907802</v>
      </c>
      <c r="AG7400" s="2">
        <f ca="1"/>
        <v>0.857571329624083</v>
      </c>
      <c r="AH7400" s="2" t="str">
        <f ca="1"/>
        <v>Bad</v>
      </c>
    </row>
    <row r="7401" spans="2:34" x14ac:dyDescent="0.2">
      <c r="B7401" s="2">
        <f ca="1"/>
        <v>0.34902898101147928</v>
      </c>
      <c r="O7401" s="2">
        <f ca="1"/>
        <v>0.83797875801265709</v>
      </c>
      <c r="X7401" s="2">
        <f ca="1"/>
        <v>31.084040321596738</v>
      </c>
      <c r="AG7401" s="2">
        <f ca="1"/>
        <v>0.68503164255224536</v>
      </c>
      <c r="AH7401" s="2" t="str">
        <f ca="1"/>
        <v>Bad</v>
      </c>
    </row>
    <row r="7402" spans="2:34" x14ac:dyDescent="0.2">
      <c r="B7402" s="2">
        <f ca="1"/>
        <v>0.75462447727651849</v>
      </c>
      <c r="O7402" s="2">
        <f ca="1"/>
        <v>-0.31545671182388074</v>
      </c>
      <c r="X7402" s="2">
        <f ca="1"/>
        <v>47.269339265525048</v>
      </c>
      <c r="AG7402" s="2">
        <f ca="1"/>
        <v>0.2648033124690794</v>
      </c>
      <c r="AH7402" s="2" t="str">
        <f ca="1"/>
        <v>OK</v>
      </c>
    </row>
    <row r="7403" spans="2:34" x14ac:dyDescent="0.2">
      <c r="B7403" s="2">
        <f ca="1"/>
        <v>0.81846007234109908</v>
      </c>
      <c r="O7403" s="2">
        <f ca="1"/>
        <v>0.97474039100005072</v>
      </c>
      <c r="X7403" s="2">
        <f ca="1"/>
        <v>51.152310788888087</v>
      </c>
      <c r="AG7403" s="2">
        <f ca="1"/>
        <v>0.11702580384086825</v>
      </c>
      <c r="AH7403" s="2" t="str">
        <f ca="1"/>
        <v>OK</v>
      </c>
    </row>
    <row r="7404" spans="2:34" x14ac:dyDescent="0.2">
      <c r="B7404" s="2">
        <f ca="1"/>
        <v>0.20956850778125613</v>
      </c>
      <c r="O7404" s="2">
        <f ca="1"/>
        <v>1.1934686000082604</v>
      </c>
      <c r="X7404" s="2">
        <f ca="1"/>
        <v>38.316313313149017</v>
      </c>
      <c r="AG7404" s="2">
        <f ca="1"/>
        <v>0.39499480804372444</v>
      </c>
      <c r="AH7404" s="2" t="str">
        <f ca="1"/>
        <v>OK</v>
      </c>
    </row>
    <row r="7405" spans="2:34" x14ac:dyDescent="0.2">
      <c r="B7405" s="2">
        <f ca="1"/>
        <v>0.15310729167400305</v>
      </c>
      <c r="O7405" s="2">
        <f ca="1"/>
        <v>6.3943903359995766E-2</v>
      </c>
      <c r="X7405" s="2">
        <f ca="1"/>
        <v>29.09498213461832</v>
      </c>
      <c r="AG7405" s="2">
        <f ca="1"/>
        <v>0.34387329869108618</v>
      </c>
      <c r="AH7405" s="2" t="str">
        <f ca="1"/>
        <v>OK</v>
      </c>
    </row>
    <row r="7406" spans="2:34" x14ac:dyDescent="0.2">
      <c r="B7406" s="2">
        <f ca="1"/>
        <v>0.65397120328990765</v>
      </c>
      <c r="O7406" s="2">
        <f ca="1"/>
        <v>-0.51847128478074422</v>
      </c>
      <c r="X7406" s="2">
        <f ca="1"/>
        <v>23.806296067327622</v>
      </c>
      <c r="AG7406" s="2">
        <f ca="1"/>
        <v>0.93073841318573591</v>
      </c>
      <c r="AH7406" s="2" t="str">
        <f ca="1"/>
        <v>Bad</v>
      </c>
    </row>
    <row r="7407" spans="2:34" x14ac:dyDescent="0.2">
      <c r="B7407" s="2">
        <f ca="1"/>
        <v>0.87079670598747172</v>
      </c>
      <c r="O7407" s="2">
        <f ca="1"/>
        <v>-0.89295938558439303</v>
      </c>
      <c r="X7407" s="2">
        <f ca="1"/>
        <v>52.117283241924142</v>
      </c>
      <c r="AG7407" s="2">
        <f ca="1"/>
        <v>0.89874380497749451</v>
      </c>
      <c r="AH7407" s="2" t="str">
        <f ca="1"/>
        <v>Bad</v>
      </c>
    </row>
    <row r="7408" spans="2:34" x14ac:dyDescent="0.2">
      <c r="B7408" s="2">
        <f ca="1"/>
        <v>0.37226562783988459</v>
      </c>
      <c r="O7408" s="2">
        <f ca="1"/>
        <v>-0.18948771038063775</v>
      </c>
      <c r="X7408" s="2">
        <f ca="1"/>
        <v>52.491753972466199</v>
      </c>
      <c r="AG7408" s="2">
        <f ca="1"/>
        <v>0.10982147399945097</v>
      </c>
      <c r="AH7408" s="2" t="str">
        <f ca="1"/>
        <v>OK</v>
      </c>
    </row>
    <row r="7409" spans="2:34" x14ac:dyDescent="0.2">
      <c r="B7409" s="2">
        <f ca="1"/>
        <v>0.85106527182381653</v>
      </c>
      <c r="O7409" s="2">
        <f ca="1"/>
        <v>0.56008078271426909</v>
      </c>
      <c r="X7409" s="2">
        <f ca="1"/>
        <v>62.868022762664062</v>
      </c>
      <c r="AG7409" s="2">
        <f ca="1"/>
        <v>0.86573946018641124</v>
      </c>
      <c r="AH7409" s="2" t="str">
        <f ca="1"/>
        <v>Bad</v>
      </c>
    </row>
    <row r="7410" spans="2:34" x14ac:dyDescent="0.2">
      <c r="B7410" s="2">
        <f ca="1"/>
        <v>8.0776545664248411E-2</v>
      </c>
      <c r="O7410" s="2">
        <f ca="1"/>
        <v>1.3157698526003094</v>
      </c>
      <c r="X7410" s="2">
        <f ca="1"/>
        <v>46.170348022480141</v>
      </c>
      <c r="AG7410" s="2">
        <f ca="1"/>
        <v>0.95322656005233197</v>
      </c>
      <c r="AH7410" s="2" t="str">
        <f ca="1"/>
        <v>Bad</v>
      </c>
    </row>
    <row r="7411" spans="2:34" x14ac:dyDescent="0.2">
      <c r="B7411" s="2">
        <f ca="1"/>
        <v>0.52022323588964214</v>
      </c>
      <c r="O7411" s="2">
        <f ca="1"/>
        <v>8.510398554329239E-2</v>
      </c>
      <c r="X7411" s="2">
        <f ca="1"/>
        <v>43.315050877930254</v>
      </c>
      <c r="AG7411" s="2">
        <f ca="1"/>
        <v>0.87388018029392112</v>
      </c>
      <c r="AH7411" s="2" t="str">
        <f ca="1"/>
        <v>Bad</v>
      </c>
    </row>
    <row r="7412" spans="2:34" x14ac:dyDescent="0.2">
      <c r="B7412" s="2">
        <f ca="1"/>
        <v>0.5553490358362323</v>
      </c>
      <c r="O7412" s="2">
        <f ca="1"/>
        <v>-0.58899696677321467</v>
      </c>
      <c r="X7412" s="2">
        <f ca="1"/>
        <v>62.412540599488572</v>
      </c>
      <c r="AG7412" s="2">
        <f ca="1"/>
        <v>0.29885602515112386</v>
      </c>
      <c r="AH7412" s="2" t="str">
        <f ca="1"/>
        <v>OK</v>
      </c>
    </row>
    <row r="7413" spans="2:34" x14ac:dyDescent="0.2">
      <c r="B7413" s="2">
        <f ca="1"/>
        <v>0.52666847922199289</v>
      </c>
      <c r="O7413" s="2">
        <f ca="1"/>
        <v>0.72010507886602726</v>
      </c>
      <c r="X7413" s="2">
        <f ca="1"/>
        <v>21.831669390834755</v>
      </c>
      <c r="AG7413" s="2">
        <f ca="1"/>
        <v>0.99421838761527481</v>
      </c>
      <c r="AH7413" s="2" t="str">
        <f ca="1"/>
        <v>Bad</v>
      </c>
    </row>
    <row r="7414" spans="2:34" x14ac:dyDescent="0.2">
      <c r="B7414" s="2">
        <f ca="1"/>
        <v>0.98643124018647166</v>
      </c>
      <c r="O7414" s="2">
        <f ca="1"/>
        <v>-0.29440887417344697</v>
      </c>
      <c r="X7414" s="2">
        <f ca="1"/>
        <v>36.044059576259365</v>
      </c>
      <c r="AG7414" s="2">
        <f ca="1"/>
        <v>0.78635601299916824</v>
      </c>
      <c r="AH7414" s="2" t="str">
        <f ca="1"/>
        <v>Bad</v>
      </c>
    </row>
    <row r="7415" spans="2:34" x14ac:dyDescent="0.2">
      <c r="B7415" s="2">
        <f ca="1"/>
        <v>4.5506320400615197E-2</v>
      </c>
      <c r="O7415" s="2">
        <f ca="1"/>
        <v>-0.52580545953920088</v>
      </c>
      <c r="X7415" s="2">
        <f ca="1"/>
        <v>46.604053131476242</v>
      </c>
      <c r="AG7415" s="2">
        <f ca="1"/>
        <v>0.92735634976741177</v>
      </c>
      <c r="AH7415" s="2" t="str">
        <f ca="1"/>
        <v>Bad</v>
      </c>
    </row>
    <row r="7416" spans="2:34" x14ac:dyDescent="0.2">
      <c r="B7416" s="2">
        <f ca="1"/>
        <v>0.61443535915107117</v>
      </c>
      <c r="O7416" s="2">
        <f ca="1"/>
        <v>1.4394352784822655</v>
      </c>
      <c r="X7416" s="2">
        <f ca="1"/>
        <v>46.653607276464399</v>
      </c>
      <c r="AG7416" s="2">
        <f ca="1"/>
        <v>0.57334352557494972</v>
      </c>
      <c r="AH7416" s="2" t="str">
        <f ca="1"/>
        <v>Bad</v>
      </c>
    </row>
    <row r="7417" spans="2:34" x14ac:dyDescent="0.2">
      <c r="B7417" s="2">
        <f ca="1"/>
        <v>0.10672418827075614</v>
      </c>
      <c r="O7417" s="2">
        <f ca="1"/>
        <v>-0.74489790281151724</v>
      </c>
      <c r="X7417" s="2">
        <f ca="1"/>
        <v>66.881108164976382</v>
      </c>
      <c r="AG7417" s="2">
        <f ca="1"/>
        <v>0.61750255177223679</v>
      </c>
      <c r="AH7417" s="2" t="str">
        <f ca="1"/>
        <v>Bad</v>
      </c>
    </row>
    <row r="7418" spans="2:34" x14ac:dyDescent="0.2">
      <c r="B7418" s="2">
        <f ca="1"/>
        <v>0.64855918118192535</v>
      </c>
      <c r="O7418" s="2">
        <f ca="1"/>
        <v>9.8664782163509365E-2</v>
      </c>
      <c r="X7418" s="2">
        <f ca="1"/>
        <v>79.189079063990576</v>
      </c>
      <c r="AG7418" s="2">
        <f ca="1"/>
        <v>0.55518514464708879</v>
      </c>
      <c r="AH7418" s="2" t="str">
        <f ca="1"/>
        <v>Bad</v>
      </c>
    </row>
    <row r="7419" spans="2:34" x14ac:dyDescent="0.2">
      <c r="B7419" s="2">
        <f ca="1"/>
        <v>0.62987984988650081</v>
      </c>
      <c r="O7419" s="2">
        <f ca="1"/>
        <v>1.6110068191249367</v>
      </c>
      <c r="X7419" s="2">
        <f ca="1"/>
        <v>47.040472989594463</v>
      </c>
      <c r="AG7419" s="2">
        <f ca="1"/>
        <v>0.52725995081397681</v>
      </c>
      <c r="AH7419" s="2" t="str">
        <f ca="1"/>
        <v>Bad</v>
      </c>
    </row>
    <row r="7420" spans="2:34" x14ac:dyDescent="0.2">
      <c r="B7420" s="2">
        <f ca="1"/>
        <v>0.29358555382522922</v>
      </c>
      <c r="O7420" s="2">
        <f ca="1"/>
        <v>0.47844150090544074</v>
      </c>
      <c r="X7420" s="2">
        <f ca="1"/>
        <v>16.915696228015065</v>
      </c>
      <c r="AG7420" s="2">
        <f ca="1"/>
        <v>0.27804008450634798</v>
      </c>
      <c r="AH7420" s="2" t="str">
        <f ca="1"/>
        <v>OK</v>
      </c>
    </row>
    <row r="7421" spans="2:34" x14ac:dyDescent="0.2">
      <c r="B7421" s="2">
        <f ca="1"/>
        <v>0.22148009728278306</v>
      </c>
      <c r="O7421" s="2">
        <f ca="1"/>
        <v>-0.93983872880151631</v>
      </c>
      <c r="X7421" s="2">
        <f ca="1"/>
        <v>49.467035576957102</v>
      </c>
      <c r="AG7421" s="2">
        <f ca="1"/>
        <v>0.11178777528125261</v>
      </c>
      <c r="AH7421" s="2" t="str">
        <f ca="1"/>
        <v>OK</v>
      </c>
    </row>
    <row r="7422" spans="2:34" x14ac:dyDescent="0.2">
      <c r="B7422" s="2">
        <f ca="1"/>
        <v>0.34816974020728586</v>
      </c>
      <c r="O7422" s="2">
        <f ca="1"/>
        <v>-0.38645655154233749</v>
      </c>
      <c r="X7422" s="2">
        <f ca="1"/>
        <v>44.469563751236151</v>
      </c>
      <c r="AG7422" s="2">
        <f ca="1"/>
        <v>0.48409881607923855</v>
      </c>
      <c r="AH7422" s="2" t="str">
        <f ca="1"/>
        <v>Bad</v>
      </c>
    </row>
    <row r="7423" spans="2:34" x14ac:dyDescent="0.2">
      <c r="B7423" s="2">
        <f ca="1"/>
        <v>0.11087034403898999</v>
      </c>
      <c r="O7423" s="2">
        <f ca="1"/>
        <v>0.51748380783590298</v>
      </c>
      <c r="X7423" s="2">
        <f ca="1"/>
        <v>37.700902296150709</v>
      </c>
      <c r="AG7423" s="2">
        <f ca="1"/>
        <v>0.7906860376601732</v>
      </c>
      <c r="AH7423" s="2" t="str">
        <f ca="1"/>
        <v>Bad</v>
      </c>
    </row>
    <row r="7424" spans="2:34" x14ac:dyDescent="0.2">
      <c r="B7424" s="2">
        <f ca="1"/>
        <v>0.19929323215335892</v>
      </c>
      <c r="O7424" s="2">
        <f ca="1"/>
        <v>5.365777762510919E-2</v>
      </c>
      <c r="X7424" s="2">
        <f ca="1"/>
        <v>42.965460359322535</v>
      </c>
      <c r="AG7424" s="2">
        <f ca="1"/>
        <v>0.95046031268067943</v>
      </c>
      <c r="AH7424" s="2" t="str">
        <f ca="1"/>
        <v>Bad</v>
      </c>
    </row>
    <row r="7425" spans="2:34" x14ac:dyDescent="0.2">
      <c r="B7425" s="2">
        <f ca="1"/>
        <v>0.76386349196214476</v>
      </c>
      <c r="O7425" s="2">
        <f ca="1"/>
        <v>-2.3523134517958955</v>
      </c>
      <c r="X7425" s="2">
        <f ca="1"/>
        <v>40.928318365693968</v>
      </c>
      <c r="AG7425" s="2">
        <f ca="1"/>
        <v>0.54468149477015748</v>
      </c>
      <c r="AH7425" s="2" t="str">
        <f ca="1"/>
        <v>Bad</v>
      </c>
    </row>
    <row r="7426" spans="2:34" x14ac:dyDescent="0.2">
      <c r="B7426" s="2">
        <f ca="1"/>
        <v>0.99110307859674052</v>
      </c>
      <c r="O7426" s="2">
        <f ca="1"/>
        <v>-0.3788993099104862</v>
      </c>
      <c r="X7426" s="2">
        <f ca="1"/>
        <v>56.134621509577343</v>
      </c>
      <c r="AG7426" s="2">
        <f ca="1"/>
        <v>0.87617947001028118</v>
      </c>
      <c r="AH7426" s="2" t="str">
        <f ca="1"/>
        <v>Bad</v>
      </c>
    </row>
    <row r="7427" spans="2:34" x14ac:dyDescent="0.2">
      <c r="B7427" s="2">
        <f ca="1"/>
        <v>0.6854921556453113</v>
      </c>
      <c r="O7427" s="2">
        <f ca="1"/>
        <v>0.15317588249764316</v>
      </c>
      <c r="X7427" s="2">
        <f ca="1"/>
        <v>57.120456963702509</v>
      </c>
      <c r="AG7427" s="2">
        <f ca="1"/>
        <v>0.73614649938428567</v>
      </c>
      <c r="AH7427" s="2" t="str">
        <f ca="1"/>
        <v>Bad</v>
      </c>
    </row>
    <row r="7428" spans="2:34" x14ac:dyDescent="0.2">
      <c r="B7428" s="2">
        <f ca="1"/>
        <v>0.21232168878825286</v>
      </c>
      <c r="O7428" s="2">
        <f ca="1"/>
        <v>0.66001505275561823</v>
      </c>
      <c r="X7428" s="2">
        <f ca="1"/>
        <v>47.325305736417931</v>
      </c>
      <c r="AG7428" s="2">
        <f ca="1"/>
        <v>0.50633221154618746</v>
      </c>
      <c r="AH7428" s="2" t="str">
        <f ca="1"/>
        <v>Bad</v>
      </c>
    </row>
    <row r="7429" spans="2:34" x14ac:dyDescent="0.2">
      <c r="B7429" s="2">
        <f ca="1"/>
        <v>0.98149577337064531</v>
      </c>
      <c r="O7429" s="2">
        <f ca="1"/>
        <v>1.7975791955900984</v>
      </c>
      <c r="X7429" s="2">
        <f ca="1"/>
        <v>41.705070205186402</v>
      </c>
      <c r="AG7429" s="2">
        <f ca="1"/>
        <v>0.45719895908514063</v>
      </c>
      <c r="AH7429" s="2" t="str">
        <f ca="1"/>
        <v>Bad</v>
      </c>
    </row>
    <row r="7430" spans="2:34" x14ac:dyDescent="0.2">
      <c r="B7430" s="2">
        <f ca="1"/>
        <v>0.48658656991497562</v>
      </c>
      <c r="O7430" s="2">
        <f ca="1"/>
        <v>0.50385382374275201</v>
      </c>
      <c r="X7430" s="2">
        <f ca="1"/>
        <v>25.55014245326079</v>
      </c>
      <c r="AG7430" s="2">
        <f ca="1"/>
        <v>0.59788058823419754</v>
      </c>
      <c r="AH7430" s="2" t="str">
        <f ca="1"/>
        <v>Bad</v>
      </c>
    </row>
    <row r="7431" spans="2:34" x14ac:dyDescent="0.2">
      <c r="B7431" s="2">
        <f ca="1"/>
        <v>0.68000727166449226</v>
      </c>
      <c r="O7431" s="2">
        <f ca="1"/>
        <v>0.60107687542136379</v>
      </c>
      <c r="X7431" s="2">
        <f ca="1"/>
        <v>35.639787111755147</v>
      </c>
      <c r="AG7431" s="2">
        <f ca="1"/>
        <v>0.76770405755174354</v>
      </c>
      <c r="AH7431" s="2" t="str">
        <f ca="1"/>
        <v>Bad</v>
      </c>
    </row>
    <row r="7432" spans="2:34" x14ac:dyDescent="0.2">
      <c r="B7432" s="2">
        <f ca="1"/>
        <v>0.1603211922380956</v>
      </c>
      <c r="O7432" s="2">
        <f ca="1"/>
        <v>1.3289305267736429</v>
      </c>
      <c r="X7432" s="2">
        <f ca="1"/>
        <v>35.631446419566551</v>
      </c>
      <c r="AG7432" s="2">
        <f ca="1"/>
        <v>0.64523283460665359</v>
      </c>
      <c r="AH7432" s="2" t="str">
        <f ca="1"/>
        <v>Bad</v>
      </c>
    </row>
    <row r="7433" spans="2:34" x14ac:dyDescent="0.2">
      <c r="B7433" s="2">
        <f ca="1"/>
        <v>0.81871698350415856</v>
      </c>
      <c r="O7433" s="2">
        <f ca="1"/>
        <v>0.9727266977378819</v>
      </c>
      <c r="X7433" s="2">
        <f ca="1"/>
        <v>50.718042789307454</v>
      </c>
      <c r="AG7433" s="2">
        <f ca="1"/>
        <v>0.97623303168406794</v>
      </c>
      <c r="AH7433" s="2" t="str">
        <f ca="1"/>
        <v>Bad</v>
      </c>
    </row>
    <row r="7434" spans="2:34" x14ac:dyDescent="0.2">
      <c r="B7434" s="2">
        <f ca="1"/>
        <v>0.92439338840244889</v>
      </c>
      <c r="O7434" s="2">
        <f ca="1"/>
        <v>0.59817142807840318</v>
      </c>
      <c r="X7434" s="2">
        <f ca="1"/>
        <v>45.844194273330992</v>
      </c>
      <c r="AG7434" s="2">
        <f ca="1"/>
        <v>0.28215040406073366</v>
      </c>
      <c r="AH7434" s="2" t="str">
        <f ca="1"/>
        <v>OK</v>
      </c>
    </row>
    <row r="7435" spans="2:34" x14ac:dyDescent="0.2">
      <c r="B7435" s="2">
        <f ca="1"/>
        <v>0.13247315296802609</v>
      </c>
      <c r="O7435" s="2">
        <f ca="1"/>
        <v>0.49389074482124218</v>
      </c>
      <c r="X7435" s="2">
        <f ca="1"/>
        <v>32.009781626745408</v>
      </c>
      <c r="AG7435" s="2">
        <f ca="1"/>
        <v>0.900762772734371</v>
      </c>
      <c r="AH7435" s="2" t="str">
        <f ca="1"/>
        <v>Bad</v>
      </c>
    </row>
    <row r="7436" spans="2:34" x14ac:dyDescent="0.2">
      <c r="B7436" s="2">
        <f ca="1"/>
        <v>0.19909516270827199</v>
      </c>
      <c r="O7436" s="2">
        <f ca="1"/>
        <v>-0.38083371046695424</v>
      </c>
      <c r="X7436" s="2">
        <f ca="1"/>
        <v>48.504082928261596</v>
      </c>
      <c r="AG7436" s="2">
        <f ca="1"/>
        <v>0.53399608202510818</v>
      </c>
      <c r="AH7436" s="2" t="str">
        <f ca="1"/>
        <v>Bad</v>
      </c>
    </row>
    <row r="7437" spans="2:34" x14ac:dyDescent="0.2">
      <c r="B7437" s="2">
        <f ca="1"/>
        <v>0.63704495084283019</v>
      </c>
      <c r="O7437" s="2">
        <f ca="1"/>
        <v>-0.48340459855783918</v>
      </c>
      <c r="X7437" s="2">
        <f ca="1"/>
        <v>36.745096447903101</v>
      </c>
      <c r="AG7437" s="2">
        <f ca="1"/>
        <v>0.90257439427955322</v>
      </c>
      <c r="AH7437" s="2" t="str">
        <f ca="1"/>
        <v>Bad</v>
      </c>
    </row>
    <row r="7438" spans="2:34" x14ac:dyDescent="0.2">
      <c r="B7438" s="2">
        <f ca="1"/>
        <v>0.57456944033380153</v>
      </c>
      <c r="O7438" s="2">
        <f ca="1"/>
        <v>-0.44198765469432327</v>
      </c>
      <c r="X7438" s="2">
        <f ca="1"/>
        <v>66.3932060607046</v>
      </c>
      <c r="AG7438" s="2">
        <f ca="1"/>
        <v>0.88928040559311095</v>
      </c>
      <c r="AH7438" s="2" t="str">
        <f ca="1"/>
        <v>Bad</v>
      </c>
    </row>
    <row r="7439" spans="2:34" x14ac:dyDescent="0.2">
      <c r="B7439" s="2">
        <f ca="1"/>
        <v>6.827141531927361E-2</v>
      </c>
      <c r="O7439" s="2">
        <f ca="1"/>
        <v>0.31891233615316134</v>
      </c>
      <c r="X7439" s="2">
        <f ca="1"/>
        <v>42.951582868704328</v>
      </c>
      <c r="AG7439" s="2">
        <f ca="1"/>
        <v>0.77791654677836442</v>
      </c>
      <c r="AH7439" s="2" t="str">
        <f ca="1"/>
        <v>Bad</v>
      </c>
    </row>
    <row r="7440" spans="2:34" x14ac:dyDescent="0.2">
      <c r="B7440" s="2">
        <f ca="1"/>
        <v>0.27039606672229444</v>
      </c>
      <c r="O7440" s="2">
        <f ca="1"/>
        <v>-0.6850328471143502</v>
      </c>
      <c r="X7440" s="2">
        <f ca="1"/>
        <v>34.088127768235033</v>
      </c>
      <c r="AG7440" s="2">
        <f ca="1"/>
        <v>0.71966914557086081</v>
      </c>
      <c r="AH7440" s="2" t="str">
        <f ca="1"/>
        <v>Bad</v>
      </c>
    </row>
    <row r="7441" spans="2:34" x14ac:dyDescent="0.2">
      <c r="B7441" s="2">
        <f ca="1"/>
        <v>6.4501257112864474E-2</v>
      </c>
      <c r="O7441" s="2">
        <f ca="1"/>
        <v>0.81872107652723303</v>
      </c>
      <c r="X7441" s="2">
        <f ca="1"/>
        <v>38.054407274089272</v>
      </c>
      <c r="AG7441" s="2">
        <f ca="1"/>
        <v>0.23622404493900007</v>
      </c>
      <c r="AH7441" s="2" t="str">
        <f ca="1"/>
        <v>OK</v>
      </c>
    </row>
    <row r="7442" spans="2:34" x14ac:dyDescent="0.2">
      <c r="B7442" s="2">
        <f ca="1"/>
        <v>0.77574361724937324</v>
      </c>
      <c r="O7442" s="2">
        <f ca="1"/>
        <v>-3.2286449372889964E-2</v>
      </c>
      <c r="X7442" s="2">
        <f ca="1"/>
        <v>34.560286301627286</v>
      </c>
      <c r="AG7442" s="2">
        <f ca="1"/>
        <v>0.91643714049642888</v>
      </c>
      <c r="AH7442" s="2" t="str">
        <f ca="1"/>
        <v>Bad</v>
      </c>
    </row>
    <row r="7443" spans="2:34" x14ac:dyDescent="0.2">
      <c r="B7443" s="2">
        <f ca="1"/>
        <v>0.4888193855623697</v>
      </c>
      <c r="O7443" s="2">
        <f ca="1"/>
        <v>-1.0010335462820621</v>
      </c>
      <c r="X7443" s="2">
        <f ca="1"/>
        <v>40.619676146857458</v>
      </c>
      <c r="AG7443" s="2">
        <f ca="1"/>
        <v>0.35645333538939927</v>
      </c>
      <c r="AH7443" s="2" t="str">
        <f ca="1"/>
        <v>OK</v>
      </c>
    </row>
    <row r="7444" spans="2:34" x14ac:dyDescent="0.2">
      <c r="B7444" s="2">
        <f ca="1"/>
        <v>0.85349035951215235</v>
      </c>
      <c r="O7444" s="2">
        <f ca="1"/>
        <v>-1.3708855981582435</v>
      </c>
      <c r="X7444" s="2">
        <f ca="1"/>
        <v>65.934407198285186</v>
      </c>
      <c r="AG7444" s="2">
        <f ca="1"/>
        <v>0.65805632625155375</v>
      </c>
      <c r="AH7444" s="2" t="str">
        <f ca="1"/>
        <v>Bad</v>
      </c>
    </row>
    <row r="7445" spans="2:34" x14ac:dyDescent="0.2">
      <c r="B7445" s="2">
        <f ca="1"/>
        <v>0.61562205046845953</v>
      </c>
      <c r="O7445" s="2">
        <f ca="1"/>
        <v>1.8554118156908568</v>
      </c>
      <c r="X7445" s="2">
        <f ca="1"/>
        <v>31.395492731272185</v>
      </c>
      <c r="AG7445" s="2">
        <f ca="1"/>
        <v>8.4683725392388443E-2</v>
      </c>
      <c r="AH7445" s="2" t="str">
        <f ca="1"/>
        <v>OK</v>
      </c>
    </row>
    <row r="7446" spans="2:34" x14ac:dyDescent="0.2">
      <c r="B7446" s="2">
        <f ca="1"/>
        <v>0.73255168519799896</v>
      </c>
      <c r="O7446" s="2">
        <f ca="1"/>
        <v>0.40831802231374326</v>
      </c>
      <c r="X7446" s="2">
        <f ca="1"/>
        <v>51.438850467253374</v>
      </c>
      <c r="AG7446" s="2">
        <f ca="1"/>
        <v>0.48662054507538466</v>
      </c>
      <c r="AH7446" s="2" t="str">
        <f ca="1"/>
        <v>Bad</v>
      </c>
    </row>
    <row r="7447" spans="2:34" x14ac:dyDescent="0.2">
      <c r="B7447" s="2">
        <f ca="1"/>
        <v>0.46219391427356249</v>
      </c>
      <c r="O7447" s="2">
        <f ca="1"/>
        <v>-0.52878302028316437</v>
      </c>
      <c r="X7447" s="2">
        <f ca="1"/>
        <v>43.900714740990679</v>
      </c>
      <c r="AG7447" s="2">
        <f ca="1"/>
        <v>0.56659780559524942</v>
      </c>
      <c r="AH7447" s="2" t="str">
        <f ca="1"/>
        <v>Bad</v>
      </c>
    </row>
    <row r="7448" spans="2:34" x14ac:dyDescent="0.2">
      <c r="B7448" s="2">
        <f ca="1"/>
        <v>0.16307597577295496</v>
      </c>
      <c r="O7448" s="2">
        <f ca="1"/>
        <v>1.407780071120815</v>
      </c>
      <c r="X7448" s="2">
        <f ca="1"/>
        <v>52.485369778105444</v>
      </c>
      <c r="AG7448" s="2">
        <f ca="1"/>
        <v>0.99965286499038131</v>
      </c>
      <c r="AH7448" s="2" t="str">
        <f ca="1"/>
        <v>Bad</v>
      </c>
    </row>
    <row r="7449" spans="2:34" x14ac:dyDescent="0.2">
      <c r="B7449" s="2">
        <f ca="1"/>
        <v>2.3550984423420518E-2</v>
      </c>
      <c r="O7449" s="2">
        <f ca="1"/>
        <v>-0.65236833584517095</v>
      </c>
      <c r="X7449" s="2">
        <f ca="1"/>
        <v>59.450797794165922</v>
      </c>
      <c r="AG7449" s="2">
        <f ca="1"/>
        <v>0.92127815245022715</v>
      </c>
      <c r="AH7449" s="2" t="str">
        <f ca="1"/>
        <v>Bad</v>
      </c>
    </row>
    <row r="7450" spans="2:34" x14ac:dyDescent="0.2">
      <c r="B7450" s="2">
        <f ca="1"/>
        <v>0.19160435836073475</v>
      </c>
      <c r="O7450" s="2">
        <f ca="1"/>
        <v>0.66166403154775333</v>
      </c>
      <c r="X7450" s="2">
        <f ca="1"/>
        <v>57.875092001485172</v>
      </c>
      <c r="AG7450" s="2">
        <f ca="1"/>
        <v>0.27321560379973109</v>
      </c>
      <c r="AH7450" s="2" t="str">
        <f ca="1"/>
        <v>OK</v>
      </c>
    </row>
    <row r="7451" spans="2:34" x14ac:dyDescent="0.2">
      <c r="B7451" s="2">
        <f ca="1"/>
        <v>0.59434680983140153</v>
      </c>
      <c r="O7451" s="2">
        <f ca="1"/>
        <v>-0.32064779819204692</v>
      </c>
      <c r="X7451" s="2">
        <f ca="1"/>
        <v>40.512536663100782</v>
      </c>
      <c r="AG7451" s="2">
        <f ca="1"/>
        <v>9.5761025952184609E-2</v>
      </c>
      <c r="AH7451" s="2" t="str">
        <f ca="1"/>
        <v>OK</v>
      </c>
    </row>
    <row r="7452" spans="2:34" x14ac:dyDescent="0.2">
      <c r="B7452" s="2">
        <f ca="1"/>
        <v>0.28027200635449745</v>
      </c>
      <c r="O7452" s="2">
        <f ca="1"/>
        <v>0.92533688630295852</v>
      </c>
      <c r="X7452" s="2">
        <f ca="1"/>
        <v>43.024462732313694</v>
      </c>
      <c r="AG7452" s="2">
        <f ca="1"/>
        <v>0.42133117954632371</v>
      </c>
      <c r="AH7452" s="2" t="str">
        <f ca="1"/>
        <v>Bad</v>
      </c>
    </row>
    <row r="7453" spans="2:34" x14ac:dyDescent="0.2">
      <c r="B7453" s="2">
        <f ca="1"/>
        <v>0.56005937721823207</v>
      </c>
      <c r="O7453" s="2">
        <f ca="1"/>
        <v>0.46692224592488873</v>
      </c>
      <c r="X7453" s="2">
        <f ca="1"/>
        <v>56.871227054461393</v>
      </c>
      <c r="AG7453" s="2">
        <f ca="1"/>
        <v>0.17052935564217342</v>
      </c>
      <c r="AH7453" s="2" t="str">
        <f ca="1"/>
        <v>OK</v>
      </c>
    </row>
    <row r="7454" spans="2:34" x14ac:dyDescent="0.2">
      <c r="B7454" s="2">
        <f ca="1"/>
        <v>0.94948325124834065</v>
      </c>
      <c r="O7454" s="2">
        <f ca="1"/>
        <v>0.47023107297467787</v>
      </c>
      <c r="X7454" s="2">
        <f ca="1"/>
        <v>48.457340792107175</v>
      </c>
      <c r="AG7454" s="2">
        <f ca="1"/>
        <v>0.38550197108332807</v>
      </c>
      <c r="AH7454" s="2" t="str">
        <f ca="1"/>
        <v>OK</v>
      </c>
    </row>
    <row r="7455" spans="2:34" x14ac:dyDescent="0.2">
      <c r="B7455" s="2">
        <f ca="1"/>
        <v>0.5062321056828587</v>
      </c>
      <c r="O7455" s="2">
        <f ca="1"/>
        <v>0.35203793813428924</v>
      </c>
      <c r="X7455" s="2">
        <f ca="1"/>
        <v>69.266050695955798</v>
      </c>
      <c r="AG7455" s="2">
        <f ca="1"/>
        <v>0.26108369842189538</v>
      </c>
      <c r="AH7455" s="2" t="str">
        <f ca="1"/>
        <v>OK</v>
      </c>
    </row>
    <row r="7456" spans="2:34" x14ac:dyDescent="0.2">
      <c r="B7456" s="2">
        <f ca="1"/>
        <v>0.40967241977562718</v>
      </c>
      <c r="O7456" s="2">
        <f ca="1"/>
        <v>-1.986799941185208</v>
      </c>
      <c r="X7456" s="2">
        <f ca="1"/>
        <v>48.012788573361888</v>
      </c>
      <c r="AG7456" s="2">
        <f ca="1"/>
        <v>0.95227561858704024</v>
      </c>
      <c r="AH7456" s="2" t="str">
        <f ca="1"/>
        <v>Bad</v>
      </c>
    </row>
    <row r="7457" spans="2:34" x14ac:dyDescent="0.2">
      <c r="B7457" s="2">
        <f ca="1"/>
        <v>0.81264352689582009</v>
      </c>
      <c r="O7457" s="2">
        <f ca="1"/>
        <v>-0.88083267909201735</v>
      </c>
      <c r="X7457" s="2">
        <f ca="1"/>
        <v>42.520784713095921</v>
      </c>
      <c r="AG7457" s="2">
        <f ca="1"/>
        <v>0.60348841784667551</v>
      </c>
      <c r="AH7457" s="2" t="str">
        <f ca="1"/>
        <v>Bad</v>
      </c>
    </row>
    <row r="7458" spans="2:34" x14ac:dyDescent="0.2">
      <c r="B7458" s="2">
        <f ca="1"/>
        <v>0.10328034244278217</v>
      </c>
      <c r="O7458" s="2">
        <f ca="1"/>
        <v>-1.3582706497569972</v>
      </c>
      <c r="X7458" s="2">
        <f ca="1"/>
        <v>54.835264229658343</v>
      </c>
      <c r="AG7458" s="2">
        <f ca="1"/>
        <v>2.3853940229001669E-2</v>
      </c>
      <c r="AH7458" s="2" t="str">
        <f ca="1"/>
        <v>Good</v>
      </c>
    </row>
    <row r="7459" spans="2:34" x14ac:dyDescent="0.2">
      <c r="B7459" s="2">
        <f ca="1"/>
        <v>0.93656787096367311</v>
      </c>
      <c r="O7459" s="2">
        <f ca="1"/>
        <v>-0.89179495098129313</v>
      </c>
      <c r="X7459" s="2">
        <f ca="1"/>
        <v>36.162940212691062</v>
      </c>
      <c r="AG7459" s="2">
        <f ca="1"/>
        <v>0.16835342116992957</v>
      </c>
      <c r="AH7459" s="2" t="str">
        <f ca="1"/>
        <v>OK</v>
      </c>
    </row>
    <row r="7460" spans="2:34" x14ac:dyDescent="0.2">
      <c r="B7460" s="2">
        <f ca="1"/>
        <v>0.25467625661187876</v>
      </c>
      <c r="O7460" s="2">
        <f ca="1"/>
        <v>1.387285409197067</v>
      </c>
      <c r="X7460" s="2">
        <f ca="1"/>
        <v>31.958399075859816</v>
      </c>
      <c r="AG7460" s="2">
        <f ca="1"/>
        <v>6.4477522075674365E-2</v>
      </c>
      <c r="AH7460" s="2" t="str">
        <f ca="1"/>
        <v>OK</v>
      </c>
    </row>
    <row r="7461" spans="2:34" x14ac:dyDescent="0.2">
      <c r="B7461" s="2">
        <f ca="1"/>
        <v>0.51355506692783504</v>
      </c>
      <c r="O7461" s="2">
        <f ca="1"/>
        <v>-0.4353500086514942</v>
      </c>
      <c r="X7461" s="2">
        <f ca="1"/>
        <v>40.863266960924321</v>
      </c>
      <c r="AG7461" s="2">
        <f ca="1"/>
        <v>0.63138345326882783</v>
      </c>
      <c r="AH7461" s="2" t="str">
        <f ca="1"/>
        <v>Bad</v>
      </c>
    </row>
    <row r="7462" spans="2:34" x14ac:dyDescent="0.2">
      <c r="B7462" s="2">
        <f ca="1"/>
        <v>0.23278280522682748</v>
      </c>
      <c r="O7462" s="2">
        <f ca="1"/>
        <v>0.38658272046539116</v>
      </c>
      <c r="X7462" s="2">
        <f ca="1"/>
        <v>59.524126539306799</v>
      </c>
      <c r="AG7462" s="2">
        <f ca="1"/>
        <v>0.31816121787198748</v>
      </c>
      <c r="AH7462" s="2" t="str">
        <f ca="1"/>
        <v>OK</v>
      </c>
    </row>
    <row r="7463" spans="2:34" x14ac:dyDescent="0.2">
      <c r="B7463" s="2">
        <f ca="1"/>
        <v>0.23019032913259263</v>
      </c>
      <c r="O7463" s="2">
        <f ca="1"/>
        <v>1.9851492167194364</v>
      </c>
      <c r="X7463" s="2">
        <f ca="1"/>
        <v>47.125346983137661</v>
      </c>
      <c r="AG7463" s="2">
        <f ca="1"/>
        <v>0.75536693176953373</v>
      </c>
      <c r="AH7463" s="2" t="str">
        <f ca="1"/>
        <v>Bad</v>
      </c>
    </row>
    <row r="7464" spans="2:34" x14ac:dyDescent="0.2">
      <c r="B7464" s="2">
        <f ca="1"/>
        <v>0.89050100969912349</v>
      </c>
      <c r="O7464" s="2">
        <f ca="1"/>
        <v>0.92083775464788775</v>
      </c>
      <c r="X7464" s="2">
        <f ca="1"/>
        <v>56.918926615437243</v>
      </c>
      <c r="AG7464" s="2">
        <f ca="1"/>
        <v>0.52240397698896812</v>
      </c>
      <c r="AH7464" s="2" t="str">
        <f ca="1"/>
        <v>Bad</v>
      </c>
    </row>
    <row r="7465" spans="2:34" x14ac:dyDescent="0.2">
      <c r="B7465" s="2">
        <f ca="1"/>
        <v>0.32304901602881175</v>
      </c>
      <c r="O7465" s="2">
        <f ca="1"/>
        <v>0.32350121842102358</v>
      </c>
      <c r="X7465" s="2">
        <f ca="1"/>
        <v>55.568927232842697</v>
      </c>
      <c r="AG7465" s="2">
        <f ca="1"/>
        <v>7.9987706142567561E-2</v>
      </c>
      <c r="AH7465" s="2" t="str">
        <f ca="1"/>
        <v>OK</v>
      </c>
    </row>
    <row r="7466" spans="2:34" x14ac:dyDescent="0.2">
      <c r="B7466" s="2">
        <f ca="1"/>
        <v>0.73157247736442743</v>
      </c>
      <c r="O7466" s="2">
        <f ca="1"/>
        <v>-0.13034289968879154</v>
      </c>
      <c r="X7466" s="2">
        <f ca="1"/>
        <v>62.993528878832521</v>
      </c>
      <c r="AG7466" s="2">
        <f ca="1"/>
        <v>0.23539369829792944</v>
      </c>
      <c r="AH7466" s="2" t="str">
        <f ca="1"/>
        <v>OK</v>
      </c>
    </row>
    <row r="7467" spans="2:34" x14ac:dyDescent="0.2">
      <c r="B7467" s="2">
        <f ca="1"/>
        <v>0.90404463983459338</v>
      </c>
      <c r="O7467" s="2">
        <f ca="1"/>
        <v>0.11080803078416213</v>
      </c>
      <c r="X7467" s="2">
        <f ca="1"/>
        <v>26.028103369961105</v>
      </c>
      <c r="AG7467" s="2">
        <f ca="1"/>
        <v>0.87544852617288305</v>
      </c>
      <c r="AH7467" s="2" t="str">
        <f ca="1"/>
        <v>Bad</v>
      </c>
    </row>
    <row r="7468" spans="2:34" x14ac:dyDescent="0.2">
      <c r="B7468" s="2">
        <f ca="1"/>
        <v>0.61323065181476744</v>
      </c>
      <c r="O7468" s="2">
        <f ca="1"/>
        <v>-0.19492827831693529</v>
      </c>
      <c r="X7468" s="2">
        <f ca="1"/>
        <v>51.470515616440771</v>
      </c>
      <c r="AG7468" s="2">
        <f ca="1"/>
        <v>0.23012077783834384</v>
      </c>
      <c r="AH7468" s="2" t="str">
        <f ca="1"/>
        <v>OK</v>
      </c>
    </row>
    <row r="7469" spans="2:34" x14ac:dyDescent="0.2">
      <c r="B7469" s="2">
        <f ca="1"/>
        <v>0.66526054562181347</v>
      </c>
      <c r="O7469" s="2">
        <f ca="1"/>
        <v>-1.4935628389948856</v>
      </c>
      <c r="X7469" s="2">
        <f ca="1"/>
        <v>72.406025731498062</v>
      </c>
      <c r="AG7469" s="2">
        <f ca="1"/>
        <v>0.712276005761733</v>
      </c>
      <c r="AH7469" s="2" t="str">
        <f ca="1"/>
        <v>Bad</v>
      </c>
    </row>
    <row r="7470" spans="2:34" x14ac:dyDescent="0.2">
      <c r="B7470" s="2">
        <f ca="1"/>
        <v>0.81323594576755398</v>
      </c>
      <c r="O7470" s="2">
        <f ca="1"/>
        <v>-0.11618326651690243</v>
      </c>
      <c r="X7470" s="2">
        <f ca="1"/>
        <v>109.48627553768077</v>
      </c>
      <c r="AG7470" s="2">
        <f ca="1"/>
        <v>3.1879740546846502E-2</v>
      </c>
      <c r="AH7470" s="2" t="str">
        <f ca="1"/>
        <v>Good</v>
      </c>
    </row>
    <row r="7471" spans="2:34" x14ac:dyDescent="0.2">
      <c r="B7471" s="2">
        <f ca="1"/>
        <v>7.4484526296484832E-2</v>
      </c>
      <c r="O7471" s="2">
        <f ca="1"/>
        <v>-1.7984595513899222</v>
      </c>
      <c r="X7471" s="2">
        <f ca="1"/>
        <v>83.67490122770667</v>
      </c>
      <c r="AG7471" s="2">
        <f ca="1"/>
        <v>3.7373323898118649E-2</v>
      </c>
      <c r="AH7471" s="2" t="str">
        <f ca="1"/>
        <v>Good</v>
      </c>
    </row>
    <row r="7472" spans="2:34" x14ac:dyDescent="0.2">
      <c r="B7472" s="2">
        <f ca="1"/>
        <v>0.53181636789141717</v>
      </c>
      <c r="O7472" s="2">
        <f ca="1"/>
        <v>7.4642396213182957E-2</v>
      </c>
      <c r="X7472" s="2">
        <f ca="1"/>
        <v>45.29642922946519</v>
      </c>
      <c r="AG7472" s="2">
        <f ca="1"/>
        <v>0.83126280579831269</v>
      </c>
      <c r="AH7472" s="2" t="str">
        <f ca="1"/>
        <v>Bad</v>
      </c>
    </row>
    <row r="7473" spans="2:34" x14ac:dyDescent="0.2">
      <c r="B7473" s="2">
        <f ca="1"/>
        <v>3.3275022182400749E-2</v>
      </c>
      <c r="O7473" s="2">
        <f ca="1"/>
        <v>-0.77350110921792259</v>
      </c>
      <c r="X7473" s="2">
        <f ca="1"/>
        <v>37.120457630270927</v>
      </c>
      <c r="AG7473" s="2">
        <f ca="1"/>
        <v>0.27496736498018626</v>
      </c>
      <c r="AH7473" s="2" t="str">
        <f ca="1"/>
        <v>OK</v>
      </c>
    </row>
    <row r="7474" spans="2:34" x14ac:dyDescent="0.2">
      <c r="B7474" s="2">
        <f ca="1"/>
        <v>0.62438565090215659</v>
      </c>
      <c r="O7474" s="2">
        <f ca="1"/>
        <v>-0.5897916016656567</v>
      </c>
      <c r="X7474" s="2">
        <f ca="1"/>
        <v>47.727781315721785</v>
      </c>
      <c r="AG7474" s="2">
        <f ca="1"/>
        <v>0.61053002228926956</v>
      </c>
      <c r="AH7474" s="2" t="str">
        <f ca="1"/>
        <v>Bad</v>
      </c>
    </row>
    <row r="7475" spans="2:34" x14ac:dyDescent="0.2">
      <c r="B7475" s="2">
        <f ca="1"/>
        <v>0.89562181259218332</v>
      </c>
      <c r="O7475" s="2">
        <f ca="1"/>
        <v>0.82292208405079204</v>
      </c>
      <c r="X7475" s="2">
        <f ca="1"/>
        <v>78.524344251674222</v>
      </c>
      <c r="AG7475" s="2">
        <f ca="1"/>
        <v>0.97620759709436977</v>
      </c>
      <c r="AH7475" s="2" t="str">
        <f ca="1"/>
        <v>Bad</v>
      </c>
    </row>
    <row r="7476" spans="2:34" x14ac:dyDescent="0.2">
      <c r="B7476" s="2">
        <f ca="1"/>
        <v>0.66719681753102278</v>
      </c>
      <c r="O7476" s="2">
        <f ca="1"/>
        <v>-0.11112482698070218</v>
      </c>
      <c r="X7476" s="2">
        <f ca="1"/>
        <v>58.246582787972734</v>
      </c>
      <c r="AG7476" s="2">
        <f ca="1"/>
        <v>0.75752889608174168</v>
      </c>
      <c r="AH7476" s="2" t="str">
        <f ca="1"/>
        <v>Bad</v>
      </c>
    </row>
    <row r="7477" spans="2:34" x14ac:dyDescent="0.2">
      <c r="B7477" s="2">
        <f ca="1"/>
        <v>0.88602176351033002</v>
      </c>
      <c r="O7477" s="2">
        <f ca="1"/>
        <v>-0.32147666468662967</v>
      </c>
      <c r="X7477" s="2">
        <f ca="1"/>
        <v>57.803898505319545</v>
      </c>
      <c r="AG7477" s="2">
        <f ca="1"/>
        <v>0.88220096116849112</v>
      </c>
      <c r="AH7477" s="2" t="str">
        <f ca="1"/>
        <v>Bad</v>
      </c>
    </row>
    <row r="7478" spans="2:34" x14ac:dyDescent="0.2">
      <c r="B7478" s="2">
        <f ca="1"/>
        <v>0.91484086234586259</v>
      </c>
      <c r="O7478" s="2">
        <f ca="1"/>
        <v>0.66458093591759171</v>
      </c>
      <c r="X7478" s="2">
        <f ca="1"/>
        <v>49.573296695953985</v>
      </c>
      <c r="AG7478" s="2">
        <f ca="1"/>
        <v>6.1199905021702694E-3</v>
      </c>
      <c r="AH7478" s="2" t="str">
        <f ca="1"/>
        <v>Good</v>
      </c>
    </row>
    <row r="7479" spans="2:34" x14ac:dyDescent="0.2">
      <c r="B7479" s="2">
        <f ca="1"/>
        <v>2.9501704359202297E-2</v>
      </c>
      <c r="O7479" s="2">
        <f ca="1"/>
        <v>1.0357539265797813</v>
      </c>
      <c r="X7479" s="2">
        <f ca="1"/>
        <v>54.961145046113238</v>
      </c>
      <c r="AG7479" s="2">
        <f ca="1"/>
        <v>0.16683851361095114</v>
      </c>
      <c r="AH7479" s="2" t="str">
        <f ca="1"/>
        <v>OK</v>
      </c>
    </row>
    <row r="7480" spans="2:34" x14ac:dyDescent="0.2">
      <c r="B7480" s="2">
        <f ca="1"/>
        <v>6.914278231037807E-2</v>
      </c>
      <c r="O7480" s="2">
        <f ca="1"/>
        <v>-1.304106846189087</v>
      </c>
      <c r="X7480" s="2">
        <f ca="1"/>
        <v>39.97606242398885</v>
      </c>
      <c r="AG7480" s="2">
        <f ca="1"/>
        <v>1.2272567995010197E-2</v>
      </c>
      <c r="AH7480" s="2" t="str">
        <f ca="1"/>
        <v>Good</v>
      </c>
    </row>
    <row r="7481" spans="2:34" x14ac:dyDescent="0.2">
      <c r="B7481" s="2">
        <f ca="1"/>
        <v>0.85571446791080752</v>
      </c>
      <c r="O7481" s="2">
        <f ca="1"/>
        <v>-0.4033230770735477</v>
      </c>
      <c r="X7481" s="2">
        <f ca="1"/>
        <v>56.924991097758273</v>
      </c>
      <c r="AG7481" s="2">
        <f ca="1"/>
        <v>0.68363620950755255</v>
      </c>
      <c r="AH7481" s="2" t="str">
        <f ca="1"/>
        <v>Bad</v>
      </c>
    </row>
    <row r="7482" spans="2:34" x14ac:dyDescent="0.2">
      <c r="B7482" s="2">
        <f ca="1"/>
        <v>1.4905609327913627E-2</v>
      </c>
      <c r="O7482" s="2">
        <f ca="1"/>
        <v>-6.0441401970490652E-2</v>
      </c>
      <c r="X7482" s="2">
        <f ca="1"/>
        <v>94.408948803787197</v>
      </c>
      <c r="AG7482" s="2">
        <f ca="1"/>
        <v>2.1056926632827544E-3</v>
      </c>
      <c r="AH7482" s="2" t="str">
        <f ca="1"/>
        <v>Good</v>
      </c>
    </row>
    <row r="7483" spans="2:34" x14ac:dyDescent="0.2">
      <c r="B7483" s="2">
        <f ca="1"/>
        <v>0.26282407270550356</v>
      </c>
      <c r="O7483" s="2">
        <f ca="1"/>
        <v>0.33438845884452439</v>
      </c>
      <c r="X7483" s="2">
        <f ca="1"/>
        <v>41.098834612746877</v>
      </c>
      <c r="AG7483" s="2">
        <f ca="1"/>
        <v>0.82254878450122315</v>
      </c>
      <c r="AH7483" s="2" t="str">
        <f ca="1"/>
        <v>Bad</v>
      </c>
    </row>
    <row r="7484" spans="2:34" x14ac:dyDescent="0.2">
      <c r="B7484" s="2">
        <f ca="1"/>
        <v>0.7799396253716131</v>
      </c>
      <c r="O7484" s="2">
        <f ca="1"/>
        <v>2.3354279795464339</v>
      </c>
      <c r="X7484" s="2">
        <f ca="1"/>
        <v>86.910405306031549</v>
      </c>
      <c r="AG7484" s="2">
        <f ca="1"/>
        <v>0.1881567808536706</v>
      </c>
      <c r="AH7484" s="2" t="str">
        <f ca="1"/>
        <v>OK</v>
      </c>
    </row>
    <row r="7485" spans="2:34" x14ac:dyDescent="0.2">
      <c r="B7485" s="2">
        <f ca="1"/>
        <v>0.95195071115171137</v>
      </c>
      <c r="O7485" s="2">
        <f ca="1"/>
        <v>1.6378458076490341</v>
      </c>
      <c r="X7485" s="2">
        <f ca="1"/>
        <v>54.400592565479329</v>
      </c>
      <c r="AG7485" s="2">
        <f ca="1"/>
        <v>0.67178958900098706</v>
      </c>
      <c r="AH7485" s="2" t="str">
        <f ca="1"/>
        <v>Bad</v>
      </c>
    </row>
    <row r="7486" spans="2:34" x14ac:dyDescent="0.2">
      <c r="B7486" s="2">
        <f ca="1"/>
        <v>0.14532156272488539</v>
      </c>
      <c r="O7486" s="2">
        <f ca="1"/>
        <v>-0.3278049256506278</v>
      </c>
      <c r="X7486" s="2">
        <f ca="1"/>
        <v>48.141488068101246</v>
      </c>
      <c r="AG7486" s="2">
        <f ca="1"/>
        <v>0.37449645343760896</v>
      </c>
      <c r="AH7486" s="2" t="str">
        <f ca="1"/>
        <v>OK</v>
      </c>
    </row>
    <row r="7487" spans="2:34" x14ac:dyDescent="0.2">
      <c r="B7487" s="2">
        <f ca="1"/>
        <v>0.44764215692965736</v>
      </c>
      <c r="O7487" s="2">
        <f ca="1"/>
        <v>1.4857363315076482</v>
      </c>
      <c r="X7487" s="2">
        <f ca="1"/>
        <v>25.476710438661904</v>
      </c>
      <c r="AG7487" s="2">
        <f ca="1"/>
        <v>0.98764109600417549</v>
      </c>
      <c r="AH7487" s="2" t="str">
        <f ca="1"/>
        <v>Bad</v>
      </c>
    </row>
    <row r="7488" spans="2:34" x14ac:dyDescent="0.2">
      <c r="B7488" s="2">
        <f ca="1"/>
        <v>0.73233088074828245</v>
      </c>
      <c r="O7488" s="2">
        <f ca="1"/>
        <v>-0.24690821891205791</v>
      </c>
      <c r="X7488" s="2">
        <f ca="1"/>
        <v>56.456486515111123</v>
      </c>
      <c r="AG7488" s="2">
        <f ca="1"/>
        <v>0.79851662110887656</v>
      </c>
      <c r="AH7488" s="2" t="str">
        <f ca="1"/>
        <v>Bad</v>
      </c>
    </row>
    <row r="7489" spans="2:34" x14ac:dyDescent="0.2">
      <c r="B7489" s="2">
        <f ca="1"/>
        <v>3.7620177959917456E-2</v>
      </c>
      <c r="O7489" s="2">
        <f ca="1"/>
        <v>1.0793534534653078</v>
      </c>
      <c r="X7489" s="2">
        <f ca="1"/>
        <v>43.225376457655322</v>
      </c>
      <c r="AG7489" s="2">
        <f ca="1"/>
        <v>0.45375184848811556</v>
      </c>
      <c r="AH7489" s="2" t="str">
        <f ca="1"/>
        <v>Bad</v>
      </c>
    </row>
    <row r="7490" spans="2:34" x14ac:dyDescent="0.2">
      <c r="B7490" s="2">
        <f ca="1"/>
        <v>0.44711044522937726</v>
      </c>
      <c r="O7490" s="2">
        <f ca="1"/>
        <v>0.19625792153364463</v>
      </c>
      <c r="X7490" s="2">
        <f ca="1"/>
        <v>68.760094374496049</v>
      </c>
      <c r="AG7490" s="2">
        <f ca="1"/>
        <v>0.96936852360544523</v>
      </c>
      <c r="AH7490" s="2" t="str">
        <f ca="1"/>
        <v>Bad</v>
      </c>
    </row>
    <row r="7491" spans="2:34" x14ac:dyDescent="0.2">
      <c r="B7491" s="2">
        <f ca="1"/>
        <v>0.91101616278039899</v>
      </c>
      <c r="O7491" s="2">
        <f ca="1"/>
        <v>-0.25760593086478156</v>
      </c>
      <c r="X7491" s="2">
        <f ca="1"/>
        <v>53.023008589666638</v>
      </c>
      <c r="AG7491" s="2">
        <f ca="1"/>
        <v>0.36062332238421435</v>
      </c>
      <c r="AH7491" s="2" t="str">
        <f ca="1"/>
        <v>OK</v>
      </c>
    </row>
    <row r="7492" spans="2:34" x14ac:dyDescent="0.2">
      <c r="B7492" s="2">
        <f ca="1"/>
        <v>0.25453733870538753</v>
      </c>
      <c r="O7492" s="2">
        <f ca="1"/>
        <v>0.42750318520403396</v>
      </c>
      <c r="X7492" s="2">
        <f ca="1"/>
        <v>58.802390160590441</v>
      </c>
      <c r="AG7492" s="2">
        <f ca="1"/>
        <v>2.7806482405147381E-2</v>
      </c>
      <c r="AH7492" s="2" t="str">
        <f ca="1"/>
        <v>Good</v>
      </c>
    </row>
    <row r="7493" spans="2:34" x14ac:dyDescent="0.2">
      <c r="B7493" s="2">
        <f ca="1"/>
        <v>2.7025408975641874E-2</v>
      </c>
      <c r="O7493" s="2">
        <f ca="1"/>
        <v>0.6281239311948269</v>
      </c>
      <c r="X7493" s="2">
        <f ca="1"/>
        <v>27.715889643404438</v>
      </c>
      <c r="AG7493" s="2">
        <f ca="1"/>
        <v>0.98452980128527057</v>
      </c>
      <c r="AH7493" s="2" t="str">
        <f ca="1"/>
        <v>Bad</v>
      </c>
    </row>
    <row r="7494" spans="2:34" x14ac:dyDescent="0.2">
      <c r="B7494" s="2">
        <f ca="1"/>
        <v>0.2932521042638554</v>
      </c>
      <c r="O7494" s="2">
        <f ca="1"/>
        <v>-0.4666543164361433</v>
      </c>
      <c r="X7494" s="2">
        <f ca="1"/>
        <v>44.617118002838644</v>
      </c>
      <c r="AG7494" s="2">
        <f ca="1"/>
        <v>0.42853840562061718</v>
      </c>
      <c r="AH7494" s="2" t="str">
        <f ca="1"/>
        <v>Bad</v>
      </c>
    </row>
    <row r="7495" spans="2:34" x14ac:dyDescent="0.2">
      <c r="B7495" s="2">
        <f ca="1"/>
        <v>0.69338619141656266</v>
      </c>
      <c r="O7495" s="2">
        <f ca="1"/>
        <v>1.2654906538840922</v>
      </c>
      <c r="X7495" s="2">
        <f ca="1"/>
        <v>43.046169209815105</v>
      </c>
      <c r="AG7495" s="2">
        <f ca="1"/>
        <v>6.1605345725571414E-2</v>
      </c>
      <c r="AH7495" s="2" t="str">
        <f ca="1"/>
        <v>OK</v>
      </c>
    </row>
    <row r="7496" spans="2:34" x14ac:dyDescent="0.2">
      <c r="B7496" s="2">
        <f ca="1"/>
        <v>0.74241584875928734</v>
      </c>
      <c r="O7496" s="2">
        <f ca="1"/>
        <v>-1.0686232497947361</v>
      </c>
      <c r="X7496" s="2">
        <f ca="1"/>
        <v>91.364568237119116</v>
      </c>
      <c r="AG7496" s="2">
        <f ca="1"/>
        <v>0.10620427196473203</v>
      </c>
      <c r="AH7496" s="2" t="str">
        <f ca="1"/>
        <v>OK</v>
      </c>
    </row>
    <row r="7497" spans="2:34" x14ac:dyDescent="0.2">
      <c r="B7497" s="2">
        <f ca="1"/>
        <v>0.64990685005128968</v>
      </c>
      <c r="O7497" s="2">
        <f ca="1"/>
        <v>0.83944945225649503</v>
      </c>
      <c r="X7497" s="2">
        <f ca="1"/>
        <v>31.22829472817422</v>
      </c>
      <c r="AG7497" s="2">
        <f ca="1"/>
        <v>0.24760538741909244</v>
      </c>
      <c r="AH7497" s="2" t="str">
        <f ca="1"/>
        <v>OK</v>
      </c>
    </row>
    <row r="7498" spans="2:34" x14ac:dyDescent="0.2">
      <c r="B7498" s="2">
        <f ca="1"/>
        <v>0.47863145326102985</v>
      </c>
      <c r="O7498" s="2">
        <f ca="1"/>
        <v>-0.13045835640798056</v>
      </c>
      <c r="X7498" s="2">
        <f ca="1"/>
        <v>8.5382936043638207</v>
      </c>
      <c r="AG7498" s="2">
        <f ca="1"/>
        <v>0.23348471991405373</v>
      </c>
      <c r="AH7498" s="2" t="str">
        <f ca="1"/>
        <v>OK</v>
      </c>
    </row>
    <row r="7499" spans="2:34" x14ac:dyDescent="0.2">
      <c r="B7499" s="2">
        <f ca="1"/>
        <v>0.37180286331075685</v>
      </c>
      <c r="O7499" s="2">
        <f ca="1"/>
        <v>0.13353222545139959</v>
      </c>
      <c r="X7499" s="2">
        <f ca="1"/>
        <v>42.499229846653321</v>
      </c>
      <c r="AG7499" s="2">
        <f ca="1"/>
        <v>0.74083013159395184</v>
      </c>
      <c r="AH7499" s="2" t="str">
        <f ca="1"/>
        <v>Bad</v>
      </c>
    </row>
    <row r="7500" spans="2:34" x14ac:dyDescent="0.2">
      <c r="B7500" s="2">
        <f ca="1"/>
        <v>0.46072304828773114</v>
      </c>
      <c r="O7500" s="2">
        <f ca="1"/>
        <v>0.33296654386306096</v>
      </c>
      <c r="X7500" s="2">
        <f ca="1"/>
        <v>76.314260028304503</v>
      </c>
      <c r="AG7500" s="2">
        <f ca="1"/>
        <v>0.87714976594864069</v>
      </c>
      <c r="AH7500" s="2" t="str">
        <f ca="1"/>
        <v>Bad</v>
      </c>
    </row>
    <row r="7501" spans="2:34" x14ac:dyDescent="0.2">
      <c r="B7501" s="2">
        <f ca="1"/>
        <v>0.67338804463078983</v>
      </c>
      <c r="O7501" s="2">
        <f ca="1"/>
        <v>-0.86911752875080961</v>
      </c>
      <c r="X7501" s="2">
        <f ca="1"/>
        <v>46.997003609602629</v>
      </c>
      <c r="AG7501" s="2">
        <f ca="1"/>
        <v>0.50538670376673944</v>
      </c>
      <c r="AH7501" s="2" t="str">
        <f ca="1"/>
        <v>Bad</v>
      </c>
    </row>
    <row r="7502" spans="2:34" x14ac:dyDescent="0.2">
      <c r="B7502" s="2">
        <f ca="1"/>
        <v>0.72635579841389308</v>
      </c>
      <c r="O7502" s="2">
        <f ca="1"/>
        <v>-0.72497349028137281</v>
      </c>
      <c r="X7502" s="2">
        <f ca="1"/>
        <v>61.493824345269815</v>
      </c>
      <c r="AG7502" s="2">
        <f ca="1"/>
        <v>0.40943351813124562</v>
      </c>
      <c r="AH7502" s="2" t="str">
        <f ca="1"/>
        <v>Bad</v>
      </c>
    </row>
    <row r="7503" spans="2:34" x14ac:dyDescent="0.2">
      <c r="B7503" s="2">
        <f ca="1"/>
        <v>0.74115955673053513</v>
      </c>
      <c r="O7503" s="2">
        <f ca="1"/>
        <v>0.77252676950683263</v>
      </c>
      <c r="X7503" s="2">
        <f ca="1"/>
        <v>42.730410161933449</v>
      </c>
      <c r="AG7503" s="2">
        <f ca="1"/>
        <v>6.8274925769578498E-2</v>
      </c>
      <c r="AH7503" s="2" t="str">
        <f ca="1"/>
        <v>OK</v>
      </c>
    </row>
    <row r="7504" spans="2:34" x14ac:dyDescent="0.2">
      <c r="B7504" s="2">
        <f ca="1"/>
        <v>0.4684967601212191</v>
      </c>
      <c r="O7504" s="2">
        <f ca="1"/>
        <v>-1.3948782659729406</v>
      </c>
      <c r="X7504" s="2">
        <f ca="1"/>
        <v>43.965172178183849</v>
      </c>
      <c r="AG7504" s="2">
        <f ca="1"/>
        <v>0.79001233940228444</v>
      </c>
      <c r="AH7504" s="2" t="str">
        <f ca="1"/>
        <v>Bad</v>
      </c>
    </row>
    <row r="7505" spans="2:34" x14ac:dyDescent="0.2">
      <c r="B7505" s="2">
        <f ca="1"/>
        <v>0.73168694198775031</v>
      </c>
      <c r="O7505" s="2">
        <f ca="1"/>
        <v>1.1063674015260896</v>
      </c>
      <c r="X7505" s="2">
        <f ca="1"/>
        <v>30.889525500965668</v>
      </c>
      <c r="AG7505" s="2">
        <f ca="1"/>
        <v>0.71399541617459672</v>
      </c>
      <c r="AH7505" s="2" t="str">
        <f ca="1"/>
        <v>Bad</v>
      </c>
    </row>
    <row r="7506" spans="2:34" x14ac:dyDescent="0.2">
      <c r="B7506" s="2">
        <f ca="1"/>
        <v>0.48338028922954668</v>
      </c>
      <c r="O7506" s="2">
        <f ca="1"/>
        <v>-1.6722953255054216</v>
      </c>
      <c r="X7506" s="2">
        <f ca="1"/>
        <v>36.827753678904962</v>
      </c>
      <c r="AG7506" s="2">
        <f ca="1"/>
        <v>0.60355811889899491</v>
      </c>
      <c r="AH7506" s="2" t="str">
        <f ca="1"/>
        <v>Bad</v>
      </c>
    </row>
    <row r="7507" spans="2:34" x14ac:dyDescent="0.2">
      <c r="B7507" s="2">
        <f ca="1"/>
        <v>0.85597949154926622</v>
      </c>
      <c r="O7507" s="2">
        <f ca="1"/>
        <v>-0.78785522919597528</v>
      </c>
      <c r="X7507" s="2">
        <f ca="1"/>
        <v>36.942486251393959</v>
      </c>
      <c r="AG7507" s="2">
        <f ca="1"/>
        <v>0.21287149075577805</v>
      </c>
      <c r="AH7507" s="2" t="str">
        <f ca="1"/>
        <v>OK</v>
      </c>
    </row>
    <row r="7508" spans="2:34" x14ac:dyDescent="0.2">
      <c r="B7508" s="2">
        <f ca="1"/>
        <v>0.15244254080812158</v>
      </c>
      <c r="O7508" s="2">
        <f ca="1"/>
        <v>0.10561854993950549</v>
      </c>
      <c r="X7508" s="2">
        <f ca="1"/>
        <v>60.565413961543427</v>
      </c>
      <c r="AG7508" s="2">
        <f ca="1"/>
        <v>0.71413344323765382</v>
      </c>
      <c r="AH7508" s="2" t="str">
        <f ca="1"/>
        <v>Bad</v>
      </c>
    </row>
    <row r="7509" spans="2:34" x14ac:dyDescent="0.2">
      <c r="B7509" s="2">
        <f ca="1"/>
        <v>5.2648318977710273E-2</v>
      </c>
      <c r="O7509" s="2">
        <f ca="1"/>
        <v>0.74652391546314534</v>
      </c>
      <c r="X7509" s="2">
        <f ca="1"/>
        <v>45.254637076440076</v>
      </c>
      <c r="AG7509" s="2">
        <f ca="1"/>
        <v>0.9450204853310753</v>
      </c>
      <c r="AH7509" s="2" t="str">
        <f ca="1"/>
        <v>Bad</v>
      </c>
    </row>
    <row r="7510" spans="2:34" x14ac:dyDescent="0.2">
      <c r="B7510" s="2">
        <f ca="1"/>
        <v>0.43084922638452583</v>
      </c>
      <c r="O7510" s="2">
        <f ca="1"/>
        <v>-1.4866114866910598</v>
      </c>
      <c r="X7510" s="2">
        <f ca="1"/>
        <v>56.343677203764202</v>
      </c>
      <c r="AG7510" s="2">
        <f ca="1"/>
        <v>0.97396547410896295</v>
      </c>
      <c r="AH7510" s="2" t="str">
        <f ca="1"/>
        <v>Bad</v>
      </c>
    </row>
    <row r="7511" spans="2:34" x14ac:dyDescent="0.2">
      <c r="B7511" s="2">
        <f ca="1"/>
        <v>0.82100739069955031</v>
      </c>
      <c r="O7511" s="2">
        <f ca="1"/>
        <v>9.6186143477421191E-3</v>
      </c>
      <c r="X7511" s="2">
        <f ca="1"/>
        <v>61.458700366191586</v>
      </c>
      <c r="AG7511" s="2">
        <f ca="1"/>
        <v>0.93787076425880156</v>
      </c>
      <c r="AH7511" s="2" t="str">
        <f ca="1"/>
        <v>Bad</v>
      </c>
    </row>
    <row r="7512" spans="2:34" x14ac:dyDescent="0.2">
      <c r="B7512" s="2">
        <f ca="1"/>
        <v>0.93484269397052766</v>
      </c>
      <c r="O7512" s="2">
        <f ca="1"/>
        <v>-0.49261884151876373</v>
      </c>
      <c r="X7512" s="2">
        <f ca="1"/>
        <v>45.208186527769165</v>
      </c>
      <c r="AG7512" s="2">
        <f ca="1"/>
        <v>0.91652723119099644</v>
      </c>
      <c r="AH7512" s="2" t="str">
        <f ca="1"/>
        <v>Bad</v>
      </c>
    </row>
    <row r="7513" spans="2:34" x14ac:dyDescent="0.2">
      <c r="B7513" s="2">
        <f ca="1"/>
        <v>0.68465392797806457</v>
      </c>
      <c r="O7513" s="2">
        <f ca="1"/>
        <v>0.40877713146500955</v>
      </c>
      <c r="X7513" s="2">
        <f ca="1"/>
        <v>63.67765503770103</v>
      </c>
      <c r="AG7513" s="2">
        <f ca="1"/>
        <v>0.22514072873161983</v>
      </c>
      <c r="AH7513" s="2" t="str">
        <f ca="1"/>
        <v>OK</v>
      </c>
    </row>
    <row r="7514" spans="2:34" x14ac:dyDescent="0.2">
      <c r="B7514" s="2">
        <f ca="1"/>
        <v>0.53137656874270189</v>
      </c>
      <c r="O7514" s="2">
        <f ca="1"/>
        <v>-0.80213576640550555</v>
      </c>
      <c r="X7514" s="2">
        <f ca="1"/>
        <v>49.328192845716579</v>
      </c>
      <c r="AG7514" s="2">
        <f ca="1"/>
        <v>0.42662759575368026</v>
      </c>
      <c r="AH7514" s="2" t="str">
        <f ca="1"/>
        <v>Bad</v>
      </c>
    </row>
    <row r="7515" spans="2:34" x14ac:dyDescent="0.2">
      <c r="B7515" s="2">
        <f ca="1"/>
        <v>0.50491864557010979</v>
      </c>
      <c r="O7515" s="2">
        <f ca="1"/>
        <v>0.41909800541344061</v>
      </c>
      <c r="X7515" s="2">
        <f ca="1"/>
        <v>42.878838025563667</v>
      </c>
      <c r="AG7515" s="2">
        <f ca="1"/>
        <v>0.27459508311531788</v>
      </c>
      <c r="AH7515" s="2" t="str">
        <f ca="1"/>
        <v>OK</v>
      </c>
    </row>
    <row r="7516" spans="2:34" x14ac:dyDescent="0.2">
      <c r="B7516" s="2">
        <f ca="1"/>
        <v>0.48062915863256062</v>
      </c>
      <c r="O7516" s="2">
        <f ca="1"/>
        <v>1.0512765033613938</v>
      </c>
      <c r="X7516" s="2">
        <f ca="1"/>
        <v>61.790240187904153</v>
      </c>
      <c r="AG7516" s="2">
        <f ca="1"/>
        <v>0.85944082950231948</v>
      </c>
      <c r="AH7516" s="2" t="str">
        <f ca="1"/>
        <v>Bad</v>
      </c>
    </row>
    <row r="7517" spans="2:34" x14ac:dyDescent="0.2">
      <c r="B7517" s="2">
        <f ca="1"/>
        <v>0.39770290062090452</v>
      </c>
      <c r="O7517" s="2">
        <f ca="1"/>
        <v>5.3972276729592719E-2</v>
      </c>
      <c r="X7517" s="2">
        <f ca="1"/>
        <v>65.108552350136918</v>
      </c>
      <c r="AG7517" s="2">
        <f ca="1"/>
        <v>0.35505433039866374</v>
      </c>
      <c r="AH7517" s="2" t="str">
        <f ca="1"/>
        <v>OK</v>
      </c>
    </row>
    <row r="7518" spans="2:34" x14ac:dyDescent="0.2">
      <c r="B7518" s="2">
        <f ca="1"/>
        <v>0.27182580299407166</v>
      </c>
      <c r="O7518" s="2">
        <f ca="1"/>
        <v>1.1513368741187735</v>
      </c>
      <c r="X7518" s="2">
        <f ca="1"/>
        <v>36.622576230588066</v>
      </c>
      <c r="AG7518" s="2">
        <f ca="1"/>
        <v>0.30170842521066565</v>
      </c>
      <c r="AH7518" s="2" t="str">
        <f ca="1"/>
        <v>OK</v>
      </c>
    </row>
    <row r="7519" spans="2:34" x14ac:dyDescent="0.2">
      <c r="B7519" s="2">
        <f ca="1"/>
        <v>0.9409619716733304</v>
      </c>
      <c r="O7519" s="2">
        <f ca="1"/>
        <v>7.6432426852461391E-2</v>
      </c>
      <c r="X7519" s="2">
        <f ca="1"/>
        <v>37.984860250022848</v>
      </c>
      <c r="AG7519" s="2">
        <f ca="1"/>
        <v>0.34449299473773776</v>
      </c>
      <c r="AH7519" s="2" t="str">
        <f ca="1"/>
        <v>OK</v>
      </c>
    </row>
    <row r="7520" spans="2:34" x14ac:dyDescent="0.2">
      <c r="B7520" s="2">
        <f ca="1"/>
        <v>0.24071583940231878</v>
      </c>
      <c r="O7520" s="2">
        <f ca="1"/>
        <v>2.76737927465265</v>
      </c>
      <c r="X7520" s="2">
        <f ca="1"/>
        <v>59.06521882184235</v>
      </c>
      <c r="AG7520" s="2">
        <f ca="1"/>
        <v>0.65177606520077247</v>
      </c>
      <c r="AH7520" s="2" t="str">
        <f ca="1"/>
        <v>Bad</v>
      </c>
    </row>
    <row r="7521" spans="2:34" x14ac:dyDescent="0.2">
      <c r="B7521" s="2">
        <f ca="1"/>
        <v>0.2959582020933007</v>
      </c>
      <c r="O7521" s="2">
        <f ca="1"/>
        <v>1.6150749729740597</v>
      </c>
      <c r="X7521" s="2">
        <f ca="1"/>
        <v>76.245906802463736</v>
      </c>
      <c r="AG7521" s="2">
        <f ca="1"/>
        <v>0.2271742132896839</v>
      </c>
      <c r="AH7521" s="2" t="str">
        <f ca="1"/>
        <v>OK</v>
      </c>
    </row>
    <row r="7522" spans="2:34" x14ac:dyDescent="0.2">
      <c r="B7522" s="2">
        <f ca="1"/>
        <v>0.24365449723123889</v>
      </c>
      <c r="O7522" s="2">
        <f ca="1"/>
        <v>-0.73008324627252497</v>
      </c>
      <c r="X7522" s="2">
        <f ca="1"/>
        <v>35.928234810451613</v>
      </c>
      <c r="AG7522" s="2">
        <f ca="1"/>
        <v>1.7516929901482792E-2</v>
      </c>
      <c r="AH7522" s="2" t="str">
        <f ca="1"/>
        <v>Good</v>
      </c>
    </row>
    <row r="7523" spans="2:34" x14ac:dyDescent="0.2">
      <c r="B7523" s="2">
        <f ca="1"/>
        <v>0.71557170165601414</v>
      </c>
      <c r="O7523" s="2">
        <f ca="1"/>
        <v>-9.2668743300941256E-2</v>
      </c>
      <c r="X7523" s="2">
        <f ca="1"/>
        <v>71.024785266640393</v>
      </c>
      <c r="AG7523" s="2">
        <f ca="1"/>
        <v>0.87744917018769542</v>
      </c>
      <c r="AH7523" s="2" t="str">
        <f ca="1"/>
        <v>Bad</v>
      </c>
    </row>
    <row r="7524" spans="2:34" x14ac:dyDescent="0.2">
      <c r="B7524" s="2">
        <f ca="1"/>
        <v>0.560907672048093</v>
      </c>
      <c r="O7524" s="2">
        <f ca="1"/>
        <v>-0.43074916722638157</v>
      </c>
      <c r="X7524" s="2">
        <f ca="1"/>
        <v>38.486459213117648</v>
      </c>
      <c r="AG7524" s="2">
        <f ca="1"/>
        <v>0.43781776659341243</v>
      </c>
      <c r="AH7524" s="2" t="str">
        <f ca="1"/>
        <v>Bad</v>
      </c>
    </row>
    <row r="7525" spans="2:34" x14ac:dyDescent="0.2">
      <c r="B7525" s="2">
        <f ca="1"/>
        <v>0.56354894326564819</v>
      </c>
      <c r="O7525" s="2">
        <f ca="1"/>
        <v>0.98665406687361978</v>
      </c>
      <c r="X7525" s="2">
        <f ca="1"/>
        <v>45.148440254221534</v>
      </c>
      <c r="AG7525" s="2">
        <f ca="1"/>
        <v>5.8164547264878852E-2</v>
      </c>
      <c r="AH7525" s="2" t="str">
        <f ca="1"/>
        <v>OK</v>
      </c>
    </row>
    <row r="7526" spans="2:34" x14ac:dyDescent="0.2">
      <c r="B7526" s="2">
        <f ca="1"/>
        <v>0.18468009496682791</v>
      </c>
      <c r="O7526" s="2">
        <f ca="1"/>
        <v>-0.45214514186442256</v>
      </c>
      <c r="X7526" s="2">
        <f ca="1"/>
        <v>62.420491564803235</v>
      </c>
      <c r="AG7526" s="2">
        <f ca="1"/>
        <v>0.39259962300540319</v>
      </c>
      <c r="AH7526" s="2" t="str">
        <f ca="1"/>
        <v>OK</v>
      </c>
    </row>
    <row r="7527" spans="2:34" x14ac:dyDescent="0.2">
      <c r="B7527" s="2">
        <f ca="1"/>
        <v>0.36171115844372714</v>
      </c>
      <c r="O7527" s="2">
        <f ca="1"/>
        <v>-0.89854941539186461</v>
      </c>
      <c r="X7527" s="2">
        <f ca="1"/>
        <v>50.341170182107092</v>
      </c>
      <c r="AG7527" s="2">
        <f ca="1"/>
        <v>0.64446090440552162</v>
      </c>
      <c r="AH7527" s="2" t="str">
        <f ca="1"/>
        <v>Bad</v>
      </c>
    </row>
    <row r="7528" spans="2:34" x14ac:dyDescent="0.2">
      <c r="B7528" s="2">
        <f ca="1"/>
        <v>5.0636986997699696E-2</v>
      </c>
      <c r="O7528" s="2">
        <f ca="1"/>
        <v>-1.0334159111551557</v>
      </c>
      <c r="X7528" s="2">
        <f ca="1"/>
        <v>35.645327461507165</v>
      </c>
      <c r="AG7528" s="2">
        <f ca="1"/>
        <v>0.82801928236699207</v>
      </c>
      <c r="AH7528" s="2" t="str">
        <f ca="1"/>
        <v>Bad</v>
      </c>
    </row>
    <row r="7529" spans="2:34" x14ac:dyDescent="0.2">
      <c r="B7529" s="2">
        <f ca="1"/>
        <v>0.69126835657338814</v>
      </c>
      <c r="O7529" s="2">
        <f ca="1"/>
        <v>1.453140753581329</v>
      </c>
      <c r="X7529" s="2">
        <f ca="1"/>
        <v>39.266814101940739</v>
      </c>
      <c r="AG7529" s="2">
        <f ca="1"/>
        <v>0.906253698619649</v>
      </c>
      <c r="AH7529" s="2" t="str">
        <f ca="1"/>
        <v>Bad</v>
      </c>
    </row>
    <row r="7530" spans="2:34" x14ac:dyDescent="0.2">
      <c r="B7530" s="2">
        <f ca="1"/>
        <v>0.1258504188041496</v>
      </c>
      <c r="O7530" s="2">
        <f ca="1"/>
        <v>-0.43334615247077274</v>
      </c>
      <c r="X7530" s="2">
        <f ca="1"/>
        <v>74.095524435854585</v>
      </c>
      <c r="AG7530" s="2">
        <f ca="1"/>
        <v>0.8962295122182482</v>
      </c>
      <c r="AH7530" s="2" t="str">
        <f ca="1"/>
        <v>Bad</v>
      </c>
    </row>
    <row r="7531" spans="2:34" x14ac:dyDescent="0.2">
      <c r="B7531" s="2">
        <f ca="1"/>
        <v>0.93203252467054765</v>
      </c>
      <c r="O7531" s="2">
        <f ca="1"/>
        <v>-0.23813444147447663</v>
      </c>
      <c r="X7531" s="2">
        <f ca="1"/>
        <v>35.958159599222476</v>
      </c>
      <c r="AG7531" s="2">
        <f ca="1"/>
        <v>0.65915118573756448</v>
      </c>
      <c r="AH7531" s="2" t="str">
        <f ca="1"/>
        <v>Bad</v>
      </c>
    </row>
    <row r="7532" spans="2:34" x14ac:dyDescent="0.2">
      <c r="B7532" s="2">
        <f ca="1"/>
        <v>0.22843780066307007</v>
      </c>
      <c r="O7532" s="2">
        <f ca="1"/>
        <v>-0.50710557847821625</v>
      </c>
      <c r="X7532" s="2">
        <f ca="1"/>
        <v>39.204248117457411</v>
      </c>
      <c r="AG7532" s="2">
        <f ca="1"/>
        <v>0.36675512009974742</v>
      </c>
      <c r="AH7532" s="2" t="str">
        <f ca="1"/>
        <v>OK</v>
      </c>
    </row>
    <row r="7533" spans="2:34" x14ac:dyDescent="0.2">
      <c r="B7533" s="2">
        <f ca="1"/>
        <v>0.38347057802687345</v>
      </c>
      <c r="O7533" s="2">
        <f ca="1"/>
        <v>-0.98998850371743552</v>
      </c>
      <c r="X7533" s="2">
        <f ca="1"/>
        <v>48.524478836081954</v>
      </c>
      <c r="AG7533" s="2">
        <f ca="1"/>
        <v>0.40276647264201171</v>
      </c>
      <c r="AH7533" s="2" t="str">
        <f ca="1"/>
        <v>Bad</v>
      </c>
    </row>
    <row r="7534" spans="2:34" x14ac:dyDescent="0.2">
      <c r="B7534" s="2">
        <f ca="1"/>
        <v>0.66357078140157388</v>
      </c>
      <c r="O7534" s="2">
        <f ca="1"/>
        <v>1.2536675110740076</v>
      </c>
      <c r="X7534" s="2">
        <f ca="1"/>
        <v>32.302665521764403</v>
      </c>
      <c r="AG7534" s="2">
        <f ca="1"/>
        <v>0.12516943621165399</v>
      </c>
      <c r="AH7534" s="2" t="str">
        <f ca="1"/>
        <v>OK</v>
      </c>
    </row>
    <row r="7535" spans="2:34" x14ac:dyDescent="0.2">
      <c r="B7535" s="2">
        <f ca="1"/>
        <v>0.59360699189431876</v>
      </c>
      <c r="O7535" s="2">
        <f ca="1"/>
        <v>-1.0528442530468443</v>
      </c>
      <c r="X7535" s="2">
        <f ca="1"/>
        <v>61.991163130836483</v>
      </c>
      <c r="AG7535" s="2">
        <f ca="1"/>
        <v>0.53695882994723454</v>
      </c>
      <c r="AH7535" s="2" t="str">
        <f ca="1"/>
        <v>Bad</v>
      </c>
    </row>
    <row r="7536" spans="2:34" x14ac:dyDescent="0.2">
      <c r="B7536" s="2">
        <f ca="1"/>
        <v>0.2293103124124185</v>
      </c>
      <c r="O7536" s="2">
        <f ca="1"/>
        <v>-2.3390843913644508</v>
      </c>
      <c r="X7536" s="2">
        <f ca="1"/>
        <v>32.035514978285129</v>
      </c>
      <c r="AG7536" s="2">
        <f ca="1"/>
        <v>1.8030141742364725E-2</v>
      </c>
      <c r="AH7536" s="2" t="str">
        <f ca="1"/>
        <v>Good</v>
      </c>
    </row>
    <row r="7537" spans="2:34" x14ac:dyDescent="0.2">
      <c r="B7537" s="2">
        <f ca="1"/>
        <v>0.30471327899016698</v>
      </c>
      <c r="O7537" s="2">
        <f ca="1"/>
        <v>-1.8636995913387464</v>
      </c>
      <c r="X7537" s="2">
        <f ca="1"/>
        <v>56.112574883408961</v>
      </c>
      <c r="AG7537" s="2">
        <f ca="1"/>
        <v>6.3429789661113567E-2</v>
      </c>
      <c r="AH7537" s="2" t="str">
        <f ca="1"/>
        <v>OK</v>
      </c>
    </row>
    <row r="7538" spans="2:34" x14ac:dyDescent="0.2">
      <c r="B7538" s="2">
        <f ca="1"/>
        <v>0.56905373897943057</v>
      </c>
      <c r="O7538" s="2">
        <f ca="1"/>
        <v>1.1195106058450226</v>
      </c>
      <c r="X7538" s="2">
        <f ca="1"/>
        <v>48.240688731069746</v>
      </c>
      <c r="AG7538" s="2">
        <f ca="1"/>
        <v>0.58093881956622906</v>
      </c>
      <c r="AH7538" s="2" t="str">
        <f ca="1"/>
        <v>Bad</v>
      </c>
    </row>
    <row r="7539" spans="2:34" x14ac:dyDescent="0.2">
      <c r="B7539" s="2">
        <f ca="1"/>
        <v>0.57884869028236841</v>
      </c>
      <c r="O7539" s="2">
        <f ca="1"/>
        <v>0.86663377655293505</v>
      </c>
      <c r="X7539" s="2">
        <f ca="1"/>
        <v>73.218220963692332</v>
      </c>
      <c r="AG7539" s="2">
        <f ca="1"/>
        <v>0.90130274423800327</v>
      </c>
      <c r="AH7539" s="2" t="str">
        <f ca="1"/>
        <v>Bad</v>
      </c>
    </row>
    <row r="7540" spans="2:34" x14ac:dyDescent="0.2">
      <c r="B7540" s="2">
        <f ca="1"/>
        <v>0.78454494088717253</v>
      </c>
      <c r="O7540" s="2">
        <f ca="1"/>
        <v>-1.1291396462802237</v>
      </c>
      <c r="X7540" s="2">
        <f ca="1"/>
        <v>50.787800038978013</v>
      </c>
      <c r="AG7540" s="2">
        <f ca="1"/>
        <v>0.66396532062922153</v>
      </c>
      <c r="AH7540" s="2" t="str">
        <f ca="1"/>
        <v>Bad</v>
      </c>
    </row>
    <row r="7541" spans="2:34" x14ac:dyDescent="0.2">
      <c r="B7541" s="2">
        <f ca="1"/>
        <v>0.341497092041118</v>
      </c>
      <c r="O7541" s="2">
        <f ca="1"/>
        <v>-1.8118055883419848</v>
      </c>
      <c r="X7541" s="2">
        <f ca="1"/>
        <v>76.594456360229032</v>
      </c>
      <c r="AG7541" s="2">
        <f ca="1"/>
        <v>0.78602079981508499</v>
      </c>
      <c r="AH7541" s="2" t="str">
        <f ca="1"/>
        <v>Bad</v>
      </c>
    </row>
    <row r="7542" spans="2:34" x14ac:dyDescent="0.2">
      <c r="B7542" s="2">
        <f ca="1"/>
        <v>0.22302005850467288</v>
      </c>
      <c r="O7542" s="2">
        <f ca="1"/>
        <v>0.53717181862596886</v>
      </c>
      <c r="X7542" s="2">
        <f ca="1"/>
        <v>43.413512774466739</v>
      </c>
      <c r="AG7542" s="2">
        <f ca="1"/>
        <v>0.9819432552947327</v>
      </c>
      <c r="AH7542" s="2" t="str">
        <f ca="1"/>
        <v>Bad</v>
      </c>
    </row>
    <row r="7543" spans="2:34" x14ac:dyDescent="0.2">
      <c r="B7543" s="2">
        <f ca="1"/>
        <v>4.4552521229680675E-2</v>
      </c>
      <c r="O7543" s="2">
        <f ca="1"/>
        <v>-0.70712352140372603</v>
      </c>
      <c r="X7543" s="2">
        <f ca="1"/>
        <v>58.144746109505775</v>
      </c>
      <c r="AG7543" s="2">
        <f ca="1"/>
        <v>0.71124291624233793</v>
      </c>
      <c r="AH7543" s="2" t="str">
        <f ca="1"/>
        <v>Bad</v>
      </c>
    </row>
    <row r="7544" spans="2:34" x14ac:dyDescent="0.2">
      <c r="B7544" s="2">
        <f ca="1"/>
        <v>0.34036080401350177</v>
      </c>
      <c r="O7544" s="2">
        <f ca="1"/>
        <v>-1.2015226908341008</v>
      </c>
      <c r="X7544" s="2">
        <f ca="1"/>
        <v>38.142241397648995</v>
      </c>
      <c r="AG7544" s="2">
        <f ca="1"/>
        <v>0.88686629471382328</v>
      </c>
      <c r="AH7544" s="2" t="str">
        <f ca="1"/>
        <v>Bad</v>
      </c>
    </row>
    <row r="7545" spans="2:34" x14ac:dyDescent="0.2">
      <c r="B7545" s="2">
        <f ca="1"/>
        <v>0.81412429060685376</v>
      </c>
      <c r="O7545" s="2">
        <f ca="1"/>
        <v>1.6321772827094563</v>
      </c>
      <c r="X7545" s="2">
        <f ca="1"/>
        <v>56.96535729932431</v>
      </c>
      <c r="AG7545" s="2">
        <f ca="1"/>
        <v>0.7716907055548563</v>
      </c>
      <c r="AH7545" s="2" t="str">
        <f ca="1"/>
        <v>Bad</v>
      </c>
    </row>
    <row r="7546" spans="2:34" x14ac:dyDescent="0.2">
      <c r="B7546" s="2">
        <f ca="1"/>
        <v>0.50490065946244433</v>
      </c>
      <c r="O7546" s="2">
        <f ca="1"/>
        <v>-0.92281704716545743</v>
      </c>
      <c r="X7546" s="2">
        <f ca="1"/>
        <v>26.062509461918854</v>
      </c>
      <c r="AG7546" s="2">
        <f ca="1"/>
        <v>0.2739005224203066</v>
      </c>
      <c r="AH7546" s="2" t="str">
        <f ca="1"/>
        <v>OK</v>
      </c>
    </row>
    <row r="7547" spans="2:34" x14ac:dyDescent="0.2">
      <c r="B7547" s="2">
        <f ca="1"/>
        <v>0.46080880293606108</v>
      </c>
      <c r="O7547" s="2">
        <f ca="1"/>
        <v>-0.40691377860505057</v>
      </c>
      <c r="X7547" s="2">
        <f ca="1"/>
        <v>36.542054335520774</v>
      </c>
      <c r="AG7547" s="2">
        <f ca="1"/>
        <v>0.3560508263361517</v>
      </c>
      <c r="AH7547" s="2" t="str">
        <f ca="1"/>
        <v>OK</v>
      </c>
    </row>
    <row r="7548" spans="2:34" x14ac:dyDescent="0.2">
      <c r="B7548" s="2">
        <f ca="1"/>
        <v>0.57487512153010534</v>
      </c>
      <c r="O7548" s="2">
        <f ca="1"/>
        <v>-1.0293302981062344</v>
      </c>
      <c r="X7548" s="2">
        <f ca="1"/>
        <v>45.988330699968159</v>
      </c>
      <c r="AG7548" s="2">
        <f ca="1"/>
        <v>0.3717695468823623</v>
      </c>
      <c r="AH7548" s="2" t="str">
        <f ca="1"/>
        <v>OK</v>
      </c>
    </row>
    <row r="7549" spans="2:34" x14ac:dyDescent="0.2">
      <c r="B7549" s="2">
        <f ca="1"/>
        <v>0.30152880124640835</v>
      </c>
      <c r="O7549" s="2">
        <f ca="1"/>
        <v>-0.47227379441800299</v>
      </c>
      <c r="X7549" s="2">
        <f ca="1"/>
        <v>42.85093027779547</v>
      </c>
      <c r="AG7549" s="2">
        <f ca="1"/>
        <v>0.68462106551690494</v>
      </c>
      <c r="AH7549" s="2" t="str">
        <f ca="1"/>
        <v>Bad</v>
      </c>
    </row>
    <row r="7550" spans="2:34" x14ac:dyDescent="0.2">
      <c r="B7550" s="2">
        <f ca="1"/>
        <v>0.20793658531430892</v>
      </c>
      <c r="O7550" s="2">
        <f ca="1"/>
        <v>-0.44403260460984773</v>
      </c>
      <c r="X7550" s="2">
        <f ca="1"/>
        <v>47.67564328347234</v>
      </c>
      <c r="AG7550" s="2">
        <f ca="1"/>
        <v>0.24746763822847306</v>
      </c>
      <c r="AH7550" s="2" t="str">
        <f ca="1"/>
        <v>OK</v>
      </c>
    </row>
    <row r="7551" spans="2:34" x14ac:dyDescent="0.2">
      <c r="B7551" s="2">
        <f ca="1"/>
        <v>7.5322616979883072E-2</v>
      </c>
      <c r="O7551" s="2">
        <f ca="1"/>
        <v>-1.9430375011054846</v>
      </c>
      <c r="X7551" s="2">
        <f ca="1"/>
        <v>68.43188706098087</v>
      </c>
      <c r="AG7551" s="2">
        <f ca="1"/>
        <v>0.84130942745815829</v>
      </c>
      <c r="AH7551" s="2" t="str">
        <f ca="1"/>
        <v>Bad</v>
      </c>
    </row>
    <row r="7552" spans="2:34" x14ac:dyDescent="0.2">
      <c r="B7552" s="2">
        <f ca="1"/>
        <v>0.15725997247607459</v>
      </c>
      <c r="O7552" s="2">
        <f ca="1"/>
        <v>-0.55756710048059199</v>
      </c>
      <c r="X7552" s="2">
        <f ca="1"/>
        <v>39.25808279917716</v>
      </c>
      <c r="AG7552" s="2">
        <f ca="1"/>
        <v>0.44154833834105567</v>
      </c>
      <c r="AH7552" s="2" t="str">
        <f ca="1"/>
        <v>Bad</v>
      </c>
    </row>
    <row r="7553" spans="2:34" x14ac:dyDescent="0.2">
      <c r="B7553" s="2">
        <f ca="1"/>
        <v>0.6291246359992031</v>
      </c>
      <c r="O7553" s="2">
        <f ca="1"/>
        <v>-0.31830994501139775</v>
      </c>
      <c r="X7553" s="2">
        <f ca="1"/>
        <v>33.447604722352182</v>
      </c>
      <c r="AG7553" s="2">
        <f ca="1"/>
        <v>0.47737243581245914</v>
      </c>
      <c r="AH7553" s="2" t="str">
        <f ca="1"/>
        <v>Bad</v>
      </c>
    </row>
    <row r="7554" spans="2:34" x14ac:dyDescent="0.2">
      <c r="B7554" s="2">
        <f ca="1"/>
        <v>0.56671268925333806</v>
      </c>
      <c r="O7554" s="2">
        <f ca="1"/>
        <v>-0.30871753278232766</v>
      </c>
      <c r="X7554" s="2">
        <f ca="1"/>
        <v>50.501687425652158</v>
      </c>
      <c r="AG7554" s="2">
        <f ca="1"/>
        <v>0.66874977203383956</v>
      </c>
      <c r="AH7554" s="2" t="str">
        <f ca="1"/>
        <v>Bad</v>
      </c>
    </row>
    <row r="7555" spans="2:34" x14ac:dyDescent="0.2">
      <c r="B7555" s="2">
        <f ca="1"/>
        <v>0.91527937378675639</v>
      </c>
      <c r="O7555" s="2">
        <f ca="1"/>
        <v>-0.83162980729536495</v>
      </c>
      <c r="X7555" s="2">
        <f ca="1"/>
        <v>32.596477306920256</v>
      </c>
      <c r="AG7555" s="2">
        <f ca="1"/>
        <v>0.20999617729137121</v>
      </c>
      <c r="AH7555" s="2" t="str">
        <f ca="1"/>
        <v>OK</v>
      </c>
    </row>
    <row r="7556" spans="2:34" x14ac:dyDescent="0.2">
      <c r="B7556" s="2">
        <f ca="1"/>
        <v>0.6306935258305193</v>
      </c>
      <c r="O7556" s="2">
        <f ca="1"/>
        <v>-1.7655971450780188</v>
      </c>
      <c r="X7556" s="2">
        <f ca="1"/>
        <v>72.342226066110484</v>
      </c>
      <c r="AG7556" s="2">
        <f ca="1"/>
        <v>0.50127481074429969</v>
      </c>
      <c r="AH7556" s="2" t="str">
        <f ca="1"/>
        <v>Bad</v>
      </c>
    </row>
    <row r="7557" spans="2:34" x14ac:dyDescent="0.2">
      <c r="B7557" s="2">
        <f ca="1"/>
        <v>0.13229357782518014</v>
      </c>
      <c r="O7557" s="2">
        <f ca="1"/>
        <v>-0.7611232304593083</v>
      </c>
      <c r="X7557" s="2">
        <f ca="1"/>
        <v>49.211022915989709</v>
      </c>
      <c r="AG7557" s="2">
        <f ca="1"/>
        <v>0.92459867385618044</v>
      </c>
      <c r="AH7557" s="2" t="str">
        <f ca="1"/>
        <v>Bad</v>
      </c>
    </row>
    <row r="7558" spans="2:34" x14ac:dyDescent="0.2">
      <c r="B7558" s="2">
        <f ca="1"/>
        <v>0.64709284540529133</v>
      </c>
      <c r="O7558" s="2">
        <f ca="1"/>
        <v>0.83642365956724818</v>
      </c>
      <c r="X7558" s="2">
        <f ca="1"/>
        <v>27.898974647345419</v>
      </c>
      <c r="AG7558" s="2">
        <f ca="1"/>
        <v>0.31327005604545644</v>
      </c>
      <c r="AH7558" s="2" t="str">
        <f ca="1"/>
        <v>OK</v>
      </c>
    </row>
    <row r="7559" spans="2:34" x14ac:dyDescent="0.2">
      <c r="B7559" s="2">
        <f ca="1"/>
        <v>0.38590054320574962</v>
      </c>
      <c r="O7559" s="2">
        <f ca="1"/>
        <v>1.346407518572905</v>
      </c>
      <c r="X7559" s="2">
        <f ca="1"/>
        <v>34.817647940947673</v>
      </c>
      <c r="AG7559" s="2">
        <f ca="1"/>
        <v>0.44347166365343504</v>
      </c>
      <c r="AH7559" s="2" t="str">
        <f ca="1"/>
        <v>Bad</v>
      </c>
    </row>
    <row r="7560" spans="2:34" x14ac:dyDescent="0.2">
      <c r="B7560" s="2">
        <f ca="1"/>
        <v>0.53320278397619503</v>
      </c>
      <c r="O7560" s="2">
        <f ca="1"/>
        <v>1.5133542631685017</v>
      </c>
      <c r="X7560" s="2">
        <f ca="1"/>
        <v>32.619165016167514</v>
      </c>
      <c r="AG7560" s="2">
        <f ca="1"/>
        <v>0.44391645605519137</v>
      </c>
      <c r="AH7560" s="2" t="str">
        <f ca="1"/>
        <v>Bad</v>
      </c>
    </row>
    <row r="7561" spans="2:34" x14ac:dyDescent="0.2">
      <c r="B7561" s="2">
        <f ca="1"/>
        <v>0.48444877987560653</v>
      </c>
      <c r="O7561" s="2">
        <f ca="1"/>
        <v>-0.84953587005029951</v>
      </c>
      <c r="X7561" s="2">
        <f ca="1"/>
        <v>23.858591806471221</v>
      </c>
      <c r="AG7561" s="2">
        <f ca="1"/>
        <v>0.57374808053497039</v>
      </c>
      <c r="AH7561" s="2" t="str">
        <f ca="1"/>
        <v>Bad</v>
      </c>
    </row>
    <row r="7562" spans="2:34" x14ac:dyDescent="0.2">
      <c r="B7562" s="2">
        <f ca="1"/>
        <v>0.10139609799243843</v>
      </c>
      <c r="O7562" s="2">
        <f ca="1"/>
        <v>1.1024091047038225</v>
      </c>
      <c r="X7562" s="2">
        <f ca="1"/>
        <v>74.613457239905983</v>
      </c>
      <c r="AG7562" s="2">
        <f ca="1"/>
        <v>0.84107959164146862</v>
      </c>
      <c r="AH7562" s="2" t="str">
        <f ca="1"/>
        <v>Bad</v>
      </c>
    </row>
    <row r="7563" spans="2:34" x14ac:dyDescent="0.2">
      <c r="B7563" s="2">
        <f ca="1"/>
        <v>0.4857531321146944</v>
      </c>
      <c r="O7563" s="2">
        <f ca="1"/>
        <v>-0.54820921181172277</v>
      </c>
      <c r="X7563" s="2">
        <f ca="1"/>
        <v>64.937268500512573</v>
      </c>
      <c r="AG7563" s="2">
        <f ca="1"/>
        <v>0.47437323827618183</v>
      </c>
      <c r="AH7563" s="2" t="str">
        <f ca="1"/>
        <v>Bad</v>
      </c>
    </row>
    <row r="7564" spans="2:34" x14ac:dyDescent="0.2">
      <c r="B7564" s="2">
        <f ca="1"/>
        <v>0.68644489078812687</v>
      </c>
      <c r="O7564" s="2">
        <f ca="1"/>
        <v>-0.52374845282725557</v>
      </c>
      <c r="X7564" s="2">
        <f ca="1"/>
        <v>57.160826636326377</v>
      </c>
      <c r="AG7564" s="2">
        <f ca="1"/>
        <v>0.30785573977693459</v>
      </c>
      <c r="AH7564" s="2" t="str">
        <f ca="1"/>
        <v>OK</v>
      </c>
    </row>
    <row r="7565" spans="2:34" x14ac:dyDescent="0.2">
      <c r="B7565" s="2">
        <f ca="1"/>
        <v>9.9542217295899738E-2</v>
      </c>
      <c r="O7565" s="2">
        <f ca="1"/>
        <v>0.38481809514542548</v>
      </c>
      <c r="X7565" s="2">
        <f ca="1"/>
        <v>34.009094476097239</v>
      </c>
      <c r="AG7565" s="2">
        <f ca="1"/>
        <v>0.10074720317380748</v>
      </c>
      <c r="AH7565" s="2" t="str">
        <f ca="1"/>
        <v>OK</v>
      </c>
    </row>
    <row r="7566" spans="2:34" x14ac:dyDescent="0.2">
      <c r="B7566" s="2">
        <f ca="1"/>
        <v>0.30186073971480876</v>
      </c>
      <c r="O7566" s="2">
        <f ca="1"/>
        <v>1.1009569525696601</v>
      </c>
      <c r="X7566" s="2">
        <f ca="1"/>
        <v>29.334399204440281</v>
      </c>
      <c r="AG7566" s="2">
        <f ca="1"/>
        <v>0.38078380024734049</v>
      </c>
      <c r="AH7566" s="2" t="str">
        <f ca="1"/>
        <v>OK</v>
      </c>
    </row>
    <row r="7567" spans="2:34" x14ac:dyDescent="0.2">
      <c r="B7567" s="2">
        <f ca="1"/>
        <v>0.11768220721751899</v>
      </c>
      <c r="O7567" s="2">
        <f ca="1"/>
        <v>-1.6417777185855604</v>
      </c>
      <c r="X7567" s="2">
        <f ca="1"/>
        <v>38.481616128338452</v>
      </c>
      <c r="AG7567" s="2">
        <f ca="1"/>
        <v>0.36206421358930863</v>
      </c>
      <c r="AH7567" s="2" t="str">
        <f ca="1"/>
        <v>OK</v>
      </c>
    </row>
    <row r="7568" spans="2:34" x14ac:dyDescent="0.2">
      <c r="B7568" s="2">
        <f ca="1"/>
        <v>0.77267220756046151</v>
      </c>
      <c r="O7568" s="2">
        <f ca="1"/>
        <v>-0.3212301451366425</v>
      </c>
      <c r="X7568" s="2">
        <f ca="1"/>
        <v>42.436605424299508</v>
      </c>
      <c r="AG7568" s="2">
        <f ca="1"/>
        <v>0.2091798354840595</v>
      </c>
      <c r="AH7568" s="2" t="str">
        <f ca="1"/>
        <v>OK</v>
      </c>
    </row>
    <row r="7569" spans="2:34" x14ac:dyDescent="0.2">
      <c r="B7569" s="2">
        <f ca="1"/>
        <v>0.8671060233727288</v>
      </c>
      <c r="O7569" s="2">
        <f ca="1"/>
        <v>0.4206863806643848</v>
      </c>
      <c r="X7569" s="2">
        <f ca="1"/>
        <v>44.788788458310322</v>
      </c>
      <c r="AG7569" s="2">
        <f ca="1"/>
        <v>1.325474547851524E-2</v>
      </c>
      <c r="AH7569" s="2" t="str">
        <f ca="1"/>
        <v>Good</v>
      </c>
    </row>
    <row r="7570" spans="2:34" x14ac:dyDescent="0.2">
      <c r="B7570" s="2">
        <f ca="1"/>
        <v>0.54222607244715748</v>
      </c>
      <c r="O7570" s="2">
        <f ca="1"/>
        <v>0.78523197798311706</v>
      </c>
      <c r="X7570" s="2">
        <f ca="1"/>
        <v>27.952822771027684</v>
      </c>
      <c r="AG7570" s="2">
        <f ca="1"/>
        <v>0.50337057207369806</v>
      </c>
      <c r="AH7570" s="2" t="str">
        <f ca="1"/>
        <v>Bad</v>
      </c>
    </row>
    <row r="7571" spans="2:34" x14ac:dyDescent="0.2">
      <c r="B7571" s="2">
        <f ca="1"/>
        <v>0.34650459184864246</v>
      </c>
      <c r="O7571" s="2">
        <f ca="1"/>
        <v>0.32444941423131857</v>
      </c>
      <c r="X7571" s="2">
        <f ca="1"/>
        <v>51.52139589583561</v>
      </c>
      <c r="AG7571" s="2">
        <f ca="1"/>
        <v>0.14566039607420067</v>
      </c>
      <c r="AH7571" s="2" t="str">
        <f ca="1"/>
        <v>OK</v>
      </c>
    </row>
    <row r="7572" spans="2:34" x14ac:dyDescent="0.2">
      <c r="B7572" s="2">
        <f ca="1"/>
        <v>0.41039704327123028</v>
      </c>
      <c r="O7572" s="2">
        <f ca="1"/>
        <v>-0.45226610729815087</v>
      </c>
      <c r="X7572" s="2">
        <f ca="1"/>
        <v>58.311038819212719</v>
      </c>
      <c r="AG7572" s="2">
        <f ca="1"/>
        <v>0.9334995110836366</v>
      </c>
      <c r="AH7572" s="2" t="str">
        <f ca="1"/>
        <v>Bad</v>
      </c>
    </row>
    <row r="7573" spans="2:34" x14ac:dyDescent="0.2">
      <c r="B7573" s="2">
        <f ca="1"/>
        <v>0.72141981482697926</v>
      </c>
      <c r="O7573" s="2">
        <f ca="1"/>
        <v>-1.8965109049878128</v>
      </c>
      <c r="X7573" s="2">
        <f ca="1"/>
        <v>57.585212244394924</v>
      </c>
      <c r="AG7573" s="2">
        <f ca="1"/>
        <v>0.57910163613745014</v>
      </c>
      <c r="AH7573" s="2" t="str">
        <f ca="1"/>
        <v>Bad</v>
      </c>
    </row>
    <row r="7574" spans="2:34" x14ac:dyDescent="0.2">
      <c r="B7574" s="2">
        <f ca="1"/>
        <v>0.21066644452308259</v>
      </c>
      <c r="O7574" s="2">
        <f ca="1"/>
        <v>-0.25454133177548688</v>
      </c>
      <c r="X7574" s="2">
        <f ca="1"/>
        <v>58.061780463446183</v>
      </c>
      <c r="AG7574" s="2">
        <f ca="1"/>
        <v>0.66719541456051412</v>
      </c>
      <c r="AH7574" s="2" t="str">
        <f ca="1"/>
        <v>Bad</v>
      </c>
    </row>
    <row r="7575" spans="2:34" x14ac:dyDescent="0.2">
      <c r="B7575" s="2">
        <f ca="1"/>
        <v>0.25711511325895775</v>
      </c>
      <c r="O7575" s="2">
        <f ca="1"/>
        <v>-0.13609922608132552</v>
      </c>
      <c r="X7575" s="2">
        <f ca="1"/>
        <v>29.353321444953902</v>
      </c>
      <c r="AG7575" s="2">
        <f ca="1"/>
        <v>0.7416226970858939</v>
      </c>
      <c r="AH7575" s="2" t="str">
        <f ca="1"/>
        <v>Bad</v>
      </c>
    </row>
    <row r="7576" spans="2:34" x14ac:dyDescent="0.2">
      <c r="B7576" s="2">
        <f ca="1"/>
        <v>6.3600546716909401E-2</v>
      </c>
      <c r="O7576" s="2">
        <f ca="1"/>
        <v>9.4201130982843703E-2</v>
      </c>
      <c r="X7576" s="2">
        <f ca="1"/>
        <v>27.042985624283958</v>
      </c>
      <c r="AG7576" s="2">
        <f ca="1"/>
        <v>0.82624004937496465</v>
      </c>
      <c r="AH7576" s="2" t="str">
        <f ca="1"/>
        <v>Bad</v>
      </c>
    </row>
    <row r="7577" spans="2:34" x14ac:dyDescent="0.2">
      <c r="B7577" s="2">
        <f ca="1"/>
        <v>0.7566001128115416</v>
      </c>
      <c r="O7577" s="2">
        <f ca="1"/>
        <v>0.64647482180215687</v>
      </c>
      <c r="X7577" s="2">
        <f ca="1"/>
        <v>63.860418312903171</v>
      </c>
      <c r="AG7577" s="2">
        <f ca="1"/>
        <v>0.8139957054888658</v>
      </c>
      <c r="AH7577" s="2" t="str">
        <f ca="1"/>
        <v>Bad</v>
      </c>
    </row>
    <row r="7578" spans="2:34" x14ac:dyDescent="0.2">
      <c r="B7578" s="2">
        <f ca="1"/>
        <v>0.48241933416730864</v>
      </c>
      <c r="O7578" s="2">
        <f ca="1"/>
        <v>-0.80792207982013131</v>
      </c>
      <c r="X7578" s="2">
        <f ca="1"/>
        <v>46.992814124231103</v>
      </c>
      <c r="AG7578" s="2">
        <f ca="1"/>
        <v>0.6545541312590244</v>
      </c>
      <c r="AH7578" s="2" t="str">
        <f ca="1"/>
        <v>Bad</v>
      </c>
    </row>
    <row r="7579" spans="2:34" x14ac:dyDescent="0.2">
      <c r="B7579" s="2">
        <f ca="1"/>
        <v>0.11490596602942338</v>
      </c>
      <c r="O7579" s="2">
        <f ca="1"/>
        <v>1.0390541477316251</v>
      </c>
      <c r="X7579" s="2">
        <f ca="1"/>
        <v>62.968609839906222</v>
      </c>
      <c r="AG7579" s="2">
        <f ca="1"/>
        <v>0.9852712006983384</v>
      </c>
      <c r="AH7579" s="2" t="str">
        <f ca="1"/>
        <v>Bad</v>
      </c>
    </row>
    <row r="7580" spans="2:34" x14ac:dyDescent="0.2">
      <c r="B7580" s="2">
        <f ca="1"/>
        <v>0.21320463088889041</v>
      </c>
      <c r="O7580" s="2">
        <f ca="1"/>
        <v>0.25115754010101538</v>
      </c>
      <c r="X7580" s="2">
        <f ca="1"/>
        <v>25.933962090174212</v>
      </c>
      <c r="AG7580" s="2">
        <f ca="1"/>
        <v>0.3969168187521388</v>
      </c>
      <c r="AH7580" s="2" t="str">
        <f ca="1"/>
        <v>OK</v>
      </c>
    </row>
    <row r="7581" spans="2:34" x14ac:dyDescent="0.2">
      <c r="B7581" s="2">
        <f ca="1"/>
        <v>0.22593046383140147</v>
      </c>
      <c r="O7581" s="2">
        <f ca="1"/>
        <v>-0.5163395346327071</v>
      </c>
      <c r="X7581" s="2">
        <f ca="1"/>
        <v>45.390352759580253</v>
      </c>
      <c r="AG7581" s="2">
        <f ca="1"/>
        <v>0.92970185663962468</v>
      </c>
      <c r="AH7581" s="2" t="str">
        <f ca="1"/>
        <v>Bad</v>
      </c>
    </row>
    <row r="7582" spans="2:34" x14ac:dyDescent="0.2">
      <c r="B7582" s="2">
        <f ca="1"/>
        <v>0.51378382350976759</v>
      </c>
      <c r="O7582" s="2">
        <f ca="1"/>
        <v>0.56388327502251223</v>
      </c>
      <c r="X7582" s="2">
        <f ca="1"/>
        <v>69.507809318744194</v>
      </c>
      <c r="AG7582" s="2">
        <f ca="1"/>
        <v>0.34076874100587218</v>
      </c>
      <c r="AH7582" s="2" t="str">
        <f ca="1"/>
        <v>OK</v>
      </c>
    </row>
    <row r="7583" spans="2:34" x14ac:dyDescent="0.2">
      <c r="B7583" s="2">
        <f ca="1"/>
        <v>0.29144767192129173</v>
      </c>
      <c r="O7583" s="2">
        <f ca="1"/>
        <v>2.9720287485902632E-2</v>
      </c>
      <c r="X7583" s="2">
        <f ca="1"/>
        <v>31.586804793825799</v>
      </c>
      <c r="AG7583" s="2">
        <f ca="1"/>
        <v>0.45854191314590476</v>
      </c>
      <c r="AH7583" s="2" t="str">
        <f ca="1"/>
        <v>Bad</v>
      </c>
    </row>
    <row r="7584" spans="2:34" x14ac:dyDescent="0.2">
      <c r="B7584" s="2">
        <f ca="1"/>
        <v>0.7114365117093413</v>
      </c>
      <c r="O7584" s="2">
        <f ca="1"/>
        <v>7.4685670881099356E-2</v>
      </c>
      <c r="X7584" s="2">
        <f ca="1"/>
        <v>59.726510185332259</v>
      </c>
      <c r="AG7584" s="2">
        <f ca="1"/>
        <v>0.47396142083956194</v>
      </c>
      <c r="AH7584" s="2" t="str">
        <f ca="1"/>
        <v>Bad</v>
      </c>
    </row>
    <row r="7585" spans="2:34" x14ac:dyDescent="0.2">
      <c r="B7585" s="2">
        <f ca="1"/>
        <v>8.3785968788805398E-2</v>
      </c>
      <c r="O7585" s="2">
        <f ca="1"/>
        <v>1.7423662852874493</v>
      </c>
      <c r="X7585" s="2">
        <f ca="1"/>
        <v>44.883056468056644</v>
      </c>
      <c r="AG7585" s="2">
        <f ca="1"/>
        <v>0.54885518378519182</v>
      </c>
      <c r="AH7585" s="2" t="str">
        <f ca="1"/>
        <v>Bad</v>
      </c>
    </row>
    <row r="7586" spans="2:34" x14ac:dyDescent="0.2">
      <c r="B7586" s="2">
        <f ca="1"/>
        <v>0.42698906594142017</v>
      </c>
      <c r="O7586" s="2">
        <f ca="1"/>
        <v>-0.7198962953525595</v>
      </c>
      <c r="X7586" s="2">
        <f ca="1"/>
        <v>40.529723849235459</v>
      </c>
      <c r="AG7586" s="2">
        <f ca="1"/>
        <v>0.90423713443096876</v>
      </c>
      <c r="AH7586" s="2" t="str">
        <f ca="1"/>
        <v>Bad</v>
      </c>
    </row>
    <row r="7587" spans="2:34" x14ac:dyDescent="0.2">
      <c r="B7587" s="2">
        <f ca="1"/>
        <v>0.86100672062192252</v>
      </c>
      <c r="O7587" s="2">
        <f ca="1"/>
        <v>-1.3806542398431634</v>
      </c>
      <c r="X7587" s="2">
        <f ca="1"/>
        <v>45.14332106450194</v>
      </c>
      <c r="AG7587" s="2">
        <f ca="1"/>
        <v>0.95521716504222565</v>
      </c>
      <c r="AH7587" s="2" t="str">
        <f ca="1"/>
        <v>Bad</v>
      </c>
    </row>
    <row r="7588" spans="2:34" x14ac:dyDescent="0.2">
      <c r="B7588" s="2">
        <f ca="1"/>
        <v>0.1059304295108523</v>
      </c>
      <c r="O7588" s="2">
        <f ca="1"/>
        <v>0.40669714148282032</v>
      </c>
      <c r="X7588" s="2">
        <f ca="1"/>
        <v>91.083734607785814</v>
      </c>
      <c r="AG7588" s="2">
        <f ca="1"/>
        <v>0.10086547941727009</v>
      </c>
      <c r="AH7588" s="2" t="str">
        <f ca="1"/>
        <v>OK</v>
      </c>
    </row>
    <row r="7589" spans="2:34" x14ac:dyDescent="0.2">
      <c r="B7589" s="2">
        <f ca="1"/>
        <v>0.45166510453147657</v>
      </c>
      <c r="O7589" s="2">
        <f ca="1"/>
        <v>0.66082896451015649</v>
      </c>
      <c r="X7589" s="2">
        <f ca="1"/>
        <v>23.045734933772515</v>
      </c>
      <c r="AG7589" s="2">
        <f ca="1"/>
        <v>0.23549626608628005</v>
      </c>
      <c r="AH7589" s="2" t="str">
        <f ca="1"/>
        <v>OK</v>
      </c>
    </row>
    <row r="7590" spans="2:34" x14ac:dyDescent="0.2">
      <c r="B7590" s="2">
        <f ca="1"/>
        <v>9.5669753761284948E-3</v>
      </c>
      <c r="O7590" s="2">
        <f ca="1"/>
        <v>-1.3605103193095096</v>
      </c>
      <c r="X7590" s="2">
        <f ca="1"/>
        <v>36.0137764905989</v>
      </c>
      <c r="AG7590" s="2">
        <f ca="1"/>
        <v>0.99486831284249289</v>
      </c>
      <c r="AH7590" s="2" t="str">
        <f ca="1"/>
        <v>Bad</v>
      </c>
    </row>
    <row r="7591" spans="2:34" x14ac:dyDescent="0.2">
      <c r="B7591" s="2">
        <f ca="1"/>
        <v>0.19504174503601668</v>
      </c>
      <c r="O7591" s="2">
        <f ca="1"/>
        <v>1.0729185409965936</v>
      </c>
      <c r="X7591" s="2">
        <f ca="1"/>
        <v>56.059238925791121</v>
      </c>
      <c r="AG7591" s="2">
        <f ca="1"/>
        <v>0.16392403338568196</v>
      </c>
      <c r="AH7591" s="2" t="str">
        <f ca="1"/>
        <v>OK</v>
      </c>
    </row>
    <row r="7592" spans="2:34" x14ac:dyDescent="0.2">
      <c r="B7592" s="2">
        <f ca="1"/>
        <v>0.45864932586126628</v>
      </c>
      <c r="O7592" s="2">
        <f ca="1"/>
        <v>1.1392212400310042</v>
      </c>
      <c r="X7592" s="2">
        <f ca="1"/>
        <v>46.583119949654105</v>
      </c>
      <c r="AG7592" s="2">
        <f ca="1"/>
        <v>0.14290859281598434</v>
      </c>
      <c r="AH7592" s="2" t="str">
        <f ca="1"/>
        <v>OK</v>
      </c>
    </row>
    <row r="7593" spans="2:34" x14ac:dyDescent="0.2">
      <c r="B7593" s="2">
        <f ca="1"/>
        <v>0.23056375123573658</v>
      </c>
      <c r="O7593" s="2">
        <f ca="1"/>
        <v>-0.85744734198530448</v>
      </c>
      <c r="X7593" s="2">
        <f ca="1"/>
        <v>50.091862509674534</v>
      </c>
      <c r="AG7593" s="2">
        <f ca="1"/>
        <v>0.26711776007440102</v>
      </c>
      <c r="AH7593" s="2" t="str">
        <f ca="1"/>
        <v>OK</v>
      </c>
    </row>
    <row r="7594" spans="2:34" x14ac:dyDescent="0.2">
      <c r="B7594" s="2">
        <f ca="1"/>
        <v>0.19719654456576463</v>
      </c>
      <c r="O7594" s="2">
        <f ca="1"/>
        <v>-8.6813768548734599E-2</v>
      </c>
      <c r="X7594" s="2">
        <f ca="1"/>
        <v>54.775747801707844</v>
      </c>
      <c r="AG7594" s="2">
        <f ca="1"/>
        <v>0.13352725361708684</v>
      </c>
      <c r="AH7594" s="2" t="str">
        <f ca="1"/>
        <v>OK</v>
      </c>
    </row>
    <row r="7595" spans="2:34" x14ac:dyDescent="0.2">
      <c r="B7595" s="2">
        <f ca="1"/>
        <v>0.15242284703130271</v>
      </c>
      <c r="O7595" s="2">
        <f ca="1"/>
        <v>-4.8945605894354517E-2</v>
      </c>
      <c r="X7595" s="2">
        <f ca="1"/>
        <v>41.085004748460719</v>
      </c>
      <c r="AG7595" s="2">
        <f ca="1"/>
        <v>0.93025481409382405</v>
      </c>
      <c r="AH7595" s="2" t="str">
        <f ca="1"/>
        <v>Bad</v>
      </c>
    </row>
    <row r="7596" spans="2:34" x14ac:dyDescent="0.2">
      <c r="B7596" s="2">
        <f ca="1"/>
        <v>0.44877963050480907</v>
      </c>
      <c r="O7596" s="2">
        <f ca="1"/>
        <v>-0.44847580074654442</v>
      </c>
      <c r="X7596" s="2">
        <f ca="1"/>
        <v>62.488081658750261</v>
      </c>
      <c r="AG7596" s="2">
        <f ca="1"/>
        <v>0.68977015766517535</v>
      </c>
      <c r="AH7596" s="2" t="str">
        <f ca="1"/>
        <v>Bad</v>
      </c>
    </row>
    <row r="7597" spans="2:34" x14ac:dyDescent="0.2">
      <c r="B7597" s="2">
        <f ca="1"/>
        <v>0.29104634748928571</v>
      </c>
      <c r="O7597" s="2">
        <f ca="1"/>
        <v>1.9102957493391585E-2</v>
      </c>
      <c r="X7597" s="2">
        <f ca="1"/>
        <v>72.553580882280485</v>
      </c>
      <c r="AG7597" s="2">
        <f ca="1"/>
        <v>0.79879426387069041</v>
      </c>
      <c r="AH7597" s="2" t="str">
        <f ca="1"/>
        <v>Bad</v>
      </c>
    </row>
    <row r="7598" spans="2:34" x14ac:dyDescent="0.2">
      <c r="B7598" s="2">
        <f ca="1"/>
        <v>0.47413102868761614</v>
      </c>
      <c r="O7598" s="2">
        <f ca="1"/>
        <v>-0.87473625050781345</v>
      </c>
      <c r="X7598" s="2">
        <f ca="1"/>
        <v>69.818221847283098</v>
      </c>
      <c r="AG7598" s="2">
        <f ca="1"/>
        <v>7.6513452865842435E-2</v>
      </c>
      <c r="AH7598" s="2" t="str">
        <f ca="1"/>
        <v>OK</v>
      </c>
    </row>
    <row r="7599" spans="2:34" x14ac:dyDescent="0.2">
      <c r="B7599" s="2">
        <f ca="1"/>
        <v>0.4012450540464827</v>
      </c>
      <c r="O7599" s="2">
        <f ca="1"/>
        <v>-7.3419499839253556E-3</v>
      </c>
      <c r="X7599" s="2">
        <f ca="1"/>
        <v>45.009717139907295</v>
      </c>
      <c r="AG7599" s="2">
        <f ca="1"/>
        <v>0.98223176243482291</v>
      </c>
      <c r="AH7599" s="2" t="str">
        <f ca="1"/>
        <v>Bad</v>
      </c>
    </row>
    <row r="7600" spans="2:34" x14ac:dyDescent="0.2">
      <c r="B7600" s="2">
        <f ca="1"/>
        <v>9.7204937036635242E-2</v>
      </c>
      <c r="O7600" s="2">
        <f ca="1"/>
        <v>-1.1258966925804967</v>
      </c>
      <c r="X7600" s="2">
        <f ca="1"/>
        <v>42.084697599469564</v>
      </c>
      <c r="AG7600" s="2">
        <f ca="1"/>
        <v>0.47516569097249262</v>
      </c>
      <c r="AH7600" s="2" t="str">
        <f ca="1"/>
        <v>Bad</v>
      </c>
    </row>
    <row r="7601" spans="2:34" x14ac:dyDescent="0.2">
      <c r="B7601" s="2">
        <f ca="1"/>
        <v>0.48169172284334349</v>
      </c>
      <c r="O7601" s="2">
        <f ca="1"/>
        <v>0.34827478219474273</v>
      </c>
      <c r="X7601" s="2">
        <f ca="1"/>
        <v>46.158786924569213</v>
      </c>
      <c r="AG7601" s="2">
        <f ca="1"/>
        <v>0.54865130976506693</v>
      </c>
      <c r="AH7601" s="2" t="str">
        <f ca="1"/>
        <v>Bad</v>
      </c>
    </row>
    <row r="7602" spans="2:34" x14ac:dyDescent="0.2">
      <c r="B7602" s="2">
        <f ca="1"/>
        <v>0.83583790402461355</v>
      </c>
      <c r="O7602" s="2">
        <f ca="1"/>
        <v>-0.58227284506798227</v>
      </c>
      <c r="X7602" s="2">
        <f ca="1"/>
        <v>44.122384827856003</v>
      </c>
      <c r="AG7602" s="2">
        <f ca="1"/>
        <v>0.64616784009541517</v>
      </c>
      <c r="AH7602" s="2" t="str">
        <f ca="1"/>
        <v>Bad</v>
      </c>
    </row>
    <row r="7603" spans="2:34" x14ac:dyDescent="0.2">
      <c r="B7603" s="2">
        <f ca="1"/>
        <v>0.44362237833470619</v>
      </c>
      <c r="O7603" s="2">
        <f ca="1"/>
        <v>-1.0457214090094715</v>
      </c>
      <c r="X7603" s="2">
        <f ca="1"/>
        <v>51.180940843488052</v>
      </c>
      <c r="AG7603" s="2">
        <f ca="1"/>
        <v>0.50019916483309368</v>
      </c>
      <c r="AH7603" s="2" t="str">
        <f ca="1"/>
        <v>Bad</v>
      </c>
    </row>
    <row r="7604" spans="2:34" x14ac:dyDescent="0.2">
      <c r="B7604" s="2">
        <f ca="1"/>
        <v>0.18529923006717697</v>
      </c>
      <c r="O7604" s="2">
        <f ca="1"/>
        <v>-0.47922676048617729</v>
      </c>
      <c r="X7604" s="2">
        <f ca="1"/>
        <v>52.50919897706023</v>
      </c>
      <c r="AG7604" s="2">
        <f ca="1"/>
        <v>0.6175015495142544</v>
      </c>
      <c r="AH7604" s="2" t="str">
        <f ca="1"/>
        <v>Bad</v>
      </c>
    </row>
    <row r="7605" spans="2:34" x14ac:dyDescent="0.2">
      <c r="B7605" s="2">
        <f ca="1"/>
        <v>8.7809962055944268E-2</v>
      </c>
      <c r="O7605" s="2">
        <f ca="1"/>
        <v>0.82629730124062017</v>
      </c>
      <c r="X7605" s="2">
        <f ca="1"/>
        <v>34.040961530825818</v>
      </c>
      <c r="AG7605" s="2">
        <f ca="1"/>
        <v>0.30210965937224499</v>
      </c>
      <c r="AH7605" s="2" t="str">
        <f ca="1"/>
        <v>OK</v>
      </c>
    </row>
    <row r="7606" spans="2:34" x14ac:dyDescent="0.2">
      <c r="B7606" s="2">
        <f ca="1"/>
        <v>0.75911205617440336</v>
      </c>
      <c r="O7606" s="2">
        <f ca="1"/>
        <v>-0.1917897022364014</v>
      </c>
      <c r="X7606" s="2">
        <f ca="1"/>
        <v>60.487600522108366</v>
      </c>
      <c r="AG7606" s="2">
        <f ca="1"/>
        <v>0.97147694481284441</v>
      </c>
      <c r="AH7606" s="2" t="str">
        <f ca="1"/>
        <v>Bad</v>
      </c>
    </row>
    <row r="7607" spans="2:34" x14ac:dyDescent="0.2">
      <c r="B7607" s="2">
        <f ca="1"/>
        <v>0.49811457252090063</v>
      </c>
      <c r="O7607" s="2">
        <f ca="1"/>
        <v>-4.822921655365104E-2</v>
      </c>
      <c r="X7607" s="2">
        <f ca="1"/>
        <v>26.127440899932989</v>
      </c>
      <c r="AG7607" s="2">
        <f ca="1"/>
        <v>0.77941122431969312</v>
      </c>
      <c r="AH7607" s="2" t="str">
        <f ca="1"/>
        <v>Bad</v>
      </c>
    </row>
    <row r="7608" spans="2:34" x14ac:dyDescent="0.2">
      <c r="B7608" s="2">
        <f ca="1"/>
        <v>0.24626356294971652</v>
      </c>
      <c r="O7608" s="2">
        <f ca="1"/>
        <v>0.10396382808273832</v>
      </c>
      <c r="X7608" s="2">
        <f ca="1"/>
        <v>34.332789457634604</v>
      </c>
      <c r="AG7608" s="2">
        <f ca="1"/>
        <v>0.78836698113373149</v>
      </c>
      <c r="AH7608" s="2" t="str">
        <f ca="1"/>
        <v>Bad</v>
      </c>
    </row>
    <row r="7609" spans="2:34" x14ac:dyDescent="0.2">
      <c r="B7609" s="2">
        <f ca="1"/>
        <v>0.81268280042500951</v>
      </c>
      <c r="O7609" s="2">
        <f ca="1"/>
        <v>0.52584919862331081</v>
      </c>
      <c r="X7609" s="2">
        <f ca="1"/>
        <v>44.688168890519577</v>
      </c>
      <c r="AG7609" s="2">
        <f ca="1"/>
        <v>0.13322189651459593</v>
      </c>
      <c r="AH7609" s="2" t="str">
        <f ca="1"/>
        <v>OK</v>
      </c>
    </row>
    <row r="7610" spans="2:34" x14ac:dyDescent="0.2">
      <c r="B7610" s="2">
        <f ca="1"/>
        <v>8.5498126128589647E-2</v>
      </c>
      <c r="O7610" s="2">
        <f ca="1"/>
        <v>-1.1663379222172483</v>
      </c>
      <c r="X7610" s="2">
        <f ca="1"/>
        <v>54.221973667597226</v>
      </c>
      <c r="AG7610" s="2">
        <f ca="1"/>
        <v>0.40239072784448848</v>
      </c>
      <c r="AH7610" s="2" t="str">
        <f ca="1"/>
        <v>Bad</v>
      </c>
    </row>
    <row r="7611" spans="2:34" x14ac:dyDescent="0.2">
      <c r="B7611" s="2">
        <f ca="1"/>
        <v>0.48300091267284184</v>
      </c>
      <c r="O7611" s="2">
        <f ca="1"/>
        <v>-0.25381704014142531</v>
      </c>
      <c r="X7611" s="2">
        <f ca="1"/>
        <v>55.273762773496443</v>
      </c>
      <c r="AG7611" s="2">
        <f ca="1"/>
        <v>0.47374517038422614</v>
      </c>
      <c r="AH7611" s="2" t="str">
        <f ca="1"/>
        <v>Bad</v>
      </c>
    </row>
    <row r="7612" spans="2:34" x14ac:dyDescent="0.2">
      <c r="B7612" s="2">
        <f ca="1"/>
        <v>0.39096409309030666</v>
      </c>
      <c r="O7612" s="2">
        <f ca="1"/>
        <v>-1.2156042006061116</v>
      </c>
      <c r="X7612" s="2">
        <f ca="1"/>
        <v>20.891433663446971</v>
      </c>
      <c r="AG7612" s="2">
        <f ca="1"/>
        <v>0.42830406334209048</v>
      </c>
      <c r="AH7612" s="2" t="str">
        <f ca="1"/>
        <v>Bad</v>
      </c>
    </row>
    <row r="7613" spans="2:34" x14ac:dyDescent="0.2">
      <c r="B7613" s="2">
        <f ca="1"/>
        <v>0.76873330103203275</v>
      </c>
      <c r="O7613" s="2">
        <f ca="1"/>
        <v>1.1710774644058732</v>
      </c>
      <c r="X7613" s="2">
        <f ca="1"/>
        <v>43.775579202056107</v>
      </c>
      <c r="AG7613" s="2">
        <f ca="1"/>
        <v>0.99031577027434325</v>
      </c>
      <c r="AH7613" s="2" t="str">
        <f ca="1"/>
        <v>Bad</v>
      </c>
    </row>
    <row r="7614" spans="2:34" x14ac:dyDescent="0.2">
      <c r="B7614" s="2">
        <f ca="1"/>
        <v>0.4291693197939781</v>
      </c>
      <c r="O7614" s="2">
        <f ca="1"/>
        <v>9.5740319975623239E-2</v>
      </c>
      <c r="X7614" s="2">
        <f ca="1"/>
        <v>37.975872302489101</v>
      </c>
      <c r="AG7614" s="2">
        <f ca="1"/>
        <v>0.21997835924278553</v>
      </c>
      <c r="AH7614" s="2" t="str">
        <f ca="1"/>
        <v>OK</v>
      </c>
    </row>
    <row r="7615" spans="2:34" x14ac:dyDescent="0.2">
      <c r="B7615" s="2">
        <f ca="1"/>
        <v>0.1683916385673041</v>
      </c>
      <c r="O7615" s="2">
        <f ca="1"/>
        <v>2.1782497940949841</v>
      </c>
      <c r="X7615" s="2">
        <f ca="1"/>
        <v>41.845662552413472</v>
      </c>
      <c r="AG7615" s="2">
        <f ca="1"/>
        <v>0.72121964084196688</v>
      </c>
      <c r="AH7615" s="2" t="str">
        <f ca="1"/>
        <v>Bad</v>
      </c>
    </row>
    <row r="7616" spans="2:34" x14ac:dyDescent="0.2">
      <c r="B7616" s="2">
        <f ca="1"/>
        <v>0.86905710792598345</v>
      </c>
      <c r="O7616" s="2">
        <f ca="1"/>
        <v>6.1030631433788618E-2</v>
      </c>
      <c r="X7616" s="2">
        <f ca="1"/>
        <v>49.203808912800767</v>
      </c>
      <c r="AG7616" s="2">
        <f ca="1"/>
        <v>0.16783619917024217</v>
      </c>
      <c r="AH7616" s="2" t="str">
        <f ca="1"/>
        <v>OK</v>
      </c>
    </row>
    <row r="7617" spans="2:34" x14ac:dyDescent="0.2">
      <c r="B7617" s="2">
        <f ca="1"/>
        <v>0.77173334394800563</v>
      </c>
      <c r="O7617" s="2">
        <f ca="1"/>
        <v>0.14694269583373476</v>
      </c>
      <c r="X7617" s="2">
        <f ca="1"/>
        <v>50.504966473982343</v>
      </c>
      <c r="AG7617" s="2">
        <f ca="1"/>
        <v>0.76882678140135341</v>
      </c>
      <c r="AH7617" s="2" t="str">
        <f ca="1"/>
        <v>Bad</v>
      </c>
    </row>
    <row r="7618" spans="2:34" x14ac:dyDescent="0.2">
      <c r="B7618" s="2">
        <f ca="1"/>
        <v>0.47281103235408772</v>
      </c>
      <c r="O7618" s="2">
        <f ca="1"/>
        <v>-0.792576196211079</v>
      </c>
      <c r="X7618" s="2">
        <f ca="1"/>
        <v>38.533789466523707</v>
      </c>
      <c r="AG7618" s="2">
        <f ca="1"/>
        <v>0.86444730507401069</v>
      </c>
      <c r="AH7618" s="2" t="str">
        <f ca="1"/>
        <v>Bad</v>
      </c>
    </row>
    <row r="7619" spans="2:34" x14ac:dyDescent="0.2">
      <c r="B7619" s="2">
        <f ca="1"/>
        <v>0.93776114142760281</v>
      </c>
      <c r="O7619" s="2">
        <f ca="1"/>
        <v>-4.9728498680977389E-2</v>
      </c>
      <c r="X7619" s="2">
        <f ca="1"/>
        <v>62.425100801084248</v>
      </c>
      <c r="AG7619" s="2">
        <f ca="1"/>
        <v>0.25691751572985622</v>
      </c>
      <c r="AH7619" s="2" t="str">
        <f ca="1"/>
        <v>OK</v>
      </c>
    </row>
    <row r="7620" spans="2:34" x14ac:dyDescent="0.2">
      <c r="B7620" s="2">
        <f ca="1"/>
        <v>0.93944512250283063</v>
      </c>
      <c r="O7620" s="2">
        <f ca="1"/>
        <v>0.28806878944733122</v>
      </c>
      <c r="X7620" s="2">
        <f ca="1"/>
        <v>36.168642958367379</v>
      </c>
      <c r="AG7620" s="2">
        <f ca="1"/>
        <v>0.82594751313970627</v>
      </c>
      <c r="AH7620" s="2" t="str">
        <f ca="1"/>
        <v>Bad</v>
      </c>
    </row>
    <row r="7621" spans="2:34" x14ac:dyDescent="0.2">
      <c r="B7621" s="2">
        <f ca="1"/>
        <v>0.65164548902407149</v>
      </c>
      <c r="O7621" s="2">
        <f ca="1"/>
        <v>-0.21485331314327399</v>
      </c>
      <c r="X7621" s="2">
        <f ca="1"/>
        <v>53.646593268252005</v>
      </c>
      <c r="AG7621" s="2">
        <f ca="1"/>
        <v>0.75872899898390567</v>
      </c>
      <c r="AH7621" s="2" t="str">
        <f ca="1"/>
        <v>Bad</v>
      </c>
    </row>
    <row r="7622" spans="2:34" x14ac:dyDescent="0.2">
      <c r="B7622" s="2">
        <f ca="1"/>
        <v>0.33010013885805223</v>
      </c>
      <c r="O7622" s="2">
        <f ca="1"/>
        <v>-5.152703303255507E-2</v>
      </c>
      <c r="X7622" s="2">
        <f ca="1"/>
        <v>57.645305979224403</v>
      </c>
      <c r="AG7622" s="2">
        <f ca="1"/>
        <v>0.86371547896881351</v>
      </c>
      <c r="AH7622" s="2" t="str">
        <f ca="1"/>
        <v>Bad</v>
      </c>
    </row>
    <row r="7623" spans="2:34" x14ac:dyDescent="0.2">
      <c r="B7623" s="2">
        <f ca="1"/>
        <v>0.5607976050100445</v>
      </c>
      <c r="O7623" s="2">
        <f ca="1"/>
        <v>-0.71444457648973225</v>
      </c>
      <c r="X7623" s="2">
        <f ca="1"/>
        <v>46.852853749511723</v>
      </c>
      <c r="AG7623" s="2">
        <f ca="1"/>
        <v>0.41422253548803534</v>
      </c>
      <c r="AH7623" s="2" t="str">
        <f ca="1"/>
        <v>Bad</v>
      </c>
    </row>
    <row r="7624" spans="2:34" x14ac:dyDescent="0.2">
      <c r="B7624" s="2">
        <f ca="1"/>
        <v>0.57987347561415992</v>
      </c>
      <c r="O7624" s="2">
        <f ca="1"/>
        <v>0.52776984234746827</v>
      </c>
      <c r="X7624" s="2">
        <f ca="1"/>
        <v>43.118193454130278</v>
      </c>
      <c r="AG7624" s="2">
        <f ca="1"/>
        <v>0.24147803769606835</v>
      </c>
      <c r="AH7624" s="2" t="str">
        <f ca="1"/>
        <v>OK</v>
      </c>
    </row>
    <row r="7625" spans="2:34" x14ac:dyDescent="0.2">
      <c r="B7625" s="2">
        <f ca="1"/>
        <v>0.90807585703925708</v>
      </c>
      <c r="O7625" s="2">
        <f ca="1"/>
        <v>1.7021383777593238</v>
      </c>
      <c r="X7625" s="2">
        <f ca="1"/>
        <v>55.800864204650011</v>
      </c>
      <c r="AG7625" s="2">
        <f ca="1"/>
        <v>0.41834972845933316</v>
      </c>
      <c r="AH7625" s="2" t="str">
        <f ca="1"/>
        <v>Bad</v>
      </c>
    </row>
    <row r="7626" spans="2:34" x14ac:dyDescent="0.2">
      <c r="B7626" s="2">
        <f ca="1"/>
        <v>0.66029661708686338</v>
      </c>
      <c r="O7626" s="2">
        <f ca="1"/>
        <v>5.6260039869152179E-2</v>
      </c>
      <c r="X7626" s="2">
        <f ca="1"/>
        <v>66.619598668421162</v>
      </c>
      <c r="AG7626" s="2">
        <f ca="1"/>
        <v>0.79518924443908268</v>
      </c>
      <c r="AH7626" s="2" t="str">
        <f ca="1"/>
        <v>Bad</v>
      </c>
    </row>
    <row r="7627" spans="2:34" x14ac:dyDescent="0.2">
      <c r="B7627" s="2">
        <f ca="1"/>
        <v>0.40182619142677822</v>
      </c>
      <c r="O7627" s="2">
        <f ca="1"/>
        <v>4.5972753788391281E-2</v>
      </c>
      <c r="X7627" s="2">
        <f ca="1"/>
        <v>77.876662649569255</v>
      </c>
      <c r="AG7627" s="2">
        <f ca="1"/>
        <v>0.31455530113183561</v>
      </c>
      <c r="AH7627" s="2" t="str">
        <f ca="1"/>
        <v>OK</v>
      </c>
    </row>
    <row r="7628" spans="2:34" x14ac:dyDescent="0.2">
      <c r="B7628" s="2">
        <f ca="1"/>
        <v>0.76894859318945796</v>
      </c>
      <c r="O7628" s="2">
        <f ca="1"/>
        <v>0.26687980701568387</v>
      </c>
      <c r="X7628" s="2">
        <f ca="1"/>
        <v>60.058581075592635</v>
      </c>
      <c r="AG7628" s="2">
        <f ca="1"/>
        <v>0.55933545681914243</v>
      </c>
      <c r="AH7628" s="2" t="str">
        <f ca="1"/>
        <v>Bad</v>
      </c>
    </row>
    <row r="7629" spans="2:34" x14ac:dyDescent="0.2">
      <c r="B7629" s="2">
        <f ca="1"/>
        <v>0.14097029062956379</v>
      </c>
      <c r="O7629" s="2">
        <f ca="1"/>
        <v>-4.1156763303366456E-2</v>
      </c>
      <c r="X7629" s="2">
        <f ca="1"/>
        <v>37.399707587620064</v>
      </c>
      <c r="AG7629" s="2">
        <f ca="1"/>
        <v>0.64053429967748032</v>
      </c>
      <c r="AH7629" s="2" t="str">
        <f ca="1"/>
        <v>Bad</v>
      </c>
    </row>
    <row r="7630" spans="2:34" x14ac:dyDescent="0.2">
      <c r="B7630" s="2">
        <f ca="1"/>
        <v>0.9397194367049837</v>
      </c>
      <c r="O7630" s="2">
        <f ca="1"/>
        <v>-0.3947429369414488</v>
      </c>
      <c r="X7630" s="2">
        <f ca="1"/>
        <v>22.384620511042783</v>
      </c>
      <c r="AG7630" s="2">
        <f ca="1"/>
        <v>0.38909885249380194</v>
      </c>
      <c r="AH7630" s="2" t="str">
        <f ca="1"/>
        <v>OK</v>
      </c>
    </row>
    <row r="7631" spans="2:34" x14ac:dyDescent="0.2">
      <c r="B7631" s="2">
        <f ca="1"/>
        <v>0.25295473613220865</v>
      </c>
      <c r="O7631" s="2">
        <f ca="1"/>
        <v>-0.63703682222347102</v>
      </c>
      <c r="X7631" s="2">
        <f ca="1"/>
        <v>37.364537655294534</v>
      </c>
      <c r="AG7631" s="2">
        <f ca="1"/>
        <v>8.3289595503242886E-2</v>
      </c>
      <c r="AH7631" s="2" t="str">
        <f ca="1"/>
        <v>OK</v>
      </c>
    </row>
    <row r="7632" spans="2:34" x14ac:dyDescent="0.2">
      <c r="B7632" s="2">
        <f ca="1"/>
        <v>0.7705167409685354</v>
      </c>
      <c r="O7632" s="2">
        <f ca="1"/>
        <v>-0.36645900717053026</v>
      </c>
      <c r="X7632" s="2">
        <f ca="1"/>
        <v>15.034074158368817</v>
      </c>
      <c r="AG7632" s="2">
        <f ca="1"/>
        <v>0.24316910961953675</v>
      </c>
      <c r="AH7632" s="2" t="str">
        <f ca="1"/>
        <v>OK</v>
      </c>
    </row>
    <row r="7633" spans="2:34" x14ac:dyDescent="0.2">
      <c r="B7633" s="2">
        <f ca="1"/>
        <v>0.15050705362953432</v>
      </c>
      <c r="O7633" s="2">
        <f ca="1"/>
        <v>0.4816235040769003</v>
      </c>
      <c r="X7633" s="2">
        <f ca="1"/>
        <v>63.73883759998219</v>
      </c>
      <c r="AG7633" s="2">
        <f ca="1"/>
        <v>0.41813973645488378</v>
      </c>
      <c r="AH7633" s="2" t="str">
        <f ca="1"/>
        <v>Bad</v>
      </c>
    </row>
    <row r="7634" spans="2:34" x14ac:dyDescent="0.2">
      <c r="B7634" s="2">
        <f ca="1"/>
        <v>0.89584122824174717</v>
      </c>
      <c r="O7634" s="2">
        <f ca="1"/>
        <v>-0.49758025198678968</v>
      </c>
      <c r="X7634" s="2">
        <f ca="1"/>
        <v>64.724653813754102</v>
      </c>
      <c r="AG7634" s="2">
        <f ca="1"/>
        <v>0.85280467961750772</v>
      </c>
      <c r="AH7634" s="2" t="str">
        <f ca="1"/>
        <v>Bad</v>
      </c>
    </row>
    <row r="7635" spans="2:34" x14ac:dyDescent="0.2">
      <c r="B7635" s="2">
        <f ca="1"/>
        <v>0.55076969000934661</v>
      </c>
      <c r="O7635" s="2">
        <f ca="1"/>
        <v>-0.17519524643046852</v>
      </c>
      <c r="X7635" s="2">
        <f ca="1"/>
        <v>30.836983638588276</v>
      </c>
      <c r="AG7635" s="2">
        <f ca="1"/>
        <v>0.71209990398683543</v>
      </c>
      <c r="AH7635" s="2" t="str">
        <f ca="1"/>
        <v>Bad</v>
      </c>
    </row>
    <row r="7636" spans="2:34" x14ac:dyDescent="0.2">
      <c r="B7636" s="2">
        <f ca="1"/>
        <v>0.12708559582889078</v>
      </c>
      <c r="O7636" s="2">
        <f ca="1"/>
        <v>2.0193345987810809</v>
      </c>
      <c r="X7636" s="2">
        <f ca="1"/>
        <v>48.133434517671738</v>
      </c>
      <c r="AG7636" s="2">
        <f ca="1"/>
        <v>0.60752243201624667</v>
      </c>
      <c r="AH7636" s="2" t="str">
        <f ca="1"/>
        <v>Bad</v>
      </c>
    </row>
    <row r="7637" spans="2:34" x14ac:dyDescent="0.2">
      <c r="B7637" s="2">
        <f ca="1"/>
        <v>0.3074491587936532</v>
      </c>
      <c r="O7637" s="2">
        <f ca="1"/>
        <v>-0.58671356793542073</v>
      </c>
      <c r="X7637" s="2">
        <f ca="1"/>
        <v>63.770828702722788</v>
      </c>
      <c r="AG7637" s="2">
        <f ca="1"/>
        <v>0.54652026278536692</v>
      </c>
      <c r="AH7637" s="2" t="str">
        <f ca="1"/>
        <v>Bad</v>
      </c>
    </row>
    <row r="7638" spans="2:34" x14ac:dyDescent="0.2">
      <c r="B7638" s="2">
        <f ca="1"/>
        <v>0.82210792477393202</v>
      </c>
      <c r="O7638" s="2">
        <f ca="1"/>
        <v>9.9369867198393722E-3</v>
      </c>
      <c r="X7638" s="2">
        <f ca="1"/>
        <v>89.96362373424347</v>
      </c>
      <c r="AG7638" s="2">
        <f ca="1"/>
        <v>0.80959479319490701</v>
      </c>
      <c r="AH7638" s="2" t="str">
        <f ca="1"/>
        <v>Bad</v>
      </c>
    </row>
    <row r="7639" spans="2:34" x14ac:dyDescent="0.2">
      <c r="B7639" s="2">
        <f ca="1"/>
        <v>0.36926946094429058</v>
      </c>
      <c r="O7639" s="2">
        <f ca="1"/>
        <v>1.2670423196907556</v>
      </c>
      <c r="X7639" s="2">
        <f ca="1"/>
        <v>63.900613669561622</v>
      </c>
      <c r="AG7639" s="2">
        <f ca="1"/>
        <v>0.95109420779441889</v>
      </c>
      <c r="AH7639" s="2" t="str">
        <f ca="1"/>
        <v>Bad</v>
      </c>
    </row>
    <row r="7640" spans="2:34" x14ac:dyDescent="0.2">
      <c r="B7640" s="2">
        <f ca="1"/>
        <v>0.2761512823594563</v>
      </c>
      <c r="O7640" s="2">
        <f ca="1"/>
        <v>0.98116309185833339</v>
      </c>
      <c r="X7640" s="2">
        <f ca="1"/>
        <v>34.0366199124459</v>
      </c>
      <c r="AG7640" s="2">
        <f ca="1"/>
        <v>0.77285629085005247</v>
      </c>
      <c r="AH7640" s="2" t="str">
        <f ca="1"/>
        <v>Bad</v>
      </c>
    </row>
    <row r="7641" spans="2:34" x14ac:dyDescent="0.2">
      <c r="B7641" s="2">
        <f ca="1"/>
        <v>0.11138200807699405</v>
      </c>
      <c r="O7641" s="2">
        <f ca="1"/>
        <v>7.9656084030311089E-2</v>
      </c>
      <c r="X7641" s="2">
        <f ca="1"/>
        <v>43.967354656380266</v>
      </c>
      <c r="AG7641" s="2">
        <f ca="1"/>
        <v>0.48737053385386964</v>
      </c>
      <c r="AH7641" s="2" t="str">
        <f ca="1"/>
        <v>Bad</v>
      </c>
    </row>
    <row r="7642" spans="2:34" x14ac:dyDescent="0.2">
      <c r="B7642" s="2">
        <f ca="1"/>
        <v>0.98425187673350778</v>
      </c>
      <c r="O7642" s="2">
        <f ca="1"/>
        <v>0.69324826156884278</v>
      </c>
      <c r="X7642" s="2">
        <f ca="1"/>
        <v>58.368059399230326</v>
      </c>
      <c r="AG7642" s="2">
        <f ca="1"/>
        <v>0.56578879934832682</v>
      </c>
      <c r="AH7642" s="2" t="str">
        <f ca="1"/>
        <v>Bad</v>
      </c>
    </row>
    <row r="7643" spans="2:34" x14ac:dyDescent="0.2">
      <c r="B7643" s="2">
        <f ca="1"/>
        <v>0.5847628050906144</v>
      </c>
      <c r="O7643" s="2">
        <f ca="1"/>
        <v>2.1886011727994706E-3</v>
      </c>
      <c r="X7643" s="2">
        <f ca="1"/>
        <v>95.326996019492341</v>
      </c>
      <c r="AG7643" s="2">
        <f ca="1"/>
        <v>0.66926659359905405</v>
      </c>
      <c r="AH7643" s="2" t="str">
        <f ca="1"/>
        <v>Bad</v>
      </c>
    </row>
    <row r="7644" spans="2:34" x14ac:dyDescent="0.2">
      <c r="B7644" s="2">
        <f ca="1"/>
        <v>0.49657564067389881</v>
      </c>
      <c r="O7644" s="2">
        <f ca="1"/>
        <v>0.73106618696368053</v>
      </c>
      <c r="X7644" s="2">
        <f ca="1"/>
        <v>89.725763397679458</v>
      </c>
      <c r="AG7644" s="2">
        <f ca="1"/>
        <v>0.55565132944407147</v>
      </c>
      <c r="AH7644" s="2" t="str">
        <f ca="1"/>
        <v>Bad</v>
      </c>
    </row>
    <row r="7645" spans="2:34" x14ac:dyDescent="0.2">
      <c r="B7645" s="2">
        <f ca="1"/>
        <v>0.17789134908496829</v>
      </c>
      <c r="O7645" s="2">
        <f ca="1"/>
        <v>-1.5524199887435259</v>
      </c>
      <c r="X7645" s="2">
        <f ca="1"/>
        <v>27.486229779654678</v>
      </c>
      <c r="AG7645" s="2">
        <f ca="1"/>
        <v>0.67927743213160841</v>
      </c>
      <c r="AH7645" s="2" t="str">
        <f ca="1"/>
        <v>Bad</v>
      </c>
    </row>
    <row r="7646" spans="2:34" x14ac:dyDescent="0.2">
      <c r="B7646" s="2">
        <f ca="1"/>
        <v>0.28032885403346475</v>
      </c>
      <c r="O7646" s="2">
        <f ca="1"/>
        <v>-0.5795682137082554</v>
      </c>
      <c r="X7646" s="2">
        <f ca="1"/>
        <v>57.895054598651477</v>
      </c>
      <c r="AG7646" s="2">
        <f ca="1"/>
        <v>0.34874414245829577</v>
      </c>
      <c r="AH7646" s="2" t="str">
        <f ca="1"/>
        <v>OK</v>
      </c>
    </row>
    <row r="7647" spans="2:34" x14ac:dyDescent="0.2">
      <c r="B7647" s="2">
        <f ca="1"/>
        <v>0.56072424922480724</v>
      </c>
      <c r="O7647" s="2">
        <f ca="1"/>
        <v>0.55323299336960863</v>
      </c>
      <c r="X7647" s="2">
        <f ca="1"/>
        <v>69.014270752565864</v>
      </c>
      <c r="AG7647" s="2">
        <f ca="1"/>
        <v>0.75335670176910252</v>
      </c>
      <c r="AH7647" s="2" t="str">
        <f ca="1"/>
        <v>Bad</v>
      </c>
    </row>
    <row r="7648" spans="2:34" x14ac:dyDescent="0.2">
      <c r="B7648" s="2">
        <f ca="1"/>
        <v>0.16623599727548788</v>
      </c>
      <c r="O7648" s="2">
        <f ca="1"/>
        <v>0.43943895576429221</v>
      </c>
      <c r="X7648" s="2">
        <f ca="1"/>
        <v>37.386786186812742</v>
      </c>
      <c r="AG7648" s="2">
        <f ca="1"/>
        <v>0.72386931330707971</v>
      </c>
      <c r="AH7648" s="2" t="str">
        <f ca="1"/>
        <v>Bad</v>
      </c>
    </row>
    <row r="7649" spans="2:34" x14ac:dyDescent="0.2">
      <c r="B7649" s="2">
        <f ca="1"/>
        <v>0.55683090853948602</v>
      </c>
      <c r="O7649" s="2">
        <f ca="1"/>
        <v>-1.3004803805159146</v>
      </c>
      <c r="X7649" s="2">
        <f ca="1"/>
        <v>73.298730022187897</v>
      </c>
      <c r="AG7649" s="2">
        <f ca="1"/>
        <v>0.9057510905261652</v>
      </c>
      <c r="AH7649" s="2" t="str">
        <f ca="1"/>
        <v>Bad</v>
      </c>
    </row>
    <row r="7650" spans="2:34" x14ac:dyDescent="0.2">
      <c r="B7650" s="2">
        <f ca="1"/>
        <v>0.87182479272894997</v>
      </c>
      <c r="O7650" s="2">
        <f ca="1"/>
        <v>-0.6245740684083505</v>
      </c>
      <c r="X7650" s="2">
        <f ca="1"/>
        <v>57.836469589738982</v>
      </c>
      <c r="AG7650" s="2">
        <f ca="1"/>
        <v>0.57573581764937165</v>
      </c>
      <c r="AH7650" s="2" t="str">
        <f ca="1"/>
        <v>Bad</v>
      </c>
    </row>
    <row r="7651" spans="2:34" x14ac:dyDescent="0.2">
      <c r="B7651" s="2">
        <f ca="1"/>
        <v>7.950620945405773E-2</v>
      </c>
      <c r="O7651" s="2">
        <f ca="1"/>
        <v>0.45091717270941012</v>
      </c>
      <c r="X7651" s="2">
        <f ca="1"/>
        <v>39.814656044512809</v>
      </c>
      <c r="AG7651" s="2">
        <f ca="1"/>
        <v>0.16038715822571303</v>
      </c>
      <c r="AH7651" s="2" t="str">
        <f ca="1"/>
        <v>OK</v>
      </c>
    </row>
    <row r="7652" spans="2:34" x14ac:dyDescent="0.2">
      <c r="B7652" s="2">
        <f ca="1"/>
        <v>0.26147174090228131</v>
      </c>
      <c r="O7652" s="2">
        <f ca="1"/>
        <v>-1.4747433090139039</v>
      </c>
      <c r="X7652" s="2">
        <f ca="1"/>
        <v>56.555940898461955</v>
      </c>
      <c r="AG7652" s="2">
        <f ca="1"/>
        <v>0.36783399327657484</v>
      </c>
      <c r="AH7652" s="2" t="str">
        <f ca="1"/>
        <v>OK</v>
      </c>
    </row>
    <row r="7653" spans="2:34" x14ac:dyDescent="0.2">
      <c r="B7653" s="2">
        <f ca="1"/>
        <v>0.63361460366318312</v>
      </c>
      <c r="O7653" s="2">
        <f ca="1"/>
        <v>-0.47770648094247936</v>
      </c>
      <c r="X7653" s="2">
        <f ca="1"/>
        <v>49.998714489234466</v>
      </c>
      <c r="AG7653" s="2">
        <f ca="1"/>
        <v>0.30346453015094221</v>
      </c>
      <c r="AH7653" s="2" t="str">
        <f ca="1"/>
        <v>OK</v>
      </c>
    </row>
    <row r="7654" spans="2:34" x14ac:dyDescent="0.2">
      <c r="B7654" s="2">
        <f ca="1"/>
        <v>0.31909932253293349</v>
      </c>
      <c r="O7654" s="2">
        <f ca="1"/>
        <v>1.1857020013145838</v>
      </c>
      <c r="X7654" s="2">
        <f ca="1"/>
        <v>44.981170117080119</v>
      </c>
      <c r="AG7654" s="2">
        <f ca="1"/>
        <v>0.85525112146891558</v>
      </c>
      <c r="AH7654" s="2" t="str">
        <f ca="1"/>
        <v>Bad</v>
      </c>
    </row>
    <row r="7655" spans="2:34" x14ac:dyDescent="0.2">
      <c r="B7655" s="2">
        <f ca="1"/>
        <v>0.30264469787350645</v>
      </c>
      <c r="O7655" s="2">
        <f ca="1"/>
        <v>-2.1133626637246876E-2</v>
      </c>
      <c r="X7655" s="2">
        <f ca="1"/>
        <v>55.146624204170578</v>
      </c>
      <c r="AG7655" s="2">
        <f ca="1"/>
        <v>0.50404413680153448</v>
      </c>
      <c r="AH7655" s="2" t="str">
        <f ca="1"/>
        <v>Bad</v>
      </c>
    </row>
    <row r="7656" spans="2:34" x14ac:dyDescent="0.2">
      <c r="B7656" s="2">
        <f ca="1"/>
        <v>0.60419525500985727</v>
      </c>
      <c r="O7656" s="2">
        <f ca="1"/>
        <v>-1.1488846361962182</v>
      </c>
      <c r="X7656" s="2">
        <f ca="1"/>
        <v>76.767455783374146</v>
      </c>
      <c r="AG7656" s="2">
        <f ca="1"/>
        <v>0.4246759521623833</v>
      </c>
      <c r="AH7656" s="2" t="str">
        <f ca="1"/>
        <v>Bad</v>
      </c>
    </row>
    <row r="7657" spans="2:34" x14ac:dyDescent="0.2">
      <c r="B7657" s="2">
        <f ca="1"/>
        <v>0.58719084333946459</v>
      </c>
      <c r="O7657" s="2">
        <f ca="1"/>
        <v>-1.5248672465406417</v>
      </c>
      <c r="X7657" s="2">
        <f ca="1"/>
        <v>38.057908499312205</v>
      </c>
      <c r="AG7657" s="2">
        <f ca="1"/>
        <v>0.36136568836751515</v>
      </c>
      <c r="AH7657" s="2" t="str">
        <f ca="1"/>
        <v>OK</v>
      </c>
    </row>
    <row r="7658" spans="2:34" x14ac:dyDescent="0.2">
      <c r="B7658" s="2">
        <f ca="1"/>
        <v>0.51868709981912353</v>
      </c>
      <c r="O7658" s="2">
        <f ca="1"/>
        <v>-1.7559414419382964</v>
      </c>
      <c r="X7658" s="2">
        <f ca="1"/>
        <v>72.664100103634652</v>
      </c>
      <c r="AG7658" s="2">
        <f ca="1"/>
        <v>0.11189301664821616</v>
      </c>
      <c r="AH7658" s="2" t="str">
        <f ca="1"/>
        <v>OK</v>
      </c>
    </row>
    <row r="7659" spans="2:34" x14ac:dyDescent="0.2">
      <c r="B7659" s="2">
        <f ca="1"/>
        <v>0.79289697540697701</v>
      </c>
      <c r="O7659" s="2">
        <f ca="1"/>
        <v>-0.2199753271487184</v>
      </c>
      <c r="X7659" s="2">
        <f ca="1"/>
        <v>63.839128424542196</v>
      </c>
      <c r="AG7659" s="2">
        <f ca="1"/>
        <v>6.9978004039187525E-2</v>
      </c>
      <c r="AH7659" s="2" t="str">
        <f ca="1"/>
        <v>OK</v>
      </c>
    </row>
    <row r="7660" spans="2:34" x14ac:dyDescent="0.2">
      <c r="B7660" s="2">
        <f ca="1"/>
        <v>0.19622610778776028</v>
      </c>
      <c r="O7660" s="2">
        <f ca="1"/>
        <v>-0.99180918212669689</v>
      </c>
      <c r="X7660" s="2">
        <f ca="1"/>
        <v>51.288407072850305</v>
      </c>
      <c r="AG7660" s="2">
        <f ca="1"/>
        <v>0.83854369509216742</v>
      </c>
      <c r="AH7660" s="2" t="str">
        <f ca="1"/>
        <v>Bad</v>
      </c>
    </row>
    <row r="7661" spans="2:34" x14ac:dyDescent="0.2">
      <c r="B7661" s="2">
        <f ca="1"/>
        <v>0.52075191863175285</v>
      </c>
      <c r="O7661" s="2">
        <f ca="1"/>
        <v>1.4874345561196123</v>
      </c>
      <c r="X7661" s="2">
        <f ca="1"/>
        <v>40.585354305302943</v>
      </c>
      <c r="AG7661" s="2">
        <f ca="1"/>
        <v>0.24982765354467129</v>
      </c>
      <c r="AH7661" s="2" t="str">
        <f ca="1"/>
        <v>OK</v>
      </c>
    </row>
    <row r="7662" spans="2:34" x14ac:dyDescent="0.2">
      <c r="B7662" s="2">
        <f ca="1"/>
        <v>8.9273653018216104E-2</v>
      </c>
      <c r="O7662" s="2">
        <f ca="1"/>
        <v>-0.69112050758135357</v>
      </c>
      <c r="X7662" s="2">
        <f ca="1"/>
        <v>79.565788730446116</v>
      </c>
      <c r="AG7662" s="2">
        <f ca="1"/>
        <v>0.73348096425760145</v>
      </c>
      <c r="AH7662" s="2" t="str">
        <f ca="1"/>
        <v>Bad</v>
      </c>
    </row>
    <row r="7663" spans="2:34" x14ac:dyDescent="0.2">
      <c r="B7663" s="2">
        <f ca="1"/>
        <v>0.90652486942258581</v>
      </c>
      <c r="O7663" s="2">
        <f ca="1"/>
        <v>-1.0712618065262682</v>
      </c>
      <c r="X7663" s="2">
        <f ca="1"/>
        <v>74.784938565350203</v>
      </c>
      <c r="AG7663" s="2">
        <f ca="1"/>
        <v>4.6707625702046229E-2</v>
      </c>
      <c r="AH7663" s="2" t="str">
        <f ca="1"/>
        <v>Good</v>
      </c>
    </row>
    <row r="7664" spans="2:34" x14ac:dyDescent="0.2">
      <c r="B7664" s="2">
        <f ca="1"/>
        <v>0.119737157691433</v>
      </c>
      <c r="O7664" s="2">
        <f ca="1"/>
        <v>-1.2883164809782479</v>
      </c>
      <c r="X7664" s="2">
        <f ca="1"/>
        <v>67.98432926313501</v>
      </c>
      <c r="AG7664" s="2">
        <f ca="1"/>
        <v>6.8571007456666777E-2</v>
      </c>
      <c r="AH7664" s="2" t="str">
        <f ca="1"/>
        <v>OK</v>
      </c>
    </row>
    <row r="7665" spans="2:34" x14ac:dyDescent="0.2">
      <c r="B7665" s="2">
        <f ca="1"/>
        <v>0.57428400833906168</v>
      </c>
      <c r="O7665" s="2">
        <f ca="1"/>
        <v>1.577556311044306</v>
      </c>
      <c r="X7665" s="2">
        <f ca="1"/>
        <v>45.477326609026612</v>
      </c>
      <c r="AG7665" s="2">
        <f ca="1"/>
        <v>0.53506692987337479</v>
      </c>
      <c r="AH7665" s="2" t="str">
        <f ca="1"/>
        <v>Bad</v>
      </c>
    </row>
    <row r="7666" spans="2:34" x14ac:dyDescent="0.2">
      <c r="B7666" s="2">
        <f ca="1"/>
        <v>0.39208236143876563</v>
      </c>
      <c r="O7666" s="2">
        <f ca="1"/>
        <v>1.0624137309934156</v>
      </c>
      <c r="X7666" s="2">
        <f ca="1"/>
        <v>40.388038061320472</v>
      </c>
      <c r="AG7666" s="2">
        <f ca="1"/>
        <v>0.53549051327681818</v>
      </c>
      <c r="AH7666" s="2" t="str">
        <f ca="1"/>
        <v>Bad</v>
      </c>
    </row>
    <row r="7667" spans="2:34" x14ac:dyDescent="0.2">
      <c r="B7667" s="2">
        <f ca="1"/>
        <v>0.64829122575526621</v>
      </c>
      <c r="O7667" s="2">
        <f ca="1"/>
        <v>2.2355181959181047</v>
      </c>
      <c r="X7667" s="2">
        <f ca="1"/>
        <v>42.061046886359492</v>
      </c>
      <c r="AG7667" s="2">
        <f ca="1"/>
        <v>0.34093059044150653</v>
      </c>
      <c r="AH7667" s="2" t="str">
        <f ca="1"/>
        <v>OK</v>
      </c>
    </row>
    <row r="7668" spans="2:34" x14ac:dyDescent="0.2">
      <c r="B7668" s="2">
        <f ca="1"/>
        <v>0.8944407998378674</v>
      </c>
      <c r="O7668" s="2">
        <f ca="1"/>
        <v>1.0555322936590055</v>
      </c>
      <c r="X7668" s="2">
        <f ca="1"/>
        <v>84.742513557972373</v>
      </c>
      <c r="AG7668" s="2">
        <f ca="1"/>
        <v>0.94895308009639945</v>
      </c>
      <c r="AH7668" s="2" t="str">
        <f ca="1"/>
        <v>Bad</v>
      </c>
    </row>
    <row r="7669" spans="2:34" x14ac:dyDescent="0.2">
      <c r="B7669" s="2">
        <f ca="1"/>
        <v>0.82784484912889278</v>
      </c>
      <c r="O7669" s="2">
        <f ca="1"/>
        <v>1.3390136126653223</v>
      </c>
      <c r="X7669" s="2">
        <f ca="1"/>
        <v>63.494391117553725</v>
      </c>
      <c r="AG7669" s="2">
        <f ca="1"/>
        <v>0.41782791618377457</v>
      </c>
      <c r="AH7669" s="2" t="str">
        <f ca="1"/>
        <v>Bad</v>
      </c>
    </row>
    <row r="7670" spans="2:34" x14ac:dyDescent="0.2">
      <c r="B7670" s="2">
        <f ca="1"/>
        <v>0.3329174139866713</v>
      </c>
      <c r="O7670" s="2">
        <f ca="1"/>
        <v>-1.42895824873818</v>
      </c>
      <c r="X7670" s="2">
        <f ca="1"/>
        <v>57.104405084840877</v>
      </c>
      <c r="AG7670" s="2">
        <f ca="1"/>
        <v>0.66086787926013923</v>
      </c>
      <c r="AH7670" s="2" t="str">
        <f ca="1"/>
        <v>Bad</v>
      </c>
    </row>
    <row r="7671" spans="2:34" x14ac:dyDescent="0.2">
      <c r="B7671" s="2">
        <f ca="1"/>
        <v>0.8009202768582846</v>
      </c>
      <c r="O7671" s="2">
        <f ca="1"/>
        <v>-1.2055799662117526</v>
      </c>
      <c r="X7671" s="2">
        <f ca="1"/>
        <v>42.667563567459311</v>
      </c>
      <c r="AG7671" s="2">
        <f ca="1"/>
        <v>0.81024977029959011</v>
      </c>
      <c r="AH7671" s="2" t="str">
        <f ca="1"/>
        <v>Bad</v>
      </c>
    </row>
    <row r="7672" spans="2:34" x14ac:dyDescent="0.2">
      <c r="B7672" s="2">
        <f ca="1"/>
        <v>0.22310725549363974</v>
      </c>
      <c r="O7672" s="2">
        <f ca="1"/>
        <v>-0.82131879068676916</v>
      </c>
      <c r="X7672" s="2">
        <f ca="1"/>
        <v>34.62421816850626</v>
      </c>
      <c r="AG7672" s="2">
        <f ca="1"/>
        <v>0.11828479201680131</v>
      </c>
      <c r="AH7672" s="2" t="str">
        <f ca="1"/>
        <v>OK</v>
      </c>
    </row>
    <row r="7673" spans="2:34" x14ac:dyDescent="0.2">
      <c r="B7673" s="2">
        <f ca="1"/>
        <v>0.66180109551943955</v>
      </c>
      <c r="O7673" s="2">
        <f ca="1"/>
        <v>0.80880904499025352</v>
      </c>
      <c r="X7673" s="2">
        <f ca="1"/>
        <v>53.347161997761852</v>
      </c>
      <c r="AG7673" s="2">
        <f ca="1"/>
        <v>0.77219538707869395</v>
      </c>
      <c r="AH7673" s="2" t="str">
        <f ca="1"/>
        <v>Bad</v>
      </c>
    </row>
    <row r="7674" spans="2:34" x14ac:dyDescent="0.2">
      <c r="B7674" s="2">
        <f ca="1"/>
        <v>0.81454117132947679</v>
      </c>
      <c r="O7674" s="2">
        <f ca="1"/>
        <v>-1.6727941436615692</v>
      </c>
      <c r="X7674" s="2">
        <f ca="1"/>
        <v>57.585834148139448</v>
      </c>
      <c r="AG7674" s="2">
        <f ca="1"/>
        <v>8.5193597816082489E-2</v>
      </c>
      <c r="AH7674" s="2" t="str">
        <f ca="1"/>
        <v>OK</v>
      </c>
    </row>
    <row r="7675" spans="2:34" x14ac:dyDescent="0.2">
      <c r="B7675" s="2">
        <f ca="1"/>
        <v>5.3165346460904983E-2</v>
      </c>
      <c r="O7675" s="2">
        <f ca="1"/>
        <v>-0.19839024179683826</v>
      </c>
      <c r="X7675" s="2">
        <f ca="1"/>
        <v>74.893742092501</v>
      </c>
      <c r="AG7675" s="2">
        <f ca="1"/>
        <v>0.42073080935315277</v>
      </c>
      <c r="AH7675" s="2" t="str">
        <f ca="1"/>
        <v>Bad</v>
      </c>
    </row>
    <row r="7676" spans="2:34" x14ac:dyDescent="0.2">
      <c r="B7676" s="2">
        <f ca="1"/>
        <v>0.45334476878284269</v>
      </c>
      <c r="O7676" s="2">
        <f ca="1"/>
        <v>1.3852496351921919</v>
      </c>
      <c r="X7676" s="2">
        <f ca="1"/>
        <v>67.892919801945695</v>
      </c>
      <c r="AG7676" s="2">
        <f ca="1"/>
        <v>0.39913498421392224</v>
      </c>
      <c r="AH7676" s="2" t="str">
        <f ca="1"/>
        <v>OK</v>
      </c>
    </row>
    <row r="7677" spans="2:34" x14ac:dyDescent="0.2">
      <c r="B7677" s="2">
        <f ca="1"/>
        <v>0.53938747055567715</v>
      </c>
      <c r="O7677" s="2">
        <f ca="1"/>
        <v>-0.34801844507768914</v>
      </c>
      <c r="X7677" s="2">
        <f ca="1"/>
        <v>41.300988317640162</v>
      </c>
      <c r="AG7677" s="2">
        <f ca="1"/>
        <v>0.30208280645822616</v>
      </c>
      <c r="AH7677" s="2" t="str">
        <f ca="1"/>
        <v>OK</v>
      </c>
    </row>
    <row r="7678" spans="2:34" x14ac:dyDescent="0.2">
      <c r="B7678" s="2">
        <f ca="1"/>
        <v>0.53933456012281056</v>
      </c>
      <c r="O7678" s="2">
        <f ca="1"/>
        <v>0.40163279606147279</v>
      </c>
      <c r="X7678" s="2">
        <f ca="1"/>
        <v>72.828853588033112</v>
      </c>
      <c r="AG7678" s="2">
        <f ca="1"/>
        <v>0.95070308743585064</v>
      </c>
      <c r="AH7678" s="2" t="str">
        <f ca="1"/>
        <v>Bad</v>
      </c>
    </row>
    <row r="7679" spans="2:34" x14ac:dyDescent="0.2">
      <c r="B7679" s="2">
        <f ca="1"/>
        <v>0.38945016725829662</v>
      </c>
      <c r="O7679" s="2">
        <f ca="1"/>
        <v>-1.1466246313680968</v>
      </c>
      <c r="X7679" s="2">
        <f ca="1"/>
        <v>39.416427532766207</v>
      </c>
      <c r="AG7679" s="2">
        <f ca="1"/>
        <v>8.1733220265012729E-2</v>
      </c>
      <c r="AH7679" s="2" t="str">
        <f ca="1"/>
        <v>OK</v>
      </c>
    </row>
    <row r="7680" spans="2:34" x14ac:dyDescent="0.2">
      <c r="B7680" s="2">
        <f ca="1"/>
        <v>0.16156482619514256</v>
      </c>
      <c r="O7680" s="2">
        <f ca="1"/>
        <v>0.34078749049960005</v>
      </c>
      <c r="X7680" s="2">
        <f ca="1"/>
        <v>36.659513234016131</v>
      </c>
      <c r="AG7680" s="2">
        <f ca="1"/>
        <v>0.13474185645310133</v>
      </c>
      <c r="AH7680" s="2" t="str">
        <f ca="1"/>
        <v>OK</v>
      </c>
    </row>
    <row r="7681" spans="2:34" x14ac:dyDescent="0.2">
      <c r="B7681" s="2">
        <f ca="1"/>
        <v>0.20798571837313107</v>
      </c>
      <c r="O7681" s="2">
        <f ca="1"/>
        <v>0.55325209644777917</v>
      </c>
      <c r="X7681" s="2">
        <f ca="1"/>
        <v>53.03790004680971</v>
      </c>
      <c r="AG7681" s="2">
        <f ca="1"/>
        <v>0.45670633462922927</v>
      </c>
      <c r="AH7681" s="2" t="str">
        <f ca="1"/>
        <v>Bad</v>
      </c>
    </row>
    <row r="7682" spans="2:34" x14ac:dyDescent="0.2">
      <c r="B7682" s="2">
        <f ca="1"/>
        <v>0.84546559331904825</v>
      </c>
      <c r="O7682" s="2">
        <f ca="1"/>
        <v>0.57400596214056787</v>
      </c>
      <c r="X7682" s="2">
        <f ca="1"/>
        <v>51.352339718958042</v>
      </c>
      <c r="AG7682" s="2">
        <f ca="1"/>
        <v>0.28416486690346288</v>
      </c>
      <c r="AH7682" s="2" t="str">
        <f ca="1"/>
        <v>OK</v>
      </c>
    </row>
    <row r="7683" spans="2:34" x14ac:dyDescent="0.2">
      <c r="B7683" s="2">
        <f ca="1"/>
        <v>0.37142505133882309</v>
      </c>
      <c r="O7683" s="2">
        <f ca="1"/>
        <v>0.36179710346159283</v>
      </c>
      <c r="X7683" s="2">
        <f ca="1"/>
        <v>42.576738884759202</v>
      </c>
      <c r="AG7683" s="2">
        <f ca="1"/>
        <v>0.78612834439402079</v>
      </c>
      <c r="AH7683" s="2" t="str">
        <f ca="1"/>
        <v>Bad</v>
      </c>
    </row>
    <row r="7684" spans="2:34" x14ac:dyDescent="0.2">
      <c r="B7684" s="2">
        <f ca="1"/>
        <v>4.6361971573363636E-2</v>
      </c>
      <c r="O7684" s="2">
        <f ca="1"/>
        <v>1.3611780192949914</v>
      </c>
      <c r="X7684" s="2">
        <f ca="1"/>
        <v>54.106921274850599</v>
      </c>
      <c r="AG7684" s="2">
        <f ca="1"/>
        <v>3.4952458958367183E-2</v>
      </c>
      <c r="AH7684" s="2" t="str">
        <f ca="1"/>
        <v>Good</v>
      </c>
    </row>
    <row r="7685" spans="2:34" x14ac:dyDescent="0.2">
      <c r="B7685" s="2">
        <f ca="1"/>
        <v>0.67832744374941512</v>
      </c>
      <c r="O7685" s="2">
        <f ca="1"/>
        <v>0.12823649658825192</v>
      </c>
      <c r="X7685" s="2">
        <f ca="1"/>
        <v>35.635563195325219</v>
      </c>
      <c r="AG7685" s="2">
        <f ca="1"/>
        <v>6.8594755769978866E-2</v>
      </c>
      <c r="AH7685" s="2" t="str">
        <f ca="1"/>
        <v>OK</v>
      </c>
    </row>
    <row r="7686" spans="2:34" x14ac:dyDescent="0.2">
      <c r="B7686" s="2">
        <f ca="1"/>
        <v>0.77635944841751758</v>
      </c>
      <c r="O7686" s="2">
        <f ca="1"/>
        <v>0.26969289144563607</v>
      </c>
      <c r="X7686" s="2">
        <f ca="1"/>
        <v>35.050808994506141</v>
      </c>
      <c r="AG7686" s="2">
        <f ca="1"/>
        <v>0.79728662862102806</v>
      </c>
      <c r="AH7686" s="2" t="str">
        <f ca="1"/>
        <v>Bad</v>
      </c>
    </row>
    <row r="7687" spans="2:34" x14ac:dyDescent="0.2">
      <c r="B7687" s="2">
        <f ca="1"/>
        <v>0.93263762539769335</v>
      </c>
      <c r="O7687" s="2">
        <f ca="1"/>
        <v>-0.86129812026687158</v>
      </c>
      <c r="X7687" s="2">
        <f ca="1"/>
        <v>29.326208317840255</v>
      </c>
      <c r="AG7687" s="2">
        <f ca="1"/>
        <v>0.25475686675686537</v>
      </c>
      <c r="AH7687" s="2" t="str">
        <f ca="1"/>
        <v>OK</v>
      </c>
    </row>
    <row r="7688" spans="2:34" x14ac:dyDescent="0.2">
      <c r="B7688" s="2">
        <f ca="1"/>
        <v>0.64446880144729812</v>
      </c>
      <c r="O7688" s="2">
        <f ca="1"/>
        <v>0.54598013143840041</v>
      </c>
      <c r="X7688" s="2">
        <f ca="1"/>
        <v>28.145314289391496</v>
      </c>
      <c r="AG7688" s="2">
        <f ca="1"/>
        <v>0.57291763621655067</v>
      </c>
      <c r="AH7688" s="2" t="str">
        <f ca="1"/>
        <v>Bad</v>
      </c>
    </row>
    <row r="7689" spans="2:34" x14ac:dyDescent="0.2">
      <c r="B7689" s="2">
        <f ca="1"/>
        <v>0.15090325499148172</v>
      </c>
      <c r="O7689" s="2">
        <f ca="1"/>
        <v>0.44477296976067549</v>
      </c>
      <c r="X7689" s="2">
        <f ca="1"/>
        <v>52.058220713619185</v>
      </c>
      <c r="AG7689" s="2">
        <f ca="1"/>
        <v>3.0187473761491335E-2</v>
      </c>
      <c r="AH7689" s="2" t="str">
        <f ca="1"/>
        <v>Good</v>
      </c>
    </row>
    <row r="7690" spans="2:34" x14ac:dyDescent="0.2">
      <c r="B7690" s="2">
        <f ca="1"/>
        <v>0.87125460230343021</v>
      </c>
      <c r="O7690" s="2">
        <f ca="1"/>
        <v>0.37106410155822095</v>
      </c>
      <c r="X7690" s="2">
        <f ca="1"/>
        <v>41.944854112500202</v>
      </c>
      <c r="AG7690" s="2">
        <f ca="1"/>
        <v>0.3839254058742676</v>
      </c>
      <c r="AH7690" s="2" t="str">
        <f ca="1"/>
        <v>OK</v>
      </c>
    </row>
    <row r="7691" spans="2:34" x14ac:dyDescent="0.2">
      <c r="B7691" s="2">
        <f ca="1"/>
        <v>0.65816213476996688</v>
      </c>
      <c r="O7691" s="2">
        <f ca="1"/>
        <v>-0.4731058666344975</v>
      </c>
      <c r="X7691" s="2">
        <f ca="1"/>
        <v>50.671388814365542</v>
      </c>
      <c r="AG7691" s="2">
        <f ca="1"/>
        <v>0.14672645616014579</v>
      </c>
      <c r="AH7691" s="2" t="str">
        <f ca="1"/>
        <v>OK</v>
      </c>
    </row>
    <row r="7692" spans="2:34" x14ac:dyDescent="0.2">
      <c r="B7692" s="2">
        <f ca="1"/>
        <v>0.79868034516247488</v>
      </c>
      <c r="O7692" s="2">
        <f ca="1"/>
        <v>-7.4489070264970758E-2</v>
      </c>
      <c r="X7692" s="2">
        <f ca="1"/>
        <v>33.378475868115835</v>
      </c>
      <c r="AG7692" s="2">
        <f ca="1"/>
        <v>1.152619158671464E-2</v>
      </c>
      <c r="AH7692" s="2" t="str">
        <f ca="1"/>
        <v>Good</v>
      </c>
    </row>
    <row r="7693" spans="2:34" x14ac:dyDescent="0.2">
      <c r="B7693" s="2">
        <f ca="1"/>
        <v>0.62487889345302028</v>
      </c>
      <c r="O7693" s="2">
        <f ca="1"/>
        <v>1.073016782833885</v>
      </c>
      <c r="X7693" s="2">
        <f ca="1"/>
        <v>65.095294663411693</v>
      </c>
      <c r="AG7693" s="2">
        <f ca="1"/>
        <v>0.50376195369842258</v>
      </c>
      <c r="AH7693" s="2" t="str">
        <f ca="1"/>
        <v>Bad</v>
      </c>
    </row>
    <row r="7694" spans="2:34" x14ac:dyDescent="0.2">
      <c r="B7694" s="2">
        <f ca="1"/>
        <v>5.0387311848668848E-2</v>
      </c>
      <c r="O7694" s="2">
        <f ca="1"/>
        <v>8.4102216336639155E-2</v>
      </c>
      <c r="X7694" s="2">
        <f ca="1"/>
        <v>46.692380262405464</v>
      </c>
      <c r="AG7694" s="2">
        <f ca="1"/>
        <v>0.55271691742877804</v>
      </c>
      <c r="AH7694" s="2" t="str">
        <f ca="1"/>
        <v>Bad</v>
      </c>
    </row>
    <row r="7695" spans="2:34" x14ac:dyDescent="0.2">
      <c r="B7695" s="2">
        <f ca="1"/>
        <v>0.76714737754370166</v>
      </c>
      <c r="O7695" s="2">
        <f ca="1"/>
        <v>-1.4013978236491054</v>
      </c>
      <c r="X7695" s="2">
        <f ca="1"/>
        <v>65.47023268616617</v>
      </c>
      <c r="AG7695" s="2">
        <f ca="1"/>
        <v>1.8882755287285446E-2</v>
      </c>
      <c r="AH7695" s="2" t="str">
        <f ca="1"/>
        <v>Good</v>
      </c>
    </row>
    <row r="7696" spans="2:34" x14ac:dyDescent="0.2">
      <c r="B7696" s="2">
        <f ca="1"/>
        <v>0.30093270013398699</v>
      </c>
      <c r="O7696" s="2">
        <f ca="1"/>
        <v>1.2225067048359175</v>
      </c>
      <c r="X7696" s="2">
        <f ca="1"/>
        <v>45.559875713398199</v>
      </c>
      <c r="AG7696" s="2">
        <f ca="1"/>
        <v>0.79191593354038492</v>
      </c>
      <c r="AH7696" s="2" t="str">
        <f ca="1"/>
        <v>Bad</v>
      </c>
    </row>
    <row r="7697" spans="2:34" x14ac:dyDescent="0.2">
      <c r="B7697" s="2">
        <f ca="1"/>
        <v>0.13426355074182661</v>
      </c>
      <c r="O7697" s="2">
        <f ca="1"/>
        <v>-0.50201368312718631</v>
      </c>
      <c r="X7697" s="2">
        <f ca="1"/>
        <v>39.604805740740133</v>
      </c>
      <c r="AG7697" s="2">
        <f ca="1"/>
        <v>0.80177222410277782</v>
      </c>
      <c r="AH7697" s="2" t="str">
        <f ca="1"/>
        <v>Bad</v>
      </c>
    </row>
    <row r="7698" spans="2:34" x14ac:dyDescent="0.2">
      <c r="B7698" s="2">
        <f ca="1"/>
        <v>0.88006615414667078</v>
      </c>
      <c r="O7698" s="2">
        <f ca="1"/>
        <v>0.3825604482471871</v>
      </c>
      <c r="X7698" s="2">
        <f ca="1"/>
        <v>54.31796185999093</v>
      </c>
      <c r="AG7698" s="2">
        <f ca="1"/>
        <v>0.93652822795435542</v>
      </c>
      <c r="AH7698" s="2" t="str">
        <f ca="1"/>
        <v>Bad</v>
      </c>
    </row>
    <row r="7699" spans="2:34" x14ac:dyDescent="0.2">
      <c r="B7699" s="2">
        <f ca="1"/>
        <v>0.34180279069491126</v>
      </c>
      <c r="O7699" s="2">
        <f ca="1"/>
        <v>-1.709657036196967</v>
      </c>
      <c r="X7699" s="2">
        <f ca="1"/>
        <v>51.907523852878484</v>
      </c>
      <c r="AG7699" s="2">
        <f ca="1"/>
        <v>0.56730779273081855</v>
      </c>
      <c r="AH7699" s="2" t="str">
        <f ca="1"/>
        <v>Bad</v>
      </c>
    </row>
    <row r="7700" spans="2:34" x14ac:dyDescent="0.2">
      <c r="B7700" s="2">
        <f ca="1"/>
        <v>0.53501834728051989</v>
      </c>
      <c r="O7700" s="2">
        <f ca="1"/>
        <v>-0.62923271142437265</v>
      </c>
      <c r="X7700" s="2">
        <f ca="1"/>
        <v>49.679683809280888</v>
      </c>
      <c r="AG7700" s="2">
        <f ca="1"/>
        <v>0.96185663316499515</v>
      </c>
      <c r="AH7700" s="2" t="str">
        <f ca="1"/>
        <v>Bad</v>
      </c>
    </row>
    <row r="7701" spans="2:34" x14ac:dyDescent="0.2">
      <c r="B7701" s="2">
        <f ca="1"/>
        <v>0.17804926526164011</v>
      </c>
      <c r="O7701" s="2">
        <f ca="1"/>
        <v>0.18810663338652642</v>
      </c>
      <c r="X7701" s="2">
        <f ca="1"/>
        <v>29.928608856611621</v>
      </c>
      <c r="AG7701" s="2">
        <f ca="1"/>
        <v>0.5890805533704917</v>
      </c>
      <c r="AH7701" s="2" t="str">
        <f ca="1"/>
        <v>Bad</v>
      </c>
    </row>
    <row r="7702" spans="2:34" x14ac:dyDescent="0.2">
      <c r="B7702" s="2">
        <f ca="1"/>
        <v>0.1297956599025103</v>
      </c>
      <c r="O7702" s="2">
        <f ca="1"/>
        <v>-2.0180231916597839</v>
      </c>
      <c r="X7702" s="2">
        <f ca="1"/>
        <v>34.098864330751979</v>
      </c>
      <c r="AG7702" s="2">
        <f ca="1"/>
        <v>0.86306149800249843</v>
      </c>
      <c r="AH7702" s="2" t="str">
        <f ca="1"/>
        <v>Bad</v>
      </c>
    </row>
    <row r="7703" spans="2:34" x14ac:dyDescent="0.2">
      <c r="B7703" s="2">
        <f ca="1"/>
        <v>0.76722797043137647</v>
      </c>
      <c r="O7703" s="2">
        <f ca="1"/>
        <v>-1.9717015807554215</v>
      </c>
      <c r="X7703" s="2">
        <f ca="1"/>
        <v>42.183093265064933</v>
      </c>
      <c r="AG7703" s="2">
        <f ca="1"/>
        <v>0.37741128950165592</v>
      </c>
      <c r="AH7703" s="2" t="str">
        <f ca="1"/>
        <v>OK</v>
      </c>
    </row>
    <row r="7704" spans="2:34" x14ac:dyDescent="0.2">
      <c r="B7704" s="2">
        <f ca="1"/>
        <v>0.59889106246803392</v>
      </c>
      <c r="O7704" s="2">
        <f ca="1"/>
        <v>0.20488801453570935</v>
      </c>
      <c r="X7704" s="2">
        <f ca="1"/>
        <v>67.076301501708642</v>
      </c>
      <c r="AG7704" s="2">
        <f ca="1"/>
        <v>0.21912035724036505</v>
      </c>
      <c r="AH7704" s="2" t="str">
        <f ca="1"/>
        <v>OK</v>
      </c>
    </row>
    <row r="7705" spans="2:34" x14ac:dyDescent="0.2">
      <c r="B7705" s="2">
        <f ca="1"/>
        <v>4.9133157120809789E-2</v>
      </c>
      <c r="O7705" s="2">
        <f ca="1"/>
        <v>0.27166748813699404</v>
      </c>
      <c r="X7705" s="2">
        <f ca="1"/>
        <v>26.781975304887844</v>
      </c>
      <c r="AG7705" s="2">
        <f ca="1"/>
        <v>0.54817431248746895</v>
      </c>
      <c r="AH7705" s="2" t="str">
        <f ca="1"/>
        <v>Bad</v>
      </c>
    </row>
    <row r="7706" spans="2:34" x14ac:dyDescent="0.2">
      <c r="B7706" s="2">
        <f ca="1"/>
        <v>0.90247872339218271</v>
      </c>
      <c r="O7706" s="2">
        <f ca="1"/>
        <v>-0.32333427074426019</v>
      </c>
      <c r="X7706" s="2">
        <f ca="1"/>
        <v>46.890033644131783</v>
      </c>
      <c r="AG7706" s="2">
        <f ca="1"/>
        <v>0.41378575121781092</v>
      </c>
      <c r="AH7706" s="2" t="str">
        <f ca="1"/>
        <v>Bad</v>
      </c>
    </row>
    <row r="7707" spans="2:34" x14ac:dyDescent="0.2">
      <c r="B7707" s="2">
        <f ca="1"/>
        <v>0.36179904391894735</v>
      </c>
      <c r="O7707" s="2">
        <f ca="1"/>
        <v>1.1797371042456248</v>
      </c>
      <c r="X7707" s="2">
        <f ca="1"/>
        <v>62.58774740231253</v>
      </c>
      <c r="AG7707" s="2">
        <f ca="1"/>
        <v>0.1130009624583963</v>
      </c>
      <c r="AH7707" s="2" t="str">
        <f ca="1"/>
        <v>OK</v>
      </c>
    </row>
    <row r="7708" spans="2:34" x14ac:dyDescent="0.2">
      <c r="B7708" s="2">
        <f ca="1"/>
        <v>0.46200234761027525</v>
      </c>
      <c r="O7708" s="2">
        <f ca="1"/>
        <v>0.2411465633540073</v>
      </c>
      <c r="X7708" s="2">
        <f ca="1"/>
        <v>50.888637404142607</v>
      </c>
      <c r="AG7708" s="2">
        <f ca="1"/>
        <v>0.69396253127486496</v>
      </c>
      <c r="AH7708" s="2" t="str">
        <f ca="1"/>
        <v>Bad</v>
      </c>
    </row>
    <row r="7709" spans="2:34" x14ac:dyDescent="0.2">
      <c r="B7709" s="2">
        <f ca="1"/>
        <v>0.81461708275412059</v>
      </c>
      <c r="O7709" s="2">
        <f ca="1"/>
        <v>0.45321020874914636</v>
      </c>
      <c r="X7709" s="2">
        <f ca="1"/>
        <v>67.809302637860526</v>
      </c>
      <c r="AG7709" s="2">
        <f ca="1"/>
        <v>0.7168741069738005</v>
      </c>
      <c r="AH7709" s="2" t="str">
        <f ca="1"/>
        <v>Bad</v>
      </c>
    </row>
    <row r="7710" spans="2:34" x14ac:dyDescent="0.2">
      <c r="B7710" s="2">
        <f ca="1"/>
        <v>0.28544274022356375</v>
      </c>
      <c r="O7710" s="2">
        <f ca="1"/>
        <v>-0.51881512258079598</v>
      </c>
      <c r="X7710" s="2">
        <f ca="1"/>
        <v>45.48973234662391</v>
      </c>
      <c r="AG7710" s="2">
        <f ca="1"/>
        <v>4.5246374930626221E-2</v>
      </c>
      <c r="AH7710" s="2" t="str">
        <f ca="1"/>
        <v>Good</v>
      </c>
    </row>
    <row r="7711" spans="2:34" x14ac:dyDescent="0.2">
      <c r="B7711" s="2">
        <f ca="1"/>
        <v>8.5036039196937585E-2</v>
      </c>
      <c r="O7711" s="2">
        <f ca="1"/>
        <v>1.184514013896856</v>
      </c>
      <c r="X7711" s="2">
        <f ca="1"/>
        <v>42.125287458617535</v>
      </c>
      <c r="AG7711" s="2">
        <f ca="1"/>
        <v>0.72630954567586703</v>
      </c>
      <c r="AH7711" s="2" t="str">
        <f ca="1"/>
        <v>Bad</v>
      </c>
    </row>
    <row r="7712" spans="2:34" x14ac:dyDescent="0.2">
      <c r="B7712" s="2">
        <f ca="1"/>
        <v>0.17121695760343458</v>
      </c>
      <c r="O7712" s="2">
        <f ca="1"/>
        <v>-0.11565978087648812</v>
      </c>
      <c r="X7712" s="2">
        <f ca="1"/>
        <v>33.96640481572544</v>
      </c>
      <c r="AG7712" s="2">
        <f ca="1"/>
        <v>0.41462276142869303</v>
      </c>
      <c r="AH7712" s="2" t="str">
        <f ca="1"/>
        <v>Bad</v>
      </c>
    </row>
    <row r="7713" spans="2:34" x14ac:dyDescent="0.2">
      <c r="B7713" s="2">
        <f ca="1"/>
        <v>0.64192862391527905</v>
      </c>
      <c r="O7713" s="2">
        <f ca="1"/>
        <v>-1.1863669908679773</v>
      </c>
      <c r="X7713" s="2">
        <f ca="1"/>
        <v>43.267129226224014</v>
      </c>
      <c r="AG7713" s="2">
        <f ca="1"/>
        <v>8.9192485685245515E-3</v>
      </c>
      <c r="AH7713" s="2" t="str">
        <f ca="1"/>
        <v>Good</v>
      </c>
    </row>
    <row r="7714" spans="2:34" x14ac:dyDescent="0.2">
      <c r="B7714" s="2">
        <f ca="1"/>
        <v>0.17210530134795055</v>
      </c>
      <c r="O7714" s="2">
        <f ca="1"/>
        <v>-0.32080967423959961</v>
      </c>
      <c r="X7714" s="2">
        <f ca="1"/>
        <v>38.943106945418279</v>
      </c>
      <c r="AG7714" s="2">
        <f ca="1"/>
        <v>0.98186679104868135</v>
      </c>
      <c r="AH7714" s="2" t="str">
        <f ca="1"/>
        <v>Bad</v>
      </c>
    </row>
    <row r="7715" spans="2:34" x14ac:dyDescent="0.2">
      <c r="B7715" s="2">
        <f ca="1"/>
        <v>0.75636829438850306</v>
      </c>
      <c r="O7715" s="2">
        <f ca="1"/>
        <v>-0.38425527029995737</v>
      </c>
      <c r="X7715" s="2">
        <f ca="1"/>
        <v>60.690169663830034</v>
      </c>
      <c r="AG7715" s="2">
        <f ca="1"/>
        <v>0.82903474855617243</v>
      </c>
      <c r="AH7715" s="2" t="str">
        <f ca="1"/>
        <v>Bad</v>
      </c>
    </row>
    <row r="7716" spans="2:34" x14ac:dyDescent="0.2">
      <c r="B7716" s="2">
        <f ca="1"/>
        <v>0.75666460439137051</v>
      </c>
      <c r="O7716" s="2">
        <f ca="1"/>
        <v>0.22193172704095254</v>
      </c>
      <c r="X7716" s="2">
        <f ca="1"/>
        <v>40.975248207138037</v>
      </c>
      <c r="AG7716" s="2">
        <f ca="1"/>
        <v>0.49682871070400636</v>
      </c>
      <c r="AH7716" s="2" t="str">
        <f ca="1"/>
        <v>Bad</v>
      </c>
    </row>
    <row r="7717" spans="2:34" x14ac:dyDescent="0.2">
      <c r="B7717" s="2">
        <f ca="1"/>
        <v>0.4881296993503681</v>
      </c>
      <c r="O7717" s="2">
        <f ca="1"/>
        <v>-8.9622427405866678E-2</v>
      </c>
      <c r="X7717" s="2">
        <f ca="1"/>
        <v>53.613223805149808</v>
      </c>
      <c r="AG7717" s="2">
        <f ca="1"/>
        <v>0.65559755080896798</v>
      </c>
      <c r="AH7717" s="2" t="str">
        <f ca="1"/>
        <v>Bad</v>
      </c>
    </row>
    <row r="7718" spans="2:34" x14ac:dyDescent="0.2">
      <c r="B7718" s="2">
        <f ca="1"/>
        <v>0.96204818476408649</v>
      </c>
      <c r="O7718" s="2">
        <f ca="1"/>
        <v>-1.3965370904969554</v>
      </c>
      <c r="X7718" s="2">
        <f ca="1"/>
        <v>49.382734254454881</v>
      </c>
      <c r="AG7718" s="2">
        <f ca="1"/>
        <v>0.90904411809424257</v>
      </c>
      <c r="AH7718" s="2" t="str">
        <f ca="1"/>
        <v>Bad</v>
      </c>
    </row>
    <row r="7719" spans="2:34" x14ac:dyDescent="0.2">
      <c r="B7719" s="2">
        <f ca="1"/>
        <v>0.92730328576430798</v>
      </c>
      <c r="O7719" s="2">
        <f ca="1"/>
        <v>-1.6893613078487204</v>
      </c>
      <c r="X7719" s="2">
        <f ca="1"/>
        <v>37.463250655482248</v>
      </c>
      <c r="AG7719" s="2">
        <f ca="1"/>
        <v>0.66036172719479769</v>
      </c>
      <c r="AH7719" s="2" t="str">
        <f ca="1"/>
        <v>Bad</v>
      </c>
    </row>
    <row r="7720" spans="2:34" x14ac:dyDescent="0.2">
      <c r="B7720" s="2">
        <f ca="1"/>
        <v>0.64861169089576887</v>
      </c>
      <c r="O7720" s="2">
        <f ca="1"/>
        <v>-2.566161629266329</v>
      </c>
      <c r="X7720" s="2">
        <f ca="1"/>
        <v>39.840603938290521</v>
      </c>
      <c r="AG7720" s="2">
        <f ca="1"/>
        <v>0.98090168830126867</v>
      </c>
      <c r="AH7720" s="2" t="str">
        <f ca="1"/>
        <v>Bad</v>
      </c>
    </row>
    <row r="7721" spans="2:34" x14ac:dyDescent="0.2">
      <c r="B7721" s="2">
        <f ca="1"/>
        <v>0.46661434891762754</v>
      </c>
      <c r="O7721" s="2">
        <f ca="1"/>
        <v>0.23331378568127648</v>
      </c>
      <c r="X7721" s="2">
        <f ca="1"/>
        <v>25.755732319804252</v>
      </c>
      <c r="AG7721" s="2">
        <f ca="1"/>
        <v>0.14817140567781495</v>
      </c>
      <c r="AH7721" s="2" t="str">
        <f ca="1"/>
        <v>OK</v>
      </c>
    </row>
    <row r="7722" spans="2:34" x14ac:dyDescent="0.2">
      <c r="B7722" s="2">
        <f ca="1"/>
        <v>0.65496073799123633</v>
      </c>
      <c r="O7722" s="2">
        <f ca="1"/>
        <v>2.0711445149261682</v>
      </c>
      <c r="X7722" s="2">
        <f ca="1"/>
        <v>39.924472202864663</v>
      </c>
      <c r="AG7722" s="2">
        <f ca="1"/>
        <v>4.3625344608891004E-2</v>
      </c>
      <c r="AH7722" s="2" t="str">
        <f ca="1"/>
        <v>Good</v>
      </c>
    </row>
    <row r="7723" spans="2:34" x14ac:dyDescent="0.2">
      <c r="B7723" s="2">
        <f ca="1"/>
        <v>0.73855790615051253</v>
      </c>
      <c r="O7723" s="2">
        <f ca="1"/>
        <v>-2.0400542702638673</v>
      </c>
      <c r="X7723" s="2">
        <f ca="1"/>
        <v>39.587816688525017</v>
      </c>
      <c r="AG7723" s="2">
        <f ca="1"/>
        <v>0.59995781987292052</v>
      </c>
      <c r="AH7723" s="2" t="str">
        <f ca="1"/>
        <v>Bad</v>
      </c>
    </row>
    <row r="7724" spans="2:34" x14ac:dyDescent="0.2">
      <c r="B7724" s="2">
        <f ca="1"/>
        <v>0.18366097222284261</v>
      </c>
      <c r="O7724" s="2">
        <f ca="1"/>
        <v>0.62859799372071368</v>
      </c>
      <c r="X7724" s="2">
        <f ca="1"/>
        <v>30.293897648015022</v>
      </c>
      <c r="AG7724" s="2">
        <f ca="1"/>
        <v>0.4060453442208749</v>
      </c>
      <c r="AH7724" s="2" t="str">
        <f ca="1"/>
        <v>Bad</v>
      </c>
    </row>
    <row r="7725" spans="2:34" x14ac:dyDescent="0.2">
      <c r="B7725" s="2">
        <f ca="1"/>
        <v>0.94925879426077198</v>
      </c>
      <c r="O7725" s="2">
        <f ca="1"/>
        <v>0.17801474244418769</v>
      </c>
      <c r="X7725" s="2">
        <f ca="1"/>
        <v>48.625849552012035</v>
      </c>
      <c r="AG7725" s="2">
        <f ca="1"/>
        <v>0.36396323223589899</v>
      </c>
      <c r="AH7725" s="2" t="str">
        <f ca="1"/>
        <v>OK</v>
      </c>
    </row>
    <row r="7726" spans="2:34" x14ac:dyDescent="0.2">
      <c r="B7726" s="2">
        <f ca="1"/>
        <v>0.812581347794471</v>
      </c>
      <c r="O7726" s="2">
        <f ca="1"/>
        <v>1.7827416794700484</v>
      </c>
      <c r="X7726" s="2">
        <f ca="1"/>
        <v>36.726792912382848</v>
      </c>
      <c r="AG7726" s="2">
        <f ca="1"/>
        <v>0.87097776893406165</v>
      </c>
      <c r="AH7726" s="2" t="str">
        <f ca="1"/>
        <v>Bad</v>
      </c>
    </row>
    <row r="7727" spans="2:34" x14ac:dyDescent="0.2">
      <c r="B7727" s="2">
        <f ca="1"/>
        <v>0.333068726694985</v>
      </c>
      <c r="O7727" s="2">
        <f ca="1"/>
        <v>0.7501625358065791</v>
      </c>
      <c r="X7727" s="2">
        <f ca="1"/>
        <v>19.118928620645317</v>
      </c>
      <c r="AG7727" s="2">
        <f ca="1"/>
        <v>0.27802840459689815</v>
      </c>
      <c r="AH7727" s="2" t="str">
        <f ca="1"/>
        <v>OK</v>
      </c>
    </row>
    <row r="7728" spans="2:34" x14ac:dyDescent="0.2">
      <c r="B7728" s="2">
        <f ca="1"/>
        <v>0.32343871680234693</v>
      </c>
      <c r="O7728" s="2">
        <f ca="1"/>
        <v>0.3176201964910319</v>
      </c>
      <c r="X7728" s="2">
        <f ca="1"/>
        <v>26.980725106131352</v>
      </c>
      <c r="AG7728" s="2">
        <f ca="1"/>
        <v>0.18287278919729699</v>
      </c>
      <c r="AH7728" s="2" t="str">
        <f ca="1"/>
        <v>OK</v>
      </c>
    </row>
    <row r="7729" spans="2:34" x14ac:dyDescent="0.2">
      <c r="B7729" s="2">
        <f ca="1"/>
        <v>0.77980833980015141</v>
      </c>
      <c r="O7729" s="2">
        <f ca="1"/>
        <v>5.5355691262489487E-2</v>
      </c>
      <c r="X7729" s="2">
        <f ca="1"/>
        <v>53.77780439334736</v>
      </c>
      <c r="AG7729" s="2">
        <f ca="1"/>
        <v>5.1303040650707121E-2</v>
      </c>
      <c r="AH7729" s="2" t="str">
        <f ca="1"/>
        <v>OK</v>
      </c>
    </row>
    <row r="7730" spans="2:34" x14ac:dyDescent="0.2">
      <c r="B7730" s="2">
        <f ca="1"/>
        <v>5.7237062572382147E-2</v>
      </c>
      <c r="O7730" s="2">
        <f ca="1"/>
        <v>-0.20501023640541299</v>
      </c>
      <c r="X7730" s="2">
        <f ca="1"/>
        <v>61.645553036469778</v>
      </c>
      <c r="AG7730" s="2">
        <f ca="1"/>
        <v>0.55912002292034768</v>
      </c>
      <c r="AH7730" s="2" t="str">
        <f ca="1"/>
        <v>Bad</v>
      </c>
    </row>
    <row r="7731" spans="2:34" x14ac:dyDescent="0.2">
      <c r="B7731" s="2">
        <f ca="1"/>
        <v>4.8911538637222973E-2</v>
      </c>
      <c r="O7731" s="2">
        <f ca="1"/>
        <v>0.72733270233466962</v>
      </c>
      <c r="X7731" s="2">
        <f ca="1"/>
        <v>38.524130424130206</v>
      </c>
      <c r="AG7731" s="2">
        <f ca="1"/>
        <v>0.44401128594047279</v>
      </c>
      <c r="AH7731" s="2" t="str">
        <f ca="1"/>
        <v>Bad</v>
      </c>
    </row>
    <row r="7732" spans="2:34" x14ac:dyDescent="0.2">
      <c r="B7732" s="2">
        <f ca="1"/>
        <v>2.966361385312366E-2</v>
      </c>
      <c r="O7732" s="2">
        <f ca="1"/>
        <v>1.3022765303920207</v>
      </c>
      <c r="X7732" s="2">
        <f ca="1"/>
        <v>15.67449579369395</v>
      </c>
      <c r="AG7732" s="2">
        <f ca="1"/>
        <v>0.59657481039299842</v>
      </c>
      <c r="AH7732" s="2" t="str">
        <f ca="1"/>
        <v>Bad</v>
      </c>
    </row>
    <row r="7733" spans="2:34" x14ac:dyDescent="0.2">
      <c r="B7733" s="2">
        <f ca="1"/>
        <v>0.61654538088053035</v>
      </c>
      <c r="O7733" s="2">
        <f ca="1"/>
        <v>-1.1332667336727122</v>
      </c>
      <c r="X7733" s="2">
        <f ca="1"/>
        <v>67.513851950384336</v>
      </c>
      <c r="AG7733" s="2">
        <f ca="1"/>
        <v>0.32200355619705601</v>
      </c>
      <c r="AH7733" s="2" t="str">
        <f ca="1"/>
        <v>OK</v>
      </c>
    </row>
    <row r="7734" spans="2:34" x14ac:dyDescent="0.2">
      <c r="B7734" s="2">
        <f ca="1"/>
        <v>0.87653962617567283</v>
      </c>
      <c r="O7734" s="2">
        <f ca="1"/>
        <v>0.92878549113159881</v>
      </c>
      <c r="X7734" s="2">
        <f ca="1"/>
        <v>43.579941041789034</v>
      </c>
      <c r="AG7734" s="2">
        <f ca="1"/>
        <v>0.95801770770332806</v>
      </c>
      <c r="AH7734" s="2" t="str">
        <f ca="1"/>
        <v>Bad</v>
      </c>
    </row>
    <row r="7735" spans="2:34" x14ac:dyDescent="0.2">
      <c r="B7735" s="2">
        <f ca="1"/>
        <v>0.85351283547595913</v>
      </c>
      <c r="O7735" s="2">
        <f ca="1"/>
        <v>3.8533516394911448E-2</v>
      </c>
      <c r="X7735" s="2">
        <f ca="1"/>
        <v>34.541588854454318</v>
      </c>
      <c r="AG7735" s="2">
        <f ca="1"/>
        <v>0.37121261679285933</v>
      </c>
      <c r="AH7735" s="2" t="str">
        <f ca="1"/>
        <v>OK</v>
      </c>
    </row>
    <row r="7736" spans="2:34" x14ac:dyDescent="0.2">
      <c r="B7736" s="2">
        <f ca="1"/>
        <v>0.48068917427280033</v>
      </c>
      <c r="O7736" s="2">
        <f ca="1"/>
        <v>-0.1624016846497067</v>
      </c>
      <c r="X7736" s="2">
        <f ca="1"/>
        <v>34.462397735648288</v>
      </c>
      <c r="AG7736" s="2">
        <f ca="1"/>
        <v>1.7285405359626305E-2</v>
      </c>
      <c r="AH7736" s="2" t="str">
        <f ca="1"/>
        <v>Good</v>
      </c>
    </row>
    <row r="7737" spans="2:34" x14ac:dyDescent="0.2">
      <c r="B7737" s="2">
        <f ca="1"/>
        <v>0.26130799662293014</v>
      </c>
      <c r="O7737" s="2">
        <f ca="1"/>
        <v>-1.3092580381295851</v>
      </c>
      <c r="X7737" s="2">
        <f ca="1"/>
        <v>58.919659223392117</v>
      </c>
      <c r="AG7737" s="2">
        <f ca="1"/>
        <v>0.71218947423068535</v>
      </c>
      <c r="AH7737" s="2" t="str">
        <f ca="1"/>
        <v>Bad</v>
      </c>
    </row>
    <row r="7738" spans="2:34" x14ac:dyDescent="0.2">
      <c r="B7738" s="2">
        <f ca="1"/>
        <v>0.76718510429253861</v>
      </c>
      <c r="O7738" s="2">
        <f ca="1"/>
        <v>-0.3868709906656379</v>
      </c>
      <c r="X7738" s="2">
        <f ca="1"/>
        <v>52.055431009733425</v>
      </c>
      <c r="AG7738" s="2">
        <f ca="1"/>
        <v>0.17331864622414028</v>
      </c>
      <c r="AH7738" s="2" t="str">
        <f ca="1"/>
        <v>OK</v>
      </c>
    </row>
    <row r="7739" spans="2:34" x14ac:dyDescent="0.2">
      <c r="B7739" s="2">
        <f ca="1"/>
        <v>0.58473749762548155</v>
      </c>
      <c r="O7739" s="2">
        <f ca="1"/>
        <v>0.99436263274415482</v>
      </c>
      <c r="X7739" s="2">
        <f ca="1"/>
        <v>49.484966423726242</v>
      </c>
      <c r="AG7739" s="2">
        <f ca="1"/>
        <v>0.43836540206738062</v>
      </c>
      <c r="AH7739" s="2" t="str">
        <f ca="1"/>
        <v>Bad</v>
      </c>
    </row>
    <row r="7740" spans="2:34" x14ac:dyDescent="0.2">
      <c r="B7740" s="2">
        <f ca="1"/>
        <v>0.55448095218904347</v>
      </c>
      <c r="O7740" s="2">
        <f ca="1"/>
        <v>-1.2089351835389774</v>
      </c>
      <c r="X7740" s="2">
        <f ca="1"/>
        <v>56.401684407305304</v>
      </c>
      <c r="AG7740" s="2">
        <f ca="1"/>
        <v>0.79465187833207729</v>
      </c>
      <c r="AH7740" s="2" t="str">
        <f ca="1"/>
        <v>Bad</v>
      </c>
    </row>
    <row r="7741" spans="2:34" x14ac:dyDescent="0.2">
      <c r="B7741" s="2">
        <f ca="1"/>
        <v>0.51048914200810613</v>
      </c>
      <c r="O7741" s="2">
        <f ca="1"/>
        <v>1.1539213153056138</v>
      </c>
      <c r="X7741" s="2">
        <f ca="1"/>
        <v>33.170887020379666</v>
      </c>
      <c r="AG7741" s="2">
        <f ca="1"/>
        <v>0.19652341816137198</v>
      </c>
      <c r="AH7741" s="2" t="str">
        <f ca="1"/>
        <v>OK</v>
      </c>
    </row>
    <row r="7742" spans="2:34" x14ac:dyDescent="0.2">
      <c r="B7742" s="2">
        <f ca="1"/>
        <v>0.62853116374775264</v>
      </c>
      <c r="O7742" s="2">
        <f ca="1"/>
        <v>-0.63262256675052353</v>
      </c>
      <c r="X7742" s="2">
        <f ca="1"/>
        <v>56.782653719059695</v>
      </c>
      <c r="AG7742" s="2">
        <f ca="1"/>
        <v>0.17264848597954008</v>
      </c>
      <c r="AH7742" s="2" t="str">
        <f ca="1"/>
        <v>OK</v>
      </c>
    </row>
    <row r="7743" spans="2:34" x14ac:dyDescent="0.2">
      <c r="B7743" s="2">
        <f ca="1"/>
        <v>0.50632169431824625</v>
      </c>
      <c r="O7743" s="2">
        <f ca="1"/>
        <v>1.2115500319973498</v>
      </c>
      <c r="X7743" s="2">
        <f ca="1"/>
        <v>48.397952957553684</v>
      </c>
      <c r="AG7743" s="2">
        <f ca="1"/>
        <v>0.71747512287180748</v>
      </c>
      <c r="AH7743" s="2" t="str">
        <f ca="1"/>
        <v>Bad</v>
      </c>
    </row>
    <row r="7744" spans="2:34" x14ac:dyDescent="0.2">
      <c r="B7744" s="2">
        <f ca="1"/>
        <v>0.90417418408204719</v>
      </c>
      <c r="O7744" s="2">
        <f ca="1"/>
        <v>0.1779121145898005</v>
      </c>
      <c r="X7744" s="2">
        <f ca="1"/>
        <v>41.094467664111122</v>
      </c>
      <c r="AG7744" s="2">
        <f ca="1"/>
        <v>0.23687302889812356</v>
      </c>
      <c r="AH7744" s="2" t="str">
        <f ca="1"/>
        <v>OK</v>
      </c>
    </row>
    <row r="7745" spans="2:34" x14ac:dyDescent="0.2">
      <c r="B7745" s="2">
        <f ca="1"/>
        <v>0.22712659956361292</v>
      </c>
      <c r="O7745" s="2">
        <f ca="1"/>
        <v>1.1860503637015696</v>
      </c>
      <c r="X7745" s="2">
        <f ca="1"/>
        <v>37.261431814118502</v>
      </c>
      <c r="AG7745" s="2">
        <f ca="1"/>
        <v>0.52890438805452544</v>
      </c>
      <c r="AH7745" s="2" t="str">
        <f ca="1"/>
        <v>Bad</v>
      </c>
    </row>
    <row r="7746" spans="2:34" x14ac:dyDescent="0.2">
      <c r="B7746" s="2">
        <f ca="1"/>
        <v>0.80017529481643979</v>
      </c>
      <c r="O7746" s="2">
        <f ca="1"/>
        <v>0.66020225306334368</v>
      </c>
      <c r="X7746" s="2">
        <f ca="1"/>
        <v>47.126935331524294</v>
      </c>
      <c r="AG7746" s="2">
        <f ca="1"/>
        <v>0.94784847318377952</v>
      </c>
      <c r="AH7746" s="2" t="str">
        <f ca="1"/>
        <v>Bad</v>
      </c>
    </row>
    <row r="7747" spans="2:34" x14ac:dyDescent="0.2">
      <c r="B7747" s="2">
        <f ca="1"/>
        <v>4.6537248047313629E-3</v>
      </c>
      <c r="O7747" s="2">
        <f ca="1"/>
        <v>-2.9626180793137724E-2</v>
      </c>
      <c r="X7747" s="2">
        <f ca="1"/>
        <v>77.561915643253528</v>
      </c>
      <c r="AG7747" s="2">
        <f ca="1"/>
        <v>0.60388685500496209</v>
      </c>
      <c r="AH7747" s="2" t="str">
        <f ca="1"/>
        <v>Bad</v>
      </c>
    </row>
    <row r="7748" spans="2:34" x14ac:dyDescent="0.2">
      <c r="B7748" s="2">
        <f ca="1"/>
        <v>0.75219525797198727</v>
      </c>
      <c r="O7748" s="2">
        <f ca="1"/>
        <v>0.14261976181966277</v>
      </c>
      <c r="X7748" s="2">
        <f ca="1"/>
        <v>54.092241406069228</v>
      </c>
      <c r="AG7748" s="2">
        <f ca="1"/>
        <v>0.61388661693842517</v>
      </c>
      <c r="AH7748" s="2" t="str">
        <f ca="1"/>
        <v>Bad</v>
      </c>
    </row>
    <row r="7749" spans="2:34" x14ac:dyDescent="0.2">
      <c r="B7749" s="2">
        <f ca="1"/>
        <v>0.11162994137590121</v>
      </c>
      <c r="O7749" s="2">
        <f ca="1"/>
        <v>-1.0771237742784794</v>
      </c>
      <c r="X7749" s="2">
        <f ca="1"/>
        <v>42.72667895979032</v>
      </c>
      <c r="AG7749" s="2">
        <f ca="1"/>
        <v>1.7294560089918809E-2</v>
      </c>
      <c r="AH7749" s="2" t="str">
        <f ca="1"/>
        <v>Good</v>
      </c>
    </row>
    <row r="7750" spans="2:34" x14ac:dyDescent="0.2">
      <c r="B7750" s="2">
        <f ca="1"/>
        <v>0.80582029995360083</v>
      </c>
      <c r="O7750" s="2">
        <f ca="1"/>
        <v>-0.33120002092239947</v>
      </c>
      <c r="X7750" s="2">
        <f ca="1"/>
        <v>30.534405364087167</v>
      </c>
      <c r="AG7750" s="2">
        <f ca="1"/>
        <v>0.3741149856335817</v>
      </c>
      <c r="AH7750" s="2" t="str">
        <f ca="1"/>
        <v>OK</v>
      </c>
    </row>
    <row r="7751" spans="2:34" x14ac:dyDescent="0.2">
      <c r="B7751" s="2">
        <f ca="1"/>
        <v>0.16075082258263662</v>
      </c>
      <c r="O7751" s="2">
        <f ca="1"/>
        <v>1.0789439658274371</v>
      </c>
      <c r="X7751" s="2">
        <f ca="1"/>
        <v>44.9519407573232</v>
      </c>
      <c r="AG7751" s="2">
        <f ca="1"/>
        <v>6.6095116133431997E-2</v>
      </c>
      <c r="AH7751" s="2" t="str">
        <f ca="1"/>
        <v>OK</v>
      </c>
    </row>
    <row r="7752" spans="2:34" x14ac:dyDescent="0.2">
      <c r="B7752" s="2">
        <f ca="1"/>
        <v>0.66534742123689083</v>
      </c>
      <c r="O7752" s="2">
        <f ca="1"/>
        <v>-0.22918248683680345</v>
      </c>
      <c r="X7752" s="2">
        <f ca="1"/>
        <v>57.016402466463425</v>
      </c>
      <c r="AG7752" s="2">
        <f ca="1"/>
        <v>0.93056537127843209</v>
      </c>
      <c r="AH7752" s="2" t="str">
        <f ca="1"/>
        <v>Bad</v>
      </c>
    </row>
    <row r="7753" spans="2:34" x14ac:dyDescent="0.2">
      <c r="B7753" s="2">
        <f ca="1"/>
        <v>0.76992443517559228</v>
      </c>
      <c r="O7753" s="2">
        <f ca="1"/>
        <v>-1.4629921190929269</v>
      </c>
      <c r="X7753" s="2">
        <f ca="1"/>
        <v>37.73747922277407</v>
      </c>
      <c r="AG7753" s="2">
        <f ca="1"/>
        <v>0.52368419347800921</v>
      </c>
      <c r="AH7753" s="2" t="str">
        <f ca="1"/>
        <v>Bad</v>
      </c>
    </row>
    <row r="7754" spans="2:34" x14ac:dyDescent="0.2">
      <c r="B7754" s="2">
        <f ca="1"/>
        <v>0.60843523094251273</v>
      </c>
      <c r="O7754" s="2">
        <f ca="1"/>
        <v>-0.43737601473842247</v>
      </c>
      <c r="X7754" s="2">
        <f ca="1"/>
        <v>39.654400141872877</v>
      </c>
      <c r="AG7754" s="2">
        <f ca="1"/>
        <v>0.14075023771238038</v>
      </c>
      <c r="AH7754" s="2" t="str">
        <f ca="1"/>
        <v>OK</v>
      </c>
    </row>
    <row r="7755" spans="2:34" x14ac:dyDescent="0.2">
      <c r="B7755" s="2">
        <f ca="1"/>
        <v>0.95323081910088181</v>
      </c>
      <c r="O7755" s="2">
        <f ca="1"/>
        <v>0.12916654609035183</v>
      </c>
      <c r="X7755" s="2">
        <f ca="1"/>
        <v>21.166954557322747</v>
      </c>
      <c r="AG7755" s="2">
        <f ca="1"/>
        <v>0.38541906587724384</v>
      </c>
      <c r="AH7755" s="2" t="str">
        <f ca="1"/>
        <v>OK</v>
      </c>
    </row>
    <row r="7756" spans="2:34" x14ac:dyDescent="0.2">
      <c r="B7756" s="2">
        <f ca="1"/>
        <v>0.95420547239751596</v>
      </c>
      <c r="O7756" s="2">
        <f ca="1"/>
        <v>1.3989350571147672</v>
      </c>
      <c r="X7756" s="2">
        <f ca="1"/>
        <v>38.698903183434716</v>
      </c>
      <c r="AG7756" s="2">
        <f ca="1"/>
        <v>0.55586531845647635</v>
      </c>
      <c r="AH7756" s="2" t="str">
        <f ca="1"/>
        <v>Bad</v>
      </c>
    </row>
    <row r="7757" spans="2:34" x14ac:dyDescent="0.2">
      <c r="B7757" s="2">
        <f ca="1"/>
        <v>0.91547856803274374</v>
      </c>
      <c r="O7757" s="2">
        <f ca="1"/>
        <v>-0.3186929106413402</v>
      </c>
      <c r="X7757" s="2">
        <f ca="1"/>
        <v>56.942403913054108</v>
      </c>
      <c r="AG7757" s="2">
        <f ca="1"/>
        <v>0.39665565765853117</v>
      </c>
      <c r="AH7757" s="2" t="str">
        <f ca="1"/>
        <v>OK</v>
      </c>
    </row>
    <row r="7758" spans="2:34" x14ac:dyDescent="0.2">
      <c r="B7758" s="2">
        <f ca="1"/>
        <v>0.61830525290154403</v>
      </c>
      <c r="O7758" s="2">
        <f ca="1"/>
        <v>-0.65226421891549202</v>
      </c>
      <c r="X7758" s="2">
        <f ca="1"/>
        <v>67.046276309465867</v>
      </c>
      <c r="AG7758" s="2">
        <f ca="1"/>
        <v>1.8050191740503374E-2</v>
      </c>
      <c r="AH7758" s="2" t="str">
        <f ca="1"/>
        <v>Good</v>
      </c>
    </row>
    <row r="7759" spans="2:34" x14ac:dyDescent="0.2">
      <c r="B7759" s="2">
        <f ca="1"/>
        <v>0.68093646230598615</v>
      </c>
      <c r="O7759" s="2">
        <f ca="1"/>
        <v>0.38451209187253338</v>
      </c>
      <c r="X7759" s="2">
        <f ca="1"/>
        <v>40.567383276430427</v>
      </c>
      <c r="AG7759" s="2">
        <f ca="1"/>
        <v>0.59806952730161922</v>
      </c>
      <c r="AH7759" s="2" t="str">
        <f ca="1"/>
        <v>Bad</v>
      </c>
    </row>
    <row r="7760" spans="2:34" x14ac:dyDescent="0.2">
      <c r="B7760" s="2">
        <f ca="1"/>
        <v>0.57157558640222139</v>
      </c>
      <c r="O7760" s="2">
        <f ca="1"/>
        <v>0.66318642620918666</v>
      </c>
      <c r="X7760" s="2">
        <f ca="1"/>
        <v>45.161288110869087</v>
      </c>
      <c r="AG7760" s="2">
        <f ca="1"/>
        <v>0.66894832349781641</v>
      </c>
      <c r="AH7760" s="2" t="str">
        <f ca="1"/>
        <v>Bad</v>
      </c>
    </row>
    <row r="7761" spans="2:34" x14ac:dyDescent="0.2">
      <c r="B7761" s="2">
        <f ca="1"/>
        <v>0.65579213421886928</v>
      </c>
      <c r="O7761" s="2">
        <f ca="1"/>
        <v>-5.370060000160351E-2</v>
      </c>
      <c r="X7761" s="2">
        <f ca="1"/>
        <v>45.166031534706576</v>
      </c>
      <c r="AG7761" s="2">
        <f ca="1"/>
        <v>0.26464435338225023</v>
      </c>
      <c r="AH7761" s="2" t="str">
        <f ca="1"/>
        <v>OK</v>
      </c>
    </row>
    <row r="7762" spans="2:34" x14ac:dyDescent="0.2">
      <c r="B7762" s="2">
        <f ca="1"/>
        <v>0.11264493543919119</v>
      </c>
      <c r="O7762" s="2">
        <f ca="1"/>
        <v>1.2044965151191271</v>
      </c>
      <c r="X7762" s="2">
        <f ca="1"/>
        <v>99.968272746776265</v>
      </c>
      <c r="AG7762" s="2">
        <f ca="1"/>
        <v>0.11221528177610418</v>
      </c>
      <c r="AH7762" s="2" t="str">
        <f ca="1"/>
        <v>OK</v>
      </c>
    </row>
    <row r="7763" spans="2:34" x14ac:dyDescent="0.2">
      <c r="B7763" s="2">
        <f ca="1"/>
        <v>0.83006442668121916</v>
      </c>
      <c r="O7763" s="2">
        <f ca="1"/>
        <v>-0.91138978619431799</v>
      </c>
      <c r="X7763" s="2">
        <f ca="1"/>
        <v>49.836177353738776</v>
      </c>
      <c r="AG7763" s="2">
        <f ca="1"/>
        <v>0.59538143076749606</v>
      </c>
      <c r="AH7763" s="2" t="str">
        <f ca="1"/>
        <v>Bad</v>
      </c>
    </row>
    <row r="7764" spans="2:34" x14ac:dyDescent="0.2">
      <c r="B7764" s="2">
        <f ca="1"/>
        <v>0.7639882219337788</v>
      </c>
      <c r="O7764" s="2">
        <f ca="1"/>
        <v>0.75256077697583346</v>
      </c>
      <c r="X7764" s="2">
        <f ca="1"/>
        <v>53.550128182945691</v>
      </c>
      <c r="AG7764" s="2">
        <f ca="1"/>
        <v>0.52649080533621984</v>
      </c>
      <c r="AH7764" s="2" t="str">
        <f ca="1"/>
        <v>Bad</v>
      </c>
    </row>
    <row r="7765" spans="2:34" x14ac:dyDescent="0.2">
      <c r="B7765" s="2">
        <f ca="1"/>
        <v>0.38835559011540699</v>
      </c>
      <c r="O7765" s="2">
        <f ca="1"/>
        <v>0.22979228437967486</v>
      </c>
      <c r="X7765" s="2">
        <f ca="1"/>
        <v>46.214586425273126</v>
      </c>
      <c r="AG7765" s="2">
        <f ca="1"/>
        <v>0.38483266071970457</v>
      </c>
      <c r="AH7765" s="2" t="str">
        <f ca="1"/>
        <v>OK</v>
      </c>
    </row>
    <row r="7766" spans="2:34" x14ac:dyDescent="0.2">
      <c r="B7766" s="2">
        <f ca="1"/>
        <v>0.41735995241600921</v>
      </c>
      <c r="O7766" s="2">
        <f ca="1"/>
        <v>1.0641490730905341</v>
      </c>
      <c r="X7766" s="2">
        <f ca="1"/>
        <v>27.205474258372995</v>
      </c>
      <c r="AG7766" s="2">
        <f ca="1"/>
        <v>0.81726770264541981</v>
      </c>
      <c r="AH7766" s="2" t="str">
        <f ca="1"/>
        <v>Bad</v>
      </c>
    </row>
    <row r="7767" spans="2:34" x14ac:dyDescent="0.2">
      <c r="B7767" s="2">
        <f ca="1"/>
        <v>0.57997022597911885</v>
      </c>
      <c r="O7767" s="2">
        <f ca="1"/>
        <v>-0.51147149298630479</v>
      </c>
      <c r="X7767" s="2">
        <f ca="1"/>
        <v>61.046791135941362</v>
      </c>
      <c r="AG7767" s="2">
        <f ca="1"/>
        <v>0.61904485770604833</v>
      </c>
      <c r="AH7767" s="2" t="str">
        <f ca="1"/>
        <v>Bad</v>
      </c>
    </row>
    <row r="7768" spans="2:34" x14ac:dyDescent="0.2">
      <c r="B7768" s="2">
        <f ca="1"/>
        <v>3.0669166786447599E-2</v>
      </c>
      <c r="O7768" s="2">
        <f ca="1"/>
        <v>-0.77439521388383603</v>
      </c>
      <c r="X7768" s="2">
        <f ca="1"/>
        <v>34.796302455221067</v>
      </c>
      <c r="AG7768" s="2">
        <f ca="1"/>
        <v>0.89637456570130314</v>
      </c>
      <c r="AH7768" s="2" t="str">
        <f ca="1"/>
        <v>Bad</v>
      </c>
    </row>
    <row r="7769" spans="2:34" x14ac:dyDescent="0.2">
      <c r="B7769" s="2">
        <f ca="1"/>
        <v>0.17133273995729636</v>
      </c>
      <c r="O7769" s="2">
        <f ca="1"/>
        <v>-0.29744010062318232</v>
      </c>
      <c r="X7769" s="2">
        <f ca="1"/>
        <v>40.308762761653931</v>
      </c>
      <c r="AG7769" s="2">
        <f ca="1"/>
        <v>0.28379538771214263</v>
      </c>
      <c r="AH7769" s="2" t="str">
        <f ca="1"/>
        <v>OK</v>
      </c>
    </row>
    <row r="7770" spans="2:34" x14ac:dyDescent="0.2">
      <c r="B7770" s="2">
        <f ca="1"/>
        <v>0.34693386153770045</v>
      </c>
      <c r="O7770" s="2">
        <f ca="1"/>
        <v>-8.9426032669545977E-2</v>
      </c>
      <c r="X7770" s="2">
        <f ca="1"/>
        <v>21.976467466408955</v>
      </c>
      <c r="AG7770" s="2">
        <f ca="1"/>
        <v>0.59951736669543809</v>
      </c>
      <c r="AH7770" s="2" t="str">
        <f ca="1"/>
        <v>Bad</v>
      </c>
    </row>
    <row r="7771" spans="2:34" x14ac:dyDescent="0.2">
      <c r="B7771" s="2">
        <f ca="1"/>
        <v>0.47202729595851545</v>
      </c>
      <c r="O7771" s="2">
        <f ca="1"/>
        <v>1.2817022576804551</v>
      </c>
      <c r="X7771" s="2">
        <f ca="1"/>
        <v>53.064533049789027</v>
      </c>
      <c r="AG7771" s="2">
        <f ca="1"/>
        <v>0.62731001615792481</v>
      </c>
      <c r="AH7771" s="2" t="str">
        <f ca="1"/>
        <v>Bad</v>
      </c>
    </row>
    <row r="7772" spans="2:34" x14ac:dyDescent="0.2">
      <c r="B7772" s="2">
        <f ca="1"/>
        <v>0.82061425191173609</v>
      </c>
      <c r="O7772" s="2">
        <f ca="1"/>
        <v>0.27365670937873615</v>
      </c>
      <c r="X7772" s="2">
        <f ca="1"/>
        <v>30.475499931803817</v>
      </c>
      <c r="AG7772" s="2">
        <f ca="1"/>
        <v>0.80233128057669933</v>
      </c>
      <c r="AH7772" s="2" t="str">
        <f ca="1"/>
        <v>Bad</v>
      </c>
    </row>
    <row r="7773" spans="2:34" x14ac:dyDescent="0.2">
      <c r="B7773" s="2">
        <f ca="1"/>
        <v>0.69887178575620656</v>
      </c>
      <c r="O7773" s="2">
        <f ca="1"/>
        <v>-0.43930124188497344</v>
      </c>
      <c r="X7773" s="2">
        <f ca="1"/>
        <v>38.372158049788865</v>
      </c>
      <c r="AG7773" s="2">
        <f ca="1"/>
        <v>0.17487039798841519</v>
      </c>
      <c r="AH7773" s="2" t="str">
        <f ca="1"/>
        <v>OK</v>
      </c>
    </row>
    <row r="7774" spans="2:34" x14ac:dyDescent="0.2">
      <c r="B7774" s="2">
        <f ca="1"/>
        <v>2.8677578567942286E-2</v>
      </c>
      <c r="O7774" s="2">
        <f ca="1"/>
        <v>-2.1778345184655632</v>
      </c>
      <c r="X7774" s="2">
        <f ca="1"/>
        <v>55.850583351141026</v>
      </c>
      <c r="AG7774" s="2">
        <f ca="1"/>
        <v>0.4476816798878569</v>
      </c>
      <c r="AH7774" s="2" t="str">
        <f ca="1"/>
        <v>Bad</v>
      </c>
    </row>
    <row r="7775" spans="2:34" x14ac:dyDescent="0.2">
      <c r="B7775" s="2">
        <f ca="1"/>
        <v>0.37990593005053808</v>
      </c>
      <c r="O7775" s="2">
        <f ca="1"/>
        <v>-2.0671047602929429</v>
      </c>
      <c r="X7775" s="2">
        <f ca="1"/>
        <v>31.958655151561629</v>
      </c>
      <c r="AG7775" s="2">
        <f ca="1"/>
        <v>0.70989773721974636</v>
      </c>
      <c r="AH7775" s="2" t="str">
        <f ca="1"/>
        <v>Bad</v>
      </c>
    </row>
    <row r="7776" spans="2:34" x14ac:dyDescent="0.2">
      <c r="B7776" s="2">
        <f ca="1"/>
        <v>0.86862105141890744</v>
      </c>
      <c r="O7776" s="2">
        <f ca="1"/>
        <v>-9.0150069201891378E-2</v>
      </c>
      <c r="X7776" s="2">
        <f ca="1"/>
        <v>23.631407473869753</v>
      </c>
      <c r="AG7776" s="2">
        <f ca="1"/>
        <v>0.45592621663946487</v>
      </c>
      <c r="AH7776" s="2" t="str">
        <f ca="1"/>
        <v>Bad</v>
      </c>
    </row>
    <row r="7777" spans="2:34" x14ac:dyDescent="0.2">
      <c r="B7777" s="2">
        <f ca="1"/>
        <v>0.82770743346692521</v>
      </c>
      <c r="O7777" s="2">
        <f ca="1"/>
        <v>-1.8720825506452139</v>
      </c>
      <c r="X7777" s="2">
        <f ca="1"/>
        <v>28.988625863480614</v>
      </c>
      <c r="AG7777" s="2">
        <f ca="1"/>
        <v>0.5625265719977155</v>
      </c>
      <c r="AH7777" s="2" t="str">
        <f ca="1"/>
        <v>Bad</v>
      </c>
    </row>
    <row r="7778" spans="2:34" x14ac:dyDescent="0.2">
      <c r="B7778" s="2">
        <f ca="1"/>
        <v>0.92990756761075533</v>
      </c>
      <c r="O7778" s="2">
        <f ca="1"/>
        <v>-2.0214115263044561</v>
      </c>
      <c r="X7778" s="2">
        <f ca="1"/>
        <v>41.51287433597146</v>
      </c>
      <c r="AG7778" s="2">
        <f ca="1"/>
        <v>0.8663695102750506</v>
      </c>
      <c r="AH7778" s="2" t="str">
        <f ca="1"/>
        <v>Bad</v>
      </c>
    </row>
    <row r="7779" spans="2:34" x14ac:dyDescent="0.2">
      <c r="B7779" s="2">
        <f ca="1"/>
        <v>0.96021421059954437</v>
      </c>
      <c r="O7779" s="2">
        <f ca="1"/>
        <v>-0.98691337392091105</v>
      </c>
      <c r="X7779" s="2">
        <f ca="1"/>
        <v>25.268847586062876</v>
      </c>
      <c r="AG7779" s="2">
        <f ca="1"/>
        <v>0.7398234279739766</v>
      </c>
      <c r="AH7779" s="2" t="str">
        <f ca="1"/>
        <v>Bad</v>
      </c>
    </row>
    <row r="7780" spans="2:34" x14ac:dyDescent="0.2">
      <c r="B7780" s="2">
        <f ca="1"/>
        <v>0.18183000610993783</v>
      </c>
      <c r="O7780" s="2">
        <f ca="1"/>
        <v>0.67020903589178882</v>
      </c>
      <c r="X7780" s="2">
        <f ca="1"/>
        <v>17.907819408372912</v>
      </c>
      <c r="AG7780" s="2">
        <f ca="1"/>
        <v>0.59263628478078312</v>
      </c>
      <c r="AH7780" s="2" t="str">
        <f ca="1"/>
        <v>Bad</v>
      </c>
    </row>
    <row r="7781" spans="2:34" x14ac:dyDescent="0.2">
      <c r="B7781" s="2">
        <f ca="1"/>
        <v>0.84313111136192953</v>
      </c>
      <c r="O7781" s="2">
        <f ca="1"/>
        <v>-0.2059418911684246</v>
      </c>
      <c r="X7781" s="2">
        <f ca="1"/>
        <v>32.451294418638568</v>
      </c>
      <c r="AG7781" s="2">
        <f ca="1"/>
        <v>0.58570776292815929</v>
      </c>
      <c r="AH7781" s="2" t="str">
        <f ca="1"/>
        <v>Bad</v>
      </c>
    </row>
    <row r="7782" spans="2:34" x14ac:dyDescent="0.2">
      <c r="B7782" s="2">
        <f ca="1"/>
        <v>0.14574441774507396</v>
      </c>
      <c r="O7782" s="2">
        <f ca="1"/>
        <v>0.90187605679601945</v>
      </c>
      <c r="X7782" s="2">
        <f ca="1"/>
        <v>32.21088211728118</v>
      </c>
      <c r="AG7782" s="2">
        <f ca="1"/>
        <v>0.93871760950859429</v>
      </c>
      <c r="AH7782" s="2" t="str">
        <f ca="1"/>
        <v>Bad</v>
      </c>
    </row>
    <row r="7783" spans="2:34" x14ac:dyDescent="0.2">
      <c r="B7783" s="2">
        <f ca="1"/>
        <v>0.22424895303699843</v>
      </c>
      <c r="O7783" s="2">
        <f ca="1"/>
        <v>-0.51559758017007506</v>
      </c>
      <c r="X7783" s="2">
        <f ca="1"/>
        <v>45.322611633278676</v>
      </c>
      <c r="AG7783" s="2">
        <f ca="1"/>
        <v>0.91276312024862727</v>
      </c>
      <c r="AH7783" s="2" t="str">
        <f ca="1"/>
        <v>Bad</v>
      </c>
    </row>
    <row r="7784" spans="2:34" x14ac:dyDescent="0.2">
      <c r="B7784" s="2">
        <f ca="1"/>
        <v>1.7537236618720087E-2</v>
      </c>
      <c r="O7784" s="2">
        <f ca="1"/>
        <v>0.27268940591584057</v>
      </c>
      <c r="X7784" s="2">
        <f ca="1"/>
        <v>48.140644584966168</v>
      </c>
      <c r="AG7784" s="2">
        <f ca="1"/>
        <v>0.41135393031339773</v>
      </c>
      <c r="AH7784" s="2" t="str">
        <f ca="1"/>
        <v>Bad</v>
      </c>
    </row>
    <row r="7785" spans="2:34" x14ac:dyDescent="0.2">
      <c r="B7785" s="2">
        <f ca="1"/>
        <v>0.33040949015170362</v>
      </c>
      <c r="O7785" s="2">
        <f ca="1"/>
        <v>-1.0712864516256184</v>
      </c>
      <c r="X7785" s="2">
        <f ca="1"/>
        <v>37.953213316438841</v>
      </c>
      <c r="AG7785" s="2">
        <f ca="1"/>
        <v>0.85470177821517468</v>
      </c>
      <c r="AH7785" s="2" t="str">
        <f ca="1"/>
        <v>Bad</v>
      </c>
    </row>
    <row r="7786" spans="2:34" x14ac:dyDescent="0.2">
      <c r="B7786" s="2">
        <f ca="1"/>
        <v>0.68193069687727426</v>
      </c>
      <c r="O7786" s="2">
        <f ca="1"/>
        <v>0.53918999158850711</v>
      </c>
      <c r="X7786" s="2">
        <f ca="1"/>
        <v>54.666814181133759</v>
      </c>
      <c r="AG7786" s="2">
        <f ca="1"/>
        <v>0.75363729552402492</v>
      </c>
      <c r="AH7786" s="2" t="str">
        <f ca="1"/>
        <v>Bad</v>
      </c>
    </row>
    <row r="7787" spans="2:34" x14ac:dyDescent="0.2">
      <c r="B7787" s="2">
        <f ca="1"/>
        <v>0.36681333704934693</v>
      </c>
      <c r="O7787" s="2">
        <f ca="1"/>
        <v>-0.40465475512294036</v>
      </c>
      <c r="X7787" s="2">
        <f ca="1"/>
        <v>64.812281663972527</v>
      </c>
      <c r="AG7787" s="2">
        <f ca="1"/>
        <v>0.45689936519732499</v>
      </c>
      <c r="AH7787" s="2" t="str">
        <f ca="1"/>
        <v>Bad</v>
      </c>
    </row>
    <row r="7788" spans="2:34" x14ac:dyDescent="0.2">
      <c r="B7788" s="2">
        <f ca="1"/>
        <v>0.53165004296137064</v>
      </c>
      <c r="O7788" s="2">
        <f ca="1"/>
        <v>1.8005496539893029</v>
      </c>
      <c r="X7788" s="2">
        <f ca="1"/>
        <v>58.689090678100762</v>
      </c>
      <c r="AG7788" s="2">
        <f ca="1"/>
        <v>0.51507358152589333</v>
      </c>
      <c r="AH7788" s="2" t="str">
        <f ca="1"/>
        <v>Bad</v>
      </c>
    </row>
    <row r="7789" spans="2:34" x14ac:dyDescent="0.2">
      <c r="B7789" s="2">
        <f ca="1"/>
        <v>0.18111971886282685</v>
      </c>
      <c r="O7789" s="2">
        <f ca="1"/>
        <v>0.25130613493163734</v>
      </c>
      <c r="X7789" s="2">
        <f ca="1"/>
        <v>48.719123318744487</v>
      </c>
      <c r="AG7789" s="2">
        <f ca="1"/>
        <v>0.61020796212035089</v>
      </c>
      <c r="AH7789" s="2" t="str">
        <f ca="1"/>
        <v>Bad</v>
      </c>
    </row>
    <row r="7790" spans="2:34" x14ac:dyDescent="0.2">
      <c r="B7790" s="2">
        <f ca="1"/>
        <v>0.20050800570227523</v>
      </c>
      <c r="O7790" s="2">
        <f ca="1"/>
        <v>-2.7291191684056888</v>
      </c>
      <c r="X7790" s="2">
        <f ca="1"/>
        <v>37.001007365667085</v>
      </c>
      <c r="AG7790" s="2">
        <f ca="1"/>
        <v>1.5916003132500744E-2</v>
      </c>
      <c r="AH7790" s="2" t="str">
        <f ca="1"/>
        <v>Good</v>
      </c>
    </row>
    <row r="7791" spans="2:34" x14ac:dyDescent="0.2">
      <c r="B7791" s="2">
        <f ca="1"/>
        <v>0.93516846900613126</v>
      </c>
      <c r="O7791" s="2">
        <f ca="1"/>
        <v>-1.6664927997536256</v>
      </c>
      <c r="X7791" s="2">
        <f ca="1"/>
        <v>31.508259894950825</v>
      </c>
      <c r="AG7791" s="2">
        <f ca="1"/>
        <v>0.60171732521169741</v>
      </c>
      <c r="AH7791" s="2" t="str">
        <f ca="1"/>
        <v>Bad</v>
      </c>
    </row>
    <row r="7792" spans="2:34" x14ac:dyDescent="0.2">
      <c r="B7792" s="2">
        <f ca="1"/>
        <v>0.71486792295167589</v>
      </c>
      <c r="O7792" s="2">
        <f ca="1"/>
        <v>-0.90179928467927339</v>
      </c>
      <c r="X7792" s="2">
        <f ca="1"/>
        <v>54.979190229667829</v>
      </c>
      <c r="AG7792" s="2">
        <f ca="1"/>
        <v>0.32908243212176447</v>
      </c>
      <c r="AH7792" s="2" t="str">
        <f ca="1"/>
        <v>OK</v>
      </c>
    </row>
    <row r="7793" spans="2:34" x14ac:dyDescent="0.2">
      <c r="B7793" s="2">
        <f ca="1"/>
        <v>0.85440340016231997</v>
      </c>
      <c r="O7793" s="2">
        <f ca="1"/>
        <v>0.37300727543748824</v>
      </c>
      <c r="X7793" s="2">
        <f ca="1"/>
        <v>48.504144852420026</v>
      </c>
      <c r="AG7793" s="2">
        <f ca="1"/>
        <v>0.93218362038281555</v>
      </c>
      <c r="AH7793" s="2" t="str">
        <f ca="1"/>
        <v>Bad</v>
      </c>
    </row>
    <row r="7794" spans="2:34" x14ac:dyDescent="0.2">
      <c r="B7794" s="2">
        <f ca="1"/>
        <v>0.94650643550130709</v>
      </c>
      <c r="O7794" s="2">
        <f ca="1"/>
        <v>1.0370126734225131</v>
      </c>
      <c r="X7794" s="2">
        <f ca="1"/>
        <v>82.437396923388405</v>
      </c>
      <c r="AG7794" s="2">
        <f ca="1"/>
        <v>0.64714584440352163</v>
      </c>
      <c r="AH7794" s="2" t="str">
        <f ca="1"/>
        <v>Bad</v>
      </c>
    </row>
    <row r="7795" spans="2:34" x14ac:dyDescent="0.2">
      <c r="B7795" s="2">
        <f ca="1"/>
        <v>0.81871508401267934</v>
      </c>
      <c r="O7795" s="2">
        <f ca="1"/>
        <v>-0.88637762653213037</v>
      </c>
      <c r="X7795" s="2">
        <f ca="1"/>
        <v>49.768174992642358</v>
      </c>
      <c r="AG7795" s="2">
        <f ca="1"/>
        <v>0.46226209507791238</v>
      </c>
      <c r="AH7795" s="2" t="str">
        <f ca="1"/>
        <v>Bad</v>
      </c>
    </row>
    <row r="7796" spans="2:34" x14ac:dyDescent="0.2">
      <c r="B7796" s="2">
        <f ca="1"/>
        <v>3.3709123381708173E-2</v>
      </c>
      <c r="O7796" s="2">
        <f ca="1"/>
        <v>-0.2894035797733725</v>
      </c>
      <c r="X7796" s="2">
        <f ca="1"/>
        <v>33.137170153504144</v>
      </c>
      <c r="AG7796" s="2">
        <f ca="1"/>
        <v>0.73565067699017783</v>
      </c>
      <c r="AH7796" s="2" t="str">
        <f ca="1"/>
        <v>Bad</v>
      </c>
    </row>
    <row r="7797" spans="2:34" x14ac:dyDescent="0.2">
      <c r="B7797" s="2">
        <f ca="1"/>
        <v>0.45180569492238254</v>
      </c>
      <c r="O7797" s="2">
        <f ca="1"/>
        <v>2.5024481005344938</v>
      </c>
      <c r="X7797" s="2">
        <f ca="1"/>
        <v>53.433227423264078</v>
      </c>
      <c r="AG7797" s="2">
        <f ca="1"/>
        <v>0.8697927228262996</v>
      </c>
      <c r="AH7797" s="2" t="str">
        <f ca="1"/>
        <v>Bad</v>
      </c>
    </row>
    <row r="7798" spans="2:34" x14ac:dyDescent="0.2">
      <c r="B7798" s="2">
        <f ca="1"/>
        <v>0.34301109893990089</v>
      </c>
      <c r="O7798" s="2">
        <f ca="1"/>
        <v>0.15261314364063222</v>
      </c>
      <c r="X7798" s="2">
        <f ca="1"/>
        <v>92.260575224164981</v>
      </c>
      <c r="AG7798" s="2">
        <f ca="1"/>
        <v>0.50007717594222423</v>
      </c>
      <c r="AH7798" s="2" t="str">
        <f ca="1"/>
        <v>Bad</v>
      </c>
    </row>
    <row r="7799" spans="2:34" x14ac:dyDescent="0.2">
      <c r="B7799" s="2">
        <f ca="1"/>
        <v>0.71428364415687873</v>
      </c>
      <c r="O7799" s="2">
        <f ca="1"/>
        <v>-1.5070594625152707</v>
      </c>
      <c r="X7799" s="2">
        <f ca="1"/>
        <v>29.442410339694476</v>
      </c>
      <c r="AG7799" s="2">
        <f ca="1"/>
        <v>0.47534394151955417</v>
      </c>
      <c r="AH7799" s="2" t="str">
        <f ca="1"/>
        <v>Bad</v>
      </c>
    </row>
    <row r="7800" spans="2:34" x14ac:dyDescent="0.2">
      <c r="B7800" s="2">
        <f ca="1"/>
        <v>0.23490531025680328</v>
      </c>
      <c r="O7800" s="2">
        <f ca="1"/>
        <v>1.3944216069125543</v>
      </c>
      <c r="X7800" s="2">
        <f ca="1"/>
        <v>46.208753229340317</v>
      </c>
      <c r="AG7800" s="2">
        <f ca="1"/>
        <v>0.62144246218496857</v>
      </c>
      <c r="AH7800" s="2" t="str">
        <f ca="1"/>
        <v>Bad</v>
      </c>
    </row>
    <row r="7801" spans="2:34" x14ac:dyDescent="0.2">
      <c r="B7801" s="2">
        <f ca="1"/>
        <v>0.20618633551038879</v>
      </c>
      <c r="O7801" s="2">
        <f ca="1"/>
        <v>1.4876694358422113</v>
      </c>
      <c r="X7801" s="2">
        <f ca="1"/>
        <v>54.263633934500859</v>
      </c>
      <c r="AG7801" s="2">
        <f ca="1"/>
        <v>0.29359949723744894</v>
      </c>
      <c r="AH7801" s="2" t="str">
        <f ca="1"/>
        <v>OK</v>
      </c>
    </row>
    <row r="7802" spans="2:34" x14ac:dyDescent="0.2">
      <c r="B7802" s="2">
        <f ca="1"/>
        <v>0.26674521087672765</v>
      </c>
      <c r="O7802" s="2">
        <f ca="1"/>
        <v>0.70448961294939438</v>
      </c>
      <c r="X7802" s="2">
        <f ca="1"/>
        <v>34.091942699608886</v>
      </c>
      <c r="AG7802" s="2">
        <f ca="1"/>
        <v>0.30613807164674678</v>
      </c>
      <c r="AH7802" s="2" t="str">
        <f ca="1"/>
        <v>OK</v>
      </c>
    </row>
    <row r="7803" spans="2:34" x14ac:dyDescent="0.2">
      <c r="B7803" s="2">
        <f ca="1"/>
        <v>5.1772235638967157E-2</v>
      </c>
      <c r="O7803" s="2">
        <f ca="1"/>
        <v>0.1526868557581772</v>
      </c>
      <c r="X7803" s="2">
        <f ca="1"/>
        <v>61.813035523555762</v>
      </c>
      <c r="AG7803" s="2">
        <f ca="1"/>
        <v>0.45906647638217657</v>
      </c>
      <c r="AH7803" s="2" t="str">
        <f ca="1"/>
        <v>Bad</v>
      </c>
    </row>
    <row r="7804" spans="2:34" x14ac:dyDescent="0.2">
      <c r="B7804" s="2">
        <f ca="1"/>
        <v>0.56021382884104298</v>
      </c>
      <c r="O7804" s="2">
        <f ca="1"/>
        <v>-0.38732375277722586</v>
      </c>
      <c r="X7804" s="2">
        <f ca="1"/>
        <v>36.880795469015077</v>
      </c>
      <c r="AG7804" s="2">
        <f ca="1"/>
        <v>0.49202543765001061</v>
      </c>
      <c r="AH7804" s="2" t="str">
        <f ca="1"/>
        <v>Bad</v>
      </c>
    </row>
    <row r="7805" spans="2:34" x14ac:dyDescent="0.2">
      <c r="B7805" s="2">
        <f ca="1"/>
        <v>8.5638388913746866E-3</v>
      </c>
      <c r="O7805" s="2">
        <f ca="1"/>
        <v>1.3809893028983531</v>
      </c>
      <c r="X7805" s="2">
        <f ca="1"/>
        <v>71.13164089838719</v>
      </c>
      <c r="AG7805" s="2">
        <f ca="1"/>
        <v>0.21405348235688382</v>
      </c>
      <c r="AH7805" s="2" t="str">
        <f ca="1"/>
        <v>OK</v>
      </c>
    </row>
    <row r="7806" spans="2:34" x14ac:dyDescent="0.2">
      <c r="B7806" s="2">
        <f ca="1"/>
        <v>0.6526234850733903</v>
      </c>
      <c r="O7806" s="2">
        <f ca="1"/>
        <v>7.6807422394364291E-2</v>
      </c>
      <c r="X7806" s="2">
        <f ca="1"/>
        <v>37.968201178117262</v>
      </c>
      <c r="AG7806" s="2">
        <f ca="1"/>
        <v>0.52766579269796288</v>
      </c>
      <c r="AH7806" s="2" t="str">
        <f ca="1"/>
        <v>Bad</v>
      </c>
    </row>
    <row r="7807" spans="2:34" x14ac:dyDescent="0.2">
      <c r="B7807" s="2">
        <f ca="1"/>
        <v>0.79897860497780426</v>
      </c>
      <c r="O7807" s="2">
        <f ca="1"/>
        <v>-0.15187277065531807</v>
      </c>
      <c r="X7807" s="2">
        <f ca="1"/>
        <v>68.013109661138628</v>
      </c>
      <c r="AG7807" s="2">
        <f ca="1"/>
        <v>0.80786967397435339</v>
      </c>
      <c r="AH7807" s="2" t="str">
        <f ca="1"/>
        <v>Bad</v>
      </c>
    </row>
    <row r="7808" spans="2:34" x14ac:dyDescent="0.2">
      <c r="B7808" s="2">
        <f ca="1"/>
        <v>4.1620412612387803E-2</v>
      </c>
      <c r="O7808" s="2">
        <f ca="1"/>
        <v>-1.0575188678893588</v>
      </c>
      <c r="X7808" s="2">
        <f ca="1"/>
        <v>58.822027393668428</v>
      </c>
      <c r="AG7808" s="2">
        <f ca="1"/>
        <v>0.6491163952063741</v>
      </c>
      <c r="AH7808" s="2" t="str">
        <f ca="1"/>
        <v>Bad</v>
      </c>
    </row>
    <row r="7809" spans="2:34" x14ac:dyDescent="0.2">
      <c r="B7809" s="2">
        <f ca="1"/>
        <v>1.5811686333962349E-2</v>
      </c>
      <c r="O7809" s="2">
        <f ca="1"/>
        <v>-0.50290205610559491</v>
      </c>
      <c r="X7809" s="2">
        <f ca="1"/>
        <v>43.37856701294762</v>
      </c>
      <c r="AG7809" s="2">
        <f ca="1"/>
        <v>0.49866281269655222</v>
      </c>
      <c r="AH7809" s="2" t="str">
        <f ca="1"/>
        <v>Bad</v>
      </c>
    </row>
    <row r="7810" spans="2:34" x14ac:dyDescent="0.2">
      <c r="B7810" s="2">
        <f ca="1"/>
        <v>9.8055837034658921E-2</v>
      </c>
      <c r="O7810" s="2">
        <f ca="1"/>
        <v>-0.2559380013445362</v>
      </c>
      <c r="X7810" s="2">
        <f ca="1"/>
        <v>29.631493288277806</v>
      </c>
      <c r="AG7810" s="2">
        <f ca="1"/>
        <v>0.69842057412755554</v>
      </c>
      <c r="AH7810" s="2" t="str">
        <f ca="1"/>
        <v>Bad</v>
      </c>
    </row>
    <row r="7811" spans="2:34" x14ac:dyDescent="0.2">
      <c r="B7811" s="2">
        <f ca="1"/>
        <v>0.82917356253988972</v>
      </c>
      <c r="O7811" s="2">
        <f ca="1"/>
        <v>2.2892834025191173</v>
      </c>
      <c r="X7811" s="2">
        <f ca="1"/>
        <v>60.197947194706202</v>
      </c>
      <c r="AG7811" s="2">
        <f ca="1"/>
        <v>0.38772258397040216</v>
      </c>
      <c r="AH7811" s="2" t="str">
        <f ca="1"/>
        <v>OK</v>
      </c>
    </row>
    <row r="7812" spans="2:34" x14ac:dyDescent="0.2">
      <c r="B7812" s="2">
        <f ca="1"/>
        <v>0.95046847220543529</v>
      </c>
      <c r="O7812" s="2">
        <f ca="1"/>
        <v>0.39600773761581676</v>
      </c>
      <c r="X7812" s="2">
        <f ca="1"/>
        <v>44.928114006325927</v>
      </c>
      <c r="AG7812" s="2">
        <f ca="1"/>
        <v>0.31474974862465732</v>
      </c>
      <c r="AH7812" s="2" t="str">
        <f ca="1"/>
        <v>OK</v>
      </c>
    </row>
    <row r="7813" spans="2:34" x14ac:dyDescent="0.2">
      <c r="B7813" s="2">
        <f ca="1"/>
        <v>0.5956550065397479</v>
      </c>
      <c r="O7813" s="2">
        <f ca="1"/>
        <v>-1.0694589428392682</v>
      </c>
      <c r="X7813" s="2">
        <f ca="1"/>
        <v>35.890243744498832</v>
      </c>
      <c r="AG7813" s="2">
        <f ca="1"/>
        <v>0.67309777652551062</v>
      </c>
      <c r="AH7813" s="2" t="str">
        <f ca="1"/>
        <v>Bad</v>
      </c>
    </row>
    <row r="7814" spans="2:34" x14ac:dyDescent="0.2">
      <c r="B7814" s="2">
        <f ca="1"/>
        <v>0.28980095145100604</v>
      </c>
      <c r="O7814" s="2">
        <f ca="1"/>
        <v>1.1924975740766581</v>
      </c>
      <c r="X7814" s="2">
        <f ca="1"/>
        <v>50.778466248909702</v>
      </c>
      <c r="AG7814" s="2">
        <f ca="1"/>
        <v>0.38688428261305807</v>
      </c>
      <c r="AH7814" s="2" t="str">
        <f ca="1"/>
        <v>OK</v>
      </c>
    </row>
    <row r="7815" spans="2:34" x14ac:dyDescent="0.2">
      <c r="B7815" s="2">
        <f ca="1"/>
        <v>0.5349873797182696</v>
      </c>
      <c r="O7815" s="2">
        <f ca="1"/>
        <v>-1.7162337799575869</v>
      </c>
      <c r="X7815" s="2">
        <f ca="1"/>
        <v>52.94707445868557</v>
      </c>
      <c r="AG7815" s="2">
        <f ca="1"/>
        <v>0.91156192924330259</v>
      </c>
      <c r="AH7815" s="2" t="str">
        <f ca="1"/>
        <v>Bad</v>
      </c>
    </row>
    <row r="7816" spans="2:34" x14ac:dyDescent="0.2">
      <c r="B7816" s="2">
        <f ca="1"/>
        <v>0.20088403451036951</v>
      </c>
      <c r="O7816" s="2">
        <f ca="1"/>
        <v>-0.49306024566191764</v>
      </c>
      <c r="X7816" s="2">
        <f ca="1"/>
        <v>42.388946424261214</v>
      </c>
      <c r="AG7816" s="2">
        <f ca="1"/>
        <v>0.21709382269502009</v>
      </c>
      <c r="AH7816" s="2" t="str">
        <f ca="1"/>
        <v>OK</v>
      </c>
    </row>
    <row r="7817" spans="2:34" x14ac:dyDescent="0.2">
      <c r="B7817" s="2">
        <f ca="1"/>
        <v>0.55441456290697433</v>
      </c>
      <c r="O7817" s="2">
        <f ca="1"/>
        <v>1.812989761322088</v>
      </c>
      <c r="X7817" s="2">
        <f ca="1"/>
        <v>48.121048836237755</v>
      </c>
      <c r="AG7817" s="2">
        <f ca="1"/>
        <v>0.20234625536652939</v>
      </c>
      <c r="AH7817" s="2" t="str">
        <f ca="1"/>
        <v>OK</v>
      </c>
    </row>
    <row r="7818" spans="2:34" x14ac:dyDescent="0.2">
      <c r="B7818" s="2">
        <f ca="1"/>
        <v>0.20753671484238123</v>
      </c>
      <c r="O7818" s="2">
        <f ca="1"/>
        <v>5.9424878121233773E-2</v>
      </c>
      <c r="X7818" s="2">
        <f ca="1"/>
        <v>41.795710495583606</v>
      </c>
      <c r="AG7818" s="2">
        <f ca="1"/>
        <v>0.37591640157229178</v>
      </c>
      <c r="AH7818" s="2" t="str">
        <f ca="1"/>
        <v>OK</v>
      </c>
    </row>
    <row r="7819" spans="2:34" x14ac:dyDescent="0.2">
      <c r="B7819" s="2">
        <f ca="1"/>
        <v>0.407447418138978</v>
      </c>
      <c r="O7819" s="2">
        <f ca="1"/>
        <v>0.70616904476987097</v>
      </c>
      <c r="X7819" s="2">
        <f ca="1"/>
        <v>42.89922864744441</v>
      </c>
      <c r="AG7819" s="2">
        <f ca="1"/>
        <v>0.80654431304080032</v>
      </c>
      <c r="AH7819" s="2" t="str">
        <f ca="1"/>
        <v>Bad</v>
      </c>
    </row>
    <row r="7820" spans="2:34" x14ac:dyDescent="0.2">
      <c r="B7820" s="2">
        <f ca="1"/>
        <v>0.40553360222283952</v>
      </c>
      <c r="O7820" s="2">
        <f ca="1"/>
        <v>0.35712541321549784</v>
      </c>
      <c r="X7820" s="2">
        <f ca="1"/>
        <v>46.75941786531402</v>
      </c>
      <c r="AG7820" s="2">
        <f ca="1"/>
        <v>0.99419126662691104</v>
      </c>
      <c r="AH7820" s="2" t="str">
        <f ca="1"/>
        <v>Bad</v>
      </c>
    </row>
    <row r="7821" spans="2:34" x14ac:dyDescent="0.2">
      <c r="B7821" s="2">
        <f ca="1"/>
        <v>9.5814533915734357E-2</v>
      </c>
      <c r="O7821" s="2">
        <f ca="1"/>
        <v>1.3948081181020537</v>
      </c>
      <c r="X7821" s="2">
        <f ca="1"/>
        <v>64.822291112728266</v>
      </c>
      <c r="AG7821" s="2">
        <f ca="1"/>
        <v>0.46019944010662339</v>
      </c>
      <c r="AH7821" s="2" t="str">
        <f ca="1"/>
        <v>Bad</v>
      </c>
    </row>
    <row r="7822" spans="2:34" x14ac:dyDescent="0.2">
      <c r="B7822" s="2">
        <f ca="1"/>
        <v>0.83588284125863144</v>
      </c>
      <c r="O7822" s="2">
        <f ca="1"/>
        <v>0.89909601597471722</v>
      </c>
      <c r="X7822" s="2">
        <f ca="1"/>
        <v>28.357225567882885</v>
      </c>
      <c r="AG7822" s="2">
        <f ca="1"/>
        <v>0.68590897730201417</v>
      </c>
      <c r="AH7822" s="2" t="str">
        <f ca="1"/>
        <v>Bad</v>
      </c>
    </row>
    <row r="7823" spans="2:34" x14ac:dyDescent="0.2">
      <c r="B7823" s="2">
        <f ca="1"/>
        <v>5.7426686561210971E-2</v>
      </c>
      <c r="O7823" s="2">
        <f ca="1"/>
        <v>4.7917032510307385E-2</v>
      </c>
      <c r="X7823" s="2">
        <f ca="1"/>
        <v>58.930592824757142</v>
      </c>
      <c r="AG7823" s="2">
        <f ca="1"/>
        <v>0.7748329765343569</v>
      </c>
      <c r="AH7823" s="2" t="str">
        <f ca="1"/>
        <v>Bad</v>
      </c>
    </row>
    <row r="7824" spans="2:34" x14ac:dyDescent="0.2">
      <c r="B7824" s="2">
        <f ca="1"/>
        <v>0.43721000048345271</v>
      </c>
      <c r="O7824" s="2">
        <f ca="1"/>
        <v>-0.42023583437746903</v>
      </c>
      <c r="X7824" s="2">
        <f ca="1"/>
        <v>61.373826631704787</v>
      </c>
      <c r="AG7824" s="2">
        <f ca="1"/>
        <v>0.20022872238754452</v>
      </c>
      <c r="AH7824" s="2" t="str">
        <f ca="1"/>
        <v>OK</v>
      </c>
    </row>
    <row r="7825" spans="2:34" x14ac:dyDescent="0.2">
      <c r="B7825" s="2">
        <f ca="1"/>
        <v>0.9234568519036257</v>
      </c>
      <c r="O7825" s="2">
        <f ca="1"/>
        <v>0.27815270773984768</v>
      </c>
      <c r="X7825" s="2">
        <f ca="1"/>
        <v>58.573575580782773</v>
      </c>
      <c r="AG7825" s="2">
        <f ca="1"/>
        <v>6.2148082574389418E-2</v>
      </c>
      <c r="AH7825" s="2" t="str">
        <f ca="1"/>
        <v>OK</v>
      </c>
    </row>
    <row r="7826" spans="2:34" x14ac:dyDescent="0.2">
      <c r="B7826" s="2">
        <f ca="1"/>
        <v>0.18108007850922436</v>
      </c>
      <c r="O7826" s="2">
        <f ca="1"/>
        <v>1.325116083972397</v>
      </c>
      <c r="X7826" s="2">
        <f ca="1"/>
        <v>49.945266795110953</v>
      </c>
      <c r="AG7826" s="2">
        <f ca="1"/>
        <v>0.89732895926112399</v>
      </c>
      <c r="AH7826" s="2" t="str">
        <f ca="1"/>
        <v>Bad</v>
      </c>
    </row>
    <row r="7827" spans="2:34" x14ac:dyDescent="0.2">
      <c r="B7827" s="2">
        <f ca="1"/>
        <v>0.9944380896240439</v>
      </c>
      <c r="O7827" s="2">
        <f ca="1"/>
        <v>1.4525828501830962</v>
      </c>
      <c r="X7827" s="2">
        <f ca="1"/>
        <v>31.084405210616573</v>
      </c>
      <c r="AG7827" s="2">
        <f ca="1"/>
        <v>0.58104310300684547</v>
      </c>
      <c r="AH7827" s="2" t="str">
        <f ca="1"/>
        <v>Bad</v>
      </c>
    </row>
    <row r="7828" spans="2:34" x14ac:dyDescent="0.2">
      <c r="B7828" s="2">
        <f ca="1"/>
        <v>0.49558040007422677</v>
      </c>
      <c r="O7828" s="2">
        <f ca="1"/>
        <v>0.52668183347387942</v>
      </c>
      <c r="X7828" s="2">
        <f ca="1"/>
        <v>32.581574910493025</v>
      </c>
      <c r="AG7828" s="2">
        <f ca="1"/>
        <v>0.14475199654661952</v>
      </c>
      <c r="AH7828" s="2" t="str">
        <f ca="1"/>
        <v>OK</v>
      </c>
    </row>
    <row r="7829" spans="2:34" x14ac:dyDescent="0.2">
      <c r="B7829" s="2">
        <f ca="1"/>
        <v>0.29926619140229205</v>
      </c>
      <c r="O7829" s="2">
        <f ca="1"/>
        <v>-1.443821253691304</v>
      </c>
      <c r="X7829" s="2">
        <f ca="1"/>
        <v>46.908817442215096</v>
      </c>
      <c r="AG7829" s="2">
        <f ca="1"/>
        <v>0.54100215600229751</v>
      </c>
      <c r="AH7829" s="2" t="str">
        <f ca="1"/>
        <v>Bad</v>
      </c>
    </row>
    <row r="7830" spans="2:34" x14ac:dyDescent="0.2">
      <c r="B7830" s="2">
        <f ca="1"/>
        <v>5.2654004666848886E-2</v>
      </c>
      <c r="O7830" s="2">
        <f ca="1"/>
        <v>-2.1488771466023189</v>
      </c>
      <c r="X7830" s="2">
        <f ca="1"/>
        <v>59.391794653692536</v>
      </c>
      <c r="AG7830" s="2">
        <f ca="1"/>
        <v>0.7140268660073763</v>
      </c>
      <c r="AH7830" s="2" t="str">
        <f ca="1"/>
        <v>Bad</v>
      </c>
    </row>
    <row r="7831" spans="2:34" x14ac:dyDescent="0.2">
      <c r="B7831" s="2">
        <f ca="1"/>
        <v>0.65012791029286543</v>
      </c>
      <c r="O7831" s="2">
        <f ca="1"/>
        <v>-1.2679961889072311E-2</v>
      </c>
      <c r="X7831" s="2">
        <f ca="1"/>
        <v>31.338416307943557</v>
      </c>
      <c r="AG7831" s="2">
        <f ca="1"/>
        <v>0.54439439554836233</v>
      </c>
      <c r="AH7831" s="2" t="str">
        <f ca="1"/>
        <v>Bad</v>
      </c>
    </row>
    <row r="7832" spans="2:34" x14ac:dyDescent="0.2">
      <c r="B7832" s="2">
        <f ca="1"/>
        <v>0.89291906780981334</v>
      </c>
      <c r="O7832" s="2">
        <f ca="1"/>
        <v>-0.83083911247859943</v>
      </c>
      <c r="X7832" s="2">
        <f ca="1"/>
        <v>50.487807741534738</v>
      </c>
      <c r="AG7832" s="2">
        <f ca="1"/>
        <v>0.18783196744110242</v>
      </c>
      <c r="AH7832" s="2" t="str">
        <f ca="1"/>
        <v>OK</v>
      </c>
    </row>
    <row r="7833" spans="2:34" x14ac:dyDescent="0.2">
      <c r="B7833" s="2">
        <f ca="1"/>
        <v>0.82353738327423365</v>
      </c>
      <c r="O7833" s="2">
        <f ca="1"/>
        <v>-1.2734434348585038</v>
      </c>
      <c r="X7833" s="2">
        <f ca="1"/>
        <v>44.891482165232162</v>
      </c>
      <c r="AG7833" s="2">
        <f ca="1"/>
        <v>0.56474894215510463</v>
      </c>
      <c r="AH7833" s="2" t="str">
        <f ca="1"/>
        <v>Bad</v>
      </c>
    </row>
    <row r="7834" spans="2:34" x14ac:dyDescent="0.2">
      <c r="B7834" s="2">
        <f ca="1"/>
        <v>0.95040636255747413</v>
      </c>
      <c r="O7834" s="2">
        <f ca="1"/>
        <v>9.7579868857501098E-2</v>
      </c>
      <c r="X7834" s="2">
        <f ca="1"/>
        <v>64.978122576195545</v>
      </c>
      <c r="AG7834" s="2">
        <f ca="1"/>
        <v>0.57763704530421722</v>
      </c>
      <c r="AH7834" s="2" t="str">
        <f ca="1"/>
        <v>Bad</v>
      </c>
    </row>
    <row r="7835" spans="2:34" x14ac:dyDescent="0.2">
      <c r="B7835" s="2">
        <f ca="1"/>
        <v>0.461889870367028</v>
      </c>
      <c r="O7835" s="2">
        <f ca="1"/>
        <v>-0.96486235648735785</v>
      </c>
      <c r="X7835" s="2">
        <f ca="1"/>
        <v>30.362306495034062</v>
      </c>
      <c r="AG7835" s="2">
        <f ca="1"/>
        <v>0.7380139649398656</v>
      </c>
      <c r="AH7835" s="2" t="str">
        <f ca="1"/>
        <v>Bad</v>
      </c>
    </row>
    <row r="7836" spans="2:34" x14ac:dyDescent="0.2">
      <c r="B7836" s="2">
        <f ca="1"/>
        <v>0.5734160412536744</v>
      </c>
      <c r="O7836" s="2">
        <f ca="1"/>
        <v>1.0702195754734316</v>
      </c>
      <c r="X7836" s="2">
        <f ca="1"/>
        <v>62.936227305707185</v>
      </c>
      <c r="AG7836" s="2">
        <f ca="1"/>
        <v>0.67460175508904863</v>
      </c>
      <c r="AH7836" s="2" t="str">
        <f ca="1"/>
        <v>Bad</v>
      </c>
    </row>
    <row r="7837" spans="2:34" x14ac:dyDescent="0.2">
      <c r="B7837" s="2">
        <f ca="1"/>
        <v>0.83188941740176858</v>
      </c>
      <c r="O7837" s="2">
        <f ca="1"/>
        <v>-0.88034449859025377</v>
      </c>
      <c r="X7837" s="2">
        <f ca="1"/>
        <v>42.919706005180203</v>
      </c>
      <c r="AG7837" s="2">
        <f ca="1"/>
        <v>6.2274705545503073E-2</v>
      </c>
      <c r="AH7837" s="2" t="str">
        <f ca="1"/>
        <v>OK</v>
      </c>
    </row>
    <row r="7838" spans="2:34" x14ac:dyDescent="0.2">
      <c r="B7838" s="2">
        <f ca="1"/>
        <v>0.36847764941645056</v>
      </c>
      <c r="O7838" s="2">
        <f ca="1"/>
        <v>-0.61790523142683074</v>
      </c>
      <c r="X7838" s="2">
        <f ca="1"/>
        <v>109.53671047274609</v>
      </c>
      <c r="AG7838" s="2">
        <f ca="1"/>
        <v>0.5564201864132341</v>
      </c>
      <c r="AH7838" s="2" t="str">
        <f ca="1"/>
        <v>Bad</v>
      </c>
    </row>
    <row r="7839" spans="2:34" x14ac:dyDescent="0.2">
      <c r="B7839" s="2">
        <f ca="1"/>
        <v>0.82586299165258081</v>
      </c>
      <c r="O7839" s="2">
        <f ca="1"/>
        <v>0.34514682476716474</v>
      </c>
      <c r="X7839" s="2">
        <f ca="1"/>
        <v>32.727676675221076</v>
      </c>
      <c r="AG7839" s="2">
        <f ca="1"/>
        <v>0.61438424270644854</v>
      </c>
      <c r="AH7839" s="2" t="str">
        <f ca="1"/>
        <v>Bad</v>
      </c>
    </row>
    <row r="7840" spans="2:34" x14ac:dyDescent="0.2">
      <c r="B7840" s="2">
        <f ca="1"/>
        <v>8.1056664047121085E-2</v>
      </c>
      <c r="O7840" s="2">
        <f ca="1"/>
        <v>0.23425809402024539</v>
      </c>
      <c r="X7840" s="2">
        <f ca="1"/>
        <v>46.148428920248243</v>
      </c>
      <c r="AG7840" s="2">
        <f ca="1"/>
        <v>0.42729397415936576</v>
      </c>
      <c r="AH7840" s="2" t="str">
        <f ca="1"/>
        <v>Bad</v>
      </c>
    </row>
    <row r="7841" spans="2:34" x14ac:dyDescent="0.2">
      <c r="B7841" s="2">
        <f ca="1"/>
        <v>0.97549774199269335</v>
      </c>
      <c r="O7841" s="2">
        <f ca="1"/>
        <v>1.0048710973395523</v>
      </c>
      <c r="X7841" s="2">
        <f ca="1"/>
        <v>49.75088700242901</v>
      </c>
      <c r="AG7841" s="2">
        <f ca="1"/>
        <v>0.12764111592837213</v>
      </c>
      <c r="AH7841" s="2" t="str">
        <f ca="1"/>
        <v>OK</v>
      </c>
    </row>
    <row r="7842" spans="2:34" x14ac:dyDescent="0.2">
      <c r="B7842" s="2">
        <f ca="1"/>
        <v>0.4028689372257499</v>
      </c>
      <c r="O7842" s="2">
        <f ca="1"/>
        <v>-1.2733749766497278</v>
      </c>
      <c r="X7842" s="2">
        <f ca="1"/>
        <v>53.999929016812864</v>
      </c>
      <c r="AG7842" s="2">
        <f ca="1"/>
        <v>0.44630487558410548</v>
      </c>
      <c r="AH7842" s="2" t="str">
        <f ca="1"/>
        <v>Bad</v>
      </c>
    </row>
    <row r="7843" spans="2:34" x14ac:dyDescent="0.2">
      <c r="B7843" s="2">
        <f ca="1"/>
        <v>0.94981818498540971</v>
      </c>
      <c r="O7843" s="2">
        <f ca="1"/>
        <v>0.19406832900122964</v>
      </c>
      <c r="X7843" s="2">
        <f ca="1"/>
        <v>52.913353287521154</v>
      </c>
      <c r="AG7843" s="2">
        <f ca="1"/>
        <v>0.92983470835747983</v>
      </c>
      <c r="AH7843" s="2" t="str">
        <f ca="1"/>
        <v>Bad</v>
      </c>
    </row>
    <row r="7844" spans="2:34" x14ac:dyDescent="0.2">
      <c r="B7844" s="2">
        <f ca="1"/>
        <v>0.89585922099711679</v>
      </c>
      <c r="O7844" s="2">
        <f ca="1"/>
        <v>0.72838471922277159</v>
      </c>
      <c r="X7844" s="2">
        <f ca="1"/>
        <v>53.04520858289149</v>
      </c>
      <c r="AG7844" s="2">
        <f ca="1"/>
        <v>0.10881525823775773</v>
      </c>
      <c r="AH7844" s="2" t="str">
        <f ca="1"/>
        <v>OK</v>
      </c>
    </row>
    <row r="7845" spans="2:34" x14ac:dyDescent="0.2">
      <c r="B7845" s="2">
        <f ca="1"/>
        <v>6.1851885185196354E-2</v>
      </c>
      <c r="O7845" s="2">
        <f ca="1"/>
        <v>0.7738931764334922</v>
      </c>
      <c r="X7845" s="2">
        <f ca="1"/>
        <v>76.514931945034704</v>
      </c>
      <c r="AG7845" s="2">
        <f ca="1"/>
        <v>0.93668553093823514</v>
      </c>
      <c r="AH7845" s="2" t="str">
        <f ca="1"/>
        <v>Bad</v>
      </c>
    </row>
    <row r="7846" spans="2:34" x14ac:dyDescent="0.2">
      <c r="B7846" s="2">
        <f ca="1"/>
        <v>0.50934026054231807</v>
      </c>
      <c r="O7846" s="2">
        <f ca="1"/>
        <v>2.0199492488809279</v>
      </c>
      <c r="X7846" s="2">
        <f ca="1"/>
        <v>21.79639296961231</v>
      </c>
      <c r="AG7846" s="2">
        <f ca="1"/>
        <v>0.22237853864933799</v>
      </c>
      <c r="AH7846" s="2" t="str">
        <f ca="1"/>
        <v>OK</v>
      </c>
    </row>
    <row r="7847" spans="2:34" x14ac:dyDescent="0.2">
      <c r="B7847" s="2">
        <f ca="1"/>
        <v>0.51867282624863287</v>
      </c>
      <c r="O7847" s="2">
        <f ca="1"/>
        <v>-1.0566749177176005</v>
      </c>
      <c r="X7847" s="2">
        <f ca="1"/>
        <v>33.653214891122801</v>
      </c>
      <c r="AG7847" s="2">
        <f ca="1"/>
        <v>0.13377595833622746</v>
      </c>
      <c r="AH7847" s="2" t="str">
        <f ca="1"/>
        <v>OK</v>
      </c>
    </row>
    <row r="7848" spans="2:34" x14ac:dyDescent="0.2">
      <c r="B7848" s="2">
        <f ca="1"/>
        <v>0.86409366946986998</v>
      </c>
      <c r="O7848" s="2">
        <f ca="1"/>
        <v>2.2505705907196547</v>
      </c>
      <c r="X7848" s="2">
        <f ca="1"/>
        <v>32.763859589562443</v>
      </c>
      <c r="AG7848" s="2">
        <f ca="1"/>
        <v>0.24870053971940265</v>
      </c>
      <c r="AH7848" s="2" t="str">
        <f ca="1"/>
        <v>OK</v>
      </c>
    </row>
    <row r="7849" spans="2:34" x14ac:dyDescent="0.2">
      <c r="B7849" s="2">
        <f ca="1"/>
        <v>9.237083656840217E-2</v>
      </c>
      <c r="O7849" s="2">
        <f ca="1"/>
        <v>0.99337717556043592</v>
      </c>
      <c r="X7849" s="2">
        <f ca="1"/>
        <v>62.84519539687161</v>
      </c>
      <c r="AG7849" s="2">
        <f ca="1"/>
        <v>0.33843463665913909</v>
      </c>
      <c r="AH7849" s="2" t="str">
        <f ca="1"/>
        <v>OK</v>
      </c>
    </row>
    <row r="7850" spans="2:34" x14ac:dyDescent="0.2">
      <c r="B7850" s="2">
        <f ca="1"/>
        <v>4.0152566531075351E-2</v>
      </c>
      <c r="O7850" s="2">
        <f ca="1"/>
        <v>-0.56661849353768934</v>
      </c>
      <c r="X7850" s="2">
        <f ca="1"/>
        <v>51.724125868576181</v>
      </c>
      <c r="AG7850" s="2">
        <f ca="1"/>
        <v>0.46474685252391001</v>
      </c>
      <c r="AH7850" s="2" t="str">
        <f ca="1"/>
        <v>Bad</v>
      </c>
    </row>
    <row r="7851" spans="2:34" x14ac:dyDescent="0.2">
      <c r="B7851" s="2">
        <f ca="1"/>
        <v>0.38169042283218202</v>
      </c>
      <c r="O7851" s="2">
        <f ca="1"/>
        <v>-1.069195618079231</v>
      </c>
      <c r="X7851" s="2">
        <f ca="1"/>
        <v>51.385145396298888</v>
      </c>
      <c r="AG7851" s="2">
        <f ca="1"/>
        <v>0.65943883232207456</v>
      </c>
      <c r="AH7851" s="2" t="str">
        <f ca="1"/>
        <v>Bad</v>
      </c>
    </row>
    <row r="7852" spans="2:34" x14ac:dyDescent="0.2">
      <c r="B7852" s="2">
        <f ca="1"/>
        <v>5.7013311232464003E-2</v>
      </c>
      <c r="O7852" s="2">
        <f ca="1"/>
        <v>-1.3995272093978091</v>
      </c>
      <c r="X7852" s="2">
        <f ca="1"/>
        <v>59.682956259318132</v>
      </c>
      <c r="AG7852" s="2">
        <f ca="1"/>
        <v>0.24097280071268612</v>
      </c>
      <c r="AH7852" s="2" t="str">
        <f ca="1"/>
        <v>OK</v>
      </c>
    </row>
    <row r="7853" spans="2:34" x14ac:dyDescent="0.2">
      <c r="B7853" s="2">
        <f ca="1"/>
        <v>0.34867505691084633</v>
      </c>
      <c r="O7853" s="2">
        <f ca="1"/>
        <v>-6.6134575698811107E-2</v>
      </c>
      <c r="X7853" s="2">
        <f ca="1"/>
        <v>52.627253731968402</v>
      </c>
      <c r="AG7853" s="2">
        <f ca="1"/>
        <v>0.64097119303048866</v>
      </c>
      <c r="AH7853" s="2" t="str">
        <f ca="1"/>
        <v>Bad</v>
      </c>
    </row>
    <row r="7854" spans="2:34" x14ac:dyDescent="0.2">
      <c r="B7854" s="2">
        <f ca="1"/>
        <v>0.79480177860961532</v>
      </c>
      <c r="O7854" s="2">
        <f ca="1"/>
        <v>-1.0440927650547034</v>
      </c>
      <c r="X7854" s="2">
        <f ca="1"/>
        <v>68.412338178617105</v>
      </c>
      <c r="AG7854" s="2">
        <f ca="1"/>
        <v>0.89189453007696118</v>
      </c>
      <c r="AH7854" s="2" t="str">
        <f ca="1"/>
        <v>Bad</v>
      </c>
    </row>
    <row r="7855" spans="2:34" x14ac:dyDescent="0.2">
      <c r="B7855" s="2">
        <f ca="1"/>
        <v>0.47974109983250979</v>
      </c>
      <c r="O7855" s="2">
        <f ca="1"/>
        <v>0.5264505963823809</v>
      </c>
      <c r="X7855" s="2">
        <f ca="1"/>
        <v>41.69886085773382</v>
      </c>
      <c r="AG7855" s="2">
        <f ca="1"/>
        <v>0.17734278073435683</v>
      </c>
      <c r="AH7855" s="2" t="str">
        <f ca="1"/>
        <v>OK</v>
      </c>
    </row>
    <row r="7856" spans="2:34" x14ac:dyDescent="0.2">
      <c r="B7856" s="2">
        <f ca="1"/>
        <v>0.16302456324645442</v>
      </c>
      <c r="O7856" s="2">
        <f ca="1"/>
        <v>-4.2441505593290102E-2</v>
      </c>
      <c r="X7856" s="2">
        <f ca="1"/>
        <v>41.830559736787237</v>
      </c>
      <c r="AG7856" s="2">
        <f ca="1"/>
        <v>0.27268892298359759</v>
      </c>
      <c r="AH7856" s="2" t="str">
        <f ca="1"/>
        <v>OK</v>
      </c>
    </row>
    <row r="7857" spans="2:34" x14ac:dyDescent="0.2">
      <c r="B7857" s="2">
        <f ca="1"/>
        <v>0.65119223763787715</v>
      </c>
      <c r="O7857" s="2">
        <f ca="1"/>
        <v>1.649151056696925E-2</v>
      </c>
      <c r="X7857" s="2">
        <f ca="1"/>
        <v>64.516832373901394</v>
      </c>
      <c r="AG7857" s="2">
        <f ca="1"/>
        <v>0.57023863073868397</v>
      </c>
      <c r="AH7857" s="2" t="str">
        <f ca="1"/>
        <v>Bad</v>
      </c>
    </row>
    <row r="7858" spans="2:34" x14ac:dyDescent="0.2">
      <c r="B7858" s="2">
        <f ca="1"/>
        <v>0.9047853948480753</v>
      </c>
      <c r="O7858" s="2">
        <f ca="1"/>
        <v>-0.38544160698601748</v>
      </c>
      <c r="X7858" s="2">
        <f ca="1"/>
        <v>46.940259982912799</v>
      </c>
      <c r="AG7858" s="2">
        <f ca="1"/>
        <v>0.92039396600282242</v>
      </c>
      <c r="AH7858" s="2" t="str">
        <f ca="1"/>
        <v>Bad</v>
      </c>
    </row>
    <row r="7859" spans="2:34" x14ac:dyDescent="0.2">
      <c r="B7859" s="2">
        <f ca="1"/>
        <v>0.98414065433779108</v>
      </c>
      <c r="O7859" s="2">
        <f ca="1"/>
        <v>1.230518617564607</v>
      </c>
      <c r="X7859" s="2">
        <f ca="1"/>
        <v>38.257701974338985</v>
      </c>
      <c r="AG7859" s="2">
        <f ca="1"/>
        <v>0.96594624339999968</v>
      </c>
      <c r="AH7859" s="2" t="str">
        <f ca="1"/>
        <v>Bad</v>
      </c>
    </row>
    <row r="7860" spans="2:34" x14ac:dyDescent="0.2">
      <c r="B7860" s="2">
        <f ca="1"/>
        <v>0.18772905205708734</v>
      </c>
      <c r="O7860" s="2">
        <f ca="1"/>
        <v>1.0672125244572477</v>
      </c>
      <c r="X7860" s="2">
        <f ca="1"/>
        <v>50.174174302391833</v>
      </c>
      <c r="AG7860" s="2">
        <f ca="1"/>
        <v>0.70141445254275192</v>
      </c>
      <c r="AH7860" s="2" t="str">
        <f ca="1"/>
        <v>Bad</v>
      </c>
    </row>
    <row r="7861" spans="2:34" x14ac:dyDescent="0.2">
      <c r="B7861" s="2">
        <f ca="1"/>
        <v>0.48731415130400291</v>
      </c>
      <c r="O7861" s="2">
        <f ca="1"/>
        <v>0.90437317554099983</v>
      </c>
      <c r="X7861" s="2">
        <f ca="1"/>
        <v>65.378197804381543</v>
      </c>
      <c r="AG7861" s="2">
        <f ca="1"/>
        <v>0.23249591307536299</v>
      </c>
      <c r="AH7861" s="2" t="str">
        <f ca="1"/>
        <v>OK</v>
      </c>
    </row>
    <row r="7862" spans="2:34" x14ac:dyDescent="0.2">
      <c r="B7862" s="2">
        <f ca="1"/>
        <v>0.66057877860370917</v>
      </c>
      <c r="O7862" s="2">
        <f ca="1"/>
        <v>0.6598361613578746</v>
      </c>
      <c r="X7862" s="2">
        <f ca="1"/>
        <v>33.183955611118286</v>
      </c>
      <c r="AG7862" s="2">
        <f ca="1"/>
        <v>0.81397387202159344</v>
      </c>
      <c r="AH7862" s="2" t="str">
        <f ca="1"/>
        <v>Bad</v>
      </c>
    </row>
    <row r="7863" spans="2:34" x14ac:dyDescent="0.2">
      <c r="B7863" s="2">
        <f ca="1"/>
        <v>0.37078940857449272</v>
      </c>
      <c r="O7863" s="2">
        <f ca="1"/>
        <v>-0.73099836060724765</v>
      </c>
      <c r="X7863" s="2">
        <f ca="1"/>
        <v>38.705711612951461</v>
      </c>
      <c r="AG7863" s="2">
        <f ca="1"/>
        <v>0.77740729646110873</v>
      </c>
      <c r="AH7863" s="2" t="str">
        <f ca="1"/>
        <v>Bad</v>
      </c>
    </row>
    <row r="7864" spans="2:34" x14ac:dyDescent="0.2">
      <c r="B7864" s="2">
        <f ca="1"/>
        <v>0.95123286888657854</v>
      </c>
      <c r="O7864" s="2">
        <f ca="1"/>
        <v>0.23830871328183478</v>
      </c>
      <c r="X7864" s="2">
        <f ca="1"/>
        <v>59.077533044585323</v>
      </c>
      <c r="AG7864" s="2">
        <f ca="1"/>
        <v>0.92105677111788919</v>
      </c>
      <c r="AH7864" s="2" t="str">
        <f ca="1"/>
        <v>Bad</v>
      </c>
    </row>
    <row r="7865" spans="2:34" x14ac:dyDescent="0.2">
      <c r="B7865" s="2">
        <f ca="1"/>
        <v>0.97950956305560322</v>
      </c>
      <c r="O7865" s="2">
        <f ca="1"/>
        <v>-1.1478621627761469</v>
      </c>
      <c r="X7865" s="2">
        <f ca="1"/>
        <v>72.906348510544902</v>
      </c>
      <c r="AG7865" s="2">
        <f ca="1"/>
        <v>0.37428600333295292</v>
      </c>
      <c r="AH7865" s="2" t="str">
        <f ca="1"/>
        <v>OK</v>
      </c>
    </row>
    <row r="7866" spans="2:34" x14ac:dyDescent="0.2">
      <c r="B7866" s="2">
        <f ca="1"/>
        <v>0.52318987607762768</v>
      </c>
      <c r="O7866" s="2">
        <f ca="1"/>
        <v>0.53342323423643778</v>
      </c>
      <c r="X7866" s="2">
        <f ca="1"/>
        <v>41.409101278159099</v>
      </c>
      <c r="AG7866" s="2">
        <f ca="1"/>
        <v>0.98583645565038025</v>
      </c>
      <c r="AH7866" s="2" t="str">
        <f ca="1"/>
        <v>Bad</v>
      </c>
    </row>
    <row r="7867" spans="2:34" x14ac:dyDescent="0.2">
      <c r="B7867" s="2">
        <f ca="1"/>
        <v>0.59882726567001243</v>
      </c>
      <c r="O7867" s="2">
        <f ca="1"/>
        <v>0.48177773152375331</v>
      </c>
      <c r="X7867" s="2">
        <f ca="1"/>
        <v>52.633704828379344</v>
      </c>
      <c r="AG7867" s="2">
        <f ca="1"/>
        <v>0.54004915062914316</v>
      </c>
      <c r="AH7867" s="2" t="str">
        <f ca="1"/>
        <v>Bad</v>
      </c>
    </row>
    <row r="7868" spans="2:34" x14ac:dyDescent="0.2">
      <c r="B7868" s="2">
        <f ca="1"/>
        <v>0.25583773546579969</v>
      </c>
      <c r="O7868" s="2">
        <f ca="1"/>
        <v>0.60510505558365335</v>
      </c>
      <c r="X7868" s="2">
        <f ca="1"/>
        <v>57.778408818494562</v>
      </c>
      <c r="AG7868" s="2">
        <f ca="1"/>
        <v>0.67452408660239205</v>
      </c>
      <c r="AH7868" s="2" t="str">
        <f ca="1"/>
        <v>Bad</v>
      </c>
    </row>
    <row r="7869" spans="2:34" x14ac:dyDescent="0.2">
      <c r="B7869" s="2">
        <f ca="1"/>
        <v>0.48340959996401045</v>
      </c>
      <c r="O7869" s="2">
        <f ca="1"/>
        <v>-0.54540174178314227</v>
      </c>
      <c r="X7869" s="2">
        <f ca="1"/>
        <v>36.620524737065658</v>
      </c>
      <c r="AG7869" s="2">
        <f ca="1"/>
        <v>0.11334062407362167</v>
      </c>
      <c r="AH7869" s="2" t="str">
        <f ca="1"/>
        <v>OK</v>
      </c>
    </row>
    <row r="7870" spans="2:34" x14ac:dyDescent="0.2">
      <c r="B7870" s="2">
        <f ca="1"/>
        <v>0.88981156452882582</v>
      </c>
      <c r="O7870" s="2">
        <f ca="1"/>
        <v>0.22631842006646222</v>
      </c>
      <c r="X7870" s="2">
        <f ca="1"/>
        <v>72.10390204454194</v>
      </c>
      <c r="AG7870" s="2">
        <f ca="1"/>
        <v>2.8302803654433273E-2</v>
      </c>
      <c r="AH7870" s="2" t="str">
        <f ca="1"/>
        <v>Good</v>
      </c>
    </row>
    <row r="7871" spans="2:34" x14ac:dyDescent="0.2">
      <c r="B7871" s="2">
        <f ca="1"/>
        <v>0.12499087166957645</v>
      </c>
      <c r="O7871" s="2">
        <f ca="1"/>
        <v>-1.2241456239214747</v>
      </c>
      <c r="X7871" s="2">
        <f ca="1"/>
        <v>66.147557998451788</v>
      </c>
      <c r="AG7871" s="2">
        <f ca="1"/>
        <v>0.84269034483368599</v>
      </c>
      <c r="AH7871" s="2" t="str">
        <f ca="1"/>
        <v>Bad</v>
      </c>
    </row>
    <row r="7872" spans="2:34" x14ac:dyDescent="0.2">
      <c r="B7872" s="2">
        <f ca="1"/>
        <v>0.65980678723561792</v>
      </c>
      <c r="O7872" s="2">
        <f ca="1"/>
        <v>-1.3749629323606101</v>
      </c>
      <c r="X7872" s="2">
        <f ca="1"/>
        <v>41.434565383222292</v>
      </c>
      <c r="AG7872" s="2">
        <f ca="1"/>
        <v>0.20546209798501569</v>
      </c>
      <c r="AH7872" s="2" t="str">
        <f ca="1"/>
        <v>OK</v>
      </c>
    </row>
    <row r="7873" spans="2:34" x14ac:dyDescent="0.2">
      <c r="B7873" s="2">
        <f ca="1"/>
        <v>0.99435182797620802</v>
      </c>
      <c r="O7873" s="2">
        <f ca="1"/>
        <v>-0.95776759200159756</v>
      </c>
      <c r="X7873" s="2">
        <f ca="1"/>
        <v>26.384646259755588</v>
      </c>
      <c r="AG7873" s="2">
        <f ca="1"/>
        <v>0.19864424676742765</v>
      </c>
      <c r="AH7873" s="2" t="str">
        <f ca="1"/>
        <v>OK</v>
      </c>
    </row>
    <row r="7874" spans="2:34" x14ac:dyDescent="0.2">
      <c r="B7874" s="2">
        <f ca="1"/>
        <v>0.66883048507753728</v>
      </c>
      <c r="O7874" s="2">
        <f ca="1"/>
        <v>0.81234948701874898</v>
      </c>
      <c r="X7874" s="2">
        <f ca="1"/>
        <v>60.197771791266533</v>
      </c>
      <c r="AG7874" s="2">
        <f ca="1"/>
        <v>0.68057848767558515</v>
      </c>
      <c r="AH7874" s="2" t="str">
        <f ca="1"/>
        <v>Bad</v>
      </c>
    </row>
    <row r="7875" spans="2:34" x14ac:dyDescent="0.2">
      <c r="B7875" s="2">
        <f ca="1"/>
        <v>0.33690131428000836</v>
      </c>
      <c r="O7875" s="2">
        <f ca="1"/>
        <v>-0.73959851255661702</v>
      </c>
      <c r="X7875" s="2">
        <f ca="1"/>
        <v>79.466148260708465</v>
      </c>
      <c r="AG7875" s="2">
        <f ca="1"/>
        <v>0.74613423914697519</v>
      </c>
      <c r="AH7875" s="2" t="str">
        <f ca="1"/>
        <v>Bad</v>
      </c>
    </row>
    <row r="7876" spans="2:34" x14ac:dyDescent="0.2">
      <c r="B7876" s="2">
        <f ca="1"/>
        <v>0.97557624619554528</v>
      </c>
      <c r="O7876" s="2">
        <f ca="1"/>
        <v>-0.90819003026101686</v>
      </c>
      <c r="X7876" s="2">
        <f ca="1"/>
        <v>45.364948548135203</v>
      </c>
      <c r="AG7876" s="2">
        <f ca="1"/>
        <v>5.0219992263374591E-2</v>
      </c>
      <c r="AH7876" s="2" t="str">
        <f ca="1"/>
        <v>OK</v>
      </c>
    </row>
    <row r="7877" spans="2:34" x14ac:dyDescent="0.2">
      <c r="B7877" s="2">
        <f ca="1"/>
        <v>5.9932289064465794E-2</v>
      </c>
      <c r="O7877" s="2">
        <f ca="1"/>
        <v>0.90699218840948037</v>
      </c>
      <c r="X7877" s="2">
        <f ca="1"/>
        <v>33.58814086904512</v>
      </c>
      <c r="AG7877" s="2">
        <f ca="1"/>
        <v>0.91829614261009485</v>
      </c>
      <c r="AH7877" s="2" t="str">
        <f ca="1"/>
        <v>Bad</v>
      </c>
    </row>
    <row r="7878" spans="2:34" x14ac:dyDescent="0.2">
      <c r="B7878" s="2">
        <f ca="1"/>
        <v>0.19240086346451668</v>
      </c>
      <c r="O7878" s="2">
        <f ca="1"/>
        <v>-0.71240306694228639</v>
      </c>
      <c r="X7878" s="2">
        <f ca="1"/>
        <v>69.385079297747694</v>
      </c>
      <c r="AG7878" s="2">
        <f ca="1"/>
        <v>0.80857900687315931</v>
      </c>
      <c r="AH7878" s="2" t="str">
        <f ca="1"/>
        <v>Bad</v>
      </c>
    </row>
    <row r="7879" spans="2:34" x14ac:dyDescent="0.2">
      <c r="B7879" s="2">
        <f ca="1"/>
        <v>5.8149542830016721E-2</v>
      </c>
      <c r="O7879" s="2">
        <f ca="1"/>
        <v>-0.35260808057063509</v>
      </c>
      <c r="X7879" s="2">
        <f ca="1"/>
        <v>63.107086185182851</v>
      </c>
      <c r="AG7879" s="2">
        <f ca="1"/>
        <v>0.26335169639390288</v>
      </c>
      <c r="AH7879" s="2" t="str">
        <f ca="1"/>
        <v>OK</v>
      </c>
    </row>
    <row r="7880" spans="2:34" x14ac:dyDescent="0.2">
      <c r="B7880" s="2">
        <f ca="1"/>
        <v>0.45188184955420985</v>
      </c>
      <c r="O7880" s="2">
        <f ca="1"/>
        <v>-1.5253857249337135</v>
      </c>
      <c r="X7880" s="2">
        <f ca="1"/>
        <v>16.081952603284382</v>
      </c>
      <c r="AG7880" s="2">
        <f ca="1"/>
        <v>0.98676968506878104</v>
      </c>
      <c r="AH7880" s="2" t="str">
        <f ca="1"/>
        <v>Bad</v>
      </c>
    </row>
    <row r="7881" spans="2:34" x14ac:dyDescent="0.2">
      <c r="B7881" s="2">
        <f ca="1"/>
        <v>0.69825228078976331</v>
      </c>
      <c r="O7881" s="2">
        <f ca="1"/>
        <v>-0.74511003274360588</v>
      </c>
      <c r="X7881" s="2">
        <f ca="1"/>
        <v>78.325411809546381</v>
      </c>
      <c r="AG7881" s="2">
        <f ca="1"/>
        <v>0.10168270146707692</v>
      </c>
      <c r="AH7881" s="2" t="str">
        <f ca="1"/>
        <v>OK</v>
      </c>
    </row>
    <row r="7882" spans="2:34" x14ac:dyDescent="0.2">
      <c r="B7882" s="2">
        <f ca="1"/>
        <v>0.59859853358513782</v>
      </c>
      <c r="O7882" s="2">
        <f ca="1"/>
        <v>4.2196308595509671E-2</v>
      </c>
      <c r="X7882" s="2">
        <f ca="1"/>
        <v>58.592603766549523</v>
      </c>
      <c r="AG7882" s="2">
        <f ca="1"/>
        <v>0.7087678514512783</v>
      </c>
      <c r="AH7882" s="2" t="str">
        <f ca="1"/>
        <v>Bad</v>
      </c>
    </row>
    <row r="7883" spans="2:34" x14ac:dyDescent="0.2">
      <c r="B7883" s="2">
        <f ca="1"/>
        <v>0.6269634885123101</v>
      </c>
      <c r="O7883" s="2">
        <f ca="1"/>
        <v>-2.8429194831950952</v>
      </c>
      <c r="X7883" s="2">
        <f ca="1"/>
        <v>48.134839686603634</v>
      </c>
      <c r="AG7883" s="2">
        <f ca="1"/>
        <v>0.70378594407477091</v>
      </c>
      <c r="AH7883" s="2" t="str">
        <f ca="1"/>
        <v>Bad</v>
      </c>
    </row>
    <row r="7884" spans="2:34" x14ac:dyDescent="0.2">
      <c r="B7884" s="2">
        <f ca="1"/>
        <v>0.34606148555737581</v>
      </c>
      <c r="O7884" s="2">
        <f ca="1"/>
        <v>-1.7366149756733054</v>
      </c>
      <c r="X7884" s="2">
        <f ca="1"/>
        <v>59.42625731873477</v>
      </c>
      <c r="AG7884" s="2">
        <f ca="1"/>
        <v>5.7110718969120011E-3</v>
      </c>
      <c r="AH7884" s="2" t="str">
        <f ca="1"/>
        <v>Good</v>
      </c>
    </row>
    <row r="7885" spans="2:34" x14ac:dyDescent="0.2">
      <c r="B7885" s="2">
        <f ca="1"/>
        <v>0.61592975598345601</v>
      </c>
      <c r="O7885" s="2">
        <f ca="1"/>
        <v>2.0786507706231303</v>
      </c>
      <c r="X7885" s="2">
        <f ca="1"/>
        <v>48.311664596988635</v>
      </c>
      <c r="AG7885" s="2">
        <f ca="1"/>
        <v>1.174662664140036E-2</v>
      </c>
      <c r="AH7885" s="2" t="str">
        <f ca="1"/>
        <v>Good</v>
      </c>
    </row>
    <row r="7886" spans="2:34" x14ac:dyDescent="0.2">
      <c r="B7886" s="2">
        <f ca="1"/>
        <v>0.2379512255470968</v>
      </c>
      <c r="O7886" s="2">
        <f ca="1"/>
        <v>-1.4656492352177688</v>
      </c>
      <c r="X7886" s="2">
        <f ca="1"/>
        <v>41.312639852518757</v>
      </c>
      <c r="AG7886" s="2">
        <f ca="1"/>
        <v>0.25494844251806392</v>
      </c>
      <c r="AH7886" s="2" t="str">
        <f ca="1"/>
        <v>OK</v>
      </c>
    </row>
    <row r="7887" spans="2:34" x14ac:dyDescent="0.2">
      <c r="B7887" s="2">
        <f ca="1"/>
        <v>2.6318738380918694E-2</v>
      </c>
      <c r="O7887" s="2">
        <f ca="1"/>
        <v>0.15004765432892814</v>
      </c>
      <c r="X7887" s="2">
        <f ca="1"/>
        <v>32.014326168207027</v>
      </c>
      <c r="AG7887" s="2">
        <f ca="1"/>
        <v>9.3130083045435574E-2</v>
      </c>
      <c r="AH7887" s="2" t="str">
        <f ca="1"/>
        <v>OK</v>
      </c>
    </row>
    <row r="7888" spans="2:34" x14ac:dyDescent="0.2">
      <c r="B7888" s="2">
        <f ca="1"/>
        <v>0.60539766613174462</v>
      </c>
      <c r="O7888" s="2">
        <f ca="1"/>
        <v>0.54403010869908952</v>
      </c>
      <c r="X7888" s="2">
        <f ca="1"/>
        <v>62.928957890519229</v>
      </c>
      <c r="AG7888" s="2">
        <f ca="1"/>
        <v>0.33394543313181413</v>
      </c>
      <c r="AH7888" s="2" t="str">
        <f ca="1"/>
        <v>OK</v>
      </c>
    </row>
    <row r="7889" spans="2:34" x14ac:dyDescent="0.2">
      <c r="B7889" s="2">
        <f ca="1"/>
        <v>0.21745845044091694</v>
      </c>
      <c r="O7889" s="2">
        <f ca="1"/>
        <v>0.51640117109479555</v>
      </c>
      <c r="X7889" s="2">
        <f ca="1"/>
        <v>43.484904369307259</v>
      </c>
      <c r="AG7889" s="2">
        <f ca="1"/>
        <v>7.4496909217910634E-2</v>
      </c>
      <c r="AH7889" s="2" t="str">
        <f ca="1"/>
        <v>OK</v>
      </c>
    </row>
    <row r="7890" spans="2:34" x14ac:dyDescent="0.2">
      <c r="B7890" s="2">
        <f ca="1"/>
        <v>0.29723146524217126</v>
      </c>
      <c r="O7890" s="2">
        <f ca="1"/>
        <v>0.13375764338371518</v>
      </c>
      <c r="X7890" s="2">
        <f ca="1"/>
        <v>55.369219049901631</v>
      </c>
      <c r="AG7890" s="2">
        <f ca="1"/>
        <v>7.7063780566895446E-2</v>
      </c>
      <c r="AH7890" s="2" t="str">
        <f ca="1"/>
        <v>OK</v>
      </c>
    </row>
    <row r="7891" spans="2:34" x14ac:dyDescent="0.2">
      <c r="B7891" s="2">
        <f ca="1"/>
        <v>5.7925023276766741E-2</v>
      </c>
      <c r="O7891" s="2">
        <f ca="1"/>
        <v>-0.59624451930966416</v>
      </c>
      <c r="X7891" s="2">
        <f ca="1"/>
        <v>58.180027629017843</v>
      </c>
      <c r="AG7891" s="2">
        <f ca="1"/>
        <v>0.72883385399379885</v>
      </c>
      <c r="AH7891" s="2" t="str">
        <f ca="1"/>
        <v>Bad</v>
      </c>
    </row>
    <row r="7892" spans="2:34" x14ac:dyDescent="0.2">
      <c r="B7892" s="2">
        <f ca="1"/>
        <v>0.74208442824001963</v>
      </c>
      <c r="O7892" s="2">
        <f ca="1"/>
        <v>-0.73298810946402215</v>
      </c>
      <c r="X7892" s="2">
        <f ca="1"/>
        <v>35.099457484694156</v>
      </c>
      <c r="AG7892" s="2">
        <f ca="1"/>
        <v>2.5378909848143838E-3</v>
      </c>
      <c r="AH7892" s="2" t="str">
        <f ca="1"/>
        <v>Good</v>
      </c>
    </row>
    <row r="7893" spans="2:34" x14ac:dyDescent="0.2">
      <c r="B7893" s="2">
        <f ca="1"/>
        <v>0.49740439961766825</v>
      </c>
      <c r="O7893" s="2">
        <f ca="1"/>
        <v>-0.18050057190209715</v>
      </c>
      <c r="X7893" s="2">
        <f ca="1"/>
        <v>29.725706556082137</v>
      </c>
      <c r="AG7893" s="2">
        <f ca="1"/>
        <v>0.40922073958046812</v>
      </c>
      <c r="AH7893" s="2" t="str">
        <f ca="1"/>
        <v>Bad</v>
      </c>
    </row>
    <row r="7894" spans="2:34" x14ac:dyDescent="0.2">
      <c r="B7894" s="2">
        <f ca="1"/>
        <v>6.0926543692867652E-2</v>
      </c>
      <c r="O7894" s="2">
        <f ca="1"/>
        <v>-0.27362735381427111</v>
      </c>
      <c r="X7894" s="2">
        <f ca="1"/>
        <v>63.098589089586817</v>
      </c>
      <c r="AG7894" s="2">
        <f ca="1"/>
        <v>0.78795797640711762</v>
      </c>
      <c r="AH7894" s="2" t="str">
        <f ca="1"/>
        <v>Bad</v>
      </c>
    </row>
    <row r="7895" spans="2:34" x14ac:dyDescent="0.2">
      <c r="B7895" s="2">
        <f ca="1"/>
        <v>0.5763063251983489</v>
      </c>
      <c r="O7895" s="2">
        <f ca="1"/>
        <v>-0.27701838555838776</v>
      </c>
      <c r="X7895" s="2">
        <f ca="1"/>
        <v>63.21636014298376</v>
      </c>
      <c r="AG7895" s="2">
        <f ca="1"/>
        <v>0.71868734435028458</v>
      </c>
      <c r="AH7895" s="2" t="str">
        <f ca="1"/>
        <v>Bad</v>
      </c>
    </row>
    <row r="7896" spans="2:34" x14ac:dyDescent="0.2">
      <c r="B7896" s="2">
        <f ca="1"/>
        <v>0.91777055738555169</v>
      </c>
      <c r="O7896" s="2">
        <f ca="1"/>
        <v>-0.52943619141472964</v>
      </c>
      <c r="X7896" s="2">
        <f ca="1"/>
        <v>57.306546012959529</v>
      </c>
      <c r="AG7896" s="2">
        <f ca="1"/>
        <v>0.15043800047612543</v>
      </c>
      <c r="AH7896" s="2" t="str">
        <f ca="1"/>
        <v>OK</v>
      </c>
    </row>
    <row r="7897" spans="2:34" x14ac:dyDescent="0.2">
      <c r="B7897" s="2">
        <f ca="1"/>
        <v>0.82085265802691554</v>
      </c>
      <c r="O7897" s="2">
        <f ca="1"/>
        <v>1.6258291438808772</v>
      </c>
      <c r="X7897" s="2">
        <f ca="1"/>
        <v>26.734905726215956</v>
      </c>
      <c r="AG7897" s="2">
        <f ca="1"/>
        <v>0.66734764808958835</v>
      </c>
      <c r="AH7897" s="2" t="str">
        <f ca="1"/>
        <v>Bad</v>
      </c>
    </row>
    <row r="7898" spans="2:34" x14ac:dyDescent="0.2">
      <c r="B7898" s="2">
        <f ca="1"/>
        <v>0.67615165710099379</v>
      </c>
      <c r="O7898" s="2">
        <f ca="1"/>
        <v>0.31344116429440305</v>
      </c>
      <c r="X7898" s="2">
        <f ca="1"/>
        <v>36.513729776395202</v>
      </c>
      <c r="AG7898" s="2">
        <f ca="1"/>
        <v>0.38362444901482129</v>
      </c>
      <c r="AH7898" s="2" t="str">
        <f ca="1"/>
        <v>OK</v>
      </c>
    </row>
    <row r="7899" spans="2:34" x14ac:dyDescent="0.2">
      <c r="B7899" s="2">
        <f ca="1"/>
        <v>0.61409224290412978</v>
      </c>
      <c r="O7899" s="2">
        <f ca="1"/>
        <v>0.65092382654630765</v>
      </c>
      <c r="X7899" s="2">
        <f ca="1"/>
        <v>83.663593246529544</v>
      </c>
      <c r="AG7899" s="2">
        <f ca="1"/>
        <v>0.38968181710198979</v>
      </c>
      <c r="AH7899" s="2" t="str">
        <f ca="1"/>
        <v>OK</v>
      </c>
    </row>
    <row r="7900" spans="2:34" x14ac:dyDescent="0.2">
      <c r="B7900" s="2">
        <f ca="1"/>
        <v>0.20565866735665228</v>
      </c>
      <c r="O7900" s="2">
        <f ca="1"/>
        <v>1.4606020177429762</v>
      </c>
      <c r="X7900" s="2">
        <f ca="1"/>
        <v>25.730466754361313</v>
      </c>
      <c r="AG7900" s="2">
        <f ca="1"/>
        <v>0.90786747636214815</v>
      </c>
      <c r="AH7900" s="2" t="str">
        <f ca="1"/>
        <v>Bad</v>
      </c>
    </row>
    <row r="7901" spans="2:34" x14ac:dyDescent="0.2">
      <c r="B7901" s="2">
        <f ca="1"/>
        <v>0.2802055806757251</v>
      </c>
      <c r="O7901" s="2">
        <f ca="1"/>
        <v>-0.57412498532491818</v>
      </c>
      <c r="X7901" s="2">
        <f ca="1"/>
        <v>32.056115048977929</v>
      </c>
      <c r="AG7901" s="2">
        <f ca="1"/>
        <v>9.2573993964252699E-2</v>
      </c>
      <c r="AH7901" s="2" t="str">
        <f ca="1"/>
        <v>OK</v>
      </c>
    </row>
    <row r="7902" spans="2:34" x14ac:dyDescent="0.2">
      <c r="B7902" s="2">
        <f ca="1"/>
        <v>0.9146071809978793</v>
      </c>
      <c r="O7902" s="2">
        <f ca="1"/>
        <v>3.7839284487845661E-3</v>
      </c>
      <c r="X7902" s="2">
        <f ca="1"/>
        <v>35.951055836011733</v>
      </c>
      <c r="AG7902" s="2">
        <f ca="1"/>
        <v>0.10791670950679633</v>
      </c>
      <c r="AH7902" s="2" t="str">
        <f ca="1"/>
        <v>OK</v>
      </c>
    </row>
    <row r="7903" spans="2:34" x14ac:dyDescent="0.2">
      <c r="B7903" s="2">
        <f ca="1"/>
        <v>0.97061506300456557</v>
      </c>
      <c r="O7903" s="2">
        <f ca="1"/>
        <v>-0.44398569805721011</v>
      </c>
      <c r="X7903" s="2">
        <f ca="1"/>
        <v>52.960037096308938</v>
      </c>
      <c r="AG7903" s="2">
        <f ca="1"/>
        <v>0.73974697990797833</v>
      </c>
      <c r="AH7903" s="2" t="str">
        <f ca="1"/>
        <v>Bad</v>
      </c>
    </row>
    <row r="7904" spans="2:34" x14ac:dyDescent="0.2">
      <c r="B7904" s="2">
        <f ca="1"/>
        <v>0.2302111500604529</v>
      </c>
      <c r="O7904" s="2">
        <f ca="1"/>
        <v>-0.64615394474434429</v>
      </c>
      <c r="X7904" s="2">
        <f ca="1"/>
        <v>40.247779506739256</v>
      </c>
      <c r="AG7904" s="2">
        <f ca="1"/>
        <v>4.5909091572576388E-2</v>
      </c>
      <c r="AH7904" s="2" t="str">
        <f ca="1"/>
        <v>Good</v>
      </c>
    </row>
    <row r="7905" spans="2:34" x14ac:dyDescent="0.2">
      <c r="B7905" s="2">
        <f ca="1"/>
        <v>0.68410381217794458</v>
      </c>
      <c r="O7905" s="2">
        <f ca="1"/>
        <v>-2.0016869047479232E-2</v>
      </c>
      <c r="X7905" s="2">
        <f ca="1"/>
        <v>29.914820530967262</v>
      </c>
      <c r="AG7905" s="2">
        <f ca="1"/>
        <v>0.33552662481222018</v>
      </c>
      <c r="AH7905" s="2" t="str">
        <f ca="1"/>
        <v>OK</v>
      </c>
    </row>
    <row r="7906" spans="2:34" x14ac:dyDescent="0.2">
      <c r="B7906" s="2">
        <f ca="1"/>
        <v>0.8708112922513942</v>
      </c>
      <c r="O7906" s="2">
        <f ca="1"/>
        <v>-1.1506367838933049</v>
      </c>
      <c r="X7906" s="2">
        <f ca="1"/>
        <v>42.30524552198203</v>
      </c>
      <c r="AG7906" s="2">
        <f ca="1"/>
        <v>0.55672708883041122</v>
      </c>
      <c r="AH7906" s="2" t="str">
        <f ca="1"/>
        <v>Bad</v>
      </c>
    </row>
    <row r="7907" spans="2:34" x14ac:dyDescent="0.2">
      <c r="B7907" s="2">
        <f ca="1"/>
        <v>8.062573375446358E-2</v>
      </c>
      <c r="O7907" s="2">
        <f ca="1"/>
        <v>-0.3304532935379062</v>
      </c>
      <c r="X7907" s="2">
        <f ca="1"/>
        <v>58.801150859079257</v>
      </c>
      <c r="AG7907" s="2">
        <f ca="1"/>
        <v>0.32507169600056063</v>
      </c>
      <c r="AH7907" s="2" t="str">
        <f ca="1"/>
        <v>OK</v>
      </c>
    </row>
    <row r="7908" spans="2:34" x14ac:dyDescent="0.2">
      <c r="B7908" s="2">
        <f ca="1"/>
        <v>0.27378083971886813</v>
      </c>
      <c r="O7908" s="2">
        <f ca="1"/>
        <v>-0.90800881697325764</v>
      </c>
      <c r="X7908" s="2">
        <f ca="1"/>
        <v>38.240881151459448</v>
      </c>
      <c r="AG7908" s="2">
        <f ca="1"/>
        <v>0.61509423959725562</v>
      </c>
      <c r="AH7908" s="2" t="str">
        <f ca="1"/>
        <v>Bad</v>
      </c>
    </row>
    <row r="7909" spans="2:34" x14ac:dyDescent="0.2">
      <c r="B7909" s="2">
        <f ca="1"/>
        <v>0.49960804269793857</v>
      </c>
      <c r="O7909" s="2">
        <f ca="1"/>
        <v>-0.13794718739211487</v>
      </c>
      <c r="X7909" s="2">
        <f ca="1"/>
        <v>29.191234112964604</v>
      </c>
      <c r="AG7909" s="2">
        <f ca="1"/>
        <v>0.19068268629101115</v>
      </c>
      <c r="AH7909" s="2" t="str">
        <f ca="1"/>
        <v>OK</v>
      </c>
    </row>
    <row r="7910" spans="2:34" x14ac:dyDescent="0.2">
      <c r="B7910" s="2">
        <f ca="1"/>
        <v>0.45124438235233666</v>
      </c>
      <c r="O7910" s="2">
        <f ca="1"/>
        <v>0.40525851322797563</v>
      </c>
      <c r="X7910" s="2">
        <f ca="1"/>
        <v>49.379263639253125</v>
      </c>
      <c r="AG7910" s="2">
        <f ca="1"/>
        <v>0.98469090268829085</v>
      </c>
      <c r="AH7910" s="2" t="str">
        <f ca="1"/>
        <v>Bad</v>
      </c>
    </row>
    <row r="7911" spans="2:34" x14ac:dyDescent="0.2">
      <c r="B7911" s="2">
        <f ca="1"/>
        <v>0.52496550640814754</v>
      </c>
      <c r="O7911" s="2">
        <f ca="1"/>
        <v>-0.31401519019381069</v>
      </c>
      <c r="X7911" s="2">
        <f ca="1"/>
        <v>56.438439360062169</v>
      </c>
      <c r="AG7911" s="2">
        <f ca="1"/>
        <v>0.32517098502385511</v>
      </c>
      <c r="AH7911" s="2" t="str">
        <f ca="1"/>
        <v>OK</v>
      </c>
    </row>
    <row r="7912" spans="2:34" x14ac:dyDescent="0.2">
      <c r="B7912" s="2">
        <f ca="1"/>
        <v>1.1301869867757608E-2</v>
      </c>
      <c r="O7912" s="2">
        <f ca="1"/>
        <v>0.66488403721000833</v>
      </c>
      <c r="X7912" s="2">
        <f ca="1"/>
        <v>37.966909096616988</v>
      </c>
      <c r="AG7912" s="2">
        <f ca="1"/>
        <v>0.2739634621851168</v>
      </c>
      <c r="AH7912" s="2" t="str">
        <f ca="1"/>
        <v>OK</v>
      </c>
    </row>
    <row r="7913" spans="2:34" x14ac:dyDescent="0.2">
      <c r="B7913" s="2">
        <f ca="1"/>
        <v>0.16382573403643708</v>
      </c>
      <c r="O7913" s="2">
        <f ca="1"/>
        <v>-2.6407000670744456E-2</v>
      </c>
      <c r="X7913" s="2">
        <f ca="1"/>
        <v>42.508404555988257</v>
      </c>
      <c r="AG7913" s="2">
        <f ca="1"/>
        <v>0.82332353334692532</v>
      </c>
      <c r="AH7913" s="2" t="str">
        <f ca="1"/>
        <v>Bad</v>
      </c>
    </row>
    <row r="7914" spans="2:34" x14ac:dyDescent="0.2">
      <c r="B7914" s="2">
        <f ca="1"/>
        <v>0.94525299603549229</v>
      </c>
      <c r="O7914" s="2">
        <f ca="1"/>
        <v>-0.92770096223977017</v>
      </c>
      <c r="X7914" s="2">
        <f ca="1"/>
        <v>75.637762434581845</v>
      </c>
      <c r="AG7914" s="2">
        <f ca="1"/>
        <v>0.59726754904161794</v>
      </c>
      <c r="AH7914" s="2" t="str">
        <f ca="1"/>
        <v>Bad</v>
      </c>
    </row>
    <row r="7915" spans="2:34" x14ac:dyDescent="0.2">
      <c r="B7915" s="2">
        <f ca="1"/>
        <v>0.66782630974794155</v>
      </c>
      <c r="O7915" s="2">
        <f ca="1"/>
        <v>-0.23310570618249146</v>
      </c>
      <c r="X7915" s="2">
        <f ca="1"/>
        <v>49.810230706839931</v>
      </c>
      <c r="AG7915" s="2">
        <f ca="1"/>
        <v>0.78967851718551763</v>
      </c>
      <c r="AH7915" s="2" t="str">
        <f ca="1"/>
        <v>Bad</v>
      </c>
    </row>
    <row r="7916" spans="2:34" x14ac:dyDescent="0.2">
      <c r="B7916" s="2">
        <f ca="1"/>
        <v>0.53052152534372476</v>
      </c>
      <c r="O7916" s="2">
        <f ca="1"/>
        <v>0.68444106442028596</v>
      </c>
      <c r="X7916" s="2">
        <f ca="1"/>
        <v>54.844399131154802</v>
      </c>
      <c r="AG7916" s="2">
        <f ca="1"/>
        <v>0.92742783284860075</v>
      </c>
      <c r="AH7916" s="2" t="str">
        <f ca="1"/>
        <v>Bad</v>
      </c>
    </row>
    <row r="7917" spans="2:34" x14ac:dyDescent="0.2">
      <c r="B7917" s="2">
        <f ca="1"/>
        <v>0.7375036026142765</v>
      </c>
      <c r="O7917" s="2">
        <f ca="1"/>
        <v>1.1588717329842737</v>
      </c>
      <c r="X7917" s="2">
        <f ca="1"/>
        <v>25.693586689247361</v>
      </c>
      <c r="AG7917" s="2">
        <f ca="1"/>
        <v>0.78058648900187144</v>
      </c>
      <c r="AH7917" s="2" t="str">
        <f ca="1"/>
        <v>Bad</v>
      </c>
    </row>
    <row r="7918" spans="2:34" x14ac:dyDescent="0.2">
      <c r="B7918" s="2">
        <f ca="1"/>
        <v>0.3241393633917542</v>
      </c>
      <c r="O7918" s="2">
        <f ca="1"/>
        <v>-0.82015929387158981</v>
      </c>
      <c r="X7918" s="2">
        <f ca="1"/>
        <v>37.672876192576197</v>
      </c>
      <c r="AG7918" s="2">
        <f ca="1"/>
        <v>0.12475560638236027</v>
      </c>
      <c r="AH7918" s="2" t="str">
        <f ca="1"/>
        <v>OK</v>
      </c>
    </row>
    <row r="7919" spans="2:34" x14ac:dyDescent="0.2">
      <c r="B7919" s="2">
        <f ca="1"/>
        <v>0.99532846675605202</v>
      </c>
      <c r="O7919" s="2">
        <f ca="1"/>
        <v>0.14815132295767924</v>
      </c>
      <c r="X7919" s="2">
        <f ca="1"/>
        <v>68.956450044967355</v>
      </c>
      <c r="AG7919" s="2">
        <f ca="1"/>
        <v>0.14373453663028735</v>
      </c>
      <c r="AH7919" s="2" t="str">
        <f ca="1"/>
        <v>OK</v>
      </c>
    </row>
    <row r="7920" spans="2:34" x14ac:dyDescent="0.2">
      <c r="B7920" s="2">
        <f ca="1"/>
        <v>1.7681185380987063E-2</v>
      </c>
      <c r="O7920" s="2">
        <f ca="1"/>
        <v>0.23278025136447905</v>
      </c>
      <c r="X7920" s="2">
        <f ca="1"/>
        <v>77.386260487404556</v>
      </c>
      <c r="AG7920" s="2">
        <f ca="1"/>
        <v>0.14126746061293982</v>
      </c>
      <c r="AH7920" s="2" t="str">
        <f ca="1"/>
        <v>OK</v>
      </c>
    </row>
    <row r="7921" spans="2:34" x14ac:dyDescent="0.2">
      <c r="B7921" s="2">
        <f ca="1"/>
        <v>0.14258859324555151</v>
      </c>
      <c r="O7921" s="2">
        <f ca="1"/>
        <v>0.64948094752444174</v>
      </c>
      <c r="X7921" s="2">
        <f ca="1"/>
        <v>35.635810672175126</v>
      </c>
      <c r="AG7921" s="2">
        <f ca="1"/>
        <v>0.7366996016174725</v>
      </c>
      <c r="AH7921" s="2" t="str">
        <f ca="1"/>
        <v>Bad</v>
      </c>
    </row>
    <row r="7922" spans="2:34" x14ac:dyDescent="0.2">
      <c r="B7922" s="2">
        <f ca="1"/>
        <v>0.27186890138205611</v>
      </c>
      <c r="O7922" s="2">
        <f ca="1"/>
        <v>1.1220593028513224</v>
      </c>
      <c r="X7922" s="2">
        <f ca="1"/>
        <v>58.610492208787733</v>
      </c>
      <c r="AG7922" s="2">
        <f ca="1"/>
        <v>0.47211109989544187</v>
      </c>
      <c r="AH7922" s="2" t="str">
        <f ca="1"/>
        <v>Bad</v>
      </c>
    </row>
    <row r="7923" spans="2:34" x14ac:dyDescent="0.2">
      <c r="B7923" s="2">
        <f ca="1"/>
        <v>0.2664338360650591</v>
      </c>
      <c r="O7923" s="2">
        <f ca="1"/>
        <v>-0.6708001925366962</v>
      </c>
      <c r="X7923" s="2">
        <f ca="1"/>
        <v>42.300541152161713</v>
      </c>
      <c r="AG7923" s="2">
        <f ca="1"/>
        <v>0.69825540511726403</v>
      </c>
      <c r="AH7923" s="2" t="str">
        <f ca="1"/>
        <v>Bad</v>
      </c>
    </row>
    <row r="7924" spans="2:34" x14ac:dyDescent="0.2">
      <c r="B7924" s="2">
        <f ca="1"/>
        <v>0.35022603388871842</v>
      </c>
      <c r="O7924" s="2">
        <f ca="1"/>
        <v>0.70859160963260592</v>
      </c>
      <c r="X7924" s="2">
        <f ca="1"/>
        <v>43.43282940860793</v>
      </c>
      <c r="AG7924" s="2">
        <f ca="1"/>
        <v>0.44035134924496289</v>
      </c>
      <c r="AH7924" s="2" t="str">
        <f ca="1"/>
        <v>Bad</v>
      </c>
    </row>
    <row r="7925" spans="2:34" x14ac:dyDescent="0.2">
      <c r="B7925" s="2">
        <f ca="1"/>
        <v>0.3510622034673283</v>
      </c>
      <c r="O7925" s="2">
        <f ca="1"/>
        <v>0.56867181214123497</v>
      </c>
      <c r="X7925" s="2">
        <f ca="1"/>
        <v>71.769004380853957</v>
      </c>
      <c r="AG7925" s="2">
        <f ca="1"/>
        <v>0.17931833731368352</v>
      </c>
      <c r="AH7925" s="2" t="str">
        <f ca="1"/>
        <v>OK</v>
      </c>
    </row>
    <row r="7926" spans="2:34" x14ac:dyDescent="0.2">
      <c r="B7926" s="2">
        <f ca="1"/>
        <v>0.85479188096778347</v>
      </c>
      <c r="O7926" s="2">
        <f ca="1"/>
        <v>-0.18663493100599338</v>
      </c>
      <c r="X7926" s="2">
        <f ca="1"/>
        <v>56.439288624378193</v>
      </c>
      <c r="AG7926" s="2">
        <f ca="1"/>
        <v>0.56255695433639841</v>
      </c>
      <c r="AH7926" s="2" t="str">
        <f ca="1"/>
        <v>Bad</v>
      </c>
    </row>
    <row r="7927" spans="2:34" x14ac:dyDescent="0.2">
      <c r="B7927" s="2">
        <f ca="1"/>
        <v>0.56693716545797535</v>
      </c>
      <c r="O7927" s="2">
        <f ca="1"/>
        <v>-0.68694996649848727</v>
      </c>
      <c r="X7927" s="2">
        <f ca="1"/>
        <v>33.889192785948168</v>
      </c>
      <c r="AG7927" s="2">
        <f ca="1"/>
        <v>0.51983626783568515</v>
      </c>
      <c r="AH7927" s="2" t="str">
        <f ca="1"/>
        <v>Bad</v>
      </c>
    </row>
    <row r="7928" spans="2:34" x14ac:dyDescent="0.2">
      <c r="B7928" s="2">
        <f ca="1"/>
        <v>0.23435662846665029</v>
      </c>
      <c r="O7928" s="2">
        <f ca="1"/>
        <v>-0.41542446346376699</v>
      </c>
      <c r="X7928" s="2">
        <f ca="1"/>
        <v>48.98221282767441</v>
      </c>
      <c r="AG7928" s="2">
        <f ca="1"/>
        <v>0.18601231744803037</v>
      </c>
      <c r="AH7928" s="2" t="str">
        <f ca="1"/>
        <v>OK</v>
      </c>
    </row>
    <row r="7929" spans="2:34" x14ac:dyDescent="0.2">
      <c r="B7929" s="2">
        <f ca="1"/>
        <v>6.6853489840263958E-3</v>
      </c>
      <c r="O7929" s="2">
        <f ca="1"/>
        <v>0.58842224573338886</v>
      </c>
      <c r="X7929" s="2">
        <f ca="1"/>
        <v>64.862368745418792</v>
      </c>
      <c r="AG7929" s="2">
        <f ca="1"/>
        <v>0.58267736025978456</v>
      </c>
      <c r="AH7929" s="2" t="str">
        <f ca="1"/>
        <v>Bad</v>
      </c>
    </row>
    <row r="7930" spans="2:34" x14ac:dyDescent="0.2">
      <c r="B7930" s="2">
        <f ca="1"/>
        <v>9.8735020754401326E-3</v>
      </c>
      <c r="O7930" s="2">
        <f ca="1"/>
        <v>-0.5560000348949351</v>
      </c>
      <c r="X7930" s="2">
        <f ca="1"/>
        <v>58.368103818343009</v>
      </c>
      <c r="AG7930" s="2">
        <f ca="1"/>
        <v>0.42199883576733965</v>
      </c>
      <c r="AH7930" s="2" t="str">
        <f ca="1"/>
        <v>Bad</v>
      </c>
    </row>
    <row r="7931" spans="2:34" x14ac:dyDescent="0.2">
      <c r="B7931" s="2">
        <f ca="1"/>
        <v>0.86274576777139234</v>
      </c>
      <c r="O7931" s="2">
        <f ca="1"/>
        <v>0.45752997632095438</v>
      </c>
      <c r="X7931" s="2">
        <f ca="1"/>
        <v>38.055200856517402</v>
      </c>
      <c r="AG7931" s="2">
        <f ca="1"/>
        <v>0.3033446199780494</v>
      </c>
      <c r="AH7931" s="2" t="str">
        <f ca="1"/>
        <v>OK</v>
      </c>
    </row>
    <row r="7932" spans="2:34" x14ac:dyDescent="0.2">
      <c r="B7932" s="2">
        <f ca="1"/>
        <v>0.29894403214847176</v>
      </c>
      <c r="O7932" s="2">
        <f ca="1"/>
        <v>1.2475890135342875</v>
      </c>
      <c r="X7932" s="2">
        <f ca="1"/>
        <v>46.521845854072836</v>
      </c>
      <c r="AG7932" s="2">
        <f ca="1"/>
        <v>0.33254184576426082</v>
      </c>
      <c r="AH7932" s="2" t="str">
        <f ca="1"/>
        <v>OK</v>
      </c>
    </row>
    <row r="7933" spans="2:34" x14ac:dyDescent="0.2">
      <c r="B7933" s="2">
        <f ca="1"/>
        <v>0.4797441296572611</v>
      </c>
      <c r="O7933" s="2">
        <f ca="1"/>
        <v>-0.96318589080560013</v>
      </c>
      <c r="X7933" s="2">
        <f ca="1"/>
        <v>71.474950569267065</v>
      </c>
      <c r="AG7933" s="2">
        <f ca="1"/>
        <v>0.72878836830070681</v>
      </c>
      <c r="AH7933" s="2" t="str">
        <f ca="1"/>
        <v>Bad</v>
      </c>
    </row>
    <row r="7934" spans="2:34" x14ac:dyDescent="0.2">
      <c r="B7934" s="2">
        <f ca="1"/>
        <v>0.10477889702250898</v>
      </c>
      <c r="O7934" s="2">
        <f ca="1"/>
        <v>-0.60958460986520013</v>
      </c>
      <c r="X7934" s="2">
        <f ca="1"/>
        <v>32.327450288333431</v>
      </c>
      <c r="AG7934" s="2">
        <f ca="1"/>
        <v>0.50479384205305178</v>
      </c>
      <c r="AH7934" s="2" t="str">
        <f ca="1"/>
        <v>Bad</v>
      </c>
    </row>
    <row r="7935" spans="2:34" x14ac:dyDescent="0.2">
      <c r="B7935" s="2">
        <f ca="1"/>
        <v>0.96673935344432338</v>
      </c>
      <c r="O7935" s="2">
        <f ca="1"/>
        <v>0.68163539275250729</v>
      </c>
      <c r="X7935" s="2">
        <f ca="1"/>
        <v>43.559444398907871</v>
      </c>
      <c r="AG7935" s="2">
        <f ca="1"/>
        <v>0.572115738077279</v>
      </c>
      <c r="AH7935" s="2" t="str">
        <f ca="1"/>
        <v>Bad</v>
      </c>
    </row>
    <row r="7936" spans="2:34" x14ac:dyDescent="0.2">
      <c r="B7936" s="2">
        <f ca="1"/>
        <v>0.51426626469946557</v>
      </c>
      <c r="O7936" s="2">
        <f ca="1"/>
        <v>-0.19826512102529806</v>
      </c>
      <c r="X7936" s="2">
        <f ca="1"/>
        <v>43.225743252285405</v>
      </c>
      <c r="AG7936" s="2">
        <f ca="1"/>
        <v>6.7087973916897026E-2</v>
      </c>
      <c r="AH7936" s="2" t="str">
        <f ca="1"/>
        <v>OK</v>
      </c>
    </row>
    <row r="7937" spans="2:34" x14ac:dyDescent="0.2">
      <c r="B7937" s="2">
        <f ca="1"/>
        <v>0.99489965676589032</v>
      </c>
      <c r="O7937" s="2">
        <f ca="1"/>
        <v>-0.7866080037954315</v>
      </c>
      <c r="X7937" s="2">
        <f ca="1"/>
        <v>33.503316423637855</v>
      </c>
      <c r="AG7937" s="2">
        <f ca="1"/>
        <v>5.4960409280037092E-2</v>
      </c>
      <c r="AH7937" s="2" t="str">
        <f ca="1"/>
        <v>OK</v>
      </c>
    </row>
    <row r="7938" spans="2:34" x14ac:dyDescent="0.2">
      <c r="B7938" s="2">
        <f ca="1"/>
        <v>0.75091504492422856</v>
      </c>
      <c r="O7938" s="2">
        <f ca="1"/>
        <v>1.4018390812079355</v>
      </c>
      <c r="X7938" s="2">
        <f ca="1"/>
        <v>45.021284354663919</v>
      </c>
      <c r="AG7938" s="2">
        <f ca="1"/>
        <v>0.60913628987776414</v>
      </c>
      <c r="AH7938" s="2" t="str">
        <f ca="1"/>
        <v>Bad</v>
      </c>
    </row>
    <row r="7939" spans="2:34" x14ac:dyDescent="0.2">
      <c r="B7939" s="2">
        <f ca="1"/>
        <v>0.82582839653200635</v>
      </c>
      <c r="O7939" s="2">
        <f ca="1"/>
        <v>-1.8096765567120787</v>
      </c>
      <c r="X7939" s="2">
        <f ca="1"/>
        <v>25.274432400100121</v>
      </c>
      <c r="AG7939" s="2">
        <f ca="1"/>
        <v>4.2229375607606201E-2</v>
      </c>
      <c r="AH7939" s="2" t="str">
        <f ca="1"/>
        <v>Good</v>
      </c>
    </row>
    <row r="7940" spans="2:34" x14ac:dyDescent="0.2">
      <c r="B7940" s="2">
        <f ca="1"/>
        <v>0.68497616452202004</v>
      </c>
      <c r="O7940" s="2">
        <f ca="1"/>
        <v>-0.24241783578386164</v>
      </c>
      <c r="X7940" s="2">
        <f ca="1"/>
        <v>60.403617691361219</v>
      </c>
      <c r="AG7940" s="2">
        <f ca="1"/>
        <v>0.87544369404333588</v>
      </c>
      <c r="AH7940" s="2" t="str">
        <f ca="1"/>
        <v>Bad</v>
      </c>
    </row>
    <row r="7941" spans="2:34" x14ac:dyDescent="0.2">
      <c r="B7941" s="2">
        <f ca="1"/>
        <v>0.44314503983075793</v>
      </c>
      <c r="O7941" s="2">
        <f ca="1"/>
        <v>1.0687999949910105</v>
      </c>
      <c r="X7941" s="2">
        <f ca="1"/>
        <v>71.715253353320392</v>
      </c>
      <c r="AG7941" s="2">
        <f ca="1"/>
        <v>0.32730111848793486</v>
      </c>
      <c r="AH7941" s="2" t="str">
        <f ca="1"/>
        <v>OK</v>
      </c>
    </row>
    <row r="7942" spans="2:34" x14ac:dyDescent="0.2">
      <c r="B7942" s="2">
        <f ca="1"/>
        <v>0.79927882227632874</v>
      </c>
      <c r="O7942" s="2">
        <f ca="1"/>
        <v>1.2023969780978176</v>
      </c>
      <c r="X7942" s="2">
        <f ca="1"/>
        <v>75.993171444460913</v>
      </c>
      <c r="AG7942" s="2">
        <f ca="1"/>
        <v>0.83325185122827783</v>
      </c>
      <c r="AH7942" s="2" t="str">
        <f ca="1"/>
        <v>Bad</v>
      </c>
    </row>
    <row r="7943" spans="2:34" x14ac:dyDescent="0.2">
      <c r="B7943" s="2">
        <f ca="1"/>
        <v>0.26560840283462905</v>
      </c>
      <c r="O7943" s="2">
        <f ca="1"/>
        <v>-0.28065675425168396</v>
      </c>
      <c r="X7943" s="2">
        <f ca="1"/>
        <v>42.295865295960091</v>
      </c>
      <c r="AG7943" s="2">
        <f ca="1"/>
        <v>0.40507785959875164</v>
      </c>
      <c r="AH7943" s="2" t="str">
        <f ca="1"/>
        <v>Bad</v>
      </c>
    </row>
    <row r="7944" spans="2:34" x14ac:dyDescent="0.2">
      <c r="B7944" s="2">
        <f ca="1"/>
        <v>0.3018967462079849</v>
      </c>
      <c r="O7944" s="2">
        <f ca="1"/>
        <v>4.3101342534013244E-2</v>
      </c>
      <c r="X7944" s="2">
        <f ca="1"/>
        <v>52.232574267723997</v>
      </c>
      <c r="AG7944" s="2">
        <f ca="1"/>
        <v>0.35112968226715946</v>
      </c>
      <c r="AH7944" s="2" t="str">
        <f ca="1"/>
        <v>OK</v>
      </c>
    </row>
    <row r="7945" spans="2:34" x14ac:dyDescent="0.2">
      <c r="B7945" s="2">
        <f ca="1"/>
        <v>0.53277327090984494</v>
      </c>
      <c r="O7945" s="2">
        <f ca="1"/>
        <v>-0.38960730569539465</v>
      </c>
      <c r="X7945" s="2">
        <f ca="1"/>
        <v>52.447340603887028</v>
      </c>
      <c r="AG7945" s="2">
        <f ca="1"/>
        <v>0.7834066022797741</v>
      </c>
      <c r="AH7945" s="2" t="str">
        <f ca="1"/>
        <v>Bad</v>
      </c>
    </row>
    <row r="7946" spans="2:34" x14ac:dyDescent="0.2">
      <c r="B7946" s="2">
        <f ca="1"/>
        <v>7.5433282579680183E-2</v>
      </c>
      <c r="O7946" s="2">
        <f ca="1"/>
        <v>0.47916258152246638</v>
      </c>
      <c r="X7946" s="2">
        <f ca="1"/>
        <v>44.840711560282259</v>
      </c>
      <c r="AG7946" s="2">
        <f ca="1"/>
        <v>0.56276511112542016</v>
      </c>
      <c r="AH7946" s="2" t="str">
        <f ca="1"/>
        <v>Bad</v>
      </c>
    </row>
    <row r="7947" spans="2:34" x14ac:dyDescent="0.2">
      <c r="B7947" s="2">
        <f ca="1"/>
        <v>0.83664685775657155</v>
      </c>
      <c r="O7947" s="2">
        <f ca="1"/>
        <v>0.64879027145821844</v>
      </c>
      <c r="X7947" s="2">
        <f ca="1"/>
        <v>38.211920128445215</v>
      </c>
      <c r="AG7947" s="2">
        <f ca="1"/>
        <v>0.43164334747577682</v>
      </c>
      <c r="AH7947" s="2" t="str">
        <f ca="1"/>
        <v>Bad</v>
      </c>
    </row>
    <row r="7948" spans="2:34" x14ac:dyDescent="0.2">
      <c r="B7948" s="2">
        <f ca="1"/>
        <v>0.75375785209129154</v>
      </c>
      <c r="O7948" s="2">
        <f ca="1"/>
        <v>-0.81206905142682073</v>
      </c>
      <c r="X7948" s="2">
        <f ca="1"/>
        <v>24.574121425629297</v>
      </c>
      <c r="AG7948" s="2">
        <f ca="1"/>
        <v>0.66512116369975405</v>
      </c>
      <c r="AH7948" s="2" t="str">
        <f ca="1"/>
        <v>Bad</v>
      </c>
    </row>
    <row r="7949" spans="2:34" x14ac:dyDescent="0.2">
      <c r="B7949" s="2">
        <f ca="1"/>
        <v>0.93449910579494544</v>
      </c>
      <c r="O7949" s="2">
        <f ca="1"/>
        <v>-0.59374236660937174</v>
      </c>
      <c r="X7949" s="2">
        <f ca="1"/>
        <v>47.165884039695086</v>
      </c>
      <c r="AG7949" s="2">
        <f ca="1"/>
        <v>0.80942888414270886</v>
      </c>
      <c r="AH7949" s="2" t="str">
        <f ca="1"/>
        <v>Bad</v>
      </c>
    </row>
    <row r="7950" spans="2:34" x14ac:dyDescent="0.2">
      <c r="B7950" s="2">
        <f ca="1"/>
        <v>6.3823681879852323E-2</v>
      </c>
      <c r="O7950" s="2">
        <f ca="1"/>
        <v>-1.8464515343409631</v>
      </c>
      <c r="X7950" s="2">
        <f ca="1"/>
        <v>71.001812937433101</v>
      </c>
      <c r="AG7950" s="2">
        <f ca="1"/>
        <v>0.86175034165428332</v>
      </c>
      <c r="AH7950" s="2" t="str">
        <f ca="1"/>
        <v>Bad</v>
      </c>
    </row>
    <row r="7951" spans="2:34" x14ac:dyDescent="0.2">
      <c r="B7951" s="2">
        <f ca="1"/>
        <v>0.64725591431115714</v>
      </c>
      <c r="O7951" s="2">
        <f ca="1"/>
        <v>-4.570216952951546E-2</v>
      </c>
      <c r="X7951" s="2">
        <f ca="1"/>
        <v>43.905846850443233</v>
      </c>
      <c r="AG7951" s="2">
        <f ca="1"/>
        <v>0.94578820800629915</v>
      </c>
      <c r="AH7951" s="2" t="str">
        <f ca="1"/>
        <v>Bad</v>
      </c>
    </row>
    <row r="7952" spans="2:34" x14ac:dyDescent="0.2">
      <c r="B7952" s="2">
        <f ca="1"/>
        <v>0.26547110970999221</v>
      </c>
      <c r="O7952" s="2">
        <f ca="1"/>
        <v>3.9738693877921026E-2</v>
      </c>
      <c r="X7952" s="2">
        <f ca="1"/>
        <v>67.803293404521469</v>
      </c>
      <c r="AG7952" s="2">
        <f ca="1"/>
        <v>0.28652312070131547</v>
      </c>
      <c r="AH7952" s="2" t="str">
        <f ca="1"/>
        <v>OK</v>
      </c>
    </row>
    <row r="7953" spans="2:34" x14ac:dyDescent="0.2">
      <c r="B7953" s="2">
        <f ca="1"/>
        <v>0.91822631185581138</v>
      </c>
      <c r="O7953" s="2">
        <f ca="1"/>
        <v>0.47551500396574764</v>
      </c>
      <c r="X7953" s="2">
        <f ca="1"/>
        <v>73.97600900972698</v>
      </c>
      <c r="AG7953" s="2">
        <f ca="1"/>
        <v>0.51524324553015188</v>
      </c>
      <c r="AH7953" s="2" t="str">
        <f ca="1"/>
        <v>Bad</v>
      </c>
    </row>
    <row r="7954" spans="2:34" x14ac:dyDescent="0.2">
      <c r="B7954" s="2">
        <f ca="1"/>
        <v>0.51002376192778964</v>
      </c>
      <c r="O7954" s="2">
        <f ca="1"/>
        <v>-1.2033588667909407</v>
      </c>
      <c r="X7954" s="2">
        <f ca="1"/>
        <v>30.342893916340344</v>
      </c>
      <c r="AG7954" s="2">
        <f ca="1"/>
        <v>0.51595577122308312</v>
      </c>
      <c r="AH7954" s="2" t="str">
        <f ca="1"/>
        <v>Bad</v>
      </c>
    </row>
    <row r="7955" spans="2:34" x14ac:dyDescent="0.2">
      <c r="B7955" s="2">
        <f ca="1"/>
        <v>0.20540145389721243</v>
      </c>
      <c r="O7955" s="2">
        <f ca="1"/>
        <v>0.4537363971103332</v>
      </c>
      <c r="X7955" s="2">
        <f ca="1"/>
        <v>47.311215115952265</v>
      </c>
      <c r="AG7955" s="2">
        <f ca="1"/>
        <v>0.72015694040828326</v>
      </c>
      <c r="AH7955" s="2" t="str">
        <f ca="1"/>
        <v>Bad</v>
      </c>
    </row>
    <row r="7956" spans="2:34" x14ac:dyDescent="0.2">
      <c r="B7956" s="2">
        <f ca="1"/>
        <v>0.44312125455228579</v>
      </c>
      <c r="O7956" s="2">
        <f ca="1"/>
        <v>-0.95658493885446327</v>
      </c>
      <c r="X7956" s="2">
        <f ca="1"/>
        <v>48.057238532187093</v>
      </c>
      <c r="AG7956" s="2">
        <f ca="1"/>
        <v>0.81812053397472173</v>
      </c>
      <c r="AH7956" s="2" t="str">
        <f ca="1"/>
        <v>Bad</v>
      </c>
    </row>
    <row r="7957" spans="2:34" x14ac:dyDescent="0.2">
      <c r="B7957" s="2">
        <f ca="1"/>
        <v>0.41747671087287053</v>
      </c>
      <c r="O7957" s="2">
        <f ca="1"/>
        <v>-1.1092996379932047</v>
      </c>
      <c r="X7957" s="2">
        <f ca="1"/>
        <v>42.091320807534331</v>
      </c>
      <c r="AG7957" s="2">
        <f ca="1"/>
        <v>0.91247718175104287</v>
      </c>
      <c r="AH7957" s="2" t="str">
        <f ca="1"/>
        <v>Bad</v>
      </c>
    </row>
    <row r="7958" spans="2:34" x14ac:dyDescent="0.2">
      <c r="B7958" s="2">
        <f ca="1"/>
        <v>0.17170415880944012</v>
      </c>
      <c r="O7958" s="2">
        <f ca="1"/>
        <v>0.4773048654694394</v>
      </c>
      <c r="X7958" s="2">
        <f ca="1"/>
        <v>32.551510424232696</v>
      </c>
      <c r="AG7958" s="2">
        <f ca="1"/>
        <v>0.52110535987668793</v>
      </c>
      <c r="AH7958" s="2" t="str">
        <f ca="1"/>
        <v>Bad</v>
      </c>
    </row>
    <row r="7959" spans="2:34" x14ac:dyDescent="0.2">
      <c r="B7959" s="2">
        <f ca="1"/>
        <v>0.625172535624265</v>
      </c>
      <c r="O7959" s="2">
        <f ca="1"/>
        <v>0.83005392121946464</v>
      </c>
      <c r="X7959" s="2">
        <f ca="1"/>
        <v>33.816499167990813</v>
      </c>
      <c r="AG7959" s="2">
        <f ca="1"/>
        <v>0.58439076679039781</v>
      </c>
      <c r="AH7959" s="2" t="str">
        <f ca="1"/>
        <v>Bad</v>
      </c>
    </row>
    <row r="7960" spans="2:34" x14ac:dyDescent="0.2">
      <c r="B7960" s="2">
        <f ca="1"/>
        <v>0.22645697469877346</v>
      </c>
      <c r="O7960" s="2">
        <f ca="1"/>
        <v>0.81307454435777016</v>
      </c>
      <c r="X7960" s="2">
        <f ca="1"/>
        <v>28.848320590374463</v>
      </c>
      <c r="AG7960" s="2">
        <f ca="1"/>
        <v>0.85302316441139925</v>
      </c>
      <c r="AH7960" s="2" t="str">
        <f ca="1"/>
        <v>Bad</v>
      </c>
    </row>
    <row r="7961" spans="2:34" x14ac:dyDescent="0.2">
      <c r="B7961" s="2">
        <f ca="1"/>
        <v>9.4152959570109385E-2</v>
      </c>
      <c r="O7961" s="2">
        <f ca="1"/>
        <v>-0.79080025377145069</v>
      </c>
      <c r="X7961" s="2">
        <f ca="1"/>
        <v>53.230268132973244</v>
      </c>
      <c r="AG7961" s="2">
        <f ca="1"/>
        <v>3.5424528576525782E-2</v>
      </c>
      <c r="AH7961" s="2" t="str">
        <f ca="1"/>
        <v>Good</v>
      </c>
    </row>
    <row r="7962" spans="2:34" x14ac:dyDescent="0.2">
      <c r="B7962" s="2">
        <f ca="1"/>
        <v>0.85848571995782752</v>
      </c>
      <c r="O7962" s="2">
        <f ca="1"/>
        <v>0.11139059127439271</v>
      </c>
      <c r="X7962" s="2">
        <f ca="1"/>
        <v>70.864973953058495</v>
      </c>
      <c r="AG7962" s="2">
        <f ca="1"/>
        <v>0.16102266981742464</v>
      </c>
      <c r="AH7962" s="2" t="str">
        <f ca="1"/>
        <v>OK</v>
      </c>
    </row>
    <row r="7963" spans="2:34" x14ac:dyDescent="0.2">
      <c r="B7963" s="2">
        <f ca="1"/>
        <v>0.5521398307660752</v>
      </c>
      <c r="O7963" s="2">
        <f ca="1"/>
        <v>0.2528192976929084</v>
      </c>
      <c r="X7963" s="2">
        <f ca="1"/>
        <v>45.507297585704165</v>
      </c>
      <c r="AG7963" s="2">
        <f ca="1"/>
        <v>0.42253974427563046</v>
      </c>
      <c r="AH7963" s="2" t="str">
        <f ca="1"/>
        <v>Bad</v>
      </c>
    </row>
    <row r="7964" spans="2:34" x14ac:dyDescent="0.2">
      <c r="B7964" s="2">
        <f ca="1"/>
        <v>0.15728438919593279</v>
      </c>
      <c r="O7964" s="2">
        <f ca="1"/>
        <v>-1.3209588868734286</v>
      </c>
      <c r="X7964" s="2">
        <f ca="1"/>
        <v>99.227405988828338</v>
      </c>
      <c r="AG7964" s="2">
        <f ca="1"/>
        <v>7.6551003710635612E-2</v>
      </c>
      <c r="AH7964" s="2" t="str">
        <f ca="1"/>
        <v>OK</v>
      </c>
    </row>
    <row r="7965" spans="2:34" x14ac:dyDescent="0.2">
      <c r="B7965" s="2">
        <f ca="1"/>
        <v>0.56097881823377604</v>
      </c>
      <c r="O7965" s="2">
        <f ca="1"/>
        <v>0.98412592778368246</v>
      </c>
      <c r="X7965" s="2">
        <f ca="1"/>
        <v>53.270321401921656</v>
      </c>
      <c r="AG7965" s="2">
        <f ca="1"/>
        <v>0.21333082312638108</v>
      </c>
      <c r="AH7965" s="2" t="str">
        <f ca="1"/>
        <v>OK</v>
      </c>
    </row>
    <row r="7966" spans="2:34" x14ac:dyDescent="0.2">
      <c r="B7966" s="2">
        <f ca="1"/>
        <v>0.20294942622880408</v>
      </c>
      <c r="O7966" s="2">
        <f ca="1"/>
        <v>0.63518269152544715</v>
      </c>
      <c r="X7966" s="2">
        <f ca="1"/>
        <v>47.174510821927356</v>
      </c>
      <c r="AG7966" s="2">
        <f ca="1"/>
        <v>0.84003847962962674</v>
      </c>
      <c r="AH7966" s="2" t="str">
        <f ca="1"/>
        <v>Bad</v>
      </c>
    </row>
    <row r="7967" spans="2:34" x14ac:dyDescent="0.2">
      <c r="B7967" s="2">
        <f ca="1"/>
        <v>0.29732501969009162</v>
      </c>
      <c r="O7967" s="2">
        <f ca="1"/>
        <v>-0.81277945111401984</v>
      </c>
      <c r="X7967" s="2">
        <f ca="1"/>
        <v>37.389017600323335</v>
      </c>
      <c r="AG7967" s="2">
        <f ca="1"/>
        <v>0.44248705354224116</v>
      </c>
      <c r="AH7967" s="2" t="str">
        <f ca="1"/>
        <v>Bad</v>
      </c>
    </row>
    <row r="7968" spans="2:34" x14ac:dyDescent="0.2">
      <c r="B7968" s="2">
        <f ca="1"/>
        <v>0.95593895080537927</v>
      </c>
      <c r="O7968" s="2">
        <f ca="1"/>
        <v>0.72367023971526323</v>
      </c>
      <c r="X7968" s="2">
        <f ca="1"/>
        <v>32.228399084405183</v>
      </c>
      <c r="AG7968" s="2">
        <f ca="1"/>
        <v>0.81402664596692631</v>
      </c>
      <c r="AH7968" s="2" t="str">
        <f ca="1"/>
        <v>Bad</v>
      </c>
    </row>
    <row r="7969" spans="2:34" x14ac:dyDescent="0.2">
      <c r="B7969" s="2">
        <f ca="1"/>
        <v>0.24105597613814878</v>
      </c>
      <c r="O7969" s="2">
        <f ca="1"/>
        <v>-2.7572115108025566</v>
      </c>
      <c r="X7969" s="2">
        <f ca="1"/>
        <v>60.15124565185576</v>
      </c>
      <c r="AG7969" s="2">
        <f ca="1"/>
        <v>0.91505583414127889</v>
      </c>
      <c r="AH7969" s="2" t="str">
        <f ca="1"/>
        <v>Bad</v>
      </c>
    </row>
    <row r="7970" spans="2:34" x14ac:dyDescent="0.2">
      <c r="B7970" s="2">
        <f ca="1"/>
        <v>0.39993312849504914</v>
      </c>
      <c r="O7970" s="2">
        <f ca="1"/>
        <v>-0.17125614930059899</v>
      </c>
      <c r="X7970" s="2">
        <f ca="1"/>
        <v>42.914766834936195</v>
      </c>
      <c r="AG7970" s="2">
        <f ca="1"/>
        <v>0.53244278876671691</v>
      </c>
      <c r="AH7970" s="2" t="str">
        <f ca="1"/>
        <v>Bad</v>
      </c>
    </row>
    <row r="7971" spans="2:34" x14ac:dyDescent="0.2">
      <c r="B7971" s="2">
        <f ca="1"/>
        <v>0.88396975656873922</v>
      </c>
      <c r="O7971" s="2">
        <f ca="1"/>
        <v>0.91721305631299355</v>
      </c>
      <c r="X7971" s="2">
        <f ca="1"/>
        <v>64.908477591767792</v>
      </c>
      <c r="AG7971" s="2">
        <f ca="1"/>
        <v>0.59549460306966862</v>
      </c>
      <c r="AH7971" s="2" t="str">
        <f ca="1"/>
        <v>Bad</v>
      </c>
    </row>
    <row r="7972" spans="2:34" x14ac:dyDescent="0.2">
      <c r="B7972" s="2">
        <f ca="1"/>
        <v>0.81502916895369171</v>
      </c>
      <c r="O7972" s="2">
        <f ca="1"/>
        <v>1.2317527218663873</v>
      </c>
      <c r="X7972" s="2">
        <f ca="1"/>
        <v>38.195923662353401</v>
      </c>
      <c r="AG7972" s="2">
        <f ca="1"/>
        <v>0.762737398183712</v>
      </c>
      <c r="AH7972" s="2" t="str">
        <f ca="1"/>
        <v>Bad</v>
      </c>
    </row>
    <row r="7973" spans="2:34" x14ac:dyDescent="0.2">
      <c r="B7973" s="2">
        <f ca="1"/>
        <v>7.876942459900782E-2</v>
      </c>
      <c r="O7973" s="2">
        <f ca="1"/>
        <v>-2.0337938565165756</v>
      </c>
      <c r="X7973" s="2">
        <f ca="1"/>
        <v>69.230976781925165</v>
      </c>
      <c r="AG7973" s="2">
        <f ca="1"/>
        <v>0.34561198481689592</v>
      </c>
      <c r="AH7973" s="2" t="str">
        <f ca="1"/>
        <v>OK</v>
      </c>
    </row>
    <row r="7974" spans="2:34" x14ac:dyDescent="0.2">
      <c r="B7974" s="2">
        <f ca="1"/>
        <v>0.55202597464821346</v>
      </c>
      <c r="O7974" s="2">
        <f ca="1"/>
        <v>1.2206132917529919</v>
      </c>
      <c r="X7974" s="2">
        <f ca="1"/>
        <v>51.469817136807393</v>
      </c>
      <c r="AG7974" s="2">
        <f ca="1"/>
        <v>0.32667571774470305</v>
      </c>
      <c r="AH7974" s="2" t="str">
        <f ca="1"/>
        <v>OK</v>
      </c>
    </row>
    <row r="7975" spans="2:34" x14ac:dyDescent="0.2">
      <c r="B7975" s="2">
        <f ca="1"/>
        <v>0.44925944081914193</v>
      </c>
      <c r="O7975" s="2">
        <f ca="1"/>
        <v>-0.73574870822044669</v>
      </c>
      <c r="X7975" s="2">
        <f ca="1"/>
        <v>41.184068670920752</v>
      </c>
      <c r="AG7975" s="2">
        <f ca="1"/>
        <v>0.36644537290767287</v>
      </c>
      <c r="AH7975" s="2" t="str">
        <f ca="1"/>
        <v>OK</v>
      </c>
    </row>
    <row r="7976" spans="2:34" x14ac:dyDescent="0.2">
      <c r="B7976" s="2">
        <f ca="1"/>
        <v>0.56009444477316506</v>
      </c>
      <c r="O7976" s="2">
        <f ca="1"/>
        <v>-1.297069020590035</v>
      </c>
      <c r="X7976" s="2">
        <f ca="1"/>
        <v>69.620594134868057</v>
      </c>
      <c r="AG7976" s="2">
        <f ca="1"/>
        <v>0.32741401603652842</v>
      </c>
      <c r="AH7976" s="2" t="str">
        <f ca="1"/>
        <v>OK</v>
      </c>
    </row>
    <row r="7977" spans="2:34" x14ac:dyDescent="0.2">
      <c r="B7977" s="2">
        <f ca="1"/>
        <v>0.94688145712649852</v>
      </c>
      <c r="O7977" s="2">
        <f ca="1"/>
        <v>-1.0057240675699797</v>
      </c>
      <c r="X7977" s="2">
        <f ca="1"/>
        <v>46.849570085039886</v>
      </c>
      <c r="AG7977" s="2">
        <f ca="1"/>
        <v>0.34114314615948715</v>
      </c>
      <c r="AH7977" s="2" t="str">
        <f ca="1"/>
        <v>OK</v>
      </c>
    </row>
    <row r="7978" spans="2:34" x14ac:dyDescent="0.2">
      <c r="B7978" s="2">
        <f ca="1"/>
        <v>0.76555512587064434</v>
      </c>
      <c r="O7978" s="2">
        <f ca="1"/>
        <v>-0.63883730641732417</v>
      </c>
      <c r="X7978" s="2">
        <f ca="1"/>
        <v>48.723001743077731</v>
      </c>
      <c r="AG7978" s="2">
        <f ca="1"/>
        <v>0.42598986010606454</v>
      </c>
      <c r="AH7978" s="2" t="str">
        <f ca="1"/>
        <v>Bad</v>
      </c>
    </row>
    <row r="7979" spans="2:34" x14ac:dyDescent="0.2">
      <c r="B7979" s="2">
        <f ca="1"/>
        <v>0.50168591304550136</v>
      </c>
      <c r="O7979" s="2">
        <f ca="1"/>
        <v>-0.41855780257565606</v>
      </c>
      <c r="X7979" s="2">
        <f ca="1"/>
        <v>48.465444808325209</v>
      </c>
      <c r="AG7979" s="2">
        <f ca="1"/>
        <v>0.92189403341316423</v>
      </c>
      <c r="AH7979" s="2" t="str">
        <f ca="1"/>
        <v>Bad</v>
      </c>
    </row>
    <row r="7980" spans="2:34" x14ac:dyDescent="0.2">
      <c r="B7980" s="2">
        <f ca="1"/>
        <v>0.24894622376589659</v>
      </c>
      <c r="O7980" s="2">
        <f ca="1"/>
        <v>-0.95220661628247238</v>
      </c>
      <c r="X7980" s="2">
        <f ca="1"/>
        <v>66.254921710928926</v>
      </c>
      <c r="AG7980" s="2">
        <f ca="1"/>
        <v>0.23401120105321205</v>
      </c>
      <c r="AH7980" s="2" t="str">
        <f ca="1"/>
        <v>OK</v>
      </c>
    </row>
    <row r="7981" spans="2:34" x14ac:dyDescent="0.2">
      <c r="B7981" s="2">
        <f ca="1"/>
        <v>0.30466048400611645</v>
      </c>
      <c r="O7981" s="2">
        <f ca="1"/>
        <v>-0.16508089491844055</v>
      </c>
      <c r="X7981" s="2">
        <f ca="1"/>
        <v>72.550456765527656</v>
      </c>
      <c r="AG7981" s="2">
        <f ca="1"/>
        <v>0.83743834633425629</v>
      </c>
      <c r="AH7981" s="2" t="str">
        <f ca="1"/>
        <v>Bad</v>
      </c>
    </row>
    <row r="7982" spans="2:34" x14ac:dyDescent="0.2">
      <c r="B7982" s="2">
        <f ca="1"/>
        <v>0.70902055468859948</v>
      </c>
      <c r="O7982" s="2">
        <f ca="1"/>
        <v>0.25679437803652028</v>
      </c>
      <c r="X7982" s="2">
        <f ca="1"/>
        <v>40.087285598475916</v>
      </c>
      <c r="AG7982" s="2">
        <f ca="1"/>
        <v>0.73191224320335535</v>
      </c>
      <c r="AH7982" s="2" t="str">
        <f ca="1"/>
        <v>Bad</v>
      </c>
    </row>
    <row r="7983" spans="2:34" x14ac:dyDescent="0.2">
      <c r="B7983" s="2">
        <f ca="1"/>
        <v>0.14820561498185114</v>
      </c>
      <c r="O7983" s="2">
        <f ca="1"/>
        <v>-0.59320438528125241</v>
      </c>
      <c r="X7983" s="2">
        <f ca="1"/>
        <v>37.011443064961902</v>
      </c>
      <c r="AG7983" s="2">
        <f ca="1"/>
        <v>0.86127904291958668</v>
      </c>
      <c r="AH7983" s="2" t="str">
        <f ca="1"/>
        <v>Bad</v>
      </c>
    </row>
    <row r="7984" spans="2:34" x14ac:dyDescent="0.2">
      <c r="B7984" s="2">
        <f ca="1"/>
        <v>7.3609359647361927E-3</v>
      </c>
      <c r="O7984" s="2">
        <f ca="1"/>
        <v>-1.8759300544124087</v>
      </c>
      <c r="X7984" s="2">
        <f ca="1"/>
        <v>86.000530797230681</v>
      </c>
      <c r="AG7984" s="2">
        <f ca="1"/>
        <v>0.62282018259591654</v>
      </c>
      <c r="AH7984" s="2" t="str">
        <f ca="1"/>
        <v>Bad</v>
      </c>
    </row>
    <row r="7985" spans="2:34" x14ac:dyDescent="0.2">
      <c r="B7985" s="2">
        <f ca="1"/>
        <v>0.52616848369733948</v>
      </c>
      <c r="O7985" s="2">
        <f ca="1"/>
        <v>-1.2494819257793255</v>
      </c>
      <c r="X7985" s="2">
        <f ca="1"/>
        <v>36.796164645240538</v>
      </c>
      <c r="AG7985" s="2">
        <f ca="1"/>
        <v>0.4865633288106983</v>
      </c>
      <c r="AH7985" s="2" t="str">
        <f ca="1"/>
        <v>Bad</v>
      </c>
    </row>
    <row r="7986" spans="2:34" x14ac:dyDescent="0.2">
      <c r="B7986" s="2">
        <f ca="1"/>
        <v>0.54035429272526248</v>
      </c>
      <c r="O7986" s="2">
        <f ca="1"/>
        <v>-1.0858371330969827</v>
      </c>
      <c r="X7986" s="2">
        <f ca="1"/>
        <v>75.941578857424631</v>
      </c>
      <c r="AG7986" s="2">
        <f ca="1"/>
        <v>0.55133355517996452</v>
      </c>
      <c r="AH7986" s="2" t="str">
        <f ca="1"/>
        <v>Bad</v>
      </c>
    </row>
    <row r="7987" spans="2:34" x14ac:dyDescent="0.2">
      <c r="B7987" s="2">
        <f ca="1"/>
        <v>2.146389390521497E-2</v>
      </c>
      <c r="O7987" s="2">
        <f ca="1"/>
        <v>0.98361782324168545</v>
      </c>
      <c r="X7987" s="2">
        <f ca="1"/>
        <v>47.838397982449422</v>
      </c>
      <c r="AG7987" s="2">
        <f ca="1"/>
        <v>0.89248408954034231</v>
      </c>
      <c r="AH7987" s="2" t="str">
        <f ca="1"/>
        <v>Bad</v>
      </c>
    </row>
    <row r="7988" spans="2:34" x14ac:dyDescent="0.2">
      <c r="B7988" s="2">
        <f ca="1"/>
        <v>0.60381079814590288</v>
      </c>
      <c r="O7988" s="2">
        <f ca="1"/>
        <v>7.1469059536271459E-2</v>
      </c>
      <c r="X7988" s="2">
        <f ca="1"/>
        <v>68.991074093048681</v>
      </c>
      <c r="AG7988" s="2">
        <f ca="1"/>
        <v>0.92676713383907794</v>
      </c>
      <c r="AH7988" s="2" t="str">
        <f ca="1"/>
        <v>Bad</v>
      </c>
    </row>
    <row r="7989" spans="2:34" x14ac:dyDescent="0.2">
      <c r="B7989" s="2">
        <f ca="1"/>
        <v>0.93506759981973242</v>
      </c>
      <c r="O7989" s="2">
        <f ca="1"/>
        <v>-1.1468698569300189</v>
      </c>
      <c r="X7989" s="2">
        <f ca="1"/>
        <v>45.090621505522307</v>
      </c>
      <c r="AG7989" s="2">
        <f ca="1"/>
        <v>0.70163971569640382</v>
      </c>
      <c r="AH7989" s="2" t="str">
        <f ca="1"/>
        <v>Bad</v>
      </c>
    </row>
    <row r="7990" spans="2:34" x14ac:dyDescent="0.2">
      <c r="B7990" s="2">
        <f ca="1"/>
        <v>0.66108960485102375</v>
      </c>
      <c r="O7990" s="2">
        <f ca="1"/>
        <v>-0.3999990174209036</v>
      </c>
      <c r="X7990" s="2">
        <f ca="1"/>
        <v>46.547359052852421</v>
      </c>
      <c r="AG7990" s="2">
        <f ca="1"/>
        <v>0.10544455399717667</v>
      </c>
      <c r="AH7990" s="2" t="str">
        <f ca="1"/>
        <v>OK</v>
      </c>
    </row>
    <row r="7991" spans="2:34" x14ac:dyDescent="0.2">
      <c r="B7991" s="2">
        <f ca="1"/>
        <v>0.61641258790879982</v>
      </c>
      <c r="O7991" s="2">
        <f ca="1"/>
        <v>-0.52623080477735362</v>
      </c>
      <c r="X7991" s="2">
        <f ca="1"/>
        <v>32.451753101498511</v>
      </c>
      <c r="AG7991" s="2">
        <f ca="1"/>
        <v>0.50877535788190364</v>
      </c>
      <c r="AH7991" s="2" t="str">
        <f ca="1"/>
        <v>Bad</v>
      </c>
    </row>
    <row r="7992" spans="2:34" x14ac:dyDescent="0.2">
      <c r="B7992" s="2">
        <f ca="1"/>
        <v>0.36130121542591698</v>
      </c>
      <c r="O7992" s="2">
        <f ca="1"/>
        <v>-1.4658895872652806</v>
      </c>
      <c r="X7992" s="2">
        <f ca="1"/>
        <v>58.617666514879787</v>
      </c>
      <c r="AG7992" s="2">
        <f ca="1"/>
        <v>0.69649446957946881</v>
      </c>
      <c r="AH7992" s="2" t="str">
        <f ca="1"/>
        <v>Bad</v>
      </c>
    </row>
    <row r="7993" spans="2:34" x14ac:dyDescent="0.2">
      <c r="B7993" s="2">
        <f ca="1"/>
        <v>0.95635867773295691</v>
      </c>
      <c r="O7993" s="2">
        <f ca="1"/>
        <v>0.43235734147831251</v>
      </c>
      <c r="X7993" s="2">
        <f ca="1"/>
        <v>82.281243862901178</v>
      </c>
      <c r="AG7993" s="2">
        <f ca="1"/>
        <v>0.10068834341270305</v>
      </c>
      <c r="AH7993" s="2" t="str">
        <f ca="1"/>
        <v>OK</v>
      </c>
    </row>
    <row r="7994" spans="2:34" x14ac:dyDescent="0.2">
      <c r="B7994" s="2">
        <f ca="1"/>
        <v>0.3773642997487292</v>
      </c>
      <c r="O7994" s="2">
        <f ca="1"/>
        <v>-6.7335845028410529E-2</v>
      </c>
      <c r="X7994" s="2">
        <f ca="1"/>
        <v>55.622938874497137</v>
      </c>
      <c r="AG7994" s="2">
        <f ca="1"/>
        <v>0.99852758986342627</v>
      </c>
      <c r="AH7994" s="2" t="str">
        <f ca="1"/>
        <v>Bad</v>
      </c>
    </row>
    <row r="7995" spans="2:34" x14ac:dyDescent="0.2">
      <c r="B7995" s="2">
        <f ca="1"/>
        <v>0.94471772888376426</v>
      </c>
      <c r="O7995" s="2">
        <f ca="1"/>
        <v>-0.68289822364573016</v>
      </c>
      <c r="X7995" s="2">
        <f ca="1"/>
        <v>59.745515916839864</v>
      </c>
      <c r="AG7995" s="2">
        <f ca="1"/>
        <v>0.36427451780244446</v>
      </c>
      <c r="AH7995" s="2" t="str">
        <f ca="1"/>
        <v>OK</v>
      </c>
    </row>
    <row r="7996" spans="2:34" x14ac:dyDescent="0.2">
      <c r="B7996" s="2">
        <f ca="1"/>
        <v>0.44522700340003962</v>
      </c>
      <c r="O7996" s="2">
        <f ca="1"/>
        <v>-1.414346110365428</v>
      </c>
      <c r="X7996" s="2">
        <f ca="1"/>
        <v>48.981660185298885</v>
      </c>
      <c r="AG7996" s="2">
        <f ca="1"/>
        <v>0.47083843441124817</v>
      </c>
      <c r="AH7996" s="2" t="str">
        <f ca="1"/>
        <v>Bad</v>
      </c>
    </row>
    <row r="7997" spans="2:34" x14ac:dyDescent="0.2">
      <c r="B7997" s="2">
        <f ca="1"/>
        <v>0.66827251695083101</v>
      </c>
      <c r="O7997" s="2">
        <f ca="1"/>
        <v>0.27654737462613194</v>
      </c>
      <c r="X7997" s="2">
        <f ca="1"/>
        <v>30.619556069638293</v>
      </c>
      <c r="AG7997" s="2">
        <f ca="1"/>
        <v>2.2688425499807652E-2</v>
      </c>
      <c r="AH7997" s="2" t="str">
        <f ca="1"/>
        <v>Good</v>
      </c>
    </row>
    <row r="7998" spans="2:34" x14ac:dyDescent="0.2">
      <c r="B7998" s="2">
        <f ca="1"/>
        <v>0.67559000211134435</v>
      </c>
      <c r="O7998" s="2">
        <f ca="1"/>
        <v>-0.525271371452944</v>
      </c>
      <c r="X7998" s="2">
        <f ca="1"/>
        <v>63.888307187343699</v>
      </c>
      <c r="AG7998" s="2">
        <f ca="1"/>
        <v>0.18371099275423219</v>
      </c>
      <c r="AH7998" s="2" t="str">
        <f ca="1"/>
        <v>OK</v>
      </c>
    </row>
    <row r="7999" spans="2:34" x14ac:dyDescent="0.2">
      <c r="B7999" s="2">
        <f ca="1"/>
        <v>0.4372932322547276</v>
      </c>
      <c r="O7999" s="2">
        <f ca="1"/>
        <v>0.16850704495611443</v>
      </c>
      <c r="X7999" s="2">
        <f ca="1"/>
        <v>43.615233618464025</v>
      </c>
      <c r="AG7999" s="2">
        <f ca="1"/>
        <v>4.9719555876731603E-2</v>
      </c>
      <c r="AH7999" s="2" t="str">
        <f ca="1"/>
        <v>Good</v>
      </c>
    </row>
    <row r="8000" spans="2:34" x14ac:dyDescent="0.2">
      <c r="B8000" s="2">
        <f ca="1"/>
        <v>0.28190459995756001</v>
      </c>
      <c r="O8000" s="2">
        <f ca="1"/>
        <v>-1.4768131003349301</v>
      </c>
      <c r="X8000" s="2">
        <f ca="1"/>
        <v>48.899918331881473</v>
      </c>
      <c r="AG8000" s="2">
        <f ca="1"/>
        <v>0.48957366526763213</v>
      </c>
      <c r="AH8000" s="2" t="str">
        <f ca="1"/>
        <v>Bad</v>
      </c>
    </row>
    <row r="8001" spans="2:34" x14ac:dyDescent="0.2">
      <c r="B8001" s="2">
        <f ca="1"/>
        <v>0.65725606765976941</v>
      </c>
      <c r="O8001" s="2">
        <f ca="1"/>
        <v>1.4232016670624472</v>
      </c>
      <c r="X8001" s="2">
        <f ca="1"/>
        <v>50.652693208991401</v>
      </c>
      <c r="AG8001" s="2">
        <f ca="1"/>
        <v>0.74699130947433434</v>
      </c>
      <c r="AH8001" s="2" t="str">
        <f ca="1"/>
        <v>Bad</v>
      </c>
    </row>
    <row r="8002" spans="2:34" x14ac:dyDescent="0.2">
      <c r="B8002" s="2">
        <f ca="1"/>
        <v>0.98084087124646846</v>
      </c>
      <c r="O8002" s="2">
        <f ca="1"/>
        <v>-1.8324135579056187</v>
      </c>
      <c r="X8002" s="2">
        <f ca="1"/>
        <v>30.994696417705818</v>
      </c>
      <c r="AG8002" s="2">
        <f ca="1"/>
        <v>8.6165849500397629E-2</v>
      </c>
      <c r="AH8002" s="2" t="str">
        <f ca="1"/>
        <v>OK</v>
      </c>
    </row>
    <row r="8003" spans="2:34" x14ac:dyDescent="0.2">
      <c r="B8003" s="2">
        <f ca="1"/>
        <v>0.1601194452912158</v>
      </c>
      <c r="O8003" s="2">
        <f ca="1"/>
        <v>-1.9006380226408757</v>
      </c>
      <c r="X8003" s="2">
        <f ca="1"/>
        <v>65.056675963628649</v>
      </c>
      <c r="AG8003" s="2">
        <f ca="1"/>
        <v>1.8664277815997554E-2</v>
      </c>
      <c r="AH8003" s="2" t="str">
        <f ca="1"/>
        <v>Good</v>
      </c>
    </row>
    <row r="8004" spans="2:34" x14ac:dyDescent="0.2">
      <c r="B8004" s="2">
        <f ca="1"/>
        <v>0.44713247999724848</v>
      </c>
      <c r="O8004" s="2">
        <f ca="1"/>
        <v>-0.18501193778076563</v>
      </c>
      <c r="X8004" s="2">
        <f ca="1"/>
        <v>104.15612322017847</v>
      </c>
      <c r="AG8004" s="2">
        <f ca="1"/>
        <v>0.83617790135563319</v>
      </c>
      <c r="AH8004" s="2" t="str">
        <f ca="1"/>
        <v>Bad</v>
      </c>
    </row>
    <row r="8005" spans="2:34" x14ac:dyDescent="0.2">
      <c r="B8005" s="2">
        <f ca="1"/>
        <v>0.57843345648638533</v>
      </c>
      <c r="O8005" s="2">
        <f ca="1"/>
        <v>0.14042744846102581</v>
      </c>
      <c r="X8005" s="2">
        <f ca="1"/>
        <v>55.316347727462762</v>
      </c>
      <c r="AG8005" s="2">
        <f ca="1"/>
        <v>0.91423010359243273</v>
      </c>
      <c r="AH8005" s="2" t="str">
        <f ca="1"/>
        <v>Bad</v>
      </c>
    </row>
    <row r="8006" spans="2:34" x14ac:dyDescent="0.2">
      <c r="B8006" s="2">
        <f ca="1"/>
        <v>0.84932908110879568</v>
      </c>
      <c r="O8006" s="2">
        <f ca="1"/>
        <v>1.9898778645681472</v>
      </c>
      <c r="X8006" s="2">
        <f ca="1"/>
        <v>54.017293425848401</v>
      </c>
      <c r="AG8006" s="2">
        <f ca="1"/>
        <v>0.97583159459654345</v>
      </c>
      <c r="AH8006" s="2" t="str">
        <f ca="1"/>
        <v>Bad</v>
      </c>
    </row>
    <row r="8007" spans="2:34" x14ac:dyDescent="0.2">
      <c r="B8007" s="2">
        <f ca="1"/>
        <v>0.19125531319001166</v>
      </c>
      <c r="O8007" s="2">
        <f ca="1"/>
        <v>-0.3463679124300178</v>
      </c>
      <c r="X8007" s="2">
        <f ca="1"/>
        <v>55.196506952864574</v>
      </c>
      <c r="AG8007" s="2">
        <f ca="1"/>
        <v>6.1195800657304789E-2</v>
      </c>
      <c r="AH8007" s="2" t="str">
        <f ca="1"/>
        <v>OK</v>
      </c>
    </row>
    <row r="8008" spans="2:34" x14ac:dyDescent="0.2">
      <c r="B8008" s="2">
        <f ca="1"/>
        <v>0.10354992463186896</v>
      </c>
      <c r="O8008" s="2">
        <f ca="1"/>
        <v>-0.52383137558341775</v>
      </c>
      <c r="X8008" s="2">
        <f ca="1"/>
        <v>51.595828822623275</v>
      </c>
      <c r="AG8008" s="2">
        <f ca="1"/>
        <v>0.51564392241898793</v>
      </c>
      <c r="AH8008" s="2" t="str">
        <f ca="1"/>
        <v>Bad</v>
      </c>
    </row>
    <row r="8009" spans="2:34" x14ac:dyDescent="0.2">
      <c r="B8009" s="2">
        <f ca="1"/>
        <v>0.54992936730940967</v>
      </c>
      <c r="O8009" s="2">
        <f ca="1"/>
        <v>0.73155613252981533</v>
      </c>
      <c r="X8009" s="2">
        <f ca="1"/>
        <v>37.74073712104196</v>
      </c>
      <c r="AG8009" s="2">
        <f ca="1"/>
        <v>0.21829007540000434</v>
      </c>
      <c r="AH8009" s="2" t="str">
        <f ca="1"/>
        <v>OK</v>
      </c>
    </row>
    <row r="8010" spans="2:34" x14ac:dyDescent="0.2">
      <c r="B8010" s="2">
        <f ca="1"/>
        <v>4.8980666490651137E-2</v>
      </c>
      <c r="O8010" s="2">
        <f ca="1"/>
        <v>-0.83743069452455221</v>
      </c>
      <c r="X8010" s="2">
        <f ca="1"/>
        <v>56.418844698214087</v>
      </c>
      <c r="AG8010" s="2">
        <f ca="1"/>
        <v>0.19660549137551775</v>
      </c>
      <c r="AH8010" s="2" t="str">
        <f ca="1"/>
        <v>OK</v>
      </c>
    </row>
    <row r="8011" spans="2:34" x14ac:dyDescent="0.2">
      <c r="B8011" s="2">
        <f ca="1"/>
        <v>0.93699051852737503</v>
      </c>
      <c r="O8011" s="2">
        <f ca="1"/>
        <v>-0.5257309488932852</v>
      </c>
      <c r="X8011" s="2">
        <f ca="1"/>
        <v>24.478350530862627</v>
      </c>
      <c r="AG8011" s="2">
        <f ca="1"/>
        <v>0.49911287510403102</v>
      </c>
      <c r="AH8011" s="2" t="str">
        <f ca="1"/>
        <v>Bad</v>
      </c>
    </row>
    <row r="8012" spans="2:34" x14ac:dyDescent="0.2">
      <c r="B8012" s="2">
        <f ca="1"/>
        <v>0.77030009487221585</v>
      </c>
      <c r="O8012" s="2">
        <f ca="1"/>
        <v>0.58126144565363858</v>
      </c>
      <c r="X8012" s="2">
        <f ca="1"/>
        <v>51.052769753688274</v>
      </c>
      <c r="AG8012" s="2">
        <f ca="1"/>
        <v>6.7044663026661455E-2</v>
      </c>
      <c r="AH8012" s="2" t="str">
        <f ca="1"/>
        <v>OK</v>
      </c>
    </row>
    <row r="8013" spans="2:34" x14ac:dyDescent="0.2">
      <c r="B8013" s="2">
        <f ca="1"/>
        <v>0.13386902550826996</v>
      </c>
      <c r="O8013" s="2">
        <f ca="1"/>
        <v>0.71041391293007616</v>
      </c>
      <c r="X8013" s="2">
        <f ca="1"/>
        <v>36.931557225595192</v>
      </c>
      <c r="AG8013" s="2">
        <f ca="1"/>
        <v>0.62002640617849258</v>
      </c>
      <c r="AH8013" s="2" t="str">
        <f ca="1"/>
        <v>Bad</v>
      </c>
    </row>
    <row r="8014" spans="2:34" x14ac:dyDescent="0.2">
      <c r="B8014" s="2">
        <f ca="1"/>
        <v>0.21395358211361759</v>
      </c>
      <c r="O8014" s="2">
        <f ca="1"/>
        <v>0.49476018453763437</v>
      </c>
      <c r="X8014" s="2">
        <f ca="1"/>
        <v>65.223395470370747</v>
      </c>
      <c r="AG8014" s="2">
        <f ca="1"/>
        <v>0.18032483757922724</v>
      </c>
      <c r="AH8014" s="2" t="str">
        <f ca="1"/>
        <v>OK</v>
      </c>
    </row>
    <row r="8015" spans="2:34" x14ac:dyDescent="0.2">
      <c r="B8015" s="2">
        <f ca="1"/>
        <v>0.63335702949532902</v>
      </c>
      <c r="O8015" s="2">
        <f ca="1"/>
        <v>0.64729099619373887</v>
      </c>
      <c r="X8015" s="2">
        <f ca="1"/>
        <v>35.844955986446386</v>
      </c>
      <c r="AG8015" s="2">
        <f ca="1"/>
        <v>6.0010883085167555E-2</v>
      </c>
      <c r="AH8015" s="2" t="str">
        <f ca="1"/>
        <v>OK</v>
      </c>
    </row>
    <row r="8016" spans="2:34" x14ac:dyDescent="0.2">
      <c r="B8016" s="2">
        <f ca="1"/>
        <v>0.43439938657834687</v>
      </c>
      <c r="O8016" s="2">
        <f ca="1"/>
        <v>0.63754213785691494</v>
      </c>
      <c r="X8016" s="2">
        <f ca="1"/>
        <v>37.885256399083978</v>
      </c>
      <c r="AG8016" s="2">
        <f ca="1"/>
        <v>0.46205531962415614</v>
      </c>
      <c r="AH8016" s="2" t="str">
        <f ca="1"/>
        <v>Bad</v>
      </c>
    </row>
    <row r="8017" spans="2:34" x14ac:dyDescent="0.2">
      <c r="B8017" s="2">
        <f ca="1"/>
        <v>0.69827402077945222</v>
      </c>
      <c r="O8017" s="2">
        <f ca="1"/>
        <v>-0.46328283115767588</v>
      </c>
      <c r="X8017" s="2">
        <f ca="1"/>
        <v>38.183974894465365</v>
      </c>
      <c r="AG8017" s="2">
        <f ca="1"/>
        <v>0.21585587843570608</v>
      </c>
      <c r="AH8017" s="2" t="str">
        <f ca="1"/>
        <v>OK</v>
      </c>
    </row>
    <row r="8018" spans="2:34" x14ac:dyDescent="0.2">
      <c r="B8018" s="2">
        <f ca="1"/>
        <v>4.6450946345760302E-2</v>
      </c>
      <c r="O8018" s="2">
        <f ca="1"/>
        <v>-1.5408608910178343</v>
      </c>
      <c r="X8018" s="2">
        <f ca="1"/>
        <v>114.24448219989688</v>
      </c>
      <c r="AG8018" s="2">
        <f ca="1"/>
        <v>0.60933709600584107</v>
      </c>
      <c r="AH8018" s="2" t="str">
        <f ca="1"/>
        <v>Bad</v>
      </c>
    </row>
    <row r="8019" spans="2:34" x14ac:dyDescent="0.2">
      <c r="B8019" s="2">
        <f ca="1"/>
        <v>0.80094130886085235</v>
      </c>
      <c r="O8019" s="2">
        <f ca="1"/>
        <v>-1.0702180334346958</v>
      </c>
      <c r="X8019" s="2">
        <f ca="1"/>
        <v>81.939581069735226</v>
      </c>
      <c r="AG8019" s="2">
        <f ca="1"/>
        <v>0.57472526102855737</v>
      </c>
      <c r="AH8019" s="2" t="str">
        <f ca="1"/>
        <v>Bad</v>
      </c>
    </row>
    <row r="8020" spans="2:34" x14ac:dyDescent="0.2">
      <c r="B8020" s="2">
        <f ca="1"/>
        <v>0.60665135351398058</v>
      </c>
      <c r="O8020" s="2">
        <f ca="1"/>
        <v>1.6547600923746437</v>
      </c>
      <c r="X8020" s="2">
        <f ca="1"/>
        <v>74.721468645497353</v>
      </c>
      <c r="AG8020" s="2">
        <f ca="1"/>
        <v>0.23895170358494378</v>
      </c>
      <c r="AH8020" s="2" t="str">
        <f ca="1"/>
        <v>OK</v>
      </c>
    </row>
    <row r="8021" spans="2:34" x14ac:dyDescent="0.2">
      <c r="B8021" s="2">
        <f ca="1"/>
        <v>0.75775006187606064</v>
      </c>
      <c r="O8021" s="2">
        <f ca="1"/>
        <v>-1.3693039545220143</v>
      </c>
      <c r="X8021" s="2">
        <f ca="1"/>
        <v>34.696854953777773</v>
      </c>
      <c r="AG8021" s="2">
        <f ca="1"/>
        <v>0.42931618326000676</v>
      </c>
      <c r="AH8021" s="2" t="str">
        <f ca="1"/>
        <v>Bad</v>
      </c>
    </row>
    <row r="8022" spans="2:34" x14ac:dyDescent="0.2">
      <c r="B8022" s="2">
        <f ca="1"/>
        <v>0.98110737121703906</v>
      </c>
      <c r="O8022" s="2">
        <f ca="1"/>
        <v>0.49827416053992712</v>
      </c>
      <c r="X8022" s="2">
        <f ca="1"/>
        <v>43.171802893792574</v>
      </c>
      <c r="AG8022" s="2">
        <f ca="1"/>
        <v>0.54338654245177098</v>
      </c>
      <c r="AH8022" s="2" t="str">
        <f ca="1"/>
        <v>Bad</v>
      </c>
    </row>
    <row r="8023" spans="2:34" x14ac:dyDescent="0.2">
      <c r="B8023" s="2">
        <f ca="1"/>
        <v>0.21737320994087206</v>
      </c>
      <c r="O8023" s="2">
        <f ca="1"/>
        <v>0.25719427069242218</v>
      </c>
      <c r="X8023" s="2">
        <f ca="1"/>
        <v>28.613019086312271</v>
      </c>
      <c r="AG8023" s="2">
        <f ca="1"/>
        <v>0.50025905328250331</v>
      </c>
      <c r="AH8023" s="2" t="str">
        <f ca="1"/>
        <v>Bad</v>
      </c>
    </row>
    <row r="8024" spans="2:34" x14ac:dyDescent="0.2">
      <c r="B8024" s="2">
        <f ca="1"/>
        <v>0.39017060866680953</v>
      </c>
      <c r="O8024" s="2">
        <f ca="1"/>
        <v>-0.24569836029229802</v>
      </c>
      <c r="X8024" s="2">
        <f ca="1"/>
        <v>38.873847780906516</v>
      </c>
      <c r="AG8024" s="2">
        <f ca="1"/>
        <v>0.26624627947822987</v>
      </c>
      <c r="AH8024" s="2" t="str">
        <f ca="1"/>
        <v>OK</v>
      </c>
    </row>
    <row r="8025" spans="2:34" x14ac:dyDescent="0.2">
      <c r="B8025" s="2">
        <f ca="1"/>
        <v>2.062337966944483E-2</v>
      </c>
      <c r="O8025" s="2">
        <f ca="1"/>
        <v>-0.45524720388870976</v>
      </c>
      <c r="X8025" s="2">
        <f ca="1"/>
        <v>39.308853271471243</v>
      </c>
      <c r="AG8025" s="2">
        <f ca="1"/>
        <v>0.20466979240111272</v>
      </c>
      <c r="AH8025" s="2" t="str">
        <f ca="1"/>
        <v>OK</v>
      </c>
    </row>
    <row r="8026" spans="2:34" x14ac:dyDescent="0.2">
      <c r="B8026" s="2">
        <f ca="1"/>
        <v>0.14547547878522038</v>
      </c>
      <c r="O8026" s="2">
        <f ca="1"/>
        <v>-0.7038240593628543</v>
      </c>
      <c r="X8026" s="2">
        <f ca="1"/>
        <v>40.167914393037584</v>
      </c>
      <c r="AG8026" s="2">
        <f ca="1"/>
        <v>0.38811006903117407</v>
      </c>
      <c r="AH8026" s="2" t="str">
        <f ca="1"/>
        <v>OK</v>
      </c>
    </row>
    <row r="8027" spans="2:34" x14ac:dyDescent="0.2">
      <c r="B8027" s="2">
        <f ca="1"/>
        <v>0.23865161573953175</v>
      </c>
      <c r="O8027" s="2">
        <f ca="1"/>
        <v>-1.3450074973933401</v>
      </c>
      <c r="X8027" s="2">
        <f ca="1"/>
        <v>47.929278213575543</v>
      </c>
      <c r="AG8027" s="2">
        <f ca="1"/>
        <v>0.44840850569848523</v>
      </c>
      <c r="AH8027" s="2" t="str">
        <f ca="1"/>
        <v>Bad</v>
      </c>
    </row>
    <row r="8028" spans="2:34" x14ac:dyDescent="0.2">
      <c r="B8028" s="2">
        <f ca="1"/>
        <v>0.72975333352226524</v>
      </c>
      <c r="O8028" s="2">
        <f ca="1"/>
        <v>0.28454990440570532</v>
      </c>
      <c r="X8028" s="2">
        <f ca="1"/>
        <v>32.602566525139714</v>
      </c>
      <c r="AG8028" s="2">
        <f ca="1"/>
        <v>0.63951637281321605</v>
      </c>
      <c r="AH8028" s="2" t="str">
        <f ca="1"/>
        <v>Bad</v>
      </c>
    </row>
    <row r="8029" spans="2:34" x14ac:dyDescent="0.2">
      <c r="B8029" s="2">
        <f ca="1"/>
        <v>0.94080151744583174</v>
      </c>
      <c r="O8029" s="2">
        <f ca="1"/>
        <v>-0.29129655359637147</v>
      </c>
      <c r="X8029" s="2">
        <f ca="1"/>
        <v>86.629806549248997</v>
      </c>
      <c r="AG8029" s="2">
        <f ca="1"/>
        <v>0.69757390525847307</v>
      </c>
      <c r="AH8029" s="2" t="str">
        <f ca="1"/>
        <v>Bad</v>
      </c>
    </row>
    <row r="8030" spans="2:34" x14ac:dyDescent="0.2">
      <c r="B8030" s="2">
        <f ca="1"/>
        <v>0.97949152175613463</v>
      </c>
      <c r="O8030" s="2">
        <f ca="1"/>
        <v>-0.16269180049397752</v>
      </c>
      <c r="X8030" s="2">
        <f ca="1"/>
        <v>58.303907837977405</v>
      </c>
      <c r="AG8030" s="2">
        <f ca="1"/>
        <v>0.65307013885232768</v>
      </c>
      <c r="AH8030" s="2" t="str">
        <f ca="1"/>
        <v>Bad</v>
      </c>
    </row>
    <row r="8031" spans="2:34" x14ac:dyDescent="0.2">
      <c r="B8031" s="2">
        <f ca="1"/>
        <v>4.0357145966141372E-2</v>
      </c>
      <c r="O8031" s="2">
        <f ca="1"/>
        <v>1.777460381281915</v>
      </c>
      <c r="X8031" s="2">
        <f ca="1"/>
        <v>71.62622782347259</v>
      </c>
      <c r="AG8031" s="2">
        <f ca="1"/>
        <v>0.57886992208235788</v>
      </c>
      <c r="AH8031" s="2" t="str">
        <f ca="1"/>
        <v>Bad</v>
      </c>
    </row>
    <row r="8032" spans="2:34" x14ac:dyDescent="0.2">
      <c r="B8032" s="2">
        <f ca="1"/>
        <v>0.97373370363217671</v>
      </c>
      <c r="O8032" s="2">
        <f ca="1"/>
        <v>1.7489464580092182</v>
      </c>
      <c r="X8032" s="2">
        <f ca="1"/>
        <v>35.453790190560682</v>
      </c>
      <c r="AG8032" s="2">
        <f ca="1"/>
        <v>0.28112382715755246</v>
      </c>
      <c r="AH8032" s="2" t="str">
        <f ca="1"/>
        <v>OK</v>
      </c>
    </row>
    <row r="8033" spans="2:34" x14ac:dyDescent="0.2">
      <c r="B8033" s="2">
        <f ca="1"/>
        <v>0.60951497565259771</v>
      </c>
      <c r="O8033" s="2">
        <f ca="1"/>
        <v>-0.43714091278063344</v>
      </c>
      <c r="X8033" s="2">
        <f ca="1"/>
        <v>31.516882575623562</v>
      </c>
      <c r="AG8033" s="2">
        <f ca="1"/>
        <v>0.80456291490818965</v>
      </c>
      <c r="AH8033" s="2" t="str">
        <f ca="1"/>
        <v>Bad</v>
      </c>
    </row>
    <row r="8034" spans="2:34" x14ac:dyDescent="0.2">
      <c r="B8034" s="2">
        <f ca="1"/>
        <v>0.46000615576069626</v>
      </c>
      <c r="O8034" s="2">
        <f ca="1"/>
        <v>0.11724943820006768</v>
      </c>
      <c r="X8034" s="2">
        <f ca="1"/>
        <v>40.870521493972205</v>
      </c>
      <c r="AG8034" s="2">
        <f ca="1"/>
        <v>0.51249258691175381</v>
      </c>
      <c r="AH8034" s="2" t="str">
        <f ca="1"/>
        <v>Bad</v>
      </c>
    </row>
    <row r="8035" spans="2:34" x14ac:dyDescent="0.2">
      <c r="B8035" s="2">
        <f ca="1"/>
        <v>0.29427746367823193</v>
      </c>
      <c r="O8035" s="2">
        <f ca="1"/>
        <v>-0.33530321517662109</v>
      </c>
      <c r="X8035" s="2">
        <f ca="1"/>
        <v>56.823400513914386</v>
      </c>
      <c r="AG8035" s="2">
        <f ca="1"/>
        <v>0.28978956574910408</v>
      </c>
      <c r="AH8035" s="2" t="str">
        <f ca="1"/>
        <v>OK</v>
      </c>
    </row>
    <row r="8036" spans="2:34" x14ac:dyDescent="0.2">
      <c r="B8036" s="2">
        <f ca="1"/>
        <v>0.54501158575327535</v>
      </c>
      <c r="O8036" s="2">
        <f ca="1"/>
        <v>-0.25053391778760886</v>
      </c>
      <c r="X8036" s="2">
        <f ca="1"/>
        <v>36.740654965456628</v>
      </c>
      <c r="AG8036" s="2">
        <f ca="1"/>
        <v>6.2043757737533012E-2</v>
      </c>
      <c r="AH8036" s="2" t="str">
        <f ca="1"/>
        <v>OK</v>
      </c>
    </row>
    <row r="8037" spans="2:34" x14ac:dyDescent="0.2">
      <c r="B8037" s="2">
        <f ca="1"/>
        <v>8.3050324218226113E-2</v>
      </c>
      <c r="O8037" s="2">
        <f ca="1"/>
        <v>3.9907479592504104E-2</v>
      </c>
      <c r="X8037" s="2">
        <f ca="1"/>
        <v>48.505403165209771</v>
      </c>
      <c r="AG8037" s="2">
        <f ca="1"/>
        <v>0.49270543513695286</v>
      </c>
      <c r="AH8037" s="2" t="str">
        <f ca="1"/>
        <v>Bad</v>
      </c>
    </row>
    <row r="8038" spans="2:34" x14ac:dyDescent="0.2">
      <c r="B8038" s="2">
        <f ca="1"/>
        <v>0.79114518825951952</v>
      </c>
      <c r="O8038" s="2">
        <f ca="1"/>
        <v>-0.70570156490292768</v>
      </c>
      <c r="X8038" s="2">
        <f ca="1"/>
        <v>64.003109022332069</v>
      </c>
      <c r="AG8038" s="2">
        <f ca="1"/>
        <v>0.47358143289579946</v>
      </c>
      <c r="AH8038" s="2" t="str">
        <f ca="1"/>
        <v>Bad</v>
      </c>
    </row>
    <row r="8039" spans="2:34" x14ac:dyDescent="0.2">
      <c r="B8039" s="2">
        <f ca="1"/>
        <v>0.32597474603465049</v>
      </c>
      <c r="O8039" s="2">
        <f ca="1"/>
        <v>-0.71150599489716482</v>
      </c>
      <c r="X8039" s="2">
        <f ca="1"/>
        <v>17.646066823784668</v>
      </c>
      <c r="AG8039" s="2">
        <f ca="1"/>
        <v>0.3737787058130444</v>
      </c>
      <c r="AH8039" s="2" t="str">
        <f ca="1"/>
        <v>OK</v>
      </c>
    </row>
    <row r="8040" spans="2:34" x14ac:dyDescent="0.2">
      <c r="B8040" s="2">
        <f ca="1"/>
        <v>0.24498691384645488</v>
      </c>
      <c r="O8040" s="2">
        <f ca="1"/>
        <v>-1.2238763589355544</v>
      </c>
      <c r="X8040" s="2">
        <f ca="1"/>
        <v>44.517941380405908</v>
      </c>
      <c r="AG8040" s="2">
        <f ca="1"/>
        <v>0.59272709856352823</v>
      </c>
      <c r="AH8040" s="2" t="str">
        <f ca="1"/>
        <v>Bad</v>
      </c>
    </row>
    <row r="8041" spans="2:34" x14ac:dyDescent="0.2">
      <c r="B8041" s="2">
        <f ca="1"/>
        <v>0.97030547582233528</v>
      </c>
      <c r="O8041" s="2">
        <f ca="1"/>
        <v>-0.11204438575849021</v>
      </c>
      <c r="X8041" s="2">
        <f ca="1"/>
        <v>29.90768565120046</v>
      </c>
      <c r="AG8041" s="2">
        <f ca="1"/>
        <v>0.2637632863066397</v>
      </c>
      <c r="AH8041" s="2" t="str">
        <f ca="1"/>
        <v>OK</v>
      </c>
    </row>
    <row r="8042" spans="2:34" x14ac:dyDescent="0.2">
      <c r="B8042" s="2">
        <f ca="1"/>
        <v>0.53195632601585818</v>
      </c>
      <c r="O8042" s="2">
        <f ca="1"/>
        <v>1.1754907680182816</v>
      </c>
      <c r="X8042" s="2">
        <f ca="1"/>
        <v>66.847435620527165</v>
      </c>
      <c r="AG8042" s="2">
        <f ca="1"/>
        <v>0.71909137559700986</v>
      </c>
      <c r="AH8042" s="2" t="str">
        <f ca="1"/>
        <v>Bad</v>
      </c>
    </row>
    <row r="8043" spans="2:34" x14ac:dyDescent="0.2">
      <c r="B8043" s="2">
        <f ca="1"/>
        <v>0.44867331707626712</v>
      </c>
      <c r="O8043" s="2">
        <f ca="1"/>
        <v>1.2530120239192444</v>
      </c>
      <c r="X8043" s="2">
        <f ca="1"/>
        <v>40.409615111607692</v>
      </c>
      <c r="AG8043" s="2">
        <f ca="1"/>
        <v>0.14052060274813338</v>
      </c>
      <c r="AH8043" s="2" t="str">
        <f ca="1"/>
        <v>OK</v>
      </c>
    </row>
    <row r="8044" spans="2:34" x14ac:dyDescent="0.2">
      <c r="B8044" s="2">
        <f ca="1"/>
        <v>0.38036641111242453</v>
      </c>
      <c r="O8044" s="2">
        <f ca="1"/>
        <v>-0.17431198812125343</v>
      </c>
      <c r="X8044" s="2">
        <f ca="1"/>
        <v>38.40060400548731</v>
      </c>
      <c r="AG8044" s="2">
        <f ca="1"/>
        <v>0.49708707377964156</v>
      </c>
      <c r="AH8044" s="2" t="str">
        <f ca="1"/>
        <v>Bad</v>
      </c>
    </row>
    <row r="8045" spans="2:34" x14ac:dyDescent="0.2">
      <c r="B8045" s="2">
        <f ca="1"/>
        <v>0.64445632297654498</v>
      </c>
      <c r="O8045" s="2">
        <f ca="1"/>
        <v>-1.3346143747176924</v>
      </c>
      <c r="X8045" s="2">
        <f ca="1"/>
        <v>42.584125587279971</v>
      </c>
      <c r="AG8045" s="2">
        <f ca="1"/>
        <v>0.53334828048825678</v>
      </c>
      <c r="AH8045" s="2" t="str">
        <f ca="1"/>
        <v>Bad</v>
      </c>
    </row>
    <row r="8046" spans="2:34" x14ac:dyDescent="0.2">
      <c r="B8046" s="2">
        <f ca="1"/>
        <v>0.33718024359401144</v>
      </c>
      <c r="O8046" s="2">
        <f ca="1"/>
        <v>-0.95044079642081947</v>
      </c>
      <c r="X8046" s="2">
        <f ca="1"/>
        <v>39.635618022371723</v>
      </c>
      <c r="AG8046" s="2">
        <f ca="1"/>
        <v>0.85664012579641691</v>
      </c>
      <c r="AH8046" s="2" t="str">
        <f ca="1"/>
        <v>Bad</v>
      </c>
    </row>
    <row r="8047" spans="2:34" x14ac:dyDescent="0.2">
      <c r="B8047" s="2">
        <f ca="1"/>
        <v>2.6392250730789657E-2</v>
      </c>
      <c r="O8047" s="2">
        <f ca="1"/>
        <v>0.250603422082605</v>
      </c>
      <c r="X8047" s="2">
        <f ca="1"/>
        <v>34.038596672500603</v>
      </c>
      <c r="AG8047" s="2">
        <f ca="1"/>
        <v>0.43688839845002403</v>
      </c>
      <c r="AH8047" s="2" t="str">
        <f ca="1"/>
        <v>Bad</v>
      </c>
    </row>
    <row r="8048" spans="2:34" x14ac:dyDescent="0.2">
      <c r="B8048" s="2">
        <f ca="1"/>
        <v>2.3906393354453659E-2</v>
      </c>
      <c r="O8048" s="2">
        <f ca="1"/>
        <v>-0.61943499377367783</v>
      </c>
      <c r="X8048" s="2">
        <f ca="1"/>
        <v>39.474058562761897</v>
      </c>
      <c r="AG8048" s="2">
        <f ca="1"/>
        <v>0.10152919524071624</v>
      </c>
      <c r="AH8048" s="2" t="str">
        <f ca="1"/>
        <v>OK</v>
      </c>
    </row>
    <row r="8049" spans="2:34" x14ac:dyDescent="0.2">
      <c r="B8049" s="2">
        <f ca="1"/>
        <v>0.75423198496817379</v>
      </c>
      <c r="O8049" s="2">
        <f ca="1"/>
        <v>-1.1643082702357563</v>
      </c>
      <c r="X8049" s="2">
        <f ca="1"/>
        <v>46.881730771406815</v>
      </c>
      <c r="AG8049" s="2">
        <f ca="1"/>
        <v>0.6496074472462976</v>
      </c>
      <c r="AH8049" s="2" t="str">
        <f ca="1"/>
        <v>Bad</v>
      </c>
    </row>
    <row r="8050" spans="2:34" x14ac:dyDescent="0.2">
      <c r="B8050" s="2">
        <f ca="1"/>
        <v>0.95777262450093037</v>
      </c>
      <c r="O8050" s="2">
        <f ca="1"/>
        <v>-9.2502155519755741E-2</v>
      </c>
      <c r="X8050" s="2">
        <f ca="1"/>
        <v>84.413727438575677</v>
      </c>
      <c r="AG8050" s="2">
        <f ca="1"/>
        <v>0.40593731246680931</v>
      </c>
      <c r="AH8050" s="2" t="str">
        <f ca="1"/>
        <v>Bad</v>
      </c>
    </row>
    <row r="8051" spans="2:34" x14ac:dyDescent="0.2">
      <c r="B8051" s="2">
        <f ca="1"/>
        <v>0.56784172910943242</v>
      </c>
      <c r="O8051" s="2">
        <f ca="1"/>
        <v>1.4965204981924922</v>
      </c>
      <c r="X8051" s="2">
        <f ca="1"/>
        <v>56.178735829404943</v>
      </c>
      <c r="AG8051" s="2">
        <f ca="1"/>
        <v>0.70961244529178402</v>
      </c>
      <c r="AH8051" s="2" t="str">
        <f ca="1"/>
        <v>Bad</v>
      </c>
    </row>
    <row r="8052" spans="2:34" x14ac:dyDescent="0.2">
      <c r="B8052" s="2">
        <f ca="1"/>
        <v>0.39638130233573432</v>
      </c>
      <c r="O8052" s="2">
        <f ca="1"/>
        <v>-0.42839300630041227</v>
      </c>
      <c r="X8052" s="2">
        <f ca="1"/>
        <v>49.510090761835897</v>
      </c>
      <c r="AG8052" s="2">
        <f ca="1"/>
        <v>0.4586091106141712</v>
      </c>
      <c r="AH8052" s="2" t="str">
        <f ca="1"/>
        <v>Bad</v>
      </c>
    </row>
    <row r="8053" spans="2:34" x14ac:dyDescent="0.2">
      <c r="B8053" s="2">
        <f ca="1"/>
        <v>0.89527776137868709</v>
      </c>
      <c r="O8053" s="2">
        <f ca="1"/>
        <v>2.5402832469483019E-2</v>
      </c>
      <c r="X8053" s="2">
        <f ca="1"/>
        <v>53.255622492801542</v>
      </c>
      <c r="AG8053" s="2">
        <f ca="1"/>
        <v>0.86907686883629021</v>
      </c>
      <c r="AH8053" s="2" t="str">
        <f ca="1"/>
        <v>Bad</v>
      </c>
    </row>
    <row r="8054" spans="2:34" x14ac:dyDescent="0.2">
      <c r="B8054" s="2">
        <f ca="1"/>
        <v>5.5506534186945844E-2</v>
      </c>
      <c r="O8054" s="2">
        <f ca="1"/>
        <v>0.33010161466341043</v>
      </c>
      <c r="X8054" s="2">
        <f ca="1"/>
        <v>93.105644656476713</v>
      </c>
      <c r="AG8054" s="2">
        <f ca="1"/>
        <v>0.58111010316628531</v>
      </c>
      <c r="AH8054" s="2" t="str">
        <f ca="1"/>
        <v>Bad</v>
      </c>
    </row>
    <row r="8055" spans="2:34" x14ac:dyDescent="0.2">
      <c r="B8055" s="2">
        <f ca="1"/>
        <v>0.45928942743774481</v>
      </c>
      <c r="O8055" s="2">
        <f ca="1"/>
        <v>-0.57741295766194478</v>
      </c>
      <c r="X8055" s="2">
        <f ca="1"/>
        <v>57.44597609572893</v>
      </c>
      <c r="AG8055" s="2">
        <f ca="1"/>
        <v>0.72328259267479922</v>
      </c>
      <c r="AH8055" s="2" t="str">
        <f ca="1"/>
        <v>Bad</v>
      </c>
    </row>
    <row r="8056" spans="2:34" x14ac:dyDescent="0.2">
      <c r="B8056" s="2">
        <f ca="1"/>
        <v>0.11748366101597463</v>
      </c>
      <c r="O8056" s="2">
        <f ca="1"/>
        <v>0.63658659010538332</v>
      </c>
      <c r="X8056" s="2">
        <f ca="1"/>
        <v>40.590254690163803</v>
      </c>
      <c r="AG8056" s="2">
        <f ca="1"/>
        <v>0.78114290113417972</v>
      </c>
      <c r="AH8056" s="2" t="str">
        <f ca="1"/>
        <v>Bad</v>
      </c>
    </row>
    <row r="8057" spans="2:34" x14ac:dyDescent="0.2">
      <c r="B8057" s="2">
        <f ca="1"/>
        <v>2.376626933792414E-2</v>
      </c>
      <c r="O8057" s="2">
        <f ca="1"/>
        <v>-0.3568039249634698</v>
      </c>
      <c r="X8057" s="2">
        <f ca="1"/>
        <v>48.914678996324682</v>
      </c>
      <c r="AG8057" s="2">
        <f ca="1"/>
        <v>0.49706320100017831</v>
      </c>
      <c r="AH8057" s="2" t="str">
        <f ca="1"/>
        <v>Bad</v>
      </c>
    </row>
    <row r="8058" spans="2:34" x14ac:dyDescent="0.2">
      <c r="B8058" s="2">
        <f ca="1"/>
        <v>2.9895383303989664E-2</v>
      </c>
      <c r="O8058" s="2">
        <f ca="1"/>
        <v>-0.77369521934550012</v>
      </c>
      <c r="X8058" s="2">
        <f ca="1"/>
        <v>37.689386475643701</v>
      </c>
      <c r="AG8058" s="2">
        <f ca="1"/>
        <v>0.88062261864858216</v>
      </c>
      <c r="AH8058" s="2" t="str">
        <f ca="1"/>
        <v>Bad</v>
      </c>
    </row>
    <row r="8059" spans="2:34" x14ac:dyDescent="0.2">
      <c r="B8059" s="2">
        <f ca="1"/>
        <v>0.35767385505306559</v>
      </c>
      <c r="O8059" s="2">
        <f ca="1"/>
        <v>-0.3372698111081614</v>
      </c>
      <c r="X8059" s="2">
        <f ca="1"/>
        <v>25.529809944909093</v>
      </c>
      <c r="AG8059" s="2">
        <f ca="1"/>
        <v>4.3382674803888355E-2</v>
      </c>
      <c r="AH8059" s="2" t="str">
        <f ca="1"/>
        <v>Good</v>
      </c>
    </row>
    <row r="8060" spans="2:34" x14ac:dyDescent="0.2">
      <c r="B8060" s="2">
        <f ca="1"/>
        <v>0.28581505700190313</v>
      </c>
      <c r="O8060" s="2">
        <f ca="1"/>
        <v>-0.10078445253684452</v>
      </c>
      <c r="X8060" s="2">
        <f ca="1"/>
        <v>30.696885119487408</v>
      </c>
      <c r="AG8060" s="2">
        <f ca="1"/>
        <v>0.82294824037510006</v>
      </c>
      <c r="AH8060" s="2" t="str">
        <f ca="1"/>
        <v>Bad</v>
      </c>
    </row>
    <row r="8061" spans="2:34" x14ac:dyDescent="0.2">
      <c r="B8061" s="2">
        <f ca="1"/>
        <v>0.33332507223090468</v>
      </c>
      <c r="O8061" s="2">
        <f ca="1"/>
        <v>0.69841089394830957</v>
      </c>
      <c r="X8061" s="2">
        <f ca="1"/>
        <v>30.328632408794288</v>
      </c>
      <c r="AG8061" s="2">
        <f ca="1"/>
        <v>0.15574990809534173</v>
      </c>
      <c r="AH8061" s="2" t="str">
        <f ca="1"/>
        <v>OK</v>
      </c>
    </row>
    <row r="8062" spans="2:34" x14ac:dyDescent="0.2">
      <c r="B8062" s="2">
        <f ca="1"/>
        <v>0.47843599140484905</v>
      </c>
      <c r="O8062" s="2">
        <f ca="1"/>
        <v>0.66174320371402628</v>
      </c>
      <c r="X8062" s="2">
        <f ca="1"/>
        <v>82.397291943826261</v>
      </c>
      <c r="AG8062" s="2">
        <f ca="1"/>
        <v>0.74441740045733873</v>
      </c>
      <c r="AH8062" s="2" t="str">
        <f ca="1"/>
        <v>Bad</v>
      </c>
    </row>
    <row r="8063" spans="2:34" x14ac:dyDescent="0.2">
      <c r="B8063" s="2">
        <f ca="1"/>
        <v>0.79369399610755598</v>
      </c>
      <c r="O8063" s="2">
        <f ca="1"/>
        <v>0.82655858910412783</v>
      </c>
      <c r="X8063" s="2">
        <f ca="1"/>
        <v>56.864541377250845</v>
      </c>
      <c r="AG8063" s="2">
        <f ca="1"/>
        <v>0.96379260909084929</v>
      </c>
      <c r="AH8063" s="2" t="str">
        <f ca="1"/>
        <v>Bad</v>
      </c>
    </row>
    <row r="8064" spans="2:34" x14ac:dyDescent="0.2">
      <c r="B8064" s="2">
        <f ca="1"/>
        <v>0.39310096435110764</v>
      </c>
      <c r="O8064" s="2">
        <f ca="1"/>
        <v>-0.95559258775900457</v>
      </c>
      <c r="X8064" s="2">
        <f ca="1"/>
        <v>28.795033210979554</v>
      </c>
      <c r="AG8064" s="2">
        <f ca="1"/>
        <v>5.5706629989643597E-2</v>
      </c>
      <c r="AH8064" s="2" t="str">
        <f ca="1"/>
        <v>OK</v>
      </c>
    </row>
    <row r="8065" spans="2:34" x14ac:dyDescent="0.2">
      <c r="B8065" s="2">
        <f ca="1"/>
        <v>0.36746097141408751</v>
      </c>
      <c r="O8065" s="2">
        <f ca="1"/>
        <v>7.3111616592534262E-2</v>
      </c>
      <c r="X8065" s="2">
        <f ca="1"/>
        <v>40.209413105987451</v>
      </c>
      <c r="AG8065" s="2">
        <f ca="1"/>
        <v>0.54848395020257912</v>
      </c>
      <c r="AH8065" s="2" t="str">
        <f ca="1"/>
        <v>Bad</v>
      </c>
    </row>
    <row r="8066" spans="2:34" x14ac:dyDescent="0.2">
      <c r="B8066" s="2">
        <f ca="1"/>
        <v>0.54246689600585674</v>
      </c>
      <c r="O8066" s="2">
        <f ca="1"/>
        <v>-0.30296398602851238</v>
      </c>
      <c r="X8066" s="2">
        <f ca="1"/>
        <v>82.315902092087882</v>
      </c>
      <c r="AG8066" s="2">
        <f ca="1"/>
        <v>0.50977086674740324</v>
      </c>
      <c r="AH8066" s="2" t="str">
        <f ca="1"/>
        <v>Bad</v>
      </c>
    </row>
    <row r="8067" spans="2:34" x14ac:dyDescent="0.2">
      <c r="B8067" s="2">
        <f ca="1"/>
        <v>0.62724479451960935</v>
      </c>
      <c r="O8067" s="2">
        <f ca="1"/>
        <v>1.5793802386824702</v>
      </c>
      <c r="X8067" s="2">
        <f ca="1"/>
        <v>60.654383711124581</v>
      </c>
      <c r="AG8067" s="2">
        <f ca="1"/>
        <v>9.5854130694893458E-2</v>
      </c>
      <c r="AH8067" s="2" t="str">
        <f ca="1"/>
        <v>OK</v>
      </c>
    </row>
    <row r="8068" spans="2:34" x14ac:dyDescent="0.2">
      <c r="B8068" s="2">
        <f ca="1"/>
        <v>0.62588324991656341</v>
      </c>
      <c r="O8068" s="2">
        <f ca="1"/>
        <v>-1.3897915945000576</v>
      </c>
      <c r="X8068" s="2">
        <f ca="1"/>
        <v>61.35925247626102</v>
      </c>
      <c r="AG8068" s="2">
        <f ca="1"/>
        <v>4.1511112462470967E-2</v>
      </c>
      <c r="AH8068" s="2" t="str">
        <f ca="1"/>
        <v>Good</v>
      </c>
    </row>
    <row r="8069" spans="2:34" x14ac:dyDescent="0.2">
      <c r="B8069" s="2">
        <f ca="1"/>
        <v>0.55892657368154786</v>
      </c>
      <c r="O8069" s="2">
        <f ca="1"/>
        <v>-1.4400464342399515</v>
      </c>
      <c r="X8069" s="2">
        <f ca="1"/>
        <v>36.629193775703904</v>
      </c>
      <c r="AG8069" s="2">
        <f ca="1"/>
        <v>0.21276884150310171</v>
      </c>
      <c r="AH8069" s="2" t="str">
        <f ca="1"/>
        <v>OK</v>
      </c>
    </row>
    <row r="8070" spans="2:34" x14ac:dyDescent="0.2">
      <c r="B8070" s="2">
        <f ca="1"/>
        <v>0.11391445804841926</v>
      </c>
      <c r="O8070" s="2">
        <f ca="1"/>
        <v>-2.8217022331781285</v>
      </c>
      <c r="X8070" s="2">
        <f ca="1"/>
        <v>25.288627830526988</v>
      </c>
      <c r="AG8070" s="2">
        <f ca="1"/>
        <v>0.77086140127252079</v>
      </c>
      <c r="AH8070" s="2" t="str">
        <f ca="1"/>
        <v>Bad</v>
      </c>
    </row>
    <row r="8071" spans="2:34" x14ac:dyDescent="0.2">
      <c r="B8071" s="2">
        <f ca="1"/>
        <v>0.52659357616035996</v>
      </c>
      <c r="O8071" s="2">
        <f ca="1"/>
        <v>2.1610452824698201</v>
      </c>
      <c r="X8071" s="2">
        <f ca="1"/>
        <v>55.653529485203151</v>
      </c>
      <c r="AG8071" s="2">
        <f ca="1"/>
        <v>0.91074876171189545</v>
      </c>
      <c r="AH8071" s="2" t="str">
        <f ca="1"/>
        <v>Bad</v>
      </c>
    </row>
    <row r="8072" spans="2:34" x14ac:dyDescent="0.2">
      <c r="B8072" s="2">
        <f ca="1"/>
        <v>0.69271362000479075</v>
      </c>
      <c r="O8072" s="2">
        <f ca="1"/>
        <v>1.7464663331831478</v>
      </c>
      <c r="X8072" s="2">
        <f ca="1"/>
        <v>48.503132529666175</v>
      </c>
      <c r="AG8072" s="2">
        <f ca="1"/>
        <v>0.9715815279277642</v>
      </c>
      <c r="AH8072" s="2" t="str">
        <f ca="1"/>
        <v>Bad</v>
      </c>
    </row>
    <row r="8073" spans="2:34" x14ac:dyDescent="0.2">
      <c r="B8073" s="2">
        <f ca="1"/>
        <v>0.51592142393476892</v>
      </c>
      <c r="O8073" s="2">
        <f ca="1"/>
        <v>0.36467578936064338</v>
      </c>
      <c r="X8073" s="2">
        <f ca="1"/>
        <v>41.352000887471959</v>
      </c>
      <c r="AG8073" s="2">
        <f ca="1"/>
        <v>0.74406581290901497</v>
      </c>
      <c r="AH8073" s="2" t="str">
        <f ca="1"/>
        <v>Bad</v>
      </c>
    </row>
    <row r="8074" spans="2:34" x14ac:dyDescent="0.2">
      <c r="B8074" s="2">
        <f ca="1"/>
        <v>0.1327958727806291</v>
      </c>
      <c r="O8074" s="2">
        <f ca="1"/>
        <v>-0.6296820973242474</v>
      </c>
      <c r="X8074" s="2">
        <f ca="1"/>
        <v>69.584149270278701</v>
      </c>
      <c r="AG8074" s="2">
        <f ca="1"/>
        <v>1.8146792444623694E-2</v>
      </c>
      <c r="AH8074" s="2" t="str">
        <f ca="1"/>
        <v>Good</v>
      </c>
    </row>
    <row r="8075" spans="2:34" x14ac:dyDescent="0.2">
      <c r="B8075" s="2">
        <f ca="1"/>
        <v>0.55964172179388183</v>
      </c>
      <c r="O8075" s="2">
        <f ca="1"/>
        <v>0.13718361323528533</v>
      </c>
      <c r="X8075" s="2">
        <f ca="1"/>
        <v>41.605023614950547</v>
      </c>
      <c r="AG8075" s="2">
        <f ca="1"/>
        <v>5.6628026729897307E-2</v>
      </c>
      <c r="AH8075" s="2" t="str">
        <f ca="1"/>
        <v>OK</v>
      </c>
    </row>
    <row r="8076" spans="2:34" x14ac:dyDescent="0.2">
      <c r="B8076" s="2">
        <f ca="1"/>
        <v>0.36408411740248336</v>
      </c>
      <c r="O8076" s="2">
        <f ca="1"/>
        <v>6.4270898811729399E-2</v>
      </c>
      <c r="X8076" s="2">
        <f ca="1"/>
        <v>80.689461496083254</v>
      </c>
      <c r="AG8076" s="2">
        <f ca="1"/>
        <v>0.7988529755115219</v>
      </c>
      <c r="AH8076" s="2" t="str">
        <f ca="1"/>
        <v>Bad</v>
      </c>
    </row>
    <row r="8077" spans="2:34" x14ac:dyDescent="0.2">
      <c r="B8077" s="2">
        <f ca="1"/>
        <v>0.2227442258676795</v>
      </c>
      <c r="O8077" s="2">
        <f ca="1"/>
        <v>-0.97782504311978014</v>
      </c>
      <c r="X8077" s="2">
        <f ca="1"/>
        <v>36.688872097326147</v>
      </c>
      <c r="AG8077" s="2">
        <f ca="1"/>
        <v>0.22310877694325937</v>
      </c>
      <c r="AH8077" s="2" t="str">
        <f ca="1"/>
        <v>OK</v>
      </c>
    </row>
    <row r="8078" spans="2:34" x14ac:dyDescent="0.2">
      <c r="B8078" s="2">
        <f ca="1"/>
        <v>0.16261514483572403</v>
      </c>
      <c r="O8078" s="2">
        <f ca="1"/>
        <v>0.37738005650439865</v>
      </c>
      <c r="X8078" s="2">
        <f ca="1"/>
        <v>60.835540783926866</v>
      </c>
      <c r="AG8078" s="2">
        <f ca="1"/>
        <v>0.30173364084425769</v>
      </c>
      <c r="AH8078" s="2" t="str">
        <f ca="1"/>
        <v>OK</v>
      </c>
    </row>
    <row r="8079" spans="2:34" x14ac:dyDescent="0.2">
      <c r="B8079" s="2">
        <f ca="1"/>
        <v>5.8387523912985184E-2</v>
      </c>
      <c r="O8079" s="2">
        <f ca="1"/>
        <v>-1.478994169299338</v>
      </c>
      <c r="X8079" s="2">
        <f ca="1"/>
        <v>40.45216608360257</v>
      </c>
      <c r="AG8079" s="2">
        <f ca="1"/>
        <v>0.94863037368345204</v>
      </c>
      <c r="AH8079" s="2" t="str">
        <f ca="1"/>
        <v>Bad</v>
      </c>
    </row>
    <row r="8080" spans="2:34" x14ac:dyDescent="0.2">
      <c r="B8080" s="2">
        <f ca="1"/>
        <v>0.64016080897642946</v>
      </c>
      <c r="O8080" s="2">
        <f ca="1"/>
        <v>-1.4353388750029279</v>
      </c>
      <c r="X8080" s="2">
        <f ca="1"/>
        <v>49.65105863268132</v>
      </c>
      <c r="AG8080" s="2">
        <f ca="1"/>
        <v>0.83762759302944279</v>
      </c>
      <c r="AH8080" s="2" t="str">
        <f ca="1"/>
        <v>Bad</v>
      </c>
    </row>
    <row r="8081" spans="2:34" x14ac:dyDescent="0.2">
      <c r="B8081" s="2">
        <f ca="1"/>
        <v>0.80599205803749174</v>
      </c>
      <c r="O8081" s="2">
        <f ca="1"/>
        <v>-0.30942649527223143</v>
      </c>
      <c r="X8081" s="2">
        <f ca="1"/>
        <v>59.896398848070248</v>
      </c>
      <c r="AG8081" s="2">
        <f ca="1"/>
        <v>0.17851067591581615</v>
      </c>
      <c r="AH8081" s="2" t="str">
        <f ca="1"/>
        <v>OK</v>
      </c>
    </row>
    <row r="8082" spans="2:34" x14ac:dyDescent="0.2">
      <c r="B8082" s="2">
        <f ca="1"/>
        <v>0.84472663863551367</v>
      </c>
      <c r="O8082" s="2">
        <f ca="1"/>
        <v>-1.4804269562645749</v>
      </c>
      <c r="X8082" s="2">
        <f ca="1"/>
        <v>46.901384006943942</v>
      </c>
      <c r="AG8082" s="2">
        <f ca="1"/>
        <v>0.38365072597131755</v>
      </c>
      <c r="AH8082" s="2" t="str">
        <f ca="1"/>
        <v>OK</v>
      </c>
    </row>
    <row r="8083" spans="2:34" x14ac:dyDescent="0.2">
      <c r="B8083" s="2">
        <f ca="1"/>
        <v>0.12074184859155146</v>
      </c>
      <c r="O8083" s="2">
        <f ca="1"/>
        <v>-1.962147626918233</v>
      </c>
      <c r="X8083" s="2">
        <f ca="1"/>
        <v>45.515008397413723</v>
      </c>
      <c r="AG8083" s="2">
        <f ca="1"/>
        <v>0.72128034230256532</v>
      </c>
      <c r="AH8083" s="2" t="str">
        <f ca="1"/>
        <v>Bad</v>
      </c>
    </row>
    <row r="8084" spans="2:34" x14ac:dyDescent="0.2">
      <c r="B8084" s="2">
        <f ca="1"/>
        <v>0.18448254795686925</v>
      </c>
      <c r="O8084" s="2">
        <f ca="1"/>
        <v>0.10021833362326947</v>
      </c>
      <c r="X8084" s="2">
        <f ca="1"/>
        <v>80.045097543364804</v>
      </c>
      <c r="AG8084" s="2">
        <f ca="1"/>
        <v>0.13630650458973936</v>
      </c>
      <c r="AH8084" s="2" t="str">
        <f ca="1"/>
        <v>OK</v>
      </c>
    </row>
    <row r="8085" spans="2:34" x14ac:dyDescent="0.2">
      <c r="B8085" s="2">
        <f ca="1"/>
        <v>0.63372755268757652</v>
      </c>
      <c r="O8085" s="2">
        <f ca="1"/>
        <v>0.14484003116949945</v>
      </c>
      <c r="X8085" s="2">
        <f ca="1"/>
        <v>38.506251789298162</v>
      </c>
      <c r="AG8085" s="2">
        <f ca="1"/>
        <v>2.947084583877535E-2</v>
      </c>
      <c r="AH8085" s="2" t="str">
        <f ca="1"/>
        <v>Good</v>
      </c>
    </row>
    <row r="8086" spans="2:34" x14ac:dyDescent="0.2">
      <c r="B8086" s="2">
        <f ca="1"/>
        <v>0.86911545603634388</v>
      </c>
      <c r="O8086" s="2">
        <f ca="1"/>
        <v>1.0777379473621689</v>
      </c>
      <c r="X8086" s="2">
        <f ca="1"/>
        <v>33.889018779111495</v>
      </c>
      <c r="AG8086" s="2">
        <f ca="1"/>
        <v>5.5465757605855925E-2</v>
      </c>
      <c r="AH8086" s="2" t="str">
        <f ca="1"/>
        <v>OK</v>
      </c>
    </row>
    <row r="8087" spans="2:34" x14ac:dyDescent="0.2">
      <c r="B8087" s="2">
        <f ca="1"/>
        <v>0.28342413299319835</v>
      </c>
      <c r="O8087" s="2">
        <f ca="1"/>
        <v>-0.21458106371595387</v>
      </c>
      <c r="X8087" s="2">
        <f ca="1"/>
        <v>36.020396426700437</v>
      </c>
      <c r="AG8087" s="2">
        <f ca="1"/>
        <v>0.19864853889268663</v>
      </c>
      <c r="AH8087" s="2" t="str">
        <f ca="1"/>
        <v>OK</v>
      </c>
    </row>
    <row r="8088" spans="2:34" x14ac:dyDescent="0.2">
      <c r="B8088" s="2">
        <f ca="1"/>
        <v>0.90616867070312246</v>
      </c>
      <c r="O8088" s="2">
        <f ca="1"/>
        <v>0.74601830635702471</v>
      </c>
      <c r="X8088" s="2">
        <f ca="1"/>
        <v>32.742877715976945</v>
      </c>
      <c r="AG8088" s="2">
        <f ca="1"/>
        <v>0.33913052551669609</v>
      </c>
      <c r="AH8088" s="2" t="str">
        <f ca="1"/>
        <v>OK</v>
      </c>
    </row>
    <row r="8089" spans="2:34" x14ac:dyDescent="0.2">
      <c r="B8089" s="2">
        <f ca="1"/>
        <v>0.43746121639746116</v>
      </c>
      <c r="O8089" s="2">
        <f ca="1"/>
        <v>0.53881636598244842</v>
      </c>
      <c r="X8089" s="2">
        <f ca="1"/>
        <v>25.957897561693962</v>
      </c>
      <c r="AG8089" s="2">
        <f ca="1"/>
        <v>0.73405792635595812</v>
      </c>
      <c r="AH8089" s="2" t="str">
        <f ca="1"/>
        <v>Bad</v>
      </c>
    </row>
    <row r="8090" spans="2:34" x14ac:dyDescent="0.2">
      <c r="B8090" s="2">
        <f ca="1"/>
        <v>0.42460081385227921</v>
      </c>
      <c r="O8090" s="2">
        <f ca="1"/>
        <v>-1.4751159296525693</v>
      </c>
      <c r="X8090" s="2">
        <f ca="1"/>
        <v>40.68044601351523</v>
      </c>
      <c r="AG8090" s="2">
        <f ca="1"/>
        <v>1.7610200527947706E-2</v>
      </c>
      <c r="AH8090" s="2" t="str">
        <f ca="1"/>
        <v>Good</v>
      </c>
    </row>
    <row r="8091" spans="2:34" x14ac:dyDescent="0.2">
      <c r="B8091" s="2">
        <f ca="1"/>
        <v>0.11426117170748662</v>
      </c>
      <c r="O8091" s="2">
        <f ca="1"/>
        <v>-2.0458643939451817</v>
      </c>
      <c r="X8091" s="2">
        <f ca="1"/>
        <v>80.705438783698781</v>
      </c>
      <c r="AG8091" s="2">
        <f ca="1"/>
        <v>0.36274192316390286</v>
      </c>
      <c r="AH8091" s="2" t="str">
        <f ca="1"/>
        <v>OK</v>
      </c>
    </row>
    <row r="8092" spans="2:34" x14ac:dyDescent="0.2">
      <c r="B8092" s="2">
        <f ca="1"/>
        <v>0.53434365169799669</v>
      </c>
      <c r="O8092" s="2">
        <f ca="1"/>
        <v>-0.19916956297907748</v>
      </c>
      <c r="X8092" s="2">
        <f ca="1"/>
        <v>37.514772496133759</v>
      </c>
      <c r="AG8092" s="2">
        <f ca="1"/>
        <v>0.71947451772537852</v>
      </c>
      <c r="AH8092" s="2" t="str">
        <f ca="1"/>
        <v>Bad</v>
      </c>
    </row>
    <row r="8093" spans="2:34" x14ac:dyDescent="0.2">
      <c r="B8093" s="2">
        <f ca="1"/>
        <v>0.93422353231899291</v>
      </c>
      <c r="O8093" s="2">
        <f ca="1"/>
        <v>-0.28195482536384042</v>
      </c>
      <c r="X8093" s="2">
        <f ca="1"/>
        <v>46.674262895425002</v>
      </c>
      <c r="AG8093" s="2">
        <f ca="1"/>
        <v>0.28802497190445453</v>
      </c>
      <c r="AH8093" s="2" t="str">
        <f ca="1"/>
        <v>OK</v>
      </c>
    </row>
    <row r="8094" spans="2:34" x14ac:dyDescent="0.2">
      <c r="B8094" s="2">
        <f ca="1"/>
        <v>0.52746742555984572</v>
      </c>
      <c r="O8094" s="2">
        <f ca="1"/>
        <v>0.4283518143855482</v>
      </c>
      <c r="X8094" s="2">
        <f ca="1"/>
        <v>43.878787900929439</v>
      </c>
      <c r="AG8094" s="2">
        <f ca="1"/>
        <v>0.56914585450288691</v>
      </c>
      <c r="AH8094" s="2" t="str">
        <f ca="1"/>
        <v>Bad</v>
      </c>
    </row>
    <row r="8095" spans="2:34" x14ac:dyDescent="0.2">
      <c r="B8095" s="2">
        <f ca="1"/>
        <v>0.75956738706123605</v>
      </c>
      <c r="O8095" s="2">
        <f ca="1"/>
        <v>-0.45861557146087945</v>
      </c>
      <c r="X8095" s="2">
        <f ca="1"/>
        <v>22.927332912084751</v>
      </c>
      <c r="AG8095" s="2">
        <f ca="1"/>
        <v>0.87625269705759568</v>
      </c>
      <c r="AH8095" s="2" t="str">
        <f ca="1"/>
        <v>Bad</v>
      </c>
    </row>
    <row r="8096" spans="2:34" x14ac:dyDescent="0.2">
      <c r="B8096" s="2">
        <f ca="1"/>
        <v>0.56089676075266559</v>
      </c>
      <c r="O8096" s="2">
        <f ca="1"/>
        <v>0.24420442048700475</v>
      </c>
      <c r="X8096" s="2">
        <f ca="1"/>
        <v>69.045282347764513</v>
      </c>
      <c r="AG8096" s="2">
        <f ca="1"/>
        <v>0.85285625839268486</v>
      </c>
      <c r="AH8096" s="2" t="str">
        <f ca="1"/>
        <v>Bad</v>
      </c>
    </row>
    <row r="8097" spans="2:34" x14ac:dyDescent="0.2">
      <c r="B8097" s="2">
        <f ca="1"/>
        <v>0.79617044025616823</v>
      </c>
      <c r="O8097" s="2">
        <f ca="1"/>
        <v>-0.7891499277429872</v>
      </c>
      <c r="X8097" s="2">
        <f ca="1"/>
        <v>21.6107779023686</v>
      </c>
      <c r="AG8097" s="2">
        <f ca="1"/>
        <v>8.8084753715536701E-2</v>
      </c>
      <c r="AH8097" s="2" t="str">
        <f ca="1"/>
        <v>OK</v>
      </c>
    </row>
    <row r="8098" spans="2:34" x14ac:dyDescent="0.2">
      <c r="B8098" s="2">
        <f ca="1"/>
        <v>0.44807935771108021</v>
      </c>
      <c r="O8098" s="2">
        <f ca="1"/>
        <v>-2.8045833976123231</v>
      </c>
      <c r="X8098" s="2">
        <f ca="1"/>
        <v>37.585509252823243</v>
      </c>
      <c r="AG8098" s="2">
        <f ca="1"/>
        <v>0.5614003490983277</v>
      </c>
      <c r="AH8098" s="2" t="str">
        <f ca="1"/>
        <v>Bad</v>
      </c>
    </row>
    <row r="8099" spans="2:34" x14ac:dyDescent="0.2">
      <c r="B8099" s="2">
        <f ca="1"/>
        <v>0.40138422941256557</v>
      </c>
      <c r="O8099" s="2">
        <f ca="1"/>
        <v>-0.41949407505044939</v>
      </c>
      <c r="X8099" s="2">
        <f ca="1"/>
        <v>71.230963338946566</v>
      </c>
      <c r="AG8099" s="2">
        <f ca="1"/>
        <v>0.56007410681844982</v>
      </c>
      <c r="AH8099" s="2" t="str">
        <f ca="1"/>
        <v>Bad</v>
      </c>
    </row>
    <row r="8100" spans="2:34" x14ac:dyDescent="0.2">
      <c r="B8100" s="2">
        <f ca="1"/>
        <v>0.55708485308649847</v>
      </c>
      <c r="O8100" s="2">
        <f ca="1"/>
        <v>0.23590835047124276</v>
      </c>
      <c r="X8100" s="2">
        <f ca="1"/>
        <v>45.015641891561614</v>
      </c>
      <c r="AG8100" s="2">
        <f ca="1"/>
        <v>0.87406267028730289</v>
      </c>
      <c r="AH8100" s="2" t="str">
        <f ca="1"/>
        <v>Bad</v>
      </c>
    </row>
    <row r="8101" spans="2:34" x14ac:dyDescent="0.2">
      <c r="B8101" s="2">
        <f ca="1"/>
        <v>0.12671459791250617</v>
      </c>
      <c r="O8101" s="2">
        <f ca="1"/>
        <v>0.39145073439575534</v>
      </c>
      <c r="X8101" s="2">
        <f ca="1"/>
        <v>21.747178961837236</v>
      </c>
      <c r="AG8101" s="2">
        <f ca="1"/>
        <v>0.9928285199669622</v>
      </c>
      <c r="AH8101" s="2" t="str">
        <f ca="1"/>
        <v>Bad</v>
      </c>
    </row>
    <row r="8102" spans="2:34" x14ac:dyDescent="0.2">
      <c r="B8102" s="2">
        <f ca="1"/>
        <v>0.1681606692802291</v>
      </c>
      <c r="O8102" s="2">
        <f ca="1"/>
        <v>1.549978864048968</v>
      </c>
      <c r="X8102" s="2">
        <f ca="1"/>
        <v>38.358677980367524</v>
      </c>
      <c r="AG8102" s="2">
        <f ca="1"/>
        <v>0.76249247615127724</v>
      </c>
      <c r="AH8102" s="2" t="str">
        <f ca="1"/>
        <v>Bad</v>
      </c>
    </row>
    <row r="8103" spans="2:34" x14ac:dyDescent="0.2">
      <c r="B8103" s="2">
        <f ca="1"/>
        <v>0.69167916779101213</v>
      </c>
      <c r="O8103" s="2">
        <f ca="1"/>
        <v>-1.0632968096381095</v>
      </c>
      <c r="X8103" s="2">
        <f ca="1"/>
        <v>36.885729308395121</v>
      </c>
      <c r="AG8103" s="2">
        <f ca="1"/>
        <v>0.95980762919840834</v>
      </c>
      <c r="AH8103" s="2" t="str">
        <f ca="1"/>
        <v>Bad</v>
      </c>
    </row>
    <row r="8104" spans="2:34" x14ac:dyDescent="0.2">
      <c r="B8104" s="2">
        <f ca="1"/>
        <v>5.5508641467611142E-2</v>
      </c>
      <c r="O8104" s="2">
        <f ca="1"/>
        <v>0.77021113994607115</v>
      </c>
      <c r="X8104" s="2">
        <f ca="1"/>
        <v>56.232280781361226</v>
      </c>
      <c r="AG8104" s="2">
        <f ca="1"/>
        <v>0.76627413885040707</v>
      </c>
      <c r="AH8104" s="2" t="str">
        <f ca="1"/>
        <v>Bad</v>
      </c>
    </row>
    <row r="8105" spans="2:34" x14ac:dyDescent="0.2">
      <c r="B8105" s="2">
        <f ca="1"/>
        <v>0.80305928415710359</v>
      </c>
      <c r="O8105" s="2">
        <f ca="1"/>
        <v>0.11953764260723418</v>
      </c>
      <c r="X8105" s="2">
        <f ca="1"/>
        <v>47.525080559079484</v>
      </c>
      <c r="AG8105" s="2">
        <f ca="1"/>
        <v>0.73712675489224844</v>
      </c>
      <c r="AH8105" s="2" t="str">
        <f ca="1"/>
        <v>Bad</v>
      </c>
    </row>
    <row r="8106" spans="2:34" x14ac:dyDescent="0.2">
      <c r="B8106" s="2">
        <f ca="1"/>
        <v>0.16885811992644428</v>
      </c>
      <c r="O8106" s="2">
        <f ca="1"/>
        <v>-0.21854718021297512</v>
      </c>
      <c r="X8106" s="2">
        <f ca="1"/>
        <v>29.563915606074623</v>
      </c>
      <c r="AG8106" s="2">
        <f ca="1"/>
        <v>0.25698926075228101</v>
      </c>
      <c r="AH8106" s="2" t="str">
        <f ca="1"/>
        <v>OK</v>
      </c>
    </row>
    <row r="8107" spans="2:34" x14ac:dyDescent="0.2">
      <c r="B8107" s="2">
        <f ca="1"/>
        <v>0.4493062059830033</v>
      </c>
      <c r="O8107" s="2">
        <f ca="1"/>
        <v>-7.1936805947947921E-2</v>
      </c>
      <c r="X8107" s="2">
        <f ca="1"/>
        <v>64.025422336779798</v>
      </c>
      <c r="AG8107" s="2">
        <f ca="1"/>
        <v>0.85683338446391089</v>
      </c>
      <c r="AH8107" s="2" t="str">
        <f ca="1"/>
        <v>Bad</v>
      </c>
    </row>
    <row r="8108" spans="2:34" x14ac:dyDescent="0.2">
      <c r="B8108" s="2">
        <f ca="1"/>
        <v>0.94047419541254551</v>
      </c>
      <c r="O8108" s="2">
        <f ca="1"/>
        <v>-0.72868350705580454</v>
      </c>
      <c r="X8108" s="2">
        <f ca="1"/>
        <v>58.599074295818063</v>
      </c>
      <c r="AG8108" s="2">
        <f ca="1"/>
        <v>0.26467969728684371</v>
      </c>
      <c r="AH8108" s="2" t="str">
        <f ca="1"/>
        <v>OK</v>
      </c>
    </row>
    <row r="8109" spans="2:34" x14ac:dyDescent="0.2">
      <c r="B8109" s="2">
        <f ca="1"/>
        <v>0.56629580041953731</v>
      </c>
      <c r="O8109" s="2">
        <f ca="1"/>
        <v>-0.50122700641463225</v>
      </c>
      <c r="X8109" s="2">
        <f ca="1"/>
        <v>37.902133353061096</v>
      </c>
      <c r="AG8109" s="2">
        <f ca="1"/>
        <v>0.82368431473750681</v>
      </c>
      <c r="AH8109" s="2" t="str">
        <f ca="1"/>
        <v>Bad</v>
      </c>
    </row>
    <row r="8110" spans="2:34" x14ac:dyDescent="0.2">
      <c r="B8110" s="2">
        <f ca="1"/>
        <v>1.485258935337419E-2</v>
      </c>
      <c r="O8110" s="2">
        <f ca="1"/>
        <v>-0.17201381836252377</v>
      </c>
      <c r="X8110" s="2">
        <f ca="1"/>
        <v>25.050976347304079</v>
      </c>
      <c r="AG8110" s="2">
        <f ca="1"/>
        <v>0.67397033536289408</v>
      </c>
      <c r="AH8110" s="2" t="str">
        <f ca="1"/>
        <v>Bad</v>
      </c>
    </row>
    <row r="8111" spans="2:34" x14ac:dyDescent="0.2">
      <c r="B8111" s="2">
        <f ca="1"/>
        <v>2.5340993540388768E-2</v>
      </c>
      <c r="O8111" s="2">
        <f ca="1"/>
        <v>-0.96705847483701801</v>
      </c>
      <c r="X8111" s="2">
        <f ca="1"/>
        <v>97.780777747243917</v>
      </c>
      <c r="AG8111" s="2">
        <f ca="1"/>
        <v>0.37068035556605494</v>
      </c>
      <c r="AH8111" s="2" t="str">
        <f ca="1"/>
        <v>OK</v>
      </c>
    </row>
    <row r="8112" spans="2:34" x14ac:dyDescent="0.2">
      <c r="B8112" s="2">
        <f ca="1"/>
        <v>0.42372677169168615</v>
      </c>
      <c r="O8112" s="2">
        <f ca="1"/>
        <v>-0.86152107237034004</v>
      </c>
      <c r="X8112" s="2">
        <f ca="1"/>
        <v>40.257862087335113</v>
      </c>
      <c r="AG8112" s="2">
        <f ca="1"/>
        <v>0.97695873610780248</v>
      </c>
      <c r="AH8112" s="2" t="str">
        <f ca="1"/>
        <v>Bad</v>
      </c>
    </row>
    <row r="8113" spans="2:34" x14ac:dyDescent="0.2">
      <c r="B8113" s="2">
        <f ca="1"/>
        <v>0.38151330677309159</v>
      </c>
      <c r="O8113" s="2">
        <f ca="1"/>
        <v>0.26920473653067989</v>
      </c>
      <c r="X8113" s="2">
        <f ca="1"/>
        <v>31.748913459530364</v>
      </c>
      <c r="AG8113" s="2">
        <f ca="1"/>
        <v>9.4229768633426803E-2</v>
      </c>
      <c r="AH8113" s="2" t="str">
        <f ca="1"/>
        <v>OK</v>
      </c>
    </row>
    <row r="8114" spans="2:34" x14ac:dyDescent="0.2">
      <c r="B8114" s="2">
        <f ca="1"/>
        <v>0.32331363396354895</v>
      </c>
      <c r="O8114" s="2">
        <f ca="1"/>
        <v>-0.86220245816730201</v>
      </c>
      <c r="X8114" s="2">
        <f ca="1"/>
        <v>25.333152635822927</v>
      </c>
      <c r="AG8114" s="2">
        <f ca="1"/>
        <v>0.29112695745170614</v>
      </c>
      <c r="AH8114" s="2" t="str">
        <f ca="1"/>
        <v>OK</v>
      </c>
    </row>
    <row r="8115" spans="2:34" x14ac:dyDescent="0.2">
      <c r="B8115" s="2">
        <f ca="1"/>
        <v>0.44071254914983693</v>
      </c>
      <c r="O8115" s="2">
        <f ca="1"/>
        <v>6.9471185307995689E-2</v>
      </c>
      <c r="X8115" s="2">
        <f ca="1"/>
        <v>45.404165744063995</v>
      </c>
      <c r="AG8115" s="2">
        <f ca="1"/>
        <v>0.57139049013657739</v>
      </c>
      <c r="AH8115" s="2" t="str">
        <f ca="1"/>
        <v>Bad</v>
      </c>
    </row>
    <row r="8116" spans="2:34" x14ac:dyDescent="0.2">
      <c r="B8116" s="2">
        <f ca="1"/>
        <v>7.4538083867492499E-2</v>
      </c>
      <c r="O8116" s="2">
        <f ca="1"/>
        <v>-0.22533221180538493</v>
      </c>
      <c r="X8116" s="2">
        <f ca="1"/>
        <v>23.430157556323334</v>
      </c>
      <c r="AG8116" s="2">
        <f ca="1"/>
        <v>0.49690815087856</v>
      </c>
      <c r="AH8116" s="2" t="str">
        <f ca="1"/>
        <v>Bad</v>
      </c>
    </row>
    <row r="8117" spans="2:34" x14ac:dyDescent="0.2">
      <c r="B8117" s="2">
        <f ca="1"/>
        <v>0.19644690826760525</v>
      </c>
      <c r="O8117" s="2">
        <f ca="1"/>
        <v>1.4803905260964825</v>
      </c>
      <c r="X8117" s="2">
        <f ca="1"/>
        <v>105.92050817966583</v>
      </c>
      <c r="AG8117" s="2">
        <f ca="1"/>
        <v>0.32388398021607423</v>
      </c>
      <c r="AH8117" s="2" t="str">
        <f ca="1"/>
        <v>OK</v>
      </c>
    </row>
    <row r="8118" spans="2:34" x14ac:dyDescent="0.2">
      <c r="B8118" s="2">
        <f ca="1"/>
        <v>0.39154165708889943</v>
      </c>
      <c r="O8118" s="2">
        <f ca="1"/>
        <v>5.3767973597772405E-2</v>
      </c>
      <c r="X8118" s="2">
        <f ca="1"/>
        <v>40.571584031152469</v>
      </c>
      <c r="AG8118" s="2">
        <f ca="1"/>
        <v>0.63505786390337815</v>
      </c>
      <c r="AH8118" s="2" t="str">
        <f ca="1"/>
        <v>Bad</v>
      </c>
    </row>
    <row r="8119" spans="2:34" x14ac:dyDescent="0.2">
      <c r="B8119" s="2">
        <f ca="1"/>
        <v>0.22724180848558384</v>
      </c>
      <c r="O8119" s="2">
        <f ca="1"/>
        <v>0.2414409428968847</v>
      </c>
      <c r="X8119" s="2">
        <f ca="1"/>
        <v>42.639615289455371</v>
      </c>
      <c r="AG8119" s="2">
        <f ca="1"/>
        <v>0.83321390398605288</v>
      </c>
      <c r="AH8119" s="2" t="str">
        <f ca="1"/>
        <v>Bad</v>
      </c>
    </row>
    <row r="8120" spans="2:34" x14ac:dyDescent="0.2">
      <c r="B8120" s="2">
        <f ca="1"/>
        <v>0.32894929891081115</v>
      </c>
      <c r="O8120" s="2">
        <f ca="1"/>
        <v>-2.1654441349596558</v>
      </c>
      <c r="X8120" s="2">
        <f ca="1"/>
        <v>82.41551812446167</v>
      </c>
      <c r="AG8120" s="2">
        <f ca="1"/>
        <v>0.69528766955510024</v>
      </c>
      <c r="AH8120" s="2" t="str">
        <f ca="1"/>
        <v>Bad</v>
      </c>
    </row>
    <row r="8121" spans="2:34" x14ac:dyDescent="0.2">
      <c r="B8121" s="2">
        <f ca="1"/>
        <v>0.482984475635724</v>
      </c>
      <c r="O8121" s="2">
        <f ca="1"/>
        <v>-0.90224138899448192</v>
      </c>
      <c r="X8121" s="2">
        <f ca="1"/>
        <v>40.213117928192759</v>
      </c>
      <c r="AG8121" s="2">
        <f ca="1"/>
        <v>0.29677569673197146</v>
      </c>
      <c r="AH8121" s="2" t="str">
        <f ca="1"/>
        <v>OK</v>
      </c>
    </row>
    <row r="8122" spans="2:34" x14ac:dyDescent="0.2">
      <c r="B8122" s="2">
        <f ca="1"/>
        <v>9.1262360661909847E-2</v>
      </c>
      <c r="O8122" s="2">
        <f ca="1"/>
        <v>-0.14086122366932494</v>
      </c>
      <c r="X8122" s="2">
        <f ca="1"/>
        <v>56.195087413721296</v>
      </c>
      <c r="AG8122" s="2">
        <f ca="1"/>
        <v>0.87115451137514666</v>
      </c>
      <c r="AH8122" s="2" t="str">
        <f ca="1"/>
        <v>Bad</v>
      </c>
    </row>
    <row r="8123" spans="2:34" x14ac:dyDescent="0.2">
      <c r="B8123" s="2">
        <f ca="1"/>
        <v>0.5781731745185259</v>
      </c>
      <c r="O8123" s="2">
        <f ca="1"/>
        <v>-5.641501500533104E-2</v>
      </c>
      <c r="X8123" s="2">
        <f ca="1"/>
        <v>52.962640595090789</v>
      </c>
      <c r="AG8123" s="2">
        <f ca="1"/>
        <v>0.10594061752186446</v>
      </c>
      <c r="AH8123" s="2" t="str">
        <f ca="1"/>
        <v>OK</v>
      </c>
    </row>
    <row r="8124" spans="2:34" x14ac:dyDescent="0.2">
      <c r="B8124" s="2">
        <f ca="1"/>
        <v>0.36930207411073357</v>
      </c>
      <c r="O8124" s="2">
        <f ca="1"/>
        <v>-1.4613424073756522</v>
      </c>
      <c r="X8124" s="2">
        <f ca="1"/>
        <v>38.537232066117483</v>
      </c>
      <c r="AG8124" s="2">
        <f ca="1"/>
        <v>0.51496716360282613</v>
      </c>
      <c r="AH8124" s="2" t="str">
        <f ca="1"/>
        <v>Bad</v>
      </c>
    </row>
    <row r="8125" spans="2:34" x14ac:dyDescent="0.2">
      <c r="B8125" s="2">
        <f ca="1"/>
        <v>4.7666151136148027E-2</v>
      </c>
      <c r="O8125" s="2">
        <f ca="1"/>
        <v>-1.0649628534034827</v>
      </c>
      <c r="X8125" s="2">
        <f ca="1"/>
        <v>61.794445920450507</v>
      </c>
      <c r="AG8125" s="2">
        <f ca="1"/>
        <v>0.87451756213595355</v>
      </c>
      <c r="AH8125" s="2" t="str">
        <f ca="1"/>
        <v>Bad</v>
      </c>
    </row>
    <row r="8126" spans="2:34" x14ac:dyDescent="0.2">
      <c r="B8126" s="2">
        <f ca="1"/>
        <v>0.18043394444797389</v>
      </c>
      <c r="O8126" s="2">
        <f ca="1"/>
        <v>-0.72635173022448518</v>
      </c>
      <c r="X8126" s="2">
        <f ca="1"/>
        <v>75.853997730718774</v>
      </c>
      <c r="AG8126" s="2">
        <f ca="1"/>
        <v>0.67184350796674375</v>
      </c>
      <c r="AH8126" s="2" t="str">
        <f ca="1"/>
        <v>Bad</v>
      </c>
    </row>
    <row r="8127" spans="2:34" x14ac:dyDescent="0.2">
      <c r="B8127" s="2">
        <f ca="1"/>
        <v>0.90618045865343455</v>
      </c>
      <c r="O8127" s="2">
        <f ca="1"/>
        <v>0.41436448300273981</v>
      </c>
      <c r="X8127" s="2">
        <f ca="1"/>
        <v>87.842340888510137</v>
      </c>
      <c r="AG8127" s="2">
        <f ca="1"/>
        <v>0.21905903651888337</v>
      </c>
      <c r="AH8127" s="2" t="str">
        <f ca="1"/>
        <v>OK</v>
      </c>
    </row>
    <row r="8128" spans="2:34" x14ac:dyDescent="0.2">
      <c r="B8128" s="2">
        <f ca="1"/>
        <v>0.19527443685881063</v>
      </c>
      <c r="O8128" s="2">
        <f ca="1"/>
        <v>-1.3155682400693509</v>
      </c>
      <c r="X8128" s="2">
        <f ca="1"/>
        <v>38.227972559039529</v>
      </c>
      <c r="AG8128" s="2">
        <f ca="1"/>
        <v>0.47531327011416269</v>
      </c>
      <c r="AH8128" s="2" t="str">
        <f ca="1"/>
        <v>Bad</v>
      </c>
    </row>
    <row r="8129" spans="2:34" x14ac:dyDescent="0.2">
      <c r="B8129" s="2">
        <f ca="1"/>
        <v>0.6910139697911899</v>
      </c>
      <c r="O8129" s="2">
        <f ca="1"/>
        <v>-0.52071757172079736</v>
      </c>
      <c r="X8129" s="2">
        <f ca="1"/>
        <v>73.601835172310388</v>
      </c>
      <c r="AG8129" s="2">
        <f ca="1"/>
        <v>0.91542675950073682</v>
      </c>
      <c r="AH8129" s="2" t="str">
        <f ca="1"/>
        <v>Bad</v>
      </c>
    </row>
    <row r="8130" spans="2:34" x14ac:dyDescent="0.2">
      <c r="B8130" s="2">
        <f ca="1"/>
        <v>0.22335165703700666</v>
      </c>
      <c r="O8130" s="2">
        <f ca="1"/>
        <v>0.92413766215549553</v>
      </c>
      <c r="X8130" s="2">
        <f ca="1"/>
        <v>42.907864966591546</v>
      </c>
      <c r="AG8130" s="2">
        <f ca="1"/>
        <v>0.48128814065814107</v>
      </c>
      <c r="AH8130" s="2" t="str">
        <f ca="1"/>
        <v>Bad</v>
      </c>
    </row>
    <row r="8131" spans="2:34" x14ac:dyDescent="0.2">
      <c r="B8131" s="2">
        <f ca="1"/>
        <v>0.45900520189450744</v>
      </c>
      <c r="O8131" s="2">
        <f ca="1"/>
        <v>1.4493320413662334</v>
      </c>
      <c r="X8131" s="2">
        <f ca="1"/>
        <v>34.554525751355371</v>
      </c>
      <c r="AG8131" s="2">
        <f ca="1"/>
        <v>0.46448754328795383</v>
      </c>
      <c r="AH8131" s="2" t="str">
        <f ca="1"/>
        <v>Bad</v>
      </c>
    </row>
    <row r="8132" spans="2:34" x14ac:dyDescent="0.2">
      <c r="B8132" s="2">
        <f ca="1"/>
        <v>0.93022001694878154</v>
      </c>
      <c r="O8132" s="2">
        <f ca="1"/>
        <v>0.2155081222122846</v>
      </c>
      <c r="X8132" s="2">
        <f ca="1"/>
        <v>67.748353086882062</v>
      </c>
      <c r="AG8132" s="2">
        <f ca="1"/>
        <v>0.82314129110417822</v>
      </c>
      <c r="AH8132" s="2" t="str">
        <f ca="1"/>
        <v>Bad</v>
      </c>
    </row>
    <row r="8133" spans="2:34" x14ac:dyDescent="0.2">
      <c r="B8133" s="2">
        <f ca="1"/>
        <v>0.38815356625268804</v>
      </c>
      <c r="O8133" s="2">
        <f ca="1"/>
        <v>-0.25470281339015344</v>
      </c>
      <c r="X8133" s="2">
        <f ca="1"/>
        <v>44.214708166679401</v>
      </c>
      <c r="AG8133" s="2">
        <f ca="1"/>
        <v>0.51314623021651262</v>
      </c>
      <c r="AH8133" s="2" t="str">
        <f ca="1"/>
        <v>Bad</v>
      </c>
    </row>
    <row r="8134" spans="2:34" x14ac:dyDescent="0.2">
      <c r="B8134" s="2">
        <f ca="1"/>
        <v>0.5812411711618124</v>
      </c>
      <c r="O8134" s="2">
        <f ca="1"/>
        <v>1.1831303213194653</v>
      </c>
      <c r="X8134" s="2">
        <f ca="1"/>
        <v>41.300420827705693</v>
      </c>
      <c r="AG8134" s="2">
        <f ca="1"/>
        <v>0.73945655289156242</v>
      </c>
      <c r="AH8134" s="2" t="str">
        <f ca="1"/>
        <v>Bad</v>
      </c>
    </row>
    <row r="8135" spans="2:34" x14ac:dyDescent="0.2">
      <c r="B8135" s="2">
        <f ca="1"/>
        <v>1.6155496746805387E-2</v>
      </c>
      <c r="O8135" s="2">
        <f ca="1"/>
        <v>0.1769697197151551</v>
      </c>
      <c r="X8135" s="2">
        <f ca="1"/>
        <v>63.745302520446714</v>
      </c>
      <c r="AG8135" s="2">
        <f ca="1"/>
        <v>0.37355172499168665</v>
      </c>
      <c r="AH8135" s="2" t="str">
        <f ca="1"/>
        <v>OK</v>
      </c>
    </row>
    <row r="8136" spans="2:34" x14ac:dyDescent="0.2">
      <c r="B8136" s="2">
        <f ca="1"/>
        <v>0.41529869574004263</v>
      </c>
      <c r="O8136" s="2">
        <f ca="1"/>
        <v>0.2206433302833497</v>
      </c>
      <c r="X8136" s="2">
        <f ca="1"/>
        <v>48.876065285543461</v>
      </c>
      <c r="AG8136" s="2">
        <f ca="1"/>
        <v>0.19817704645129552</v>
      </c>
      <c r="AH8136" s="2" t="str">
        <f ca="1"/>
        <v>OK</v>
      </c>
    </row>
    <row r="8137" spans="2:34" x14ac:dyDescent="0.2">
      <c r="B8137" s="2">
        <f ca="1"/>
        <v>0.70115092387180855</v>
      </c>
      <c r="O8137" s="2">
        <f ca="1"/>
        <v>-0.33537686013330614</v>
      </c>
      <c r="X8137" s="2">
        <f ca="1"/>
        <v>35.654894277457466</v>
      </c>
      <c r="AG8137" s="2">
        <f ca="1"/>
        <v>0.39309536165432268</v>
      </c>
      <c r="AH8137" s="2" t="str">
        <f ca="1"/>
        <v>OK</v>
      </c>
    </row>
    <row r="8138" spans="2:34" x14ac:dyDescent="0.2">
      <c r="B8138" s="2">
        <f ca="1"/>
        <v>0.89760587722110774</v>
      </c>
      <c r="O8138" s="2">
        <f ca="1"/>
        <v>0.47355243499473637</v>
      </c>
      <c r="X8138" s="2">
        <f ca="1"/>
        <v>37.805189948115711</v>
      </c>
      <c r="AG8138" s="2">
        <f ca="1"/>
        <v>0.82304930911550644</v>
      </c>
      <c r="AH8138" s="2" t="str">
        <f ca="1"/>
        <v>Bad</v>
      </c>
    </row>
    <row r="8139" spans="2:34" x14ac:dyDescent="0.2">
      <c r="B8139" s="2">
        <f ca="1"/>
        <v>0.43959522643986371</v>
      </c>
      <c r="O8139" s="2">
        <f ca="1"/>
        <v>-0.5182343687438038</v>
      </c>
      <c r="X8139" s="2">
        <f ca="1"/>
        <v>46.801623240910487</v>
      </c>
      <c r="AG8139" s="2">
        <f ca="1"/>
        <v>0.70912426134992135</v>
      </c>
      <c r="AH8139" s="2" t="str">
        <f ca="1"/>
        <v>Bad</v>
      </c>
    </row>
    <row r="8140" spans="2:34" x14ac:dyDescent="0.2">
      <c r="B8140" s="2">
        <f ca="1"/>
        <v>0.76046938487972993</v>
      </c>
      <c r="O8140" s="2">
        <f ca="1"/>
        <v>-0.12034626525189299</v>
      </c>
      <c r="X8140" s="2">
        <f ca="1"/>
        <v>54.589248307595</v>
      </c>
      <c r="AG8140" s="2">
        <f ca="1"/>
        <v>0.41647552478679661</v>
      </c>
      <c r="AH8140" s="2" t="str">
        <f ca="1"/>
        <v>Bad</v>
      </c>
    </row>
    <row r="8141" spans="2:34" x14ac:dyDescent="0.2">
      <c r="B8141" s="2">
        <f ca="1"/>
        <v>0.27199185430162398</v>
      </c>
      <c r="O8141" s="2">
        <f ca="1"/>
        <v>0.32159868081036797</v>
      </c>
      <c r="X8141" s="2">
        <f ca="1"/>
        <v>36.486419572410981</v>
      </c>
      <c r="AG8141" s="2">
        <f ca="1"/>
        <v>0.26773016060966759</v>
      </c>
      <c r="AH8141" s="2" t="str">
        <f ca="1"/>
        <v>OK</v>
      </c>
    </row>
    <row r="8142" spans="2:34" x14ac:dyDescent="0.2">
      <c r="B8142" s="2">
        <f ca="1"/>
        <v>6.1906971949674761E-2</v>
      </c>
      <c r="O8142" s="2">
        <f ca="1"/>
        <v>-0.51692697728103465</v>
      </c>
      <c r="X8142" s="2">
        <f ca="1"/>
        <v>43.002619453166631</v>
      </c>
      <c r="AG8142" s="2">
        <f ca="1"/>
        <v>0.40475764723497476</v>
      </c>
      <c r="AH8142" s="2" t="str">
        <f ca="1"/>
        <v>Bad</v>
      </c>
    </row>
    <row r="8143" spans="2:34" x14ac:dyDescent="0.2">
      <c r="B8143" s="2">
        <f ca="1"/>
        <v>0.80425083185383772</v>
      </c>
      <c r="O8143" s="2">
        <f ca="1"/>
        <v>1.0476321443619423</v>
      </c>
      <c r="X8143" s="2">
        <f ca="1"/>
        <v>36.45531655627564</v>
      </c>
      <c r="AG8143" s="2">
        <f ca="1"/>
        <v>0.6880655402059197</v>
      </c>
      <c r="AH8143" s="2" t="str">
        <f ca="1"/>
        <v>Bad</v>
      </c>
    </row>
    <row r="8144" spans="2:34" x14ac:dyDescent="0.2">
      <c r="B8144" s="2">
        <f ca="1"/>
        <v>0.71702268224391941</v>
      </c>
      <c r="O8144" s="2">
        <f ca="1"/>
        <v>-1.2834162298189777</v>
      </c>
      <c r="X8144" s="2">
        <f ca="1"/>
        <v>70.948693179242056</v>
      </c>
      <c r="AG8144" s="2">
        <f ca="1"/>
        <v>0.41007099856234497</v>
      </c>
      <c r="AH8144" s="2" t="str">
        <f ca="1"/>
        <v>Bad</v>
      </c>
    </row>
    <row r="8145" spans="2:34" x14ac:dyDescent="0.2">
      <c r="B8145" s="2">
        <f ca="1"/>
        <v>0.17997857509079518</v>
      </c>
      <c r="O8145" s="2">
        <f ca="1"/>
        <v>0.22253137249134136</v>
      </c>
      <c r="X8145" s="2">
        <f ca="1"/>
        <v>72.456269262010082</v>
      </c>
      <c r="AG8145" s="2">
        <f ca="1"/>
        <v>0.4696180480855916</v>
      </c>
      <c r="AH8145" s="2" t="str">
        <f ca="1"/>
        <v>Bad</v>
      </c>
    </row>
    <row r="8146" spans="2:34" x14ac:dyDescent="0.2">
      <c r="B8146" s="2">
        <f ca="1"/>
        <v>0.85465915465751752</v>
      </c>
      <c r="O8146" s="2">
        <f ca="1"/>
        <v>0.27943630631517957</v>
      </c>
      <c r="X8146" s="2">
        <f ca="1"/>
        <v>33.799083977906001</v>
      </c>
      <c r="AG8146" s="2">
        <f ca="1"/>
        <v>0.35479011319336906</v>
      </c>
      <c r="AH8146" s="2" t="str">
        <f ca="1"/>
        <v>OK</v>
      </c>
    </row>
    <row r="8147" spans="2:34" x14ac:dyDescent="0.2">
      <c r="B8147" s="2">
        <f ca="1"/>
        <v>0.76861013720899418</v>
      </c>
      <c r="O8147" s="2">
        <f ca="1"/>
        <v>0.84576612409776408</v>
      </c>
      <c r="X8147" s="2">
        <f ca="1"/>
        <v>37.062134818220301</v>
      </c>
      <c r="AG8147" s="2">
        <f ca="1"/>
        <v>0.40474563202551095</v>
      </c>
      <c r="AH8147" s="2" t="str">
        <f ca="1"/>
        <v>Bad</v>
      </c>
    </row>
    <row r="8148" spans="2:34" x14ac:dyDescent="0.2">
      <c r="B8148" s="2">
        <f ca="1"/>
        <v>0.2055721945127309</v>
      </c>
      <c r="O8148" s="2">
        <f ca="1"/>
        <v>-0.44624775978914016</v>
      </c>
      <c r="X8148" s="2">
        <f ca="1"/>
        <v>36.882151791844521</v>
      </c>
      <c r="AG8148" s="2">
        <f ca="1"/>
        <v>7.6687412838345237E-2</v>
      </c>
      <c r="AH8148" s="2" t="str">
        <f ca="1"/>
        <v>OK</v>
      </c>
    </row>
    <row r="8149" spans="2:34" x14ac:dyDescent="0.2">
      <c r="B8149" s="2">
        <f ca="1"/>
        <v>5.0734096959973662E-2</v>
      </c>
      <c r="O8149" s="2">
        <f ca="1"/>
        <v>0.2745170851078329</v>
      </c>
      <c r="X8149" s="2">
        <f ca="1"/>
        <v>71.014893785200087</v>
      </c>
      <c r="AG8149" s="2">
        <f ca="1"/>
        <v>1.6142161642692887E-2</v>
      </c>
      <c r="AH8149" s="2" t="str">
        <f ca="1"/>
        <v>Good</v>
      </c>
    </row>
    <row r="8150" spans="2:34" x14ac:dyDescent="0.2">
      <c r="B8150" s="2">
        <f ca="1"/>
        <v>0.53334284692375578</v>
      </c>
      <c r="O8150" s="2">
        <f ca="1"/>
        <v>0.76737860646106326</v>
      </c>
      <c r="X8150" s="2">
        <f ca="1"/>
        <v>32.813675094287348</v>
      </c>
      <c r="AG8150" s="2">
        <f ca="1"/>
        <v>0.13178699141292238</v>
      </c>
      <c r="AH8150" s="2" t="str">
        <f ca="1"/>
        <v>OK</v>
      </c>
    </row>
    <row r="8151" spans="2:34" x14ac:dyDescent="0.2">
      <c r="B8151" s="2">
        <f ca="1"/>
        <v>0.69114753605524148</v>
      </c>
      <c r="O8151" s="2">
        <f ca="1"/>
        <v>1.2239092953464898</v>
      </c>
      <c r="X8151" s="2">
        <f ca="1"/>
        <v>41.509865877125506</v>
      </c>
      <c r="AG8151" s="2">
        <f ca="1"/>
        <v>0.63237378844029091</v>
      </c>
      <c r="AH8151" s="2" t="str">
        <f ca="1"/>
        <v>Bad</v>
      </c>
    </row>
    <row r="8152" spans="2:34" x14ac:dyDescent="0.2">
      <c r="B8152" s="2">
        <f ca="1"/>
        <v>0.6195045101283907</v>
      </c>
      <c r="O8152" s="2">
        <f ca="1"/>
        <v>0.95715765028340272</v>
      </c>
      <c r="X8152" s="2">
        <f ca="1"/>
        <v>60.547527098104595</v>
      </c>
      <c r="AG8152" s="2">
        <f ca="1"/>
        <v>0.67620304529456532</v>
      </c>
      <c r="AH8152" s="2" t="str">
        <f ca="1"/>
        <v>Bad</v>
      </c>
    </row>
    <row r="8153" spans="2:34" x14ac:dyDescent="0.2">
      <c r="B8153" s="2">
        <f ca="1"/>
        <v>0.40588990495651855</v>
      </c>
      <c r="O8153" s="2">
        <f ca="1"/>
        <v>-6.4095716872076075E-2</v>
      </c>
      <c r="X8153" s="2">
        <f ca="1"/>
        <v>44.752540487070632</v>
      </c>
      <c r="AG8153" s="2">
        <f ca="1"/>
        <v>0.43262575750554033</v>
      </c>
      <c r="AH8153" s="2" t="str">
        <f ca="1"/>
        <v>Bad</v>
      </c>
    </row>
    <row r="8154" spans="2:34" x14ac:dyDescent="0.2">
      <c r="B8154" s="2">
        <f ca="1"/>
        <v>0.47272302484372863</v>
      </c>
      <c r="O8154" s="2">
        <f ca="1"/>
        <v>-0.33153777110124028</v>
      </c>
      <c r="X8154" s="2">
        <f ca="1"/>
        <v>49.73768666322897</v>
      </c>
      <c r="AG8154" s="2">
        <f ca="1"/>
        <v>0.77589819268196014</v>
      </c>
      <c r="AH8154" s="2" t="str">
        <f ca="1"/>
        <v>Bad</v>
      </c>
    </row>
    <row r="8155" spans="2:34" x14ac:dyDescent="0.2">
      <c r="B8155" s="2">
        <f ca="1"/>
        <v>0.94061414562289913</v>
      </c>
      <c r="O8155" s="2">
        <f ca="1"/>
        <v>-0.43269926336123249</v>
      </c>
      <c r="X8155" s="2">
        <f ca="1"/>
        <v>31.969364430259798</v>
      </c>
      <c r="AG8155" s="2">
        <f ca="1"/>
        <v>0.83607282057924492</v>
      </c>
      <c r="AH8155" s="2" t="str">
        <f ca="1"/>
        <v>Bad</v>
      </c>
    </row>
    <row r="8156" spans="2:34" x14ac:dyDescent="0.2">
      <c r="B8156" s="2">
        <f ca="1"/>
        <v>0.28776798811889437</v>
      </c>
      <c r="O8156" s="2">
        <f ca="1"/>
        <v>0.53653252942529772</v>
      </c>
      <c r="X8156" s="2">
        <f ca="1"/>
        <v>49.314777060809696</v>
      </c>
      <c r="AG8156" s="2">
        <f ca="1"/>
        <v>0.43397746008175986</v>
      </c>
      <c r="AH8156" s="2" t="str">
        <f ca="1"/>
        <v>Bad</v>
      </c>
    </row>
    <row r="8157" spans="2:34" x14ac:dyDescent="0.2">
      <c r="B8157" s="2">
        <f ca="1"/>
        <v>0.96538118022131547</v>
      </c>
      <c r="O8157" s="2">
        <f ca="1"/>
        <v>-0.12589809210064107</v>
      </c>
      <c r="X8157" s="2">
        <f ca="1"/>
        <v>45.122084326114027</v>
      </c>
      <c r="AG8157" s="2">
        <f ca="1"/>
        <v>0.16015637067817212</v>
      </c>
      <c r="AH8157" s="2" t="str">
        <f ca="1"/>
        <v>OK</v>
      </c>
    </row>
    <row r="8158" spans="2:34" x14ac:dyDescent="0.2">
      <c r="B8158" s="2">
        <f ca="1"/>
        <v>0.11896373126867865</v>
      </c>
      <c r="O8158" s="2">
        <f ca="1"/>
        <v>-0.59561740347794978</v>
      </c>
      <c r="X8158" s="2">
        <f ca="1"/>
        <v>22.486276710879988</v>
      </c>
      <c r="AG8158" s="2">
        <f ca="1"/>
        <v>0.35780606301628937</v>
      </c>
      <c r="AH8158" s="2" t="str">
        <f ca="1"/>
        <v>OK</v>
      </c>
    </row>
    <row r="8159" spans="2:34" x14ac:dyDescent="0.2">
      <c r="B8159" s="2">
        <f ca="1"/>
        <v>6.7271015734458484E-2</v>
      </c>
      <c r="O8159" s="2">
        <f ca="1"/>
        <v>-0.88588832374612558</v>
      </c>
      <c r="X8159" s="2">
        <f ca="1"/>
        <v>58.790259247315085</v>
      </c>
      <c r="AG8159" s="2">
        <f ca="1"/>
        <v>0.84714935183316675</v>
      </c>
      <c r="AH8159" s="2" t="str">
        <f ca="1"/>
        <v>Bad</v>
      </c>
    </row>
    <row r="8160" spans="2:34" x14ac:dyDescent="0.2">
      <c r="B8160" s="2">
        <f ca="1"/>
        <v>0.2305231448159657</v>
      </c>
      <c r="O8160" s="2">
        <f ca="1"/>
        <v>0.70490715693867001</v>
      </c>
      <c r="X8160" s="2">
        <f ca="1"/>
        <v>23.669034332067259</v>
      </c>
      <c r="AG8160" s="2">
        <f ca="1"/>
        <v>0.96959287486334156</v>
      </c>
      <c r="AH8160" s="2" t="str">
        <f ca="1"/>
        <v>Bad</v>
      </c>
    </row>
    <row r="8161" spans="2:34" x14ac:dyDescent="0.2">
      <c r="B8161" s="2">
        <f ca="1"/>
        <v>0.56001633843852083</v>
      </c>
      <c r="O8161" s="2">
        <f ca="1"/>
        <v>-0.54787811335738423</v>
      </c>
      <c r="X8161" s="2">
        <f ca="1"/>
        <v>42.470405291954251</v>
      </c>
      <c r="AG8161" s="2">
        <f ca="1"/>
        <v>8.396123385517007E-2</v>
      </c>
      <c r="AH8161" s="2" t="str">
        <f ca="1"/>
        <v>OK</v>
      </c>
    </row>
    <row r="8162" spans="2:34" x14ac:dyDescent="0.2">
      <c r="B8162" s="2">
        <f ca="1"/>
        <v>0.32371920177379865</v>
      </c>
      <c r="O8162" s="2">
        <f ca="1"/>
        <v>0.53318846506119777</v>
      </c>
      <c r="X8162" s="2">
        <f ca="1"/>
        <v>42.555865374375429</v>
      </c>
      <c r="AG8162" s="2">
        <f ca="1"/>
        <v>0.31181378145308258</v>
      </c>
      <c r="AH8162" s="2" t="str">
        <f ca="1"/>
        <v>OK</v>
      </c>
    </row>
    <row r="8163" spans="2:34" x14ac:dyDescent="0.2">
      <c r="B8163" s="2">
        <f ca="1"/>
        <v>0.50365511658329498</v>
      </c>
      <c r="O8163" s="2">
        <f ca="1"/>
        <v>-1.1410430904852229</v>
      </c>
      <c r="X8163" s="2">
        <f ca="1"/>
        <v>26.738988878701161</v>
      </c>
      <c r="AG8163" s="2">
        <f ca="1"/>
        <v>0.5403772776894018</v>
      </c>
      <c r="AH8163" s="2" t="str">
        <f ca="1"/>
        <v>Bad</v>
      </c>
    </row>
    <row r="8164" spans="2:34" x14ac:dyDescent="0.2">
      <c r="B8164" s="2">
        <f ca="1"/>
        <v>0.15052539025892475</v>
      </c>
      <c r="O8164" s="2">
        <f ca="1"/>
        <v>-0.51711699020857482</v>
      </c>
      <c r="X8164" s="2">
        <f ca="1"/>
        <v>54.304028132470414</v>
      </c>
      <c r="AG8164" s="2">
        <f ca="1"/>
        <v>0.33092062320832305</v>
      </c>
      <c r="AH8164" s="2" t="str">
        <f ca="1"/>
        <v>OK</v>
      </c>
    </row>
    <row r="8165" spans="2:34" x14ac:dyDescent="0.2">
      <c r="B8165" s="2">
        <f ca="1"/>
        <v>0.28788410530612407</v>
      </c>
      <c r="O8165" s="2">
        <f ca="1"/>
        <v>-0.78633655707466177</v>
      </c>
      <c r="X8165" s="2">
        <f ca="1"/>
        <v>50.408098163004659</v>
      </c>
      <c r="AG8165" s="2">
        <f ca="1"/>
        <v>0.28427355480981653</v>
      </c>
      <c r="AH8165" s="2" t="str">
        <f ca="1"/>
        <v>OK</v>
      </c>
    </row>
    <row r="8166" spans="2:34" x14ac:dyDescent="0.2">
      <c r="B8166" s="2">
        <f ca="1"/>
        <v>0.74739374468202069</v>
      </c>
      <c r="O8166" s="2">
        <f ca="1"/>
        <v>1.2337347037257902</v>
      </c>
      <c r="X8166" s="2">
        <f ca="1"/>
        <v>28.119902425062723</v>
      </c>
      <c r="AG8166" s="2">
        <f ca="1"/>
        <v>0.47127156724025321</v>
      </c>
      <c r="AH8166" s="2" t="str">
        <f ca="1"/>
        <v>Bad</v>
      </c>
    </row>
    <row r="8167" spans="2:34" x14ac:dyDescent="0.2">
      <c r="B8167" s="2">
        <f ca="1"/>
        <v>0.41423325184779958</v>
      </c>
      <c r="O8167" s="2">
        <f ca="1"/>
        <v>-1.1225699492507348</v>
      </c>
      <c r="X8167" s="2">
        <f ca="1"/>
        <v>50.814918356423526</v>
      </c>
      <c r="AG8167" s="2">
        <f ca="1"/>
        <v>0.35911254933595571</v>
      </c>
      <c r="AH8167" s="2" t="str">
        <f ca="1"/>
        <v>OK</v>
      </c>
    </row>
    <row r="8168" spans="2:34" x14ac:dyDescent="0.2">
      <c r="B8168" s="2">
        <f ca="1"/>
        <v>0.14459585199606395</v>
      </c>
      <c r="O8168" s="2">
        <f ca="1"/>
        <v>0.40642701868355385</v>
      </c>
      <c r="X8168" s="2">
        <f ca="1"/>
        <v>49.272151373550642</v>
      </c>
      <c r="AG8168" s="2">
        <f ca="1"/>
        <v>0.80672418325197759</v>
      </c>
      <c r="AH8168" s="2" t="str">
        <f ca="1"/>
        <v>Bad</v>
      </c>
    </row>
    <row r="8169" spans="2:34" x14ac:dyDescent="0.2">
      <c r="B8169" s="2">
        <f ca="1"/>
        <v>0.22475722639348561</v>
      </c>
      <c r="O8169" s="2">
        <f ca="1"/>
        <v>-0.3410155659010819</v>
      </c>
      <c r="X8169" s="2">
        <f ca="1"/>
        <v>46.541120366416479</v>
      </c>
      <c r="AG8169" s="2">
        <f ca="1"/>
        <v>0.53954859519480292</v>
      </c>
      <c r="AH8169" s="2" t="str">
        <f ca="1"/>
        <v>Bad</v>
      </c>
    </row>
    <row r="8170" spans="2:34" x14ac:dyDescent="0.2">
      <c r="B8170" s="2">
        <f ca="1"/>
        <v>0.60483973033612615</v>
      </c>
      <c r="O8170" s="2">
        <f ca="1"/>
        <v>-0.46790791244019014</v>
      </c>
      <c r="X8170" s="2">
        <f ca="1"/>
        <v>70.470766635685393</v>
      </c>
      <c r="AG8170" s="2">
        <f ca="1"/>
        <v>0.16554483808899012</v>
      </c>
      <c r="AH8170" s="2" t="str">
        <f ca="1"/>
        <v>OK</v>
      </c>
    </row>
    <row r="8171" spans="2:34" x14ac:dyDescent="0.2">
      <c r="B8171" s="2">
        <f ca="1"/>
        <v>0.6843616165873736</v>
      </c>
      <c r="O8171" s="2">
        <f ca="1"/>
        <v>-1.0106990320393907</v>
      </c>
      <c r="X8171" s="2">
        <f ca="1"/>
        <v>37.796255948098519</v>
      </c>
      <c r="AG8171" s="2">
        <f ca="1"/>
        <v>0.60992791051244044</v>
      </c>
      <c r="AH8171" s="2" t="str">
        <f ca="1"/>
        <v>Bad</v>
      </c>
    </row>
    <row r="8172" spans="2:34" x14ac:dyDescent="0.2">
      <c r="B8172" s="2">
        <f ca="1"/>
        <v>0.63147735435913654</v>
      </c>
      <c r="O8172" s="2">
        <f ca="1"/>
        <v>-0.19285365743386521</v>
      </c>
      <c r="X8172" s="2">
        <f ca="1"/>
        <v>88.164875308836031</v>
      </c>
      <c r="AG8172" s="2">
        <f ca="1"/>
        <v>0.62584164288967248</v>
      </c>
      <c r="AH8172" s="2" t="str">
        <f ca="1"/>
        <v>Bad</v>
      </c>
    </row>
    <row r="8173" spans="2:34" x14ac:dyDescent="0.2">
      <c r="B8173" s="2">
        <f ca="1"/>
        <v>0.88509552749754805</v>
      </c>
      <c r="O8173" s="2">
        <f ca="1"/>
        <v>-0.36379041354856945</v>
      </c>
      <c r="X8173" s="2">
        <f ca="1"/>
        <v>73.451275686559413</v>
      </c>
      <c r="AG8173" s="2">
        <f ca="1"/>
        <v>0.64567461319963582</v>
      </c>
      <c r="AH8173" s="2" t="str">
        <f ca="1"/>
        <v>Bad</v>
      </c>
    </row>
    <row r="8174" spans="2:34" x14ac:dyDescent="0.2">
      <c r="B8174" s="2">
        <f ca="1"/>
        <v>0.2156284053709101</v>
      </c>
      <c r="O8174" s="2">
        <f ca="1"/>
        <v>0.22079714705028153</v>
      </c>
      <c r="X8174" s="2">
        <f ca="1"/>
        <v>27.833897322626399</v>
      </c>
      <c r="AG8174" s="2">
        <f ca="1"/>
        <v>0.44878332328889003</v>
      </c>
      <c r="AH8174" s="2" t="str">
        <f ca="1"/>
        <v>Bad</v>
      </c>
    </row>
    <row r="8175" spans="2:34" x14ac:dyDescent="0.2">
      <c r="B8175" s="2">
        <f ca="1"/>
        <v>0.78325173916809487</v>
      </c>
      <c r="O8175" s="2">
        <f ca="1"/>
        <v>-1.1828298131817703</v>
      </c>
      <c r="X8175" s="2">
        <f ca="1"/>
        <v>41.041509150513626</v>
      </c>
      <c r="AG8175" s="2">
        <f ca="1"/>
        <v>0.95894014637457681</v>
      </c>
      <c r="AH8175" s="2" t="str">
        <f ca="1"/>
        <v>Bad</v>
      </c>
    </row>
    <row r="8176" spans="2:34" x14ac:dyDescent="0.2">
      <c r="B8176" s="2">
        <f ca="1"/>
        <v>0.20763907347659138</v>
      </c>
      <c r="O8176" s="2">
        <f ca="1"/>
        <v>1.1244995590724385</v>
      </c>
      <c r="X8176" s="2">
        <f ca="1"/>
        <v>40.570040192454151</v>
      </c>
      <c r="AG8176" s="2">
        <f ca="1"/>
        <v>0.4942388404571183</v>
      </c>
      <c r="AH8176" s="2" t="str">
        <f ca="1"/>
        <v>Bad</v>
      </c>
    </row>
    <row r="8177" spans="2:34" x14ac:dyDescent="0.2">
      <c r="B8177" s="2">
        <f ca="1"/>
        <v>0.72702374993962238</v>
      </c>
      <c r="O8177" s="2">
        <f ca="1"/>
        <v>-1.2918772710967772</v>
      </c>
      <c r="X8177" s="2">
        <f ca="1"/>
        <v>47.232815648310257</v>
      </c>
      <c r="AG8177" s="2">
        <f ca="1"/>
        <v>0.18055377940605633</v>
      </c>
      <c r="AH8177" s="2" t="str">
        <f ca="1"/>
        <v>OK</v>
      </c>
    </row>
    <row r="8178" spans="2:34" x14ac:dyDescent="0.2">
      <c r="B8178" s="2">
        <f ca="1"/>
        <v>0.39492003960741373</v>
      </c>
      <c r="O8178" s="2">
        <f ca="1"/>
        <v>1.3011948605673633</v>
      </c>
      <c r="X8178" s="2">
        <f ca="1"/>
        <v>38.820492403613819</v>
      </c>
      <c r="AG8178" s="2">
        <f ca="1"/>
        <v>0.17754714148156925</v>
      </c>
      <c r="AH8178" s="2" t="str">
        <f ca="1"/>
        <v>OK</v>
      </c>
    </row>
    <row r="8179" spans="2:34" x14ac:dyDescent="0.2">
      <c r="B8179" s="2">
        <f ca="1"/>
        <v>0.25353231348240834</v>
      </c>
      <c r="O8179" s="2">
        <f ca="1"/>
        <v>-1.4352714270565268</v>
      </c>
      <c r="X8179" s="2">
        <f ca="1"/>
        <v>36.39245651657528</v>
      </c>
      <c r="AG8179" s="2">
        <f ca="1"/>
        <v>0.14146384836776882</v>
      </c>
      <c r="AH8179" s="2" t="str">
        <f ca="1"/>
        <v>OK</v>
      </c>
    </row>
    <row r="8180" spans="2:34" x14ac:dyDescent="0.2">
      <c r="B8180" s="2">
        <f ca="1"/>
        <v>0.3380469559810233</v>
      </c>
      <c r="O8180" s="2">
        <f ca="1"/>
        <v>-1.2581968924848594</v>
      </c>
      <c r="X8180" s="2">
        <f ca="1"/>
        <v>73.554824404407583</v>
      </c>
      <c r="AG8180" s="2">
        <f ca="1"/>
        <v>0.89111073985198597</v>
      </c>
      <c r="AH8180" s="2" t="str">
        <f ca="1"/>
        <v>Bad</v>
      </c>
    </row>
    <row r="8181" spans="2:34" x14ac:dyDescent="0.2">
      <c r="B8181" s="2">
        <f ca="1"/>
        <v>0.18418765767893586</v>
      </c>
      <c r="O8181" s="2">
        <f ca="1"/>
        <v>-0.72907301912224642</v>
      </c>
      <c r="X8181" s="2">
        <f ca="1"/>
        <v>57.227539124089361</v>
      </c>
      <c r="AG8181" s="2">
        <f ca="1"/>
        <v>0.16492942529794097</v>
      </c>
      <c r="AH8181" s="2" t="str">
        <f ca="1"/>
        <v>OK</v>
      </c>
    </row>
    <row r="8182" spans="2:34" x14ac:dyDescent="0.2">
      <c r="B8182" s="2">
        <f ca="1"/>
        <v>0.14289497895474534</v>
      </c>
      <c r="O8182" s="2">
        <f ca="1"/>
        <v>1.4411441970419465</v>
      </c>
      <c r="X8182" s="2">
        <f ca="1"/>
        <v>60.531698782801094</v>
      </c>
      <c r="AG8182" s="2">
        <f ca="1"/>
        <v>0.22889627544288205</v>
      </c>
      <c r="AH8182" s="2" t="str">
        <f ca="1"/>
        <v>OK</v>
      </c>
    </row>
    <row r="8183" spans="2:34" x14ac:dyDescent="0.2">
      <c r="B8183" s="2">
        <f ca="1"/>
        <v>0.88610291224403182</v>
      </c>
      <c r="O8183" s="2">
        <f ca="1"/>
        <v>-0.52664231774392256</v>
      </c>
      <c r="X8183" s="2">
        <f ca="1"/>
        <v>41.792393212196039</v>
      </c>
      <c r="AG8183" s="2">
        <f ca="1"/>
        <v>0.1073248298510896</v>
      </c>
      <c r="AH8183" s="2" t="str">
        <f ca="1"/>
        <v>OK</v>
      </c>
    </row>
    <row r="8184" spans="2:34" x14ac:dyDescent="0.2">
      <c r="B8184" s="2">
        <f ca="1"/>
        <v>0.30484538173939346</v>
      </c>
      <c r="O8184" s="2">
        <f ca="1"/>
        <v>0.6503131043132081</v>
      </c>
      <c r="X8184" s="2">
        <f ca="1"/>
        <v>64.881374774376198</v>
      </c>
      <c r="AG8184" s="2">
        <f ca="1"/>
        <v>0.43542078893742375</v>
      </c>
      <c r="AH8184" s="2" t="str">
        <f ca="1"/>
        <v>Bad</v>
      </c>
    </row>
    <row r="8185" spans="2:34" x14ac:dyDescent="0.2">
      <c r="B8185" s="2">
        <f ca="1"/>
        <v>0.86327731435858057</v>
      </c>
      <c r="O8185" s="2">
        <f ca="1"/>
        <v>-0.22566779047266775</v>
      </c>
      <c r="X8185" s="2">
        <f ca="1"/>
        <v>37.033666259187846</v>
      </c>
      <c r="AG8185" s="2">
        <f ca="1"/>
        <v>0.39598548407464129</v>
      </c>
      <c r="AH8185" s="2" t="str">
        <f ca="1"/>
        <v>OK</v>
      </c>
    </row>
    <row r="8186" spans="2:34" x14ac:dyDescent="0.2">
      <c r="B8186" s="2">
        <f ca="1"/>
        <v>0.68590232581794686</v>
      </c>
      <c r="O8186" s="2">
        <f ca="1"/>
        <v>1.262199037208072</v>
      </c>
      <c r="X8186" s="2">
        <f ca="1"/>
        <v>43.802534467953429</v>
      </c>
      <c r="AG8186" s="2">
        <f ca="1"/>
        <v>2.7015334692559234E-2</v>
      </c>
      <c r="AH8186" s="2" t="str">
        <f ca="1"/>
        <v>Good</v>
      </c>
    </row>
    <row r="8187" spans="2:34" x14ac:dyDescent="0.2">
      <c r="B8187" s="2">
        <f ca="1"/>
        <v>0.14906089731683991</v>
      </c>
      <c r="O8187" s="2">
        <f ca="1"/>
        <v>-0.33997921883321358</v>
      </c>
      <c r="X8187" s="2">
        <f ca="1"/>
        <v>51.330338862773878</v>
      </c>
      <c r="AG8187" s="2">
        <f ca="1"/>
        <v>7.4319761468000234E-3</v>
      </c>
      <c r="AH8187" s="2" t="str">
        <f ca="1"/>
        <v>Good</v>
      </c>
    </row>
    <row r="8188" spans="2:34" x14ac:dyDescent="0.2">
      <c r="B8188" s="2">
        <f ca="1"/>
        <v>0.29543546375714014</v>
      </c>
      <c r="O8188" s="2">
        <f ca="1"/>
        <v>0.94893113568847309</v>
      </c>
      <c r="X8188" s="2">
        <f ca="1"/>
        <v>71.939067494987697</v>
      </c>
      <c r="AG8188" s="2">
        <f ca="1"/>
        <v>0.20164460561072928</v>
      </c>
      <c r="AH8188" s="2" t="str">
        <f ca="1"/>
        <v>OK</v>
      </c>
    </row>
    <row r="8189" spans="2:34" x14ac:dyDescent="0.2">
      <c r="B8189" s="2">
        <f ca="1"/>
        <v>0.81952832917169238</v>
      </c>
      <c r="O8189" s="2">
        <f ca="1"/>
        <v>-0.40677636772813425</v>
      </c>
      <c r="X8189" s="2">
        <f ca="1"/>
        <v>24.507359146133716</v>
      </c>
      <c r="AG8189" s="2">
        <f ca="1"/>
        <v>0.54236892406930481</v>
      </c>
      <c r="AH8189" s="2" t="str">
        <f ca="1"/>
        <v>Bad</v>
      </c>
    </row>
    <row r="8190" spans="2:34" x14ac:dyDescent="0.2">
      <c r="B8190" s="2">
        <f ca="1"/>
        <v>0.57871218000628155</v>
      </c>
      <c r="O8190" s="2">
        <f ca="1"/>
        <v>-2.7391536866358095</v>
      </c>
      <c r="X8190" s="2">
        <f ca="1"/>
        <v>64.084805664495818</v>
      </c>
      <c r="AG8190" s="2">
        <f ca="1"/>
        <v>0.30811080965005755</v>
      </c>
      <c r="AH8190" s="2" t="str">
        <f ca="1"/>
        <v>OK</v>
      </c>
    </row>
    <row r="8191" spans="2:34" x14ac:dyDescent="0.2">
      <c r="B8191" s="2">
        <f ca="1"/>
        <v>0.63460518257942655</v>
      </c>
      <c r="O8191" s="2">
        <f ca="1"/>
        <v>0.52040014667974566</v>
      </c>
      <c r="X8191" s="2">
        <f ca="1"/>
        <v>50.761197071315109</v>
      </c>
      <c r="AG8191" s="2">
        <f ca="1"/>
        <v>0.8961257278024648</v>
      </c>
      <c r="AH8191" s="2" t="str">
        <f ca="1"/>
        <v>Bad</v>
      </c>
    </row>
    <row r="8192" spans="2:34" x14ac:dyDescent="0.2">
      <c r="B8192" s="2">
        <f ca="1"/>
        <v>0.37934167291550902</v>
      </c>
      <c r="O8192" s="2">
        <f ca="1"/>
        <v>0.19643253506419553</v>
      </c>
      <c r="X8192" s="2">
        <f ca="1"/>
        <v>36.716190254499082</v>
      </c>
      <c r="AG8192" s="2">
        <f ca="1"/>
        <v>0.17723495147150015</v>
      </c>
      <c r="AH8192" s="2" t="str">
        <f ca="1"/>
        <v>OK</v>
      </c>
    </row>
    <row r="8193" spans="2:34" x14ac:dyDescent="0.2">
      <c r="B8193" s="2">
        <f ca="1"/>
        <v>0.87959441916292347</v>
      </c>
      <c r="O8193" s="2">
        <f ca="1"/>
        <v>0.25386155524038728</v>
      </c>
      <c r="X8193" s="2">
        <f ca="1"/>
        <v>31.773826727120653</v>
      </c>
      <c r="AG8193" s="2">
        <f ca="1"/>
        <v>5.0293937338774519E-4</v>
      </c>
      <c r="AH8193" s="2" t="str">
        <f ca="1"/>
        <v>Good</v>
      </c>
    </row>
    <row r="8194" spans="2:34" x14ac:dyDescent="0.2">
      <c r="B8194" s="2">
        <f ca="1"/>
        <v>0.85598553763796326</v>
      </c>
      <c r="O8194" s="2">
        <f ca="1"/>
        <v>-0.66912333110643052</v>
      </c>
      <c r="X8194" s="2">
        <f ca="1"/>
        <v>76.860955152442529</v>
      </c>
      <c r="AG8194" s="2">
        <f ca="1"/>
        <v>0.33178952096680558</v>
      </c>
      <c r="AH8194" s="2" t="str">
        <f ca="1"/>
        <v>OK</v>
      </c>
    </row>
    <row r="8195" spans="2:34" x14ac:dyDescent="0.2">
      <c r="B8195" s="2">
        <f ca="1"/>
        <v>0.89910665620908192</v>
      </c>
      <c r="O8195" s="2">
        <f ca="1"/>
        <v>-0.13958565474092333</v>
      </c>
      <c r="X8195" s="2">
        <f ca="1"/>
        <v>55.231503400717592</v>
      </c>
      <c r="AG8195" s="2">
        <f ca="1"/>
        <v>0.80861236300145301</v>
      </c>
      <c r="AH8195" s="2" t="str">
        <f ca="1"/>
        <v>Bad</v>
      </c>
    </row>
    <row r="8196" spans="2:34" x14ac:dyDescent="0.2">
      <c r="B8196" s="2">
        <f ca="1"/>
        <v>0.55195489891361404</v>
      </c>
      <c r="O8196" s="2">
        <f ca="1"/>
        <v>-1.1633703334748573E-2</v>
      </c>
      <c r="X8196" s="2">
        <f ca="1"/>
        <v>45.492169336979266</v>
      </c>
      <c r="AG8196" s="2">
        <f ca="1"/>
        <v>0.5912042843359584</v>
      </c>
      <c r="AH8196" s="2" t="str">
        <f ca="1"/>
        <v>Bad</v>
      </c>
    </row>
    <row r="8197" spans="2:34" x14ac:dyDescent="0.2">
      <c r="B8197" s="2">
        <f ca="1"/>
        <v>0.88870243643802138</v>
      </c>
      <c r="O8197" s="2">
        <f ca="1"/>
        <v>1.4885189598479571</v>
      </c>
      <c r="X8197" s="2">
        <f ca="1"/>
        <v>49.504194973998565</v>
      </c>
      <c r="AG8197" s="2">
        <f ca="1"/>
        <v>4.1741174277410309E-2</v>
      </c>
      <c r="AH8197" s="2" t="str">
        <f ca="1"/>
        <v>Good</v>
      </c>
    </row>
    <row r="8198" spans="2:34" x14ac:dyDescent="0.2">
      <c r="B8198" s="2">
        <f ca="1"/>
        <v>0.34859216174100061</v>
      </c>
      <c r="O8198" s="2">
        <f ca="1"/>
        <v>1.048529316281418</v>
      </c>
      <c r="X8198" s="2">
        <f ca="1"/>
        <v>37.021695333429776</v>
      </c>
      <c r="AG8198" s="2">
        <f ca="1"/>
        <v>0.36333186526237515</v>
      </c>
      <c r="AH8198" s="2" t="str">
        <f ca="1"/>
        <v>OK</v>
      </c>
    </row>
    <row r="8199" spans="2:34" x14ac:dyDescent="0.2">
      <c r="B8199" s="2">
        <f ca="1"/>
        <v>0.2073154009427951</v>
      </c>
      <c r="O8199" s="2">
        <f ca="1"/>
        <v>-0.49476671392848326</v>
      </c>
      <c r="X8199" s="2">
        <f ca="1"/>
        <v>47.102846920650848</v>
      </c>
      <c r="AG8199" s="2">
        <f ca="1"/>
        <v>0.58559287184238729</v>
      </c>
      <c r="AH8199" s="2" t="str">
        <f ca="1"/>
        <v>Bad</v>
      </c>
    </row>
    <row r="8200" spans="2:34" x14ac:dyDescent="0.2">
      <c r="B8200" s="2">
        <f ca="1"/>
        <v>0.22968304688957186</v>
      </c>
      <c r="O8200" s="2">
        <f ca="1"/>
        <v>0.53607374556008114</v>
      </c>
      <c r="X8200" s="2">
        <f ca="1"/>
        <v>38.639139470661071</v>
      </c>
      <c r="AG8200" s="2">
        <f ca="1"/>
        <v>0.90421645751129964</v>
      </c>
      <c r="AH8200" s="2" t="str">
        <f ca="1"/>
        <v>Bad</v>
      </c>
    </row>
    <row r="8201" spans="2:34" x14ac:dyDescent="0.2">
      <c r="B8201" s="2">
        <f ca="1"/>
        <v>0.6034217121433576</v>
      </c>
      <c r="O8201" s="2">
        <f ca="1"/>
        <v>-0.86222446203417025</v>
      </c>
      <c r="X8201" s="2">
        <f ca="1"/>
        <v>49.311294939946457</v>
      </c>
      <c r="AG8201" s="2">
        <f ca="1"/>
        <v>0.14601849944849499</v>
      </c>
      <c r="AH8201" s="2" t="str">
        <f ca="1"/>
        <v>OK</v>
      </c>
    </row>
    <row r="8202" spans="2:34" x14ac:dyDescent="0.2">
      <c r="B8202" s="2">
        <f ca="1"/>
        <v>0.50323849423911038</v>
      </c>
      <c r="O8202" s="2">
        <f ca="1"/>
        <v>0.19212428944199664</v>
      </c>
      <c r="X8202" s="2">
        <f ca="1"/>
        <v>28.040944505192172</v>
      </c>
      <c r="AG8202" s="2">
        <f ca="1"/>
        <v>0.30712027798827224</v>
      </c>
      <c r="AH8202" s="2" t="str">
        <f ca="1"/>
        <v>OK</v>
      </c>
    </row>
    <row r="8203" spans="2:34" x14ac:dyDescent="0.2">
      <c r="B8203" s="2">
        <f ca="1"/>
        <v>0.68208814334116274</v>
      </c>
      <c r="O8203" s="2">
        <f ca="1"/>
        <v>-7.7134195718608148E-2</v>
      </c>
      <c r="X8203" s="2">
        <f ca="1"/>
        <v>37.703728536976413</v>
      </c>
      <c r="AG8203" s="2">
        <f ca="1"/>
        <v>0.87972711272101489</v>
      </c>
      <c r="AH8203" s="2" t="str">
        <f ca="1"/>
        <v>Bad</v>
      </c>
    </row>
    <row r="8204" spans="2:34" x14ac:dyDescent="0.2">
      <c r="B8204" s="2">
        <f ca="1"/>
        <v>3.050757022688888E-2</v>
      </c>
      <c r="O8204" s="2">
        <f ca="1"/>
        <v>-0.56995726235227051</v>
      </c>
      <c r="X8204" s="2">
        <f ca="1"/>
        <v>61.647754087922863</v>
      </c>
      <c r="AG8204" s="2">
        <f ca="1"/>
        <v>0.50588336671343237</v>
      </c>
      <c r="AH8204" s="2" t="str">
        <f ca="1"/>
        <v>Bad</v>
      </c>
    </row>
    <row r="8205" spans="2:34" x14ac:dyDescent="0.2">
      <c r="B8205" s="2">
        <f ca="1"/>
        <v>0.70900463530123159</v>
      </c>
      <c r="O8205" s="2">
        <f ca="1"/>
        <v>0.75272921996552156</v>
      </c>
      <c r="X8205" s="2">
        <f ca="1"/>
        <v>49.087915268422925</v>
      </c>
      <c r="AG8205" s="2">
        <f ca="1"/>
        <v>0.12062799530252222</v>
      </c>
      <c r="AH8205" s="2" t="str">
        <f ca="1"/>
        <v>OK</v>
      </c>
    </row>
    <row r="8206" spans="2:34" x14ac:dyDescent="0.2">
      <c r="B8206" s="2">
        <f ca="1"/>
        <v>9.511416728772204E-2</v>
      </c>
      <c r="O8206" s="2">
        <f ca="1"/>
        <v>1.68709689621268</v>
      </c>
      <c r="X8206" s="2">
        <f ca="1"/>
        <v>41.364752516018235</v>
      </c>
      <c r="AG8206" s="2">
        <f ca="1"/>
        <v>0.64200870294453383</v>
      </c>
      <c r="AH8206" s="2" t="str">
        <f ca="1"/>
        <v>Bad</v>
      </c>
    </row>
    <row r="8207" spans="2:34" x14ac:dyDescent="0.2">
      <c r="B8207" s="2">
        <f ca="1"/>
        <v>0.3537144130295955</v>
      </c>
      <c r="O8207" s="2">
        <f ca="1"/>
        <v>2.1828026491519346</v>
      </c>
      <c r="X8207" s="2">
        <f ca="1"/>
        <v>42.222475670677291</v>
      </c>
      <c r="AG8207" s="2">
        <f ca="1"/>
        <v>0.29839529512680074</v>
      </c>
      <c r="AH8207" s="2" t="str">
        <f ca="1"/>
        <v>OK</v>
      </c>
    </row>
    <row r="8208" spans="2:34" x14ac:dyDescent="0.2">
      <c r="B8208" s="2">
        <f ca="1"/>
        <v>0.72377776922642423</v>
      </c>
      <c r="O8208" s="2">
        <f ca="1"/>
        <v>-0.10398365430956642</v>
      </c>
      <c r="X8208" s="2">
        <f ca="1"/>
        <v>37.858590615818045</v>
      </c>
      <c r="AG8208" s="2">
        <f ca="1"/>
        <v>0.69478297782067311</v>
      </c>
      <c r="AH8208" s="2" t="str">
        <f ca="1"/>
        <v>Bad</v>
      </c>
    </row>
    <row r="8209" spans="2:34" x14ac:dyDescent="0.2">
      <c r="B8209" s="2">
        <f ca="1"/>
        <v>8.7368861856456981E-2</v>
      </c>
      <c r="O8209" s="2">
        <f ca="1"/>
        <v>-0.63635608672935995</v>
      </c>
      <c r="X8209" s="2">
        <f ca="1"/>
        <v>43.196324721233722</v>
      </c>
      <c r="AG8209" s="2">
        <f ca="1"/>
        <v>0.25882102250112693</v>
      </c>
      <c r="AH8209" s="2" t="str">
        <f ca="1"/>
        <v>OK</v>
      </c>
    </row>
    <row r="8210" spans="2:34" x14ac:dyDescent="0.2">
      <c r="B8210" s="2">
        <f ca="1"/>
        <v>0.50685231315017609</v>
      </c>
      <c r="O8210" s="2">
        <f ca="1"/>
        <v>-0.50668401909348237</v>
      </c>
      <c r="X8210" s="2">
        <f ca="1"/>
        <v>43.218352871452417</v>
      </c>
      <c r="AG8210" s="2">
        <f ca="1"/>
        <v>0.23100382452859103</v>
      </c>
      <c r="AH8210" s="2" t="str">
        <f ca="1"/>
        <v>OK</v>
      </c>
    </row>
    <row r="8211" spans="2:34" x14ac:dyDescent="0.2">
      <c r="B8211" s="2">
        <f ca="1"/>
        <v>0.24492486878655928</v>
      </c>
      <c r="O8211" s="2">
        <f ca="1"/>
        <v>0.73173589547426843</v>
      </c>
      <c r="X8211" s="2">
        <f ca="1"/>
        <v>36.620270422693679</v>
      </c>
      <c r="AG8211" s="2">
        <f ca="1"/>
        <v>0.24869472833301498</v>
      </c>
      <c r="AH8211" s="2" t="str">
        <f ca="1"/>
        <v>OK</v>
      </c>
    </row>
    <row r="8212" spans="2:34" x14ac:dyDescent="0.2">
      <c r="B8212" s="2">
        <f ca="1"/>
        <v>0.32152388414045729</v>
      </c>
      <c r="O8212" s="2">
        <f ca="1"/>
        <v>0.60347178977846938</v>
      </c>
      <c r="X8212" s="2">
        <f ca="1"/>
        <v>40.045665547416903</v>
      </c>
      <c r="AG8212" s="2">
        <f ca="1"/>
        <v>3.7327224866494424E-2</v>
      </c>
      <c r="AH8212" s="2" t="str">
        <f ca="1"/>
        <v>Good</v>
      </c>
    </row>
    <row r="8213" spans="2:34" x14ac:dyDescent="0.2">
      <c r="B8213" s="2">
        <f ca="1"/>
        <v>0.90850123823887752</v>
      </c>
      <c r="O8213" s="2">
        <f ca="1"/>
        <v>0.81400967542164504</v>
      </c>
      <c r="X8213" s="2">
        <f ca="1"/>
        <v>37.110129794605299</v>
      </c>
      <c r="AG8213" s="2">
        <f ca="1"/>
        <v>5.8702359910417057E-2</v>
      </c>
      <c r="AH8213" s="2" t="str">
        <f ca="1"/>
        <v>OK</v>
      </c>
    </row>
    <row r="8214" spans="2:34" x14ac:dyDescent="0.2">
      <c r="B8214" s="2">
        <f ca="1"/>
        <v>9.9502298473099549E-2</v>
      </c>
      <c r="O8214" s="2">
        <f ca="1"/>
        <v>-0.47417066868321478</v>
      </c>
      <c r="X8214" s="2">
        <f ca="1"/>
        <v>43.608133661831694</v>
      </c>
      <c r="AG8214" s="2">
        <f ca="1"/>
        <v>0.26228456239255538</v>
      </c>
      <c r="AH8214" s="2" t="str">
        <f ca="1"/>
        <v>OK</v>
      </c>
    </row>
    <row r="8215" spans="2:34" x14ac:dyDescent="0.2">
      <c r="B8215" s="2">
        <f ca="1"/>
        <v>0.32731509001379444</v>
      </c>
      <c r="O8215" s="2">
        <f ca="1"/>
        <v>-0.24318065666591296</v>
      </c>
      <c r="X8215" s="2">
        <f ca="1"/>
        <v>52.95971772781084</v>
      </c>
      <c r="AG8215" s="2">
        <f ca="1"/>
        <v>0.85805560846008833</v>
      </c>
      <c r="AH8215" s="2" t="str">
        <f ca="1"/>
        <v>Bad</v>
      </c>
    </row>
    <row r="8216" spans="2:34" x14ac:dyDescent="0.2">
      <c r="B8216" s="2">
        <f ca="1"/>
        <v>0.39630131455469075</v>
      </c>
      <c r="O8216" s="2">
        <f ca="1"/>
        <v>1.3762043098072541</v>
      </c>
      <c r="X8216" s="2">
        <f ca="1"/>
        <v>55.875702275305734</v>
      </c>
      <c r="AG8216" s="2">
        <f ca="1"/>
        <v>0.7398059949099689</v>
      </c>
      <c r="AH8216" s="2" t="str">
        <f ca="1"/>
        <v>Bad</v>
      </c>
    </row>
    <row r="8217" spans="2:34" x14ac:dyDescent="0.2">
      <c r="B8217" s="2">
        <f ca="1"/>
        <v>0.14126182536360443</v>
      </c>
      <c r="O8217" s="2">
        <f ca="1"/>
        <v>-0.47733913369104602</v>
      </c>
      <c r="X8217" s="2">
        <f ca="1"/>
        <v>57.424838185252625</v>
      </c>
      <c r="AG8217" s="2">
        <f ca="1"/>
        <v>4.036111148866417E-2</v>
      </c>
      <c r="AH8217" s="2" t="str">
        <f ca="1"/>
        <v>Good</v>
      </c>
    </row>
    <row r="8218" spans="2:34" x14ac:dyDescent="0.2">
      <c r="B8218" s="2">
        <f ca="1"/>
        <v>0.10068051091692221</v>
      </c>
      <c r="O8218" s="2">
        <f ca="1"/>
        <v>0.81953046674150387</v>
      </c>
      <c r="X8218" s="2">
        <f ca="1"/>
        <v>41.228196034161755</v>
      </c>
      <c r="AG8218" s="2">
        <f ca="1"/>
        <v>0.53906928484161165</v>
      </c>
      <c r="AH8218" s="2" t="str">
        <f ca="1"/>
        <v>Bad</v>
      </c>
    </row>
    <row r="8219" spans="2:34" x14ac:dyDescent="0.2">
      <c r="B8219" s="2">
        <f ca="1"/>
        <v>0.27786759634284364</v>
      </c>
      <c r="O8219" s="2">
        <f ca="1"/>
        <v>-1.6731922573552698</v>
      </c>
      <c r="X8219" s="2">
        <f ca="1"/>
        <v>66.436084003782724</v>
      </c>
      <c r="AG8219" s="2">
        <f ca="1"/>
        <v>0.70890552078318336</v>
      </c>
      <c r="AH8219" s="2" t="str">
        <f ca="1"/>
        <v>Bad</v>
      </c>
    </row>
    <row r="8220" spans="2:34" x14ac:dyDescent="0.2">
      <c r="B8220" s="2">
        <f ca="1"/>
        <v>0.92714846819789809</v>
      </c>
      <c r="O8220" s="2">
        <f ca="1"/>
        <v>-0.30530682566886963</v>
      </c>
      <c r="X8220" s="2">
        <f ca="1"/>
        <v>55.259353411048124</v>
      </c>
      <c r="AG8220" s="2">
        <f ca="1"/>
        <v>0.42996369169719917</v>
      </c>
      <c r="AH8220" s="2" t="str">
        <f ca="1"/>
        <v>Bad</v>
      </c>
    </row>
    <row r="8221" spans="2:34" x14ac:dyDescent="0.2">
      <c r="B8221" s="2">
        <f ca="1"/>
        <v>0.43535024951061452</v>
      </c>
      <c r="O8221" s="2">
        <f ca="1"/>
        <v>-0.66136696268223472</v>
      </c>
      <c r="X8221" s="2">
        <f ca="1"/>
        <v>33.650731754999072</v>
      </c>
      <c r="AG8221" s="2">
        <f ca="1"/>
        <v>0.31979867101915582</v>
      </c>
      <c r="AH8221" s="2" t="str">
        <f ca="1"/>
        <v>OK</v>
      </c>
    </row>
    <row r="8222" spans="2:34" x14ac:dyDescent="0.2">
      <c r="B8222" s="2">
        <f ca="1"/>
        <v>0.90090374133320239</v>
      </c>
      <c r="O8222" s="2">
        <f ca="1"/>
        <v>-6.0052556887903709E-2</v>
      </c>
      <c r="X8222" s="2">
        <f ca="1"/>
        <v>23.637088560793718</v>
      </c>
      <c r="AG8222" s="2">
        <f ca="1"/>
        <v>0.50946587363393747</v>
      </c>
      <c r="AH8222" s="2" t="str">
        <f ca="1"/>
        <v>Bad</v>
      </c>
    </row>
    <row r="8223" spans="2:34" x14ac:dyDescent="0.2">
      <c r="B8223" s="2">
        <f ca="1"/>
        <v>0.54788927786423813</v>
      </c>
      <c r="O8223" s="2">
        <f ca="1"/>
        <v>8.4648667984825024E-2</v>
      </c>
      <c r="X8223" s="2">
        <f ca="1"/>
        <v>46.500828519150133</v>
      </c>
      <c r="AG8223" s="2">
        <f ca="1"/>
        <v>0.77022185256562059</v>
      </c>
      <c r="AH8223" s="2" t="str">
        <f ca="1"/>
        <v>Bad</v>
      </c>
    </row>
    <row r="8224" spans="2:34" x14ac:dyDescent="0.2">
      <c r="B8224" s="2">
        <f ca="1"/>
        <v>0.1644969631032569</v>
      </c>
      <c r="O8224" s="2">
        <f ca="1"/>
        <v>1.7241929857904583</v>
      </c>
      <c r="X8224" s="2">
        <f ca="1"/>
        <v>47.644506153234218</v>
      </c>
      <c r="AG8224" s="2">
        <f ca="1"/>
        <v>0.82395425603300909</v>
      </c>
      <c r="AH8224" s="2" t="str">
        <f ca="1"/>
        <v>Bad</v>
      </c>
    </row>
    <row r="8225" spans="2:34" x14ac:dyDescent="0.2">
      <c r="B8225" s="2">
        <f ca="1"/>
        <v>0.9219493762087565</v>
      </c>
      <c r="O8225" s="2">
        <f ca="1"/>
        <v>-0.69845646441132558</v>
      </c>
      <c r="X8225" s="2">
        <f ca="1"/>
        <v>34.056353724001397</v>
      </c>
      <c r="AG8225" s="2">
        <f ca="1"/>
        <v>0.68642978699531731</v>
      </c>
      <c r="AH8225" s="2" t="str">
        <f ca="1"/>
        <v>Bad</v>
      </c>
    </row>
    <row r="8226" spans="2:34" x14ac:dyDescent="0.2">
      <c r="B8226" s="2">
        <f ca="1"/>
        <v>0.11150061348819773</v>
      </c>
      <c r="O8226" s="2">
        <f ca="1"/>
        <v>-0.35874080621922322</v>
      </c>
      <c r="X8226" s="2">
        <f ca="1"/>
        <v>45.800419003585866</v>
      </c>
      <c r="AG8226" s="2">
        <f ca="1"/>
        <v>0.36146893347176601</v>
      </c>
      <c r="AH8226" s="2" t="str">
        <f ca="1"/>
        <v>OK</v>
      </c>
    </row>
    <row r="8227" spans="2:34" x14ac:dyDescent="0.2">
      <c r="B8227" s="2">
        <f ca="1"/>
        <v>0.75999623317436216</v>
      </c>
      <c r="O8227" s="2">
        <f ca="1"/>
        <v>0.28196527135664323</v>
      </c>
      <c r="X8227" s="2">
        <f ca="1"/>
        <v>62.782400193922463</v>
      </c>
      <c r="AG8227" s="2">
        <f ca="1"/>
        <v>6.6051963976046846E-2</v>
      </c>
      <c r="AH8227" s="2" t="str">
        <f ca="1"/>
        <v>OK</v>
      </c>
    </row>
    <row r="8228" spans="2:34" x14ac:dyDescent="0.2">
      <c r="B8228" s="2">
        <f ca="1"/>
        <v>0.77252150105866901</v>
      </c>
      <c r="O8228" s="2">
        <f ca="1"/>
        <v>-1.0099787930591515</v>
      </c>
      <c r="X8228" s="2">
        <f ca="1"/>
        <v>70.051903872973625</v>
      </c>
      <c r="AG8228" s="2">
        <f ca="1"/>
        <v>0.54467740575943302</v>
      </c>
      <c r="AH8228" s="2" t="str">
        <f ca="1"/>
        <v>Bad</v>
      </c>
    </row>
    <row r="8229" spans="2:34" x14ac:dyDescent="0.2">
      <c r="B8229" s="2">
        <f ca="1"/>
        <v>0.20950369279270808</v>
      </c>
      <c r="O8229" s="2">
        <f ca="1"/>
        <v>-0.71249472384703505</v>
      </c>
      <c r="X8229" s="2">
        <f ca="1"/>
        <v>52.589118725818054</v>
      </c>
      <c r="AG8229" s="2">
        <f ca="1"/>
        <v>0.98326569496470717</v>
      </c>
      <c r="AH8229" s="2" t="str">
        <f ca="1"/>
        <v>Bad</v>
      </c>
    </row>
    <row r="8230" spans="2:34" x14ac:dyDescent="0.2">
      <c r="B8230" s="2">
        <f ca="1"/>
        <v>0.62819080969723395</v>
      </c>
      <c r="O8230" s="2">
        <f ca="1"/>
        <v>0.25245829686496396</v>
      </c>
      <c r="X8230" s="2">
        <f ca="1"/>
        <v>76.729295830117579</v>
      </c>
      <c r="AG8230" s="2">
        <f ca="1"/>
        <v>3.9600009840333961E-2</v>
      </c>
      <c r="AH8230" s="2" t="str">
        <f ca="1"/>
        <v>Good</v>
      </c>
    </row>
    <row r="8231" spans="2:34" x14ac:dyDescent="0.2">
      <c r="B8231" s="2">
        <f ca="1"/>
        <v>0.1959303725806667</v>
      </c>
      <c r="O8231" s="2">
        <f ca="1"/>
        <v>0.53702716322784205</v>
      </c>
      <c r="X8231" s="2">
        <f ca="1"/>
        <v>61.576846170299802</v>
      </c>
      <c r="AG8231" s="2">
        <f ca="1"/>
        <v>0.98108457580697928</v>
      </c>
      <c r="AH8231" s="2" t="str">
        <f ca="1"/>
        <v>Bad</v>
      </c>
    </row>
    <row r="8232" spans="2:34" x14ac:dyDescent="0.2">
      <c r="B8232" s="2">
        <f ca="1"/>
        <v>0.70035115217446942</v>
      </c>
      <c r="O8232" s="2">
        <f ca="1"/>
        <v>-0.3487541302418411</v>
      </c>
      <c r="X8232" s="2">
        <f ca="1"/>
        <v>44.548421897018017</v>
      </c>
      <c r="AG8232" s="2">
        <f ca="1"/>
        <v>0.66449491345872125</v>
      </c>
      <c r="AH8232" s="2" t="str">
        <f ca="1"/>
        <v>Bad</v>
      </c>
    </row>
    <row r="8233" spans="2:34" x14ac:dyDescent="0.2">
      <c r="B8233" s="2">
        <f ca="1"/>
        <v>0.7879465967505983</v>
      </c>
      <c r="O8233" s="2">
        <f ca="1"/>
        <v>-0.88515375400490448</v>
      </c>
      <c r="X8233" s="2">
        <f ca="1"/>
        <v>46.700901795085471</v>
      </c>
      <c r="AG8233" s="2">
        <f ca="1"/>
        <v>0.39487822945384798</v>
      </c>
      <c r="AH8233" s="2" t="str">
        <f ca="1"/>
        <v>OK</v>
      </c>
    </row>
    <row r="8234" spans="2:34" x14ac:dyDescent="0.2">
      <c r="B8234" s="2">
        <f ca="1"/>
        <v>0.85920514849237795</v>
      </c>
      <c r="O8234" s="2">
        <f ca="1"/>
        <v>-0.76021462842875787</v>
      </c>
      <c r="X8234" s="2">
        <f ca="1"/>
        <v>49.176981855025268</v>
      </c>
      <c r="AG8234" s="2">
        <f ca="1"/>
        <v>0.64391117899382744</v>
      </c>
      <c r="AH8234" s="2" t="str">
        <f ca="1"/>
        <v>Bad</v>
      </c>
    </row>
    <row r="8235" spans="2:34" x14ac:dyDescent="0.2">
      <c r="B8235" s="2">
        <f ca="1"/>
        <v>0.87271712449010264</v>
      </c>
      <c r="O8235" s="2">
        <f ca="1"/>
        <v>-1.0590367413848596</v>
      </c>
      <c r="X8235" s="2">
        <f ca="1"/>
        <v>51.781507496749093</v>
      </c>
      <c r="AG8235" s="2">
        <f ca="1"/>
        <v>0.11459066708094845</v>
      </c>
      <c r="AH8235" s="2" t="str">
        <f ca="1"/>
        <v>OK</v>
      </c>
    </row>
    <row r="8236" spans="2:34" x14ac:dyDescent="0.2">
      <c r="B8236" s="2">
        <f ca="1"/>
        <v>0.28826869432770152</v>
      </c>
      <c r="O8236" s="2">
        <f ca="1"/>
        <v>-0.29505955875673884</v>
      </c>
      <c r="X8236" s="2">
        <f ca="1"/>
        <v>39.410734300410091</v>
      </c>
      <c r="AG8236" s="2">
        <f ca="1"/>
        <v>0.76595699811038465</v>
      </c>
      <c r="AH8236" s="2" t="str">
        <f ca="1"/>
        <v>Bad</v>
      </c>
    </row>
    <row r="8237" spans="2:34" x14ac:dyDescent="0.2">
      <c r="B8237" s="2">
        <f ca="1"/>
        <v>1.3615582125692249E-3</v>
      </c>
      <c r="O8237" s="2">
        <f ca="1"/>
        <v>0.241751079897116</v>
      </c>
      <c r="X8237" s="2">
        <f ca="1"/>
        <v>68.517641260092546</v>
      </c>
      <c r="AG8237" s="2">
        <f ca="1"/>
        <v>0.66265706713652772</v>
      </c>
      <c r="AH8237" s="2" t="str">
        <f ca="1"/>
        <v>Bad</v>
      </c>
    </row>
    <row r="8238" spans="2:34" x14ac:dyDescent="0.2">
      <c r="B8238" s="2">
        <f ca="1"/>
        <v>0.29131418273584453</v>
      </c>
      <c r="O8238" s="2">
        <f ca="1"/>
        <v>0.36869458753999407</v>
      </c>
      <c r="X8238" s="2">
        <f ca="1"/>
        <v>38.470106289688019</v>
      </c>
      <c r="AG8238" s="2">
        <f ca="1"/>
        <v>0.80556134736544505</v>
      </c>
      <c r="AH8238" s="2" t="str">
        <f ca="1"/>
        <v>Bad</v>
      </c>
    </row>
    <row r="8239" spans="2:34" x14ac:dyDescent="0.2">
      <c r="B8239" s="2">
        <f ca="1"/>
        <v>0.62043918958270217</v>
      </c>
      <c r="O8239" s="2">
        <f ca="1"/>
        <v>-0.48083162493980108</v>
      </c>
      <c r="X8239" s="2">
        <f ca="1"/>
        <v>54.817108437699041</v>
      </c>
      <c r="AG8239" s="2">
        <f ca="1"/>
        <v>0.92766033753475918</v>
      </c>
      <c r="AH8239" s="2" t="str">
        <f ca="1"/>
        <v>Bad</v>
      </c>
    </row>
    <row r="8240" spans="2:34" x14ac:dyDescent="0.2">
      <c r="B8240" s="2">
        <f ca="1"/>
        <v>0.19323910295074054</v>
      </c>
      <c r="O8240" s="2">
        <f ca="1"/>
        <v>0.80499351915881956</v>
      </c>
      <c r="X8240" s="2">
        <f ca="1"/>
        <v>47.614611187529249</v>
      </c>
      <c r="AG8240" s="2">
        <f ca="1"/>
        <v>0.72074200741438088</v>
      </c>
      <c r="AH8240" s="2" t="str">
        <f ca="1"/>
        <v>Bad</v>
      </c>
    </row>
    <row r="8241" spans="2:34" x14ac:dyDescent="0.2">
      <c r="B8241" s="2">
        <f ca="1"/>
        <v>0.17554410036762191</v>
      </c>
      <c r="O8241" s="2">
        <f ca="1"/>
        <v>-0.49303697147599929</v>
      </c>
      <c r="X8241" s="2">
        <f ca="1"/>
        <v>30.841641792237574</v>
      </c>
      <c r="AG8241" s="2">
        <f ca="1"/>
        <v>0.12644259803907909</v>
      </c>
      <c r="AH8241" s="2" t="str">
        <f ca="1"/>
        <v>OK</v>
      </c>
    </row>
    <row r="8242" spans="2:34" x14ac:dyDescent="0.2">
      <c r="B8242" s="2">
        <f ca="1"/>
        <v>0.31629260106189783</v>
      </c>
      <c r="O8242" s="2">
        <f ca="1"/>
        <v>-0.93842036301677023</v>
      </c>
      <c r="X8242" s="2">
        <f ca="1"/>
        <v>33.593125004848169</v>
      </c>
      <c r="AG8242" s="2">
        <f ca="1"/>
        <v>0.62017113513241973</v>
      </c>
      <c r="AH8242" s="2" t="str">
        <f ca="1"/>
        <v>Bad</v>
      </c>
    </row>
    <row r="8243" spans="2:34" x14ac:dyDescent="0.2">
      <c r="B8243" s="2">
        <f ca="1"/>
        <v>0.64578551859844602</v>
      </c>
      <c r="O8243" s="2">
        <f ca="1"/>
        <v>-0.56511744352959659</v>
      </c>
      <c r="X8243" s="2">
        <f ca="1"/>
        <v>51.093790486778623</v>
      </c>
      <c r="AG8243" s="2">
        <f ca="1"/>
        <v>0.20129891305140868</v>
      </c>
      <c r="AH8243" s="2" t="str">
        <f ca="1"/>
        <v>OK</v>
      </c>
    </row>
    <row r="8244" spans="2:34" x14ac:dyDescent="0.2">
      <c r="B8244" s="2">
        <f ca="1"/>
        <v>3.2316877065178717E-2</v>
      </c>
      <c r="O8244" s="2">
        <f ca="1"/>
        <v>1.013815609323885</v>
      </c>
      <c r="X8244" s="2">
        <f ca="1"/>
        <v>30.403116005717784</v>
      </c>
      <c r="AG8244" s="2">
        <f ca="1"/>
        <v>0.81514208876068217</v>
      </c>
      <c r="AH8244" s="2" t="str">
        <f ca="1"/>
        <v>Bad</v>
      </c>
    </row>
    <row r="8245" spans="2:34" x14ac:dyDescent="0.2">
      <c r="B8245" s="2">
        <f ca="1"/>
        <v>0.55369418339141796</v>
      </c>
      <c r="O8245" s="2">
        <f ca="1"/>
        <v>0.11608008714396499</v>
      </c>
      <c r="X8245" s="2">
        <f ca="1"/>
        <v>65.686367634931585</v>
      </c>
      <c r="AG8245" s="2">
        <f ca="1"/>
        <v>0.35456582882961829</v>
      </c>
      <c r="AH8245" s="2" t="str">
        <f ca="1"/>
        <v>OK</v>
      </c>
    </row>
    <row r="8246" spans="2:34" x14ac:dyDescent="0.2">
      <c r="B8246" s="2">
        <f ca="1"/>
        <v>0.75780384830331737</v>
      </c>
      <c r="O8246" s="2">
        <f ca="1"/>
        <v>4.0023597849338129E-2</v>
      </c>
      <c r="X8246" s="2">
        <f ca="1"/>
        <v>34.721943770415187</v>
      </c>
      <c r="AG8246" s="2">
        <f ca="1"/>
        <v>0.88903721179877326</v>
      </c>
      <c r="AH8246" s="2" t="str">
        <f ca="1"/>
        <v>Bad</v>
      </c>
    </row>
    <row r="8247" spans="2:34" x14ac:dyDescent="0.2">
      <c r="B8247" s="2">
        <f ca="1"/>
        <v>0.54616112899697211</v>
      </c>
      <c r="O8247" s="2">
        <f ca="1"/>
        <v>1.2737202141730521</v>
      </c>
      <c r="X8247" s="2">
        <f ca="1"/>
        <v>56.853141620561971</v>
      </c>
      <c r="AG8247" s="2">
        <f ca="1"/>
        <v>0.72326065621872804</v>
      </c>
      <c r="AH8247" s="2" t="str">
        <f ca="1"/>
        <v>Bad</v>
      </c>
    </row>
    <row r="8248" spans="2:34" x14ac:dyDescent="0.2">
      <c r="B8248" s="2">
        <f ca="1"/>
        <v>0.75093566103084819</v>
      </c>
      <c r="O8248" s="2">
        <f ca="1"/>
        <v>3.094421885594917</v>
      </c>
      <c r="X8248" s="2">
        <f ca="1"/>
        <v>34.869525805638766</v>
      </c>
      <c r="AG8248" s="2">
        <f ca="1"/>
        <v>0.52581497646913622</v>
      </c>
      <c r="AH8248" s="2" t="str">
        <f ca="1"/>
        <v>Bad</v>
      </c>
    </row>
    <row r="8249" spans="2:34" x14ac:dyDescent="0.2">
      <c r="B8249" s="2">
        <f ca="1"/>
        <v>0.55061781407829402</v>
      </c>
      <c r="O8249" s="2">
        <f ca="1"/>
        <v>-0.40542832063148054</v>
      </c>
      <c r="X8249" s="2">
        <f ca="1"/>
        <v>51.015624125020047</v>
      </c>
      <c r="AG8249" s="2">
        <f ca="1"/>
        <v>8.6455555079847368E-2</v>
      </c>
      <c r="AH8249" s="2" t="str">
        <f ca="1"/>
        <v>OK</v>
      </c>
    </row>
    <row r="8250" spans="2:34" x14ac:dyDescent="0.2">
      <c r="B8250" s="2">
        <f ca="1"/>
        <v>0.3359329155457691</v>
      </c>
      <c r="O8250" s="2">
        <f ca="1"/>
        <v>-0.40705498155558179</v>
      </c>
      <c r="X8250" s="2">
        <f ca="1"/>
        <v>39.987295348324508</v>
      </c>
      <c r="AG8250" s="2">
        <f ca="1"/>
        <v>0.63243487163613765</v>
      </c>
      <c r="AH8250" s="2" t="str">
        <f ca="1"/>
        <v>Bad</v>
      </c>
    </row>
    <row r="8251" spans="2:34" x14ac:dyDescent="0.2">
      <c r="B8251" s="2">
        <f ca="1"/>
        <v>0.86117962021723127</v>
      </c>
      <c r="O8251" s="2">
        <f ca="1"/>
        <v>1.0387460978847929</v>
      </c>
      <c r="X8251" s="2">
        <f ca="1"/>
        <v>47.946088878300159</v>
      </c>
      <c r="AG8251" s="2">
        <f ca="1"/>
        <v>1.932038693335314E-2</v>
      </c>
      <c r="AH8251" s="2" t="str">
        <f ca="1"/>
        <v>Good</v>
      </c>
    </row>
    <row r="8252" spans="2:34" x14ac:dyDescent="0.2">
      <c r="B8252" s="2">
        <f ca="1"/>
        <v>0.19940493525248715</v>
      </c>
      <c r="O8252" s="2">
        <f ca="1"/>
        <v>1.3582915548535188</v>
      </c>
      <c r="X8252" s="2">
        <f ca="1"/>
        <v>71.954558373821158</v>
      </c>
      <c r="AG8252" s="2">
        <f ca="1"/>
        <v>0.41372610943414689</v>
      </c>
      <c r="AH8252" s="2" t="str">
        <f ca="1"/>
        <v>Bad</v>
      </c>
    </row>
    <row r="8253" spans="2:34" x14ac:dyDescent="0.2">
      <c r="B8253" s="2">
        <f ca="1"/>
        <v>0.53623126875874938</v>
      </c>
      <c r="O8253" s="2">
        <f ca="1"/>
        <v>-0.10694636481759177</v>
      </c>
      <c r="X8253" s="2">
        <f ca="1"/>
        <v>40.64814902651036</v>
      </c>
      <c r="AG8253" s="2">
        <f ca="1"/>
        <v>0.47760739612151415</v>
      </c>
      <c r="AH8253" s="2" t="str">
        <f ca="1"/>
        <v>Bad</v>
      </c>
    </row>
    <row r="8254" spans="2:34" x14ac:dyDescent="0.2">
      <c r="B8254" s="2">
        <f ca="1"/>
        <v>0.72384172420330972</v>
      </c>
      <c r="O8254" s="2">
        <f ca="1"/>
        <v>-2.1189679156156265</v>
      </c>
      <c r="X8254" s="2">
        <f ca="1"/>
        <v>35.612758953728225</v>
      </c>
      <c r="AG8254" s="2">
        <f ca="1"/>
        <v>0.91178221081458344</v>
      </c>
      <c r="AH8254" s="2" t="str">
        <f ca="1"/>
        <v>Bad</v>
      </c>
    </row>
    <row r="8255" spans="2:34" x14ac:dyDescent="0.2">
      <c r="B8255" s="2">
        <f ca="1"/>
        <v>0.68286498954652086</v>
      </c>
      <c r="O8255" s="2">
        <f ca="1"/>
        <v>-0.61357786610668696</v>
      </c>
      <c r="X8255" s="2">
        <f ca="1"/>
        <v>27.079259556018712</v>
      </c>
      <c r="AG8255" s="2">
        <f ca="1"/>
        <v>0.70000325692059318</v>
      </c>
      <c r="AH8255" s="2" t="str">
        <f ca="1"/>
        <v>Bad</v>
      </c>
    </row>
    <row r="8256" spans="2:34" x14ac:dyDescent="0.2">
      <c r="B8256" s="2">
        <f ca="1"/>
        <v>0.83227885221392284</v>
      </c>
      <c r="O8256" s="2">
        <f ca="1"/>
        <v>-2.4420752374102066</v>
      </c>
      <c r="X8256" s="2">
        <f ca="1"/>
        <v>59.38744242341788</v>
      </c>
      <c r="AG8256" s="2">
        <f ca="1"/>
        <v>0.68702520698925729</v>
      </c>
      <c r="AH8256" s="2" t="str">
        <f ca="1"/>
        <v>Bad</v>
      </c>
    </row>
    <row r="8257" spans="2:34" x14ac:dyDescent="0.2">
      <c r="B8257" s="2">
        <f ca="1"/>
        <v>0.52346098283803655</v>
      </c>
      <c r="O8257" s="2">
        <f ca="1"/>
        <v>-0.8190397719187118</v>
      </c>
      <c r="X8257" s="2">
        <f ca="1"/>
        <v>38.178996174666338</v>
      </c>
      <c r="AG8257" s="2">
        <f ca="1"/>
        <v>0.46272505953145404</v>
      </c>
      <c r="AH8257" s="2" t="str">
        <f ca="1"/>
        <v>Bad</v>
      </c>
    </row>
    <row r="8258" spans="2:34" x14ac:dyDescent="0.2">
      <c r="B8258" s="2">
        <f ca="1"/>
        <v>0.71715838065146764</v>
      </c>
      <c r="O8258" s="2">
        <f ca="1"/>
        <v>0.74017414673814619</v>
      </c>
      <c r="X8258" s="2">
        <f ca="1"/>
        <v>58.665015492995416</v>
      </c>
      <c r="AG8258" s="2">
        <f ca="1"/>
        <v>0.91387844322327383</v>
      </c>
      <c r="AH8258" s="2" t="str">
        <f ca="1"/>
        <v>Bad</v>
      </c>
    </row>
    <row r="8259" spans="2:34" x14ac:dyDescent="0.2">
      <c r="B8259" s="2">
        <f ca="1"/>
        <v>0.9298744240464254</v>
      </c>
      <c r="O8259" s="2">
        <f ca="1"/>
        <v>0.85714043080093805</v>
      </c>
      <c r="X8259" s="2">
        <f ca="1"/>
        <v>38.070867400152594</v>
      </c>
      <c r="AG8259" s="2">
        <f ca="1"/>
        <v>6.8614720608846991E-2</v>
      </c>
      <c r="AH8259" s="2" t="str">
        <f ca="1"/>
        <v>OK</v>
      </c>
    </row>
    <row r="8260" spans="2:34" x14ac:dyDescent="0.2">
      <c r="B8260" s="2">
        <f ca="1"/>
        <v>0.87893556408186591</v>
      </c>
      <c r="O8260" s="2">
        <f ca="1"/>
        <v>0.27247428533074919</v>
      </c>
      <c r="X8260" s="2">
        <f ca="1"/>
        <v>38.826947982992472</v>
      </c>
      <c r="AG8260" s="2">
        <f ca="1"/>
        <v>0.90996068908295658</v>
      </c>
      <c r="AH8260" s="2" t="str">
        <f ca="1"/>
        <v>Bad</v>
      </c>
    </row>
    <row r="8261" spans="2:34" x14ac:dyDescent="0.2">
      <c r="B8261" s="2">
        <f ca="1"/>
        <v>0.13789134082526</v>
      </c>
      <c r="O8261" s="2">
        <f ca="1"/>
        <v>1.5836370955885863</v>
      </c>
      <c r="X8261" s="2">
        <f ca="1"/>
        <v>43.583104337888095</v>
      </c>
      <c r="AG8261" s="2">
        <f ca="1"/>
        <v>6.9600241762572068E-2</v>
      </c>
      <c r="AH8261" s="2" t="str">
        <f ca="1"/>
        <v>OK</v>
      </c>
    </row>
    <row r="8262" spans="2:34" x14ac:dyDescent="0.2">
      <c r="B8262" s="2">
        <f ca="1"/>
        <v>0.77379710161788928</v>
      </c>
      <c r="O8262" s="2">
        <f ca="1"/>
        <v>-1.5200876181712477</v>
      </c>
      <c r="X8262" s="2">
        <f ca="1"/>
        <v>36.130807662989781</v>
      </c>
      <c r="AG8262" s="2">
        <f ca="1"/>
        <v>0.7801895706665587</v>
      </c>
      <c r="AH8262" s="2" t="str">
        <f ca="1"/>
        <v>Bad</v>
      </c>
    </row>
    <row r="8263" spans="2:34" x14ac:dyDescent="0.2">
      <c r="B8263" s="2">
        <f ca="1"/>
        <v>0.80577969305398001</v>
      </c>
      <c r="O8263" s="2">
        <f ca="1"/>
        <v>2.554117245644838</v>
      </c>
      <c r="X8263" s="2">
        <f ca="1"/>
        <v>38.567601060784234</v>
      </c>
      <c r="AG8263" s="2">
        <f ca="1"/>
        <v>0.14992458732083969</v>
      </c>
      <c r="AH8263" s="2" t="str">
        <f ca="1"/>
        <v>OK</v>
      </c>
    </row>
    <row r="8264" spans="2:34" x14ac:dyDescent="0.2">
      <c r="B8264" s="2">
        <f ca="1"/>
        <v>0.34875568341501562</v>
      </c>
      <c r="O8264" s="2">
        <f ca="1"/>
        <v>0.55500633727733473</v>
      </c>
      <c r="X8264" s="2">
        <f ca="1"/>
        <v>58.175486351105732</v>
      </c>
      <c r="AG8264" s="2">
        <f ca="1"/>
        <v>0.43365448927285621</v>
      </c>
      <c r="AH8264" s="2" t="str">
        <f ca="1"/>
        <v>Bad</v>
      </c>
    </row>
    <row r="8265" spans="2:34" x14ac:dyDescent="0.2">
      <c r="B8265" s="2">
        <f ca="1"/>
        <v>0.34073425263493595</v>
      </c>
      <c r="O8265" s="2">
        <f ca="1"/>
        <v>0.61551924037711703</v>
      </c>
      <c r="X8265" s="2">
        <f ca="1"/>
        <v>26.225251573797781</v>
      </c>
      <c r="AG8265" s="2">
        <f ca="1"/>
        <v>0.67792055164518272</v>
      </c>
      <c r="AH8265" s="2" t="str">
        <f ca="1"/>
        <v>Bad</v>
      </c>
    </row>
    <row r="8266" spans="2:34" x14ac:dyDescent="0.2">
      <c r="B8266" s="2">
        <f ca="1"/>
        <v>0.68411901435666667</v>
      </c>
      <c r="O8266" s="2">
        <f ca="1"/>
        <v>-0.20473935036203597</v>
      </c>
      <c r="X8266" s="2">
        <f ca="1"/>
        <v>45.371423046414712</v>
      </c>
      <c r="AG8266" s="2">
        <f ca="1"/>
        <v>0.89963731209445252</v>
      </c>
      <c r="AH8266" s="2" t="str">
        <f ca="1"/>
        <v>Bad</v>
      </c>
    </row>
    <row r="8267" spans="2:34" x14ac:dyDescent="0.2">
      <c r="B8267" s="2">
        <f ca="1"/>
        <v>0.55144217016016461</v>
      </c>
      <c r="O8267" s="2">
        <f ca="1"/>
        <v>0.27839975392775534</v>
      </c>
      <c r="X8267" s="2">
        <f ca="1"/>
        <v>33.806895131442197</v>
      </c>
      <c r="AG8267" s="2">
        <f ca="1"/>
        <v>0.93978227806817438</v>
      </c>
      <c r="AH8267" s="2" t="str">
        <f ca="1"/>
        <v>Bad</v>
      </c>
    </row>
    <row r="8268" spans="2:34" x14ac:dyDescent="0.2">
      <c r="B8268" s="2">
        <f ca="1"/>
        <v>0.34643723410951943</v>
      </c>
      <c r="O8268" s="2">
        <f ca="1"/>
        <v>-1.7676751211382725E-2</v>
      </c>
      <c r="X8268" s="2">
        <f ca="1"/>
        <v>49.597717656562132</v>
      </c>
      <c r="AG8268" s="2">
        <f ca="1"/>
        <v>3.4625881563814298E-2</v>
      </c>
      <c r="AH8268" s="2" t="str">
        <f ca="1"/>
        <v>Good</v>
      </c>
    </row>
    <row r="8269" spans="2:34" x14ac:dyDescent="0.2">
      <c r="B8269" s="2">
        <f ca="1"/>
        <v>0.28193174734958104</v>
      </c>
      <c r="O8269" s="2">
        <f ca="1"/>
        <v>-0.51223445475609608</v>
      </c>
      <c r="X8269" s="2">
        <f ca="1"/>
        <v>69.226393705421103</v>
      </c>
      <c r="AG8269" s="2">
        <f ca="1"/>
        <v>0.55703472844109436</v>
      </c>
      <c r="AH8269" s="2" t="str">
        <f ca="1"/>
        <v>Bad</v>
      </c>
    </row>
    <row r="8270" spans="2:34" x14ac:dyDescent="0.2">
      <c r="B8270" s="2">
        <f ca="1"/>
        <v>0.85969856122157662</v>
      </c>
      <c r="O8270" s="2">
        <f ca="1"/>
        <v>-0.48406153370612759</v>
      </c>
      <c r="X8270" s="2">
        <f ca="1"/>
        <v>62.193137267329305</v>
      </c>
      <c r="AG8270" s="2">
        <f ca="1"/>
        <v>0.62030288699924108</v>
      </c>
      <c r="AH8270" s="2" t="str">
        <f ca="1"/>
        <v>Bad</v>
      </c>
    </row>
    <row r="8271" spans="2:34" x14ac:dyDescent="0.2">
      <c r="B8271" s="2">
        <f ca="1"/>
        <v>0.75486169790638402</v>
      </c>
      <c r="O8271" s="2">
        <f ca="1"/>
        <v>-0.75489038590738777</v>
      </c>
      <c r="X8271" s="2">
        <f ca="1"/>
        <v>43.826267111846697</v>
      </c>
      <c r="AG8271" s="2">
        <f ca="1"/>
        <v>0.78843896497889077</v>
      </c>
      <c r="AH8271" s="2" t="str">
        <f ca="1"/>
        <v>Bad</v>
      </c>
    </row>
    <row r="8272" spans="2:34" x14ac:dyDescent="0.2">
      <c r="B8272" s="2">
        <f ca="1"/>
        <v>0.43670876536153069</v>
      </c>
      <c r="O8272" s="2">
        <f ca="1"/>
        <v>1.3951483570559799</v>
      </c>
      <c r="X8272" s="2">
        <f ca="1"/>
        <v>46.722485039292579</v>
      </c>
      <c r="AG8272" s="2">
        <f ca="1"/>
        <v>0.7304546589318428</v>
      </c>
      <c r="AH8272" s="2" t="str">
        <f ca="1"/>
        <v>Bad</v>
      </c>
    </row>
    <row r="8273" spans="2:34" x14ac:dyDescent="0.2">
      <c r="B8273" s="2">
        <f ca="1"/>
        <v>0.8284517766251871</v>
      </c>
      <c r="O8273" s="2">
        <f ca="1"/>
        <v>-0.99154821387533654</v>
      </c>
      <c r="X8273" s="2">
        <f ca="1"/>
        <v>65.569378212717396</v>
      </c>
      <c r="AG8273" s="2">
        <f ca="1"/>
        <v>0.16615849436403685</v>
      </c>
      <c r="AH8273" s="2" t="str">
        <f ca="1"/>
        <v>OK</v>
      </c>
    </row>
    <row r="8274" spans="2:34" x14ac:dyDescent="0.2">
      <c r="B8274" s="2">
        <f ca="1"/>
        <v>0.11101236877634046</v>
      </c>
      <c r="O8274" s="2">
        <f ca="1"/>
        <v>6.3955816245861927E-2</v>
      </c>
      <c r="X8274" s="2">
        <f ca="1"/>
        <v>39.126449147677242</v>
      </c>
      <c r="AG8274" s="2">
        <f ca="1"/>
        <v>0.87349601874443006</v>
      </c>
      <c r="AH8274" s="2" t="str">
        <f ca="1"/>
        <v>Bad</v>
      </c>
    </row>
    <row r="8275" spans="2:34" x14ac:dyDescent="0.2">
      <c r="B8275" s="2">
        <f ca="1"/>
        <v>0.17949061245889997</v>
      </c>
      <c r="O8275" s="2">
        <f ca="1"/>
        <v>-3.6180557210618088E-2</v>
      </c>
      <c r="X8275" s="2">
        <f ca="1"/>
        <v>48.05248352478251</v>
      </c>
      <c r="AG8275" s="2">
        <f ca="1"/>
        <v>0.20224847468876295</v>
      </c>
      <c r="AH8275" s="2" t="str">
        <f ca="1"/>
        <v>OK</v>
      </c>
    </row>
    <row r="8276" spans="2:34" x14ac:dyDescent="0.2">
      <c r="B8276" s="2">
        <f ca="1"/>
        <v>0.46862046272461888</v>
      </c>
      <c r="O8276" s="2">
        <f ca="1"/>
        <v>-0.44254864951042272</v>
      </c>
      <c r="X8276" s="2">
        <f ca="1"/>
        <v>29.692439068303038</v>
      </c>
      <c r="AG8276" s="2">
        <f ca="1"/>
        <v>8.4702427979142403E-2</v>
      </c>
      <c r="AH8276" s="2" t="str">
        <f ca="1"/>
        <v>OK</v>
      </c>
    </row>
    <row r="8277" spans="2:34" x14ac:dyDescent="0.2">
      <c r="B8277" s="2">
        <f ca="1"/>
        <v>0.95658105092119561</v>
      </c>
      <c r="O8277" s="2">
        <f ca="1"/>
        <v>0.11567607106896785</v>
      </c>
      <c r="X8277" s="2">
        <f ca="1"/>
        <v>41.271206418971744</v>
      </c>
      <c r="AG8277" s="2">
        <f ca="1"/>
        <v>0.48799044787680645</v>
      </c>
      <c r="AH8277" s="2" t="str">
        <f ca="1"/>
        <v>Bad</v>
      </c>
    </row>
    <row r="8278" spans="2:34" x14ac:dyDescent="0.2">
      <c r="B8278" s="2">
        <f ca="1"/>
        <v>0.97284986876445334</v>
      </c>
      <c r="O8278" s="2">
        <f ca="1"/>
        <v>1.1400353079583374</v>
      </c>
      <c r="X8278" s="2">
        <f ca="1"/>
        <v>38.911051557065569</v>
      </c>
      <c r="AG8278" s="2">
        <f ca="1"/>
        <v>0.50162660535223091</v>
      </c>
      <c r="AH8278" s="2" t="str">
        <f ca="1"/>
        <v>Bad</v>
      </c>
    </row>
    <row r="8279" spans="2:34" x14ac:dyDescent="0.2">
      <c r="B8279" s="2">
        <f ca="1"/>
        <v>0.78332679416911777</v>
      </c>
      <c r="O8279" s="2">
        <f ca="1"/>
        <v>0.28598418318803542</v>
      </c>
      <c r="X8279" s="2">
        <f ca="1"/>
        <v>31.818361053545594</v>
      </c>
      <c r="AG8279" s="2">
        <f ca="1"/>
        <v>0.68668283315903822</v>
      </c>
      <c r="AH8279" s="2" t="str">
        <f ca="1"/>
        <v>Bad</v>
      </c>
    </row>
    <row r="8280" spans="2:34" x14ac:dyDescent="0.2">
      <c r="B8280" s="2">
        <f ca="1"/>
        <v>0.17137384880875239</v>
      </c>
      <c r="O8280" s="2">
        <f ca="1"/>
        <v>-0.90245110301598352</v>
      </c>
      <c r="X8280" s="2">
        <f ca="1"/>
        <v>37.503026631763476</v>
      </c>
      <c r="AG8280" s="2">
        <f ca="1"/>
        <v>0.95336801932840398</v>
      </c>
      <c r="AH8280" s="2" t="str">
        <f ca="1"/>
        <v>Bad</v>
      </c>
    </row>
    <row r="8281" spans="2:34" x14ac:dyDescent="0.2">
      <c r="B8281" s="2">
        <f ca="1"/>
        <v>5.0572316858170208E-2</v>
      </c>
      <c r="O8281" s="2">
        <f ca="1"/>
        <v>1.0012505793382007</v>
      </c>
      <c r="X8281" s="2">
        <f ca="1"/>
        <v>59.383026214188668</v>
      </c>
      <c r="AG8281" s="2">
        <f ca="1"/>
        <v>0.86702752079568013</v>
      </c>
      <c r="AH8281" s="2" t="str">
        <f ca="1"/>
        <v>Bad</v>
      </c>
    </row>
    <row r="8282" spans="2:34" x14ac:dyDescent="0.2">
      <c r="B8282" s="2">
        <f ca="1"/>
        <v>0.47260800886851162</v>
      </c>
      <c r="O8282" s="2">
        <f ca="1"/>
        <v>-0.37394436677148518</v>
      </c>
      <c r="X8282" s="2">
        <f ca="1"/>
        <v>46.843144297029895</v>
      </c>
      <c r="AG8282" s="2">
        <f ca="1"/>
        <v>0.48710458049201888</v>
      </c>
      <c r="AH8282" s="2" t="str">
        <f ca="1"/>
        <v>Bad</v>
      </c>
    </row>
    <row r="8283" spans="2:34" x14ac:dyDescent="0.2">
      <c r="B8283" s="2">
        <f ca="1"/>
        <v>0.29633291893047176</v>
      </c>
      <c r="O8283" s="2">
        <f ca="1"/>
        <v>-0.32766549967321923</v>
      </c>
      <c r="X8283" s="2">
        <f ca="1"/>
        <v>53.556533802921066</v>
      </c>
      <c r="AG8283" s="2">
        <f ca="1"/>
        <v>0.45939626906954767</v>
      </c>
      <c r="AH8283" s="2" t="str">
        <f ca="1"/>
        <v>Bad</v>
      </c>
    </row>
    <row r="8284" spans="2:34" x14ac:dyDescent="0.2">
      <c r="B8284" s="2">
        <f ca="1"/>
        <v>0.67246829784300211</v>
      </c>
      <c r="O8284" s="2">
        <f ca="1"/>
        <v>1.4179778990796366</v>
      </c>
      <c r="X8284" s="2">
        <f ca="1"/>
        <v>35.970788205941645</v>
      </c>
      <c r="AG8284" s="2">
        <f ca="1"/>
        <v>0.34706385179878319</v>
      </c>
      <c r="AH8284" s="2" t="str">
        <f ca="1"/>
        <v>OK</v>
      </c>
    </row>
    <row r="8285" spans="2:34" x14ac:dyDescent="0.2">
      <c r="B8285" s="2">
        <f ca="1"/>
        <v>1.3257203913741078E-2</v>
      </c>
      <c r="O8285" s="2">
        <f ca="1"/>
        <v>0.19013961926832965</v>
      </c>
      <c r="X8285" s="2">
        <f ca="1"/>
        <v>50.225589683379624</v>
      </c>
      <c r="AG8285" s="2">
        <f ca="1"/>
        <v>0.65173054034900613</v>
      </c>
      <c r="AH8285" s="2" t="str">
        <f ca="1"/>
        <v>Bad</v>
      </c>
    </row>
    <row r="8286" spans="2:34" x14ac:dyDescent="0.2">
      <c r="B8286" s="2">
        <f ca="1"/>
        <v>0.93378621361112479</v>
      </c>
      <c r="O8286" s="2">
        <f ca="1"/>
        <v>-0.58654140492730789</v>
      </c>
      <c r="X8286" s="2">
        <f ca="1"/>
        <v>58.470316379619824</v>
      </c>
      <c r="AG8286" s="2">
        <f ca="1"/>
        <v>0.79869405001689486</v>
      </c>
      <c r="AH8286" s="2" t="str">
        <f ca="1"/>
        <v>Bad</v>
      </c>
    </row>
    <row r="8287" spans="2:34" x14ac:dyDescent="0.2">
      <c r="B8287" s="2">
        <f ca="1"/>
        <v>0.89467635135964785</v>
      </c>
      <c r="O8287" s="2">
        <f ca="1"/>
        <v>-0.34642283995292744</v>
      </c>
      <c r="X8287" s="2">
        <f ca="1"/>
        <v>85.031432952863327</v>
      </c>
      <c r="AG8287" s="2">
        <f ca="1"/>
        <v>0.85519953518225655</v>
      </c>
      <c r="AH8287" s="2" t="str">
        <f ca="1"/>
        <v>Bad</v>
      </c>
    </row>
    <row r="8288" spans="2:34" x14ac:dyDescent="0.2">
      <c r="B8288" s="2">
        <f ca="1"/>
        <v>5.7654524325709833E-2</v>
      </c>
      <c r="O8288" s="2">
        <f ca="1"/>
        <v>0.20590878654778555</v>
      </c>
      <c r="X8288" s="2">
        <f ca="1"/>
        <v>50.272826440320351</v>
      </c>
      <c r="AG8288" s="2">
        <f ca="1"/>
        <v>0.24950289667047909</v>
      </c>
      <c r="AH8288" s="2" t="str">
        <f ca="1"/>
        <v>OK</v>
      </c>
    </row>
    <row r="8289" spans="2:34" x14ac:dyDescent="0.2">
      <c r="B8289" s="2">
        <f ca="1"/>
        <v>0.95677010835852361</v>
      </c>
      <c r="O8289" s="2">
        <f ca="1"/>
        <v>1.9956908656421781</v>
      </c>
      <c r="X8289" s="2">
        <f ca="1"/>
        <v>19.7795470801452</v>
      </c>
      <c r="AG8289" s="2">
        <f ca="1"/>
        <v>7.7642906389075339E-2</v>
      </c>
      <c r="AH8289" s="2" t="str">
        <f ca="1"/>
        <v>OK</v>
      </c>
    </row>
    <row r="8290" spans="2:34" x14ac:dyDescent="0.2">
      <c r="B8290" s="2">
        <f ca="1"/>
        <v>0.84407049095614184</v>
      </c>
      <c r="O8290" s="2">
        <f ca="1"/>
        <v>1.5236516685003136</v>
      </c>
      <c r="X8290" s="2">
        <f ca="1"/>
        <v>40.308077017471049</v>
      </c>
      <c r="AG8290" s="2">
        <f ca="1"/>
        <v>0.71309363698657435</v>
      </c>
      <c r="AH8290" s="2" t="str">
        <f ca="1"/>
        <v>Bad</v>
      </c>
    </row>
    <row r="8291" spans="2:34" x14ac:dyDescent="0.2">
      <c r="B8291" s="2">
        <f ca="1"/>
        <v>0.43641206338665239</v>
      </c>
      <c r="O8291" s="2">
        <f ca="1"/>
        <v>-0.30288542080619629</v>
      </c>
      <c r="X8291" s="2">
        <f ca="1"/>
        <v>61.042417073324025</v>
      </c>
      <c r="AG8291" s="2">
        <f ca="1"/>
        <v>0.67804743503026743</v>
      </c>
      <c r="AH8291" s="2" t="str">
        <f ca="1"/>
        <v>Bad</v>
      </c>
    </row>
    <row r="8292" spans="2:34" x14ac:dyDescent="0.2">
      <c r="B8292" s="2">
        <f ca="1"/>
        <v>0.75709072781872511</v>
      </c>
      <c r="O8292" s="2">
        <f ca="1"/>
        <v>-0.25582791052468989</v>
      </c>
      <c r="X8292" s="2">
        <f ca="1"/>
        <v>35.712409395847274</v>
      </c>
      <c r="AG8292" s="2">
        <f ca="1"/>
        <v>0.34372231363190342</v>
      </c>
      <c r="AH8292" s="2" t="str">
        <f ca="1"/>
        <v>OK</v>
      </c>
    </row>
    <row r="8293" spans="2:34" x14ac:dyDescent="0.2">
      <c r="B8293" s="2">
        <f ca="1"/>
        <v>0.94840511469177224</v>
      </c>
      <c r="O8293" s="2">
        <f ca="1"/>
        <v>1.4021449576732083</v>
      </c>
      <c r="X8293" s="2">
        <f ca="1"/>
        <v>65.796755245708098</v>
      </c>
      <c r="AG8293" s="2">
        <f ca="1"/>
        <v>0.27978861739180982</v>
      </c>
      <c r="AH8293" s="2" t="str">
        <f ca="1"/>
        <v>OK</v>
      </c>
    </row>
    <row r="8294" spans="2:34" x14ac:dyDescent="0.2">
      <c r="B8294" s="2">
        <f ca="1"/>
        <v>0.31718316615506392</v>
      </c>
      <c r="O8294" s="2">
        <f ca="1"/>
        <v>0.46448451296214543</v>
      </c>
      <c r="X8294" s="2">
        <f ca="1"/>
        <v>56.52438324974046</v>
      </c>
      <c r="AG8294" s="2">
        <f ca="1"/>
        <v>0.95063005680952051</v>
      </c>
      <c r="AH8294" s="2" t="str">
        <f ca="1"/>
        <v>Bad</v>
      </c>
    </row>
    <row r="8295" spans="2:34" x14ac:dyDescent="0.2">
      <c r="B8295" s="2">
        <f ca="1"/>
        <v>0.37682975747159042</v>
      </c>
      <c r="O8295" s="2">
        <f ca="1"/>
        <v>-0.28170269018292854</v>
      </c>
      <c r="X8295" s="2">
        <f ca="1"/>
        <v>25.31202266263087</v>
      </c>
      <c r="AG8295" s="2">
        <f ca="1"/>
        <v>0.24187222067989422</v>
      </c>
      <c r="AH8295" s="2" t="str">
        <f ca="1"/>
        <v>OK</v>
      </c>
    </row>
    <row r="8296" spans="2:34" x14ac:dyDescent="0.2">
      <c r="B8296" s="2">
        <f ca="1"/>
        <v>5.8543620127170293E-2</v>
      </c>
      <c r="O8296" s="2">
        <f ca="1"/>
        <v>-0.84448064570330483</v>
      </c>
      <c r="X8296" s="2">
        <f ca="1"/>
        <v>53.436820191985646</v>
      </c>
      <c r="AG8296" s="2">
        <f ca="1"/>
        <v>0.40769314339982743</v>
      </c>
      <c r="AH8296" s="2" t="str">
        <f ca="1"/>
        <v>Bad</v>
      </c>
    </row>
    <row r="8297" spans="2:34" x14ac:dyDescent="0.2">
      <c r="B8297" s="2">
        <f ca="1"/>
        <v>0.56823735751577997</v>
      </c>
      <c r="O8297" s="2">
        <f ca="1"/>
        <v>-0.65241611930158316</v>
      </c>
      <c r="X8297" s="2">
        <f ca="1"/>
        <v>35.086671054452538</v>
      </c>
      <c r="AG8297" s="2">
        <f ca="1"/>
        <v>5.0037549941299053E-2</v>
      </c>
      <c r="AH8297" s="2" t="str">
        <f ca="1"/>
        <v>OK</v>
      </c>
    </row>
    <row r="8298" spans="2:34" x14ac:dyDescent="0.2">
      <c r="B8298" s="2">
        <f ca="1"/>
        <v>0.71648167678166397</v>
      </c>
      <c r="O8298" s="2">
        <f ca="1"/>
        <v>-1.2232777573304237</v>
      </c>
      <c r="X8298" s="2">
        <f ca="1"/>
        <v>18.924331726084645</v>
      </c>
      <c r="AG8298" s="2">
        <f ca="1"/>
        <v>0.2438982472917024</v>
      </c>
      <c r="AH8298" s="2" t="str">
        <f ca="1"/>
        <v>OK</v>
      </c>
    </row>
    <row r="8299" spans="2:34" x14ac:dyDescent="0.2">
      <c r="B8299" s="2">
        <f ca="1"/>
        <v>0.44029072107382805</v>
      </c>
      <c r="O8299" s="2">
        <f ca="1"/>
        <v>0.71330218954505931</v>
      </c>
      <c r="X8299" s="2">
        <f ca="1"/>
        <v>28.775220091941684</v>
      </c>
      <c r="AG8299" s="2">
        <f ca="1"/>
        <v>0.61709012164586197</v>
      </c>
      <c r="AH8299" s="2" t="str">
        <f ca="1"/>
        <v>Bad</v>
      </c>
    </row>
    <row r="8300" spans="2:34" x14ac:dyDescent="0.2">
      <c r="B8300" s="2">
        <f ca="1"/>
        <v>0.67168773734388476</v>
      </c>
      <c r="O8300" s="2">
        <f ca="1"/>
        <v>-0.71312651695684426</v>
      </c>
      <c r="X8300" s="2">
        <f ca="1"/>
        <v>42.983558506199799</v>
      </c>
      <c r="AG8300" s="2">
        <f ca="1"/>
        <v>0.62428089823451627</v>
      </c>
      <c r="AH8300" s="2" t="str">
        <f ca="1"/>
        <v>Bad</v>
      </c>
    </row>
    <row r="8301" spans="2:34" x14ac:dyDescent="0.2">
      <c r="B8301" s="2">
        <f ca="1"/>
        <v>0.68646151770739827</v>
      </c>
      <c r="O8301" s="2">
        <f ca="1"/>
        <v>-0.75608001760191013</v>
      </c>
      <c r="X8301" s="2">
        <f ca="1"/>
        <v>79.498449430697946</v>
      </c>
      <c r="AG8301" s="2">
        <f ca="1"/>
        <v>0.16413329152424594</v>
      </c>
      <c r="AH8301" s="2" t="str">
        <f ca="1"/>
        <v>OK</v>
      </c>
    </row>
    <row r="8302" spans="2:34" x14ac:dyDescent="0.2">
      <c r="B8302" s="2">
        <f ca="1"/>
        <v>0.69546904837799262</v>
      </c>
      <c r="O8302" s="2">
        <f ca="1"/>
        <v>-0.59334684065571663</v>
      </c>
      <c r="X8302" s="2">
        <f ca="1"/>
        <v>59.87464489569841</v>
      </c>
      <c r="AG8302" s="2">
        <f ca="1"/>
        <v>0.50447716534149922</v>
      </c>
      <c r="AH8302" s="2" t="str">
        <f ca="1"/>
        <v>Bad</v>
      </c>
    </row>
    <row r="8303" spans="2:34" x14ac:dyDescent="0.2">
      <c r="B8303" s="2">
        <f ca="1"/>
        <v>5.9859585303337237E-2</v>
      </c>
      <c r="O8303" s="2">
        <f ca="1"/>
        <v>1.066118419463244</v>
      </c>
      <c r="X8303" s="2">
        <f ca="1"/>
        <v>42.110364328771013</v>
      </c>
      <c r="AG8303" s="2">
        <f ca="1"/>
        <v>0.77111597625479988</v>
      </c>
      <c r="AH8303" s="2" t="str">
        <f ca="1"/>
        <v>Bad</v>
      </c>
    </row>
    <row r="8304" spans="2:34" x14ac:dyDescent="0.2">
      <c r="B8304" s="2">
        <f ca="1"/>
        <v>0.20750917328111274</v>
      </c>
      <c r="O8304" s="2">
        <f ca="1"/>
        <v>-1.4736667340543925</v>
      </c>
      <c r="X8304" s="2">
        <f ca="1"/>
        <v>34.264267500268303</v>
      </c>
      <c r="AG8304" s="2">
        <f ca="1"/>
        <v>0.98503936829068728</v>
      </c>
      <c r="AH8304" s="2" t="str">
        <f ca="1"/>
        <v>Bad</v>
      </c>
    </row>
    <row r="8305" spans="2:34" x14ac:dyDescent="0.2">
      <c r="B8305" s="2">
        <f ca="1"/>
        <v>0.22301386913475429</v>
      </c>
      <c r="O8305" s="2">
        <f ca="1"/>
        <v>0.12671721748747949</v>
      </c>
      <c r="X8305" s="2">
        <f ca="1"/>
        <v>80.000654454938399</v>
      </c>
      <c r="AG8305" s="2">
        <f ca="1"/>
        <v>0.26455273070966734</v>
      </c>
      <c r="AH8305" s="2" t="str">
        <f ca="1"/>
        <v>OK</v>
      </c>
    </row>
    <row r="8306" spans="2:34" x14ac:dyDescent="0.2">
      <c r="B8306" s="2">
        <f ca="1"/>
        <v>7.4134181008979949E-2</v>
      </c>
      <c r="O8306" s="2">
        <f ca="1"/>
        <v>-1.8370741248641753</v>
      </c>
      <c r="X8306" s="2">
        <f ca="1"/>
        <v>55.057904542290245</v>
      </c>
      <c r="AG8306" s="2">
        <f ca="1"/>
        <v>0.69873078113437659</v>
      </c>
      <c r="AH8306" s="2" t="str">
        <f ca="1"/>
        <v>Bad</v>
      </c>
    </row>
    <row r="8307" spans="2:34" x14ac:dyDescent="0.2">
      <c r="B8307" s="2">
        <f ca="1"/>
        <v>0.14126413267022597</v>
      </c>
      <c r="O8307" s="2">
        <f ca="1"/>
        <v>-4.4184528183224464E-2</v>
      </c>
      <c r="X8307" s="2">
        <f ca="1"/>
        <v>32.550842972946711</v>
      </c>
      <c r="AG8307" s="2">
        <f ca="1"/>
        <v>0.65839134749132699</v>
      </c>
      <c r="AH8307" s="2" t="str">
        <f ca="1"/>
        <v>Bad</v>
      </c>
    </row>
    <row r="8308" spans="2:34" x14ac:dyDescent="0.2">
      <c r="B8308" s="2">
        <f ca="1"/>
        <v>0.45909973430593443</v>
      </c>
      <c r="O8308" s="2">
        <f ca="1"/>
        <v>-9.1103742922832395E-2</v>
      </c>
      <c r="X8308" s="2">
        <f ca="1"/>
        <v>37.398868868832757</v>
      </c>
      <c r="AG8308" s="2">
        <f ca="1"/>
        <v>0.13657444265939489</v>
      </c>
      <c r="AH8308" s="2" t="str">
        <f ca="1"/>
        <v>OK</v>
      </c>
    </row>
    <row r="8309" spans="2:34" x14ac:dyDescent="0.2">
      <c r="B8309" s="2">
        <f ca="1"/>
        <v>0.75361646792488801</v>
      </c>
      <c r="O8309" s="2">
        <f ca="1"/>
        <v>1.1634615613197024</v>
      </c>
      <c r="X8309" s="2">
        <f ca="1"/>
        <v>72.457830384867009</v>
      </c>
      <c r="AG8309" s="2">
        <f ca="1"/>
        <v>0.81104114210158618</v>
      </c>
      <c r="AH8309" s="2" t="str">
        <f ca="1"/>
        <v>Bad</v>
      </c>
    </row>
    <row r="8310" spans="2:34" x14ac:dyDescent="0.2">
      <c r="B8310" s="2">
        <f ca="1"/>
        <v>0.75274104981485812</v>
      </c>
      <c r="O8310" s="2">
        <f ca="1"/>
        <v>-2.0790599619416676</v>
      </c>
      <c r="X8310" s="2">
        <f ca="1"/>
        <v>32.786636113800625</v>
      </c>
      <c r="AG8310" s="2">
        <f ca="1"/>
        <v>0.2139820897598308</v>
      </c>
      <c r="AH8310" s="2" t="str">
        <f ca="1"/>
        <v>OK</v>
      </c>
    </row>
    <row r="8311" spans="2:34" x14ac:dyDescent="0.2">
      <c r="B8311" s="2">
        <f ca="1"/>
        <v>0.94090478217539486</v>
      </c>
      <c r="O8311" s="2">
        <f ca="1"/>
        <v>-1.2607463339428078</v>
      </c>
      <c r="X8311" s="2">
        <f ca="1"/>
        <v>43.129721706415921</v>
      </c>
      <c r="AG8311" s="2">
        <f ca="1"/>
        <v>0.99399694650233328</v>
      </c>
      <c r="AH8311" s="2" t="str">
        <f ca="1"/>
        <v>Bad</v>
      </c>
    </row>
    <row r="8312" spans="2:34" x14ac:dyDescent="0.2">
      <c r="B8312" s="2">
        <f ca="1"/>
        <v>9.7430546620236314E-3</v>
      </c>
      <c r="O8312" s="2">
        <f ca="1"/>
        <v>0.58663151931952473</v>
      </c>
      <c r="X8312" s="2">
        <f ca="1"/>
        <v>32.138110611535986</v>
      </c>
      <c r="AG8312" s="2">
        <f ca="1"/>
        <v>0.86476588722555237</v>
      </c>
      <c r="AH8312" s="2" t="str">
        <f ca="1"/>
        <v>Bad</v>
      </c>
    </row>
    <row r="8313" spans="2:34" x14ac:dyDescent="0.2">
      <c r="B8313" s="2">
        <f ca="1"/>
        <v>0.57505709552096862</v>
      </c>
      <c r="O8313" s="2">
        <f ca="1"/>
        <v>1.3087654312123871</v>
      </c>
      <c r="X8313" s="2">
        <f ca="1"/>
        <v>62.975997987347661</v>
      </c>
      <c r="AG8313" s="2">
        <f ca="1"/>
        <v>0.66919627467554688</v>
      </c>
      <c r="AH8313" s="2" t="str">
        <f ca="1"/>
        <v>Bad</v>
      </c>
    </row>
    <row r="8314" spans="2:34" x14ac:dyDescent="0.2">
      <c r="B8314" s="2">
        <f ca="1"/>
        <v>0.11799666177072754</v>
      </c>
      <c r="O8314" s="2">
        <f ca="1"/>
        <v>-1.3316749797672736</v>
      </c>
      <c r="X8314" s="2">
        <f ca="1"/>
        <v>63.500252540608948</v>
      </c>
      <c r="AG8314" s="2">
        <f ca="1"/>
        <v>0.17288102745834544</v>
      </c>
      <c r="AH8314" s="2" t="str">
        <f ca="1"/>
        <v>OK</v>
      </c>
    </row>
    <row r="8315" spans="2:34" x14ac:dyDescent="0.2">
      <c r="B8315" s="2">
        <f ca="1"/>
        <v>0.11157907881059925</v>
      </c>
      <c r="O8315" s="2">
        <f ca="1"/>
        <v>-7.488374159860349E-2</v>
      </c>
      <c r="X8315" s="2">
        <f ca="1"/>
        <v>42.117784613648162</v>
      </c>
      <c r="AG8315" s="2">
        <f ca="1"/>
        <v>0.17794278729285473</v>
      </c>
      <c r="AH8315" s="2" t="str">
        <f ca="1"/>
        <v>OK</v>
      </c>
    </row>
    <row r="8316" spans="2:34" x14ac:dyDescent="0.2">
      <c r="B8316" s="2">
        <f ca="1"/>
        <v>0.52505033476523622</v>
      </c>
      <c r="O8316" s="2">
        <f ca="1"/>
        <v>1.5802969239903608</v>
      </c>
      <c r="X8316" s="2">
        <f ca="1"/>
        <v>72.100902635113272</v>
      </c>
      <c r="AG8316" s="2">
        <f ca="1"/>
        <v>0.12015600233951784</v>
      </c>
      <c r="AH8316" s="2" t="str">
        <f ca="1"/>
        <v>OK</v>
      </c>
    </row>
    <row r="8317" spans="2:34" x14ac:dyDescent="0.2">
      <c r="B8317" s="2">
        <f ca="1"/>
        <v>0.17208916587549639</v>
      </c>
      <c r="O8317" s="2">
        <f ca="1"/>
        <v>-0.14028718211199248</v>
      </c>
      <c r="X8317" s="2">
        <f ca="1"/>
        <v>86.002257869557496</v>
      </c>
      <c r="AG8317" s="2">
        <f ca="1"/>
        <v>2.2530707889913515E-2</v>
      </c>
      <c r="AH8317" s="2" t="str">
        <f ca="1"/>
        <v>Good</v>
      </c>
    </row>
    <row r="8318" spans="2:34" x14ac:dyDescent="0.2">
      <c r="B8318" s="2">
        <f ca="1"/>
        <v>0.10840614169523977</v>
      </c>
      <c r="O8318" s="2">
        <f ca="1"/>
        <v>-1.0234231495711541</v>
      </c>
      <c r="X8318" s="2">
        <f ca="1"/>
        <v>29.340845723104643</v>
      </c>
      <c r="AG8318" s="2">
        <f ca="1"/>
        <v>0.61640073123191574</v>
      </c>
      <c r="AH8318" s="2" t="str">
        <f ca="1"/>
        <v>Bad</v>
      </c>
    </row>
    <row r="8319" spans="2:34" x14ac:dyDescent="0.2">
      <c r="B8319" s="2">
        <f ca="1"/>
        <v>3.8915249632623272E-2</v>
      </c>
      <c r="O8319" s="2">
        <f ca="1"/>
        <v>2.0148397305342955</v>
      </c>
      <c r="X8319" s="2">
        <f ca="1"/>
        <v>66.291916769542055</v>
      </c>
      <c r="AG8319" s="2">
        <f ca="1"/>
        <v>0.32638296538039735</v>
      </c>
      <c r="AH8319" s="2" t="str">
        <f ca="1"/>
        <v>OK</v>
      </c>
    </row>
    <row r="8320" spans="2:34" x14ac:dyDescent="0.2">
      <c r="B8320" s="2">
        <f ca="1"/>
        <v>0.42661025975082234</v>
      </c>
      <c r="O8320" s="2">
        <f ca="1"/>
        <v>-0.19136784467767928</v>
      </c>
      <c r="X8320" s="2">
        <f ca="1"/>
        <v>43.68089240525498</v>
      </c>
      <c r="AG8320" s="2">
        <f ca="1"/>
        <v>0.45751151323560957</v>
      </c>
      <c r="AH8320" s="2" t="str">
        <f ca="1"/>
        <v>Bad</v>
      </c>
    </row>
    <row r="8321" spans="2:34" x14ac:dyDescent="0.2">
      <c r="B8321" s="2">
        <f ca="1"/>
        <v>0.1574199567004626</v>
      </c>
      <c r="O8321" s="2">
        <f ca="1"/>
        <v>-2.6550039337127962</v>
      </c>
      <c r="X8321" s="2">
        <f ca="1"/>
        <v>66.983019755532425</v>
      </c>
      <c r="AG8321" s="2">
        <f ca="1"/>
        <v>2.1752270204179469E-2</v>
      </c>
      <c r="AH8321" s="2" t="str">
        <f ca="1"/>
        <v>Good</v>
      </c>
    </row>
    <row r="8322" spans="2:34" x14ac:dyDescent="0.2">
      <c r="B8322" s="2">
        <f ca="1"/>
        <v>0.86965888057251606</v>
      </c>
      <c r="O8322" s="2">
        <f ca="1"/>
        <v>-0.26839735197505626</v>
      </c>
      <c r="X8322" s="2">
        <f ca="1"/>
        <v>43.858651675219498</v>
      </c>
      <c r="AG8322" s="2">
        <f ca="1"/>
        <v>0.58616903753755345</v>
      </c>
      <c r="AH8322" s="2" t="str">
        <f ca="1"/>
        <v>Bad</v>
      </c>
    </row>
    <row r="8323" spans="2:34" x14ac:dyDescent="0.2">
      <c r="B8323" s="2">
        <f ca="1"/>
        <v>0.50626393655149715</v>
      </c>
      <c r="O8323" s="2">
        <f ca="1"/>
        <v>-1.1521232099231931</v>
      </c>
      <c r="X8323" s="2">
        <f ca="1"/>
        <v>45.156514359467209</v>
      </c>
      <c r="AG8323" s="2">
        <f ca="1"/>
        <v>0.96137173804869813</v>
      </c>
      <c r="AH8323" s="2" t="str">
        <f ca="1"/>
        <v>Bad</v>
      </c>
    </row>
    <row r="8324" spans="2:34" x14ac:dyDescent="0.2">
      <c r="B8324" s="2">
        <f ca="1"/>
        <v>0.579649975181876</v>
      </c>
      <c r="O8324" s="2">
        <f ca="1"/>
        <v>-0.38696043551881049</v>
      </c>
      <c r="X8324" s="2">
        <f ca="1"/>
        <v>56.978563508908024</v>
      </c>
      <c r="AG8324" s="2">
        <f ca="1"/>
        <v>1.0355198395768817E-2</v>
      </c>
      <c r="AH8324" s="2" t="str">
        <f ca="1"/>
        <v>Good</v>
      </c>
    </row>
    <row r="8325" spans="2:34" x14ac:dyDescent="0.2">
      <c r="B8325" s="2">
        <f ca="1"/>
        <v>0.31629694612336712</v>
      </c>
      <c r="O8325" s="2">
        <f ca="1"/>
        <v>-0.19949076790802728</v>
      </c>
      <c r="X8325" s="2">
        <f ca="1"/>
        <v>69.95131105467533</v>
      </c>
      <c r="AG8325" s="2">
        <f ca="1"/>
        <v>0.36351411878643458</v>
      </c>
      <c r="AH8325" s="2" t="str">
        <f ca="1"/>
        <v>OK</v>
      </c>
    </row>
    <row r="8326" spans="2:34" x14ac:dyDescent="0.2">
      <c r="B8326" s="2">
        <f ca="1"/>
        <v>0.30347198613007009</v>
      </c>
      <c r="O8326" s="2">
        <f ca="1"/>
        <v>-0.12614434880002551</v>
      </c>
      <c r="X8326" s="2">
        <f ca="1"/>
        <v>56.303324548825984</v>
      </c>
      <c r="AG8326" s="2">
        <f ca="1"/>
        <v>0.4174430935739446</v>
      </c>
      <c r="AH8326" s="2" t="str">
        <f ca="1"/>
        <v>Bad</v>
      </c>
    </row>
    <row r="8327" spans="2:34" x14ac:dyDescent="0.2">
      <c r="B8327" s="2">
        <f ca="1"/>
        <v>2.4107503497605043E-2</v>
      </c>
      <c r="O8327" s="2">
        <f ca="1"/>
        <v>0.66226915529566599</v>
      </c>
      <c r="X8327" s="2">
        <f ca="1"/>
        <v>45.839904006240857</v>
      </c>
      <c r="AG8327" s="2">
        <f ca="1"/>
        <v>8.9733199664361329E-3</v>
      </c>
      <c r="AH8327" s="2" t="str">
        <f ca="1"/>
        <v>Good</v>
      </c>
    </row>
    <row r="8328" spans="2:34" x14ac:dyDescent="0.2">
      <c r="B8328" s="2">
        <f ca="1"/>
        <v>0.51683507404576612</v>
      </c>
      <c r="O8328" s="2">
        <f ca="1"/>
        <v>-2.243602402417765</v>
      </c>
      <c r="X8328" s="2">
        <f ca="1"/>
        <v>67.898103535935533</v>
      </c>
      <c r="AG8328" s="2">
        <f ca="1"/>
        <v>0.59875932087388639</v>
      </c>
      <c r="AH8328" s="2" t="str">
        <f ca="1"/>
        <v>Bad</v>
      </c>
    </row>
    <row r="8329" spans="2:34" x14ac:dyDescent="0.2">
      <c r="B8329" s="2">
        <f ca="1"/>
        <v>0.67522465741284199</v>
      </c>
      <c r="O8329" s="2">
        <f ca="1"/>
        <v>0.82583272120818529</v>
      </c>
      <c r="X8329" s="2">
        <f ca="1"/>
        <v>20.385776959803984</v>
      </c>
      <c r="AG8329" s="2">
        <f ca="1"/>
        <v>0.42829590951164831</v>
      </c>
      <c r="AH8329" s="2" t="str">
        <f ca="1"/>
        <v>Bad</v>
      </c>
    </row>
    <row r="8330" spans="2:34" x14ac:dyDescent="0.2">
      <c r="B8330" s="2">
        <f ca="1"/>
        <v>0.69642846071865616</v>
      </c>
      <c r="O8330" s="2">
        <f ca="1"/>
        <v>-0.25341984941066154</v>
      </c>
      <c r="X8330" s="2">
        <f ca="1"/>
        <v>85.086032694298979</v>
      </c>
      <c r="AG8330" s="2">
        <f ca="1"/>
        <v>0.41415269785626885</v>
      </c>
      <c r="AH8330" s="2" t="str">
        <f ca="1"/>
        <v>Bad</v>
      </c>
    </row>
    <row r="8331" spans="2:34" x14ac:dyDescent="0.2">
      <c r="B8331" s="2">
        <f ca="1"/>
        <v>0.51894433506815085</v>
      </c>
      <c r="O8331" s="2">
        <f ca="1"/>
        <v>5.8702172771233539E-2</v>
      </c>
      <c r="X8331" s="2">
        <f ca="1"/>
        <v>45.91230548350498</v>
      </c>
      <c r="AG8331" s="2">
        <f ca="1"/>
        <v>0.16015700001425137</v>
      </c>
      <c r="AH8331" s="2" t="str">
        <f ca="1"/>
        <v>OK</v>
      </c>
    </row>
    <row r="8332" spans="2:34" x14ac:dyDescent="0.2">
      <c r="B8332" s="2">
        <f ca="1"/>
        <v>0.25900590648578814</v>
      </c>
      <c r="O8332" s="2">
        <f ca="1"/>
        <v>-0.14316406311060662</v>
      </c>
      <c r="X8332" s="2">
        <f ca="1"/>
        <v>13.330254928317069</v>
      </c>
      <c r="AG8332" s="2">
        <f ca="1"/>
        <v>0.68721028083327962</v>
      </c>
      <c r="AH8332" s="2" t="str">
        <f ca="1"/>
        <v>Bad</v>
      </c>
    </row>
    <row r="8333" spans="2:34" x14ac:dyDescent="0.2">
      <c r="B8333" s="2">
        <f ca="1"/>
        <v>0.72854005742745542</v>
      </c>
      <c r="O8333" s="2">
        <f ca="1"/>
        <v>-0.92651889286793088</v>
      </c>
      <c r="X8333" s="2">
        <f ca="1"/>
        <v>51.260424032579039</v>
      </c>
      <c r="AG8333" s="2">
        <f ca="1"/>
        <v>0.14191994472199254</v>
      </c>
      <c r="AH8333" s="2" t="str">
        <f ca="1"/>
        <v>OK</v>
      </c>
    </row>
    <row r="8334" spans="2:34" x14ac:dyDescent="0.2">
      <c r="B8334" s="2">
        <f ca="1"/>
        <v>0.35717933877711849</v>
      </c>
      <c r="O8334" s="2">
        <f ca="1"/>
        <v>-0.67282227965561048</v>
      </c>
      <c r="X8334" s="2">
        <f ca="1"/>
        <v>53.398549458475415</v>
      </c>
      <c r="AG8334" s="2">
        <f ca="1"/>
        <v>0.50387218209252538</v>
      </c>
      <c r="AH8334" s="2" t="str">
        <f ca="1"/>
        <v>Bad</v>
      </c>
    </row>
    <row r="8335" spans="2:34" x14ac:dyDescent="0.2">
      <c r="B8335" s="2">
        <f ca="1"/>
        <v>0.68975146924009167</v>
      </c>
      <c r="O8335" s="2">
        <f ca="1"/>
        <v>0.91928945043378718</v>
      </c>
      <c r="X8335" s="2">
        <f ca="1"/>
        <v>82.544805360076893</v>
      </c>
      <c r="AG8335" s="2">
        <f ca="1"/>
        <v>0.61032808114852477</v>
      </c>
      <c r="AH8335" s="2" t="str">
        <f ca="1"/>
        <v>Bad</v>
      </c>
    </row>
    <row r="8336" spans="2:34" x14ac:dyDescent="0.2">
      <c r="B8336" s="2">
        <f ca="1"/>
        <v>0.96115171472654626</v>
      </c>
      <c r="O8336" s="2">
        <f ca="1"/>
        <v>-8.5762187202604367E-2</v>
      </c>
      <c r="X8336" s="2">
        <f ca="1"/>
        <v>54.433874763210582</v>
      </c>
      <c r="AG8336" s="2">
        <f ca="1"/>
        <v>0.13104837947266512</v>
      </c>
      <c r="AH8336" s="2" t="str">
        <f ca="1"/>
        <v>OK</v>
      </c>
    </row>
    <row r="8337" spans="2:34" x14ac:dyDescent="0.2">
      <c r="B8337" s="2">
        <f ca="1"/>
        <v>0.57352440845666064</v>
      </c>
      <c r="O8337" s="2">
        <f ca="1"/>
        <v>-0.29497682915600187</v>
      </c>
      <c r="X8337" s="2">
        <f ca="1"/>
        <v>64.019131672099718</v>
      </c>
      <c r="AG8337" s="2">
        <f ca="1"/>
        <v>0.57371279013933263</v>
      </c>
      <c r="AH8337" s="2" t="str">
        <f ca="1"/>
        <v>Bad</v>
      </c>
    </row>
    <row r="8338" spans="2:34" x14ac:dyDescent="0.2">
      <c r="B8338" s="2">
        <f ca="1"/>
        <v>0.23637429315041625</v>
      </c>
      <c r="O8338" s="2">
        <f ca="1"/>
        <v>-0.75069846963774811</v>
      </c>
      <c r="X8338" s="2">
        <f ca="1"/>
        <v>50.339240619511934</v>
      </c>
      <c r="AG8338" s="2">
        <f ca="1"/>
        <v>0.81242040646538705</v>
      </c>
      <c r="AH8338" s="2" t="str">
        <f ca="1"/>
        <v>Bad</v>
      </c>
    </row>
    <row r="8339" spans="2:34" x14ac:dyDescent="0.2">
      <c r="B8339" s="2">
        <f ca="1"/>
        <v>0.18645701479227794</v>
      </c>
      <c r="O8339" s="2">
        <f ca="1"/>
        <v>0.94340893324588071</v>
      </c>
      <c r="X8339" s="2">
        <f ca="1"/>
        <v>38.625193618268966</v>
      </c>
      <c r="AG8339" s="2">
        <f ca="1"/>
        <v>0.23555602346747384</v>
      </c>
      <c r="AH8339" s="2" t="str">
        <f ca="1"/>
        <v>OK</v>
      </c>
    </row>
    <row r="8340" spans="2:34" x14ac:dyDescent="0.2">
      <c r="B8340" s="2">
        <f ca="1"/>
        <v>0.65824745460874823</v>
      </c>
      <c r="O8340" s="2">
        <f ca="1"/>
        <v>-0.30742029829296408</v>
      </c>
      <c r="X8340" s="2">
        <f ca="1"/>
        <v>59.454385519434211</v>
      </c>
      <c r="AG8340" s="2">
        <f ca="1"/>
        <v>0.24863171820561525</v>
      </c>
      <c r="AH8340" s="2" t="str">
        <f ca="1"/>
        <v>OK</v>
      </c>
    </row>
    <row r="8341" spans="2:34" x14ac:dyDescent="0.2">
      <c r="B8341" s="2">
        <f ca="1"/>
        <v>0.46102961496497863</v>
      </c>
      <c r="O8341" s="2">
        <f ca="1"/>
        <v>-0.80066662187142557</v>
      </c>
      <c r="X8341" s="2">
        <f ca="1"/>
        <v>42.5931468194742</v>
      </c>
      <c r="AG8341" s="2">
        <f ca="1"/>
        <v>0.76191714239323849</v>
      </c>
      <c r="AH8341" s="2" t="str">
        <f ca="1"/>
        <v>Bad</v>
      </c>
    </row>
    <row r="8342" spans="2:34" x14ac:dyDescent="0.2">
      <c r="B8342" s="2">
        <f ca="1"/>
        <v>0.47308465821674961</v>
      </c>
      <c r="O8342" s="2">
        <f ca="1"/>
        <v>0.50621002726006747</v>
      </c>
      <c r="X8342" s="2">
        <f ca="1"/>
        <v>51.458491835623818</v>
      </c>
      <c r="AG8342" s="2">
        <f ca="1"/>
        <v>0.61420973167170678</v>
      </c>
      <c r="AH8342" s="2" t="str">
        <f ca="1"/>
        <v>Bad</v>
      </c>
    </row>
    <row r="8343" spans="2:34" x14ac:dyDescent="0.2">
      <c r="B8343" s="2">
        <f ca="1"/>
        <v>0.53192325314481947</v>
      </c>
      <c r="O8343" s="2">
        <f ca="1"/>
        <v>-1.1521860039131306</v>
      </c>
      <c r="X8343" s="2">
        <f ca="1"/>
        <v>35.361856415883665</v>
      </c>
      <c r="AG8343" s="2">
        <f ca="1"/>
        <v>0.35900712443806526</v>
      </c>
      <c r="AH8343" s="2" t="str">
        <f ca="1"/>
        <v>OK</v>
      </c>
    </row>
    <row r="8344" spans="2:34" x14ac:dyDescent="0.2">
      <c r="B8344" s="2">
        <f ca="1"/>
        <v>0.30087202643933564</v>
      </c>
      <c r="O8344" s="2">
        <f ca="1"/>
        <v>-0.70348245584125813</v>
      </c>
      <c r="X8344" s="2">
        <f ca="1"/>
        <v>44.790234313082578</v>
      </c>
      <c r="AG8344" s="2">
        <f ca="1"/>
        <v>0.28302569635819919</v>
      </c>
      <c r="AH8344" s="2" t="str">
        <f ca="1"/>
        <v>OK</v>
      </c>
    </row>
    <row r="8345" spans="2:34" x14ac:dyDescent="0.2">
      <c r="B8345" s="2">
        <f ca="1"/>
        <v>0.51772602274631918</v>
      </c>
      <c r="O8345" s="2">
        <f ca="1"/>
        <v>0.25228660730076086</v>
      </c>
      <c r="X8345" s="2">
        <f ca="1"/>
        <v>55.2348503611924</v>
      </c>
      <c r="AG8345" s="2">
        <f ca="1"/>
        <v>0.47788544888298046</v>
      </c>
      <c r="AH8345" s="2" t="str">
        <f ca="1"/>
        <v>Bad</v>
      </c>
    </row>
    <row r="8346" spans="2:34" x14ac:dyDescent="0.2">
      <c r="B8346" s="2">
        <f ca="1"/>
        <v>0.26171377393983186</v>
      </c>
      <c r="O8346" s="2">
        <f ca="1"/>
        <v>-0.46915538477256663</v>
      </c>
      <c r="X8346" s="2">
        <f ca="1"/>
        <v>48.083418161985833</v>
      </c>
      <c r="AG8346" s="2">
        <f ca="1"/>
        <v>0.58887375311279166</v>
      </c>
      <c r="AH8346" s="2" t="str">
        <f ca="1"/>
        <v>Bad</v>
      </c>
    </row>
    <row r="8347" spans="2:34" x14ac:dyDescent="0.2">
      <c r="B8347" s="2">
        <f ca="1"/>
        <v>0.13362406101598912</v>
      </c>
      <c r="O8347" s="2">
        <f ca="1"/>
        <v>-0.5984188070730716</v>
      </c>
      <c r="X8347" s="2">
        <f ca="1"/>
        <v>70.632837744279172</v>
      </c>
      <c r="AG8347" s="2">
        <f ca="1"/>
        <v>1.577693394328783E-2</v>
      </c>
      <c r="AH8347" s="2" t="str">
        <f ca="1"/>
        <v>Good</v>
      </c>
    </row>
    <row r="8348" spans="2:34" x14ac:dyDescent="0.2">
      <c r="B8348" s="2">
        <f ca="1"/>
        <v>0.48626423744337277</v>
      </c>
      <c r="O8348" s="2">
        <f ca="1"/>
        <v>0.97183317825697646</v>
      </c>
      <c r="X8348" s="2">
        <f ca="1"/>
        <v>61.46844907111366</v>
      </c>
      <c r="AG8348" s="2">
        <f ca="1"/>
        <v>0.22906912136508661</v>
      </c>
      <c r="AH8348" s="2" t="str">
        <f ca="1"/>
        <v>OK</v>
      </c>
    </row>
    <row r="8349" spans="2:34" x14ac:dyDescent="0.2">
      <c r="B8349" s="2">
        <f ca="1"/>
        <v>0.59618012306804369</v>
      </c>
      <c r="O8349" s="2">
        <f ca="1"/>
        <v>-0.53473638740862595</v>
      </c>
      <c r="X8349" s="2">
        <f ca="1"/>
        <v>33.918088525112353</v>
      </c>
      <c r="AG8349" s="2">
        <f ca="1"/>
        <v>0.31342305365256373</v>
      </c>
      <c r="AH8349" s="2" t="str">
        <f ca="1"/>
        <v>OK</v>
      </c>
    </row>
    <row r="8350" spans="2:34" x14ac:dyDescent="0.2">
      <c r="B8350" s="2">
        <f ca="1"/>
        <v>0.48147678699377949</v>
      </c>
      <c r="O8350" s="2">
        <f ca="1"/>
        <v>-0.44637909924651986</v>
      </c>
      <c r="X8350" s="2">
        <f ca="1"/>
        <v>58.033358911382265</v>
      </c>
      <c r="AG8350" s="2">
        <f ca="1"/>
        <v>0.59413601345667733</v>
      </c>
      <c r="AH8350" s="2" t="str">
        <f ca="1"/>
        <v>Bad</v>
      </c>
    </row>
    <row r="8351" spans="2:34" x14ac:dyDescent="0.2">
      <c r="B8351" s="2">
        <f ca="1"/>
        <v>0.29178855822192595</v>
      </c>
      <c r="O8351" s="2">
        <f ca="1"/>
        <v>-0.98532048471573463</v>
      </c>
      <c r="X8351" s="2">
        <f ca="1"/>
        <v>43.707670194430236</v>
      </c>
      <c r="AG8351" s="2">
        <f ca="1"/>
        <v>0.25668275366433302</v>
      </c>
      <c r="AH8351" s="2" t="str">
        <f ca="1"/>
        <v>OK</v>
      </c>
    </row>
    <row r="8352" spans="2:34" x14ac:dyDescent="0.2">
      <c r="B8352" s="2">
        <f ca="1"/>
        <v>0.45225348761100892</v>
      </c>
      <c r="O8352" s="2">
        <f ca="1"/>
        <v>-1.6334215833630765</v>
      </c>
      <c r="X8352" s="2">
        <f ca="1"/>
        <v>54.451191962323158</v>
      </c>
      <c r="AG8352" s="2">
        <f ca="1"/>
        <v>0.83208792367379636</v>
      </c>
      <c r="AH8352" s="2" t="str">
        <f ca="1"/>
        <v>Bad</v>
      </c>
    </row>
    <row r="8353" spans="2:34" x14ac:dyDescent="0.2">
      <c r="B8353" s="2">
        <f ca="1"/>
        <v>0.20392700174971634</v>
      </c>
      <c r="O8353" s="2">
        <f ca="1"/>
        <v>-2.4006827797091823</v>
      </c>
      <c r="X8353" s="2">
        <f ca="1"/>
        <v>53.249887474433173</v>
      </c>
      <c r="AG8353" s="2">
        <f ca="1"/>
        <v>0.56596770555892872</v>
      </c>
      <c r="AH8353" s="2" t="str">
        <f ca="1"/>
        <v>Bad</v>
      </c>
    </row>
    <row r="8354" spans="2:34" x14ac:dyDescent="0.2">
      <c r="B8354" s="2">
        <f ca="1"/>
        <v>0.29929833304724807</v>
      </c>
      <c r="O8354" s="2">
        <f ca="1"/>
        <v>-0.18849957674936429</v>
      </c>
      <c r="X8354" s="2">
        <f ca="1"/>
        <v>29.055151722009921</v>
      </c>
      <c r="AG8354" s="2">
        <f ca="1"/>
        <v>0.70258687461800151</v>
      </c>
      <c r="AH8354" s="2" t="str">
        <f ca="1"/>
        <v>Bad</v>
      </c>
    </row>
    <row r="8355" spans="2:34" x14ac:dyDescent="0.2">
      <c r="B8355" s="2">
        <f ca="1"/>
        <v>0.51016336194989331</v>
      </c>
      <c r="O8355" s="2">
        <f ca="1"/>
        <v>-0.7436513223756952</v>
      </c>
      <c r="X8355" s="2">
        <f ca="1"/>
        <v>16.590689633425892</v>
      </c>
      <c r="AG8355" s="2">
        <f ca="1"/>
        <v>0.15305938361965965</v>
      </c>
      <c r="AH8355" s="2" t="str">
        <f ca="1"/>
        <v>OK</v>
      </c>
    </row>
    <row r="8356" spans="2:34" x14ac:dyDescent="0.2">
      <c r="B8356" s="2">
        <f ca="1"/>
        <v>0.44885607236366321</v>
      </c>
      <c r="O8356" s="2">
        <f ca="1"/>
        <v>0.30161946402572332</v>
      </c>
      <c r="X8356" s="2">
        <f ca="1"/>
        <v>31.132384578137287</v>
      </c>
      <c r="AG8356" s="2">
        <f ca="1"/>
        <v>0.83529447137639234</v>
      </c>
      <c r="AH8356" s="2" t="str">
        <f ca="1"/>
        <v>Bad</v>
      </c>
    </row>
    <row r="8357" spans="2:34" x14ac:dyDescent="0.2">
      <c r="B8357" s="2">
        <f ca="1"/>
        <v>0.37438094041620329</v>
      </c>
      <c r="O8357" s="2">
        <f ca="1"/>
        <v>-1.1044634007453604</v>
      </c>
      <c r="X8357" s="2">
        <f ca="1"/>
        <v>23.561982681306084</v>
      </c>
      <c r="AG8357" s="2">
        <f ca="1"/>
        <v>0.7732499501806529</v>
      </c>
      <c r="AH8357" s="2" t="str">
        <f ca="1"/>
        <v>Bad</v>
      </c>
    </row>
    <row r="8358" spans="2:34" x14ac:dyDescent="0.2">
      <c r="B8358" s="2">
        <f ca="1"/>
        <v>0.63097058607797907</v>
      </c>
      <c r="O8358" s="2">
        <f ca="1"/>
        <v>0.89118092397406001</v>
      </c>
      <c r="X8358" s="2">
        <f ca="1"/>
        <v>67.754045752565645</v>
      </c>
      <c r="AG8358" s="2">
        <f ca="1"/>
        <v>0.67724520004186139</v>
      </c>
      <c r="AH8358" s="2" t="str">
        <f ca="1"/>
        <v>Bad</v>
      </c>
    </row>
    <row r="8359" spans="2:34" x14ac:dyDescent="0.2">
      <c r="B8359" s="2">
        <f ca="1"/>
        <v>0.2383993424058759</v>
      </c>
      <c r="O8359" s="2">
        <f ca="1"/>
        <v>-1.666851439989905</v>
      </c>
      <c r="X8359" s="2">
        <f ca="1"/>
        <v>36.023033328631001</v>
      </c>
      <c r="AG8359" s="2">
        <f ca="1"/>
        <v>0.91143977370359974</v>
      </c>
      <c r="AH8359" s="2" t="str">
        <f ca="1"/>
        <v>Bad</v>
      </c>
    </row>
    <row r="8360" spans="2:34" x14ac:dyDescent="0.2">
      <c r="B8360" s="2">
        <f ca="1"/>
        <v>0.28364449552291071</v>
      </c>
      <c r="O8360" s="2">
        <f ca="1"/>
        <v>-1.7469328644339603</v>
      </c>
      <c r="X8360" s="2">
        <f ca="1"/>
        <v>64.196957831621177</v>
      </c>
      <c r="AG8360" s="2">
        <f ca="1"/>
        <v>0.35175625370498809</v>
      </c>
      <c r="AH8360" s="2" t="str">
        <f ca="1"/>
        <v>OK</v>
      </c>
    </row>
    <row r="8361" spans="2:34" x14ac:dyDescent="0.2">
      <c r="B8361" s="2">
        <f ca="1"/>
        <v>1.9541179464832581E-2</v>
      </c>
      <c r="O8361" s="2">
        <f ca="1"/>
        <v>-1.9728167568513573</v>
      </c>
      <c r="X8361" s="2">
        <f ca="1"/>
        <v>48.980925857393586</v>
      </c>
      <c r="AG8361" s="2">
        <f ca="1"/>
        <v>0.21822603119781991</v>
      </c>
      <c r="AH8361" s="2" t="str">
        <f ca="1"/>
        <v>OK</v>
      </c>
    </row>
    <row r="8362" spans="2:34" x14ac:dyDescent="0.2">
      <c r="B8362" s="2">
        <f ca="1"/>
        <v>0.9328442147628182</v>
      </c>
      <c r="O8362" s="2">
        <f ca="1"/>
        <v>0.33021210929753031</v>
      </c>
      <c r="X8362" s="2">
        <f ca="1"/>
        <v>77.605596707482945</v>
      </c>
      <c r="AG8362" s="2">
        <f ca="1"/>
        <v>0.47464717230300191</v>
      </c>
      <c r="AH8362" s="2" t="str">
        <f ca="1"/>
        <v>Bad</v>
      </c>
    </row>
    <row r="8363" spans="2:34" x14ac:dyDescent="0.2">
      <c r="B8363" s="2">
        <f ca="1"/>
        <v>0.98391011864053635</v>
      </c>
      <c r="O8363" s="2">
        <f ca="1"/>
        <v>0.50717794751904743</v>
      </c>
      <c r="X8363" s="2">
        <f ca="1"/>
        <v>48.842714110628563</v>
      </c>
      <c r="AG8363" s="2">
        <f ca="1"/>
        <v>0.71258853414950285</v>
      </c>
      <c r="AH8363" s="2" t="str">
        <f ca="1"/>
        <v>Bad</v>
      </c>
    </row>
    <row r="8364" spans="2:34" x14ac:dyDescent="0.2">
      <c r="B8364" s="2">
        <f ca="1"/>
        <v>0.75600799839029698</v>
      </c>
      <c r="O8364" s="2">
        <f ca="1"/>
        <v>-0.16831504994400767</v>
      </c>
      <c r="X8364" s="2">
        <f ca="1"/>
        <v>69.657799462373617</v>
      </c>
      <c r="AG8364" s="2">
        <f ca="1"/>
        <v>0.24699792868173276</v>
      </c>
      <c r="AH8364" s="2" t="str">
        <f ca="1"/>
        <v>OK</v>
      </c>
    </row>
    <row r="8365" spans="2:34" x14ac:dyDescent="0.2">
      <c r="B8365" s="2">
        <f ca="1"/>
        <v>0.56892348852192764</v>
      </c>
      <c r="O8365" s="2">
        <f ca="1"/>
        <v>-0.56450479361840022</v>
      </c>
      <c r="X8365" s="2">
        <f ca="1"/>
        <v>50.548398974842293</v>
      </c>
      <c r="AG8365" s="2">
        <f ca="1"/>
        <v>5.4763782465512278E-3</v>
      </c>
      <c r="AH8365" s="2" t="str">
        <f ca="1"/>
        <v>Good</v>
      </c>
    </row>
    <row r="8366" spans="2:34" x14ac:dyDescent="0.2">
      <c r="B8366" s="2">
        <f ca="1"/>
        <v>0.887455856169862</v>
      </c>
      <c r="O8366" s="2">
        <f ca="1"/>
        <v>0.95389989107965023</v>
      </c>
      <c r="X8366" s="2">
        <f ca="1"/>
        <v>39.184052087621517</v>
      </c>
      <c r="AG8366" s="2">
        <f ca="1"/>
        <v>0.275691990232519</v>
      </c>
      <c r="AH8366" s="2" t="str">
        <f ca="1"/>
        <v>OK</v>
      </c>
    </row>
    <row r="8367" spans="2:34" x14ac:dyDescent="0.2">
      <c r="B8367" s="2">
        <f ca="1"/>
        <v>0.84013905412073675</v>
      </c>
      <c r="O8367" s="2">
        <f ca="1"/>
        <v>-1.0015358425270025</v>
      </c>
      <c r="X8367" s="2">
        <f ca="1"/>
        <v>30.448113366401181</v>
      </c>
      <c r="AG8367" s="2">
        <f ca="1"/>
        <v>1.5138081002346926E-2</v>
      </c>
      <c r="AH8367" s="2" t="str">
        <f ca="1"/>
        <v>Good</v>
      </c>
    </row>
    <row r="8368" spans="2:34" x14ac:dyDescent="0.2">
      <c r="B8368" s="2">
        <f ca="1"/>
        <v>0.57392580750946065</v>
      </c>
      <c r="O8368" s="2">
        <f ca="1"/>
        <v>0.26119423397711061</v>
      </c>
      <c r="X8368" s="2">
        <f ca="1"/>
        <v>50.753550986172577</v>
      </c>
      <c r="AG8368" s="2">
        <f ca="1"/>
        <v>8.2664993069885062E-2</v>
      </c>
      <c r="AH8368" s="2" t="str">
        <f ca="1"/>
        <v>OK</v>
      </c>
    </row>
    <row r="8369" spans="2:34" x14ac:dyDescent="0.2">
      <c r="B8369" s="2">
        <f ca="1"/>
        <v>0.16998788482335159</v>
      </c>
      <c r="O8369" s="2">
        <f ca="1"/>
        <v>-0.12145876085797427</v>
      </c>
      <c r="X8369" s="2">
        <f ca="1"/>
        <v>49.922043546589663</v>
      </c>
      <c r="AG8369" s="2">
        <f ca="1"/>
        <v>0.97368527499049717</v>
      </c>
      <c r="AH8369" s="2" t="str">
        <f ca="1"/>
        <v>Bad</v>
      </c>
    </row>
    <row r="8370" spans="2:34" x14ac:dyDescent="0.2">
      <c r="B8370" s="2">
        <f ca="1"/>
        <v>0.59024931905771405</v>
      </c>
      <c r="O8370" s="2">
        <f ca="1"/>
        <v>0.97463225869405579</v>
      </c>
      <c r="X8370" s="2">
        <f ca="1"/>
        <v>80.949155359335748</v>
      </c>
      <c r="AG8370" s="2">
        <f ca="1"/>
        <v>0.85600095379729213</v>
      </c>
      <c r="AH8370" s="2" t="str">
        <f ca="1"/>
        <v>Bad</v>
      </c>
    </row>
    <row r="8371" spans="2:34" x14ac:dyDescent="0.2">
      <c r="B8371" s="2">
        <f ca="1"/>
        <v>0.96197878719537444</v>
      </c>
      <c r="O8371" s="2">
        <f ca="1"/>
        <v>-1.2050601086744941</v>
      </c>
      <c r="X8371" s="2">
        <f ca="1"/>
        <v>39.480071092358855</v>
      </c>
      <c r="AG8371" s="2">
        <f ca="1"/>
        <v>0.9516546812179163</v>
      </c>
      <c r="AH8371" s="2" t="str">
        <f ca="1"/>
        <v>Bad</v>
      </c>
    </row>
    <row r="8372" spans="2:34" x14ac:dyDescent="0.2">
      <c r="B8372" s="2">
        <f ca="1"/>
        <v>0.88940545944186433</v>
      </c>
      <c r="O8372" s="2">
        <f ca="1"/>
        <v>8.3891846847801946E-2</v>
      </c>
      <c r="X8372" s="2">
        <f ca="1"/>
        <v>53.20138171912788</v>
      </c>
      <c r="AG8372" s="2">
        <f ca="1"/>
        <v>0.20954590914189963</v>
      </c>
      <c r="AH8372" s="2" t="str">
        <f ca="1"/>
        <v>OK</v>
      </c>
    </row>
    <row r="8373" spans="2:34" x14ac:dyDescent="0.2">
      <c r="B8373" s="2">
        <f ca="1"/>
        <v>0.78996651095919668</v>
      </c>
      <c r="O8373" s="2">
        <f ca="1"/>
        <v>-0.98268687122184339</v>
      </c>
      <c r="X8373" s="2">
        <f ca="1"/>
        <v>71.12681458933865</v>
      </c>
      <c r="AG8373" s="2">
        <f ca="1"/>
        <v>0.17087623159868381</v>
      </c>
      <c r="AH8373" s="2" t="str">
        <f ca="1"/>
        <v>OK</v>
      </c>
    </row>
    <row r="8374" spans="2:34" x14ac:dyDescent="0.2">
      <c r="B8374" s="2">
        <f ca="1"/>
        <v>0.64520214278333388</v>
      </c>
      <c r="O8374" s="2">
        <f ca="1"/>
        <v>0.70386678299687766</v>
      </c>
      <c r="X8374" s="2">
        <f ca="1"/>
        <v>45.57488617462095</v>
      </c>
      <c r="AG8374" s="2">
        <f ca="1"/>
        <v>0.37099146018508189</v>
      </c>
      <c r="AH8374" s="2" t="str">
        <f ca="1"/>
        <v>OK</v>
      </c>
    </row>
    <row r="8375" spans="2:34" x14ac:dyDescent="0.2">
      <c r="B8375" s="2">
        <f ca="1"/>
        <v>0.61988756024194958</v>
      </c>
      <c r="O8375" s="2">
        <f ca="1"/>
        <v>0.57030703536109373</v>
      </c>
      <c r="X8375" s="2">
        <f ca="1"/>
        <v>57.082072641884423</v>
      </c>
      <c r="AG8375" s="2">
        <f ca="1"/>
        <v>0.14602411272669769</v>
      </c>
      <c r="AH8375" s="2" t="str">
        <f ca="1"/>
        <v>OK</v>
      </c>
    </row>
    <row r="8376" spans="2:34" x14ac:dyDescent="0.2">
      <c r="B8376" s="2">
        <f ca="1"/>
        <v>0.64035521347250501</v>
      </c>
      <c r="O8376" s="2">
        <f ca="1"/>
        <v>-1.4471930816745382</v>
      </c>
      <c r="X8376" s="2">
        <f ca="1"/>
        <v>61.890672213853094</v>
      </c>
      <c r="AG8376" s="2">
        <f ca="1"/>
        <v>0.18576929796629282</v>
      </c>
      <c r="AH8376" s="2" t="str">
        <f ca="1"/>
        <v>OK</v>
      </c>
    </row>
    <row r="8377" spans="2:34" x14ac:dyDescent="0.2">
      <c r="B8377" s="2">
        <f ca="1"/>
        <v>0.93538926508679388</v>
      </c>
      <c r="O8377" s="2">
        <f ca="1"/>
        <v>0.50307481835180323</v>
      </c>
      <c r="X8377" s="2">
        <f ca="1"/>
        <v>32.417248293990234</v>
      </c>
      <c r="AG8377" s="2">
        <f ca="1"/>
        <v>0.48621233545081433</v>
      </c>
      <c r="AH8377" s="2" t="str">
        <f ca="1"/>
        <v>Bad</v>
      </c>
    </row>
    <row r="8378" spans="2:34" x14ac:dyDescent="0.2">
      <c r="B8378" s="2">
        <f ca="1"/>
        <v>0.20231304595324073</v>
      </c>
      <c r="O8378" s="2">
        <f ca="1"/>
        <v>0.84267561580170491</v>
      </c>
      <c r="X8378" s="2">
        <f ca="1"/>
        <v>35.725785164825233</v>
      </c>
      <c r="AG8378" s="2">
        <f ca="1"/>
        <v>0.70305265207309908</v>
      </c>
      <c r="AH8378" s="2" t="str">
        <f ca="1"/>
        <v>Bad</v>
      </c>
    </row>
    <row r="8379" spans="2:34" x14ac:dyDescent="0.2">
      <c r="B8379" s="2">
        <f ca="1"/>
        <v>0.14371380943291912</v>
      </c>
      <c r="O8379" s="2">
        <f ca="1"/>
        <v>0.48969002970528303</v>
      </c>
      <c r="X8379" s="2">
        <f ca="1"/>
        <v>48.469611080009145</v>
      </c>
      <c r="AG8379" s="2">
        <f ca="1"/>
        <v>0.60521340142056212</v>
      </c>
      <c r="AH8379" s="2" t="str">
        <f ca="1"/>
        <v>Bad</v>
      </c>
    </row>
    <row r="8380" spans="2:34" x14ac:dyDescent="0.2">
      <c r="B8380" s="2">
        <f ca="1"/>
        <v>0.99490242483331515</v>
      </c>
      <c r="O8380" s="2">
        <f ca="1"/>
        <v>-0.61168583516246733</v>
      </c>
      <c r="X8380" s="2">
        <f ca="1"/>
        <v>58.214234304256323</v>
      </c>
      <c r="AG8380" s="2">
        <f ca="1"/>
        <v>0.47483601528684605</v>
      </c>
      <c r="AH8380" s="2" t="str">
        <f ca="1"/>
        <v>Bad</v>
      </c>
    </row>
    <row r="8381" spans="2:34" x14ac:dyDescent="0.2">
      <c r="B8381" s="2">
        <f ca="1"/>
        <v>0.84161538252848311</v>
      </c>
      <c r="O8381" s="2">
        <f ca="1"/>
        <v>-3.2922400728272434</v>
      </c>
      <c r="X8381" s="2">
        <f ca="1"/>
        <v>33.62642029024321</v>
      </c>
      <c r="AG8381" s="2">
        <f ca="1"/>
        <v>0.52967031451406332</v>
      </c>
      <c r="AH8381" s="2" t="str">
        <f ca="1"/>
        <v>Bad</v>
      </c>
    </row>
    <row r="8382" spans="2:34" x14ac:dyDescent="0.2">
      <c r="B8382" s="2">
        <f ca="1"/>
        <v>0.7195889188203699</v>
      </c>
      <c r="O8382" s="2">
        <f ca="1"/>
        <v>-0.95661694317711254</v>
      </c>
      <c r="X8382" s="2">
        <f ca="1"/>
        <v>34.884570694333497</v>
      </c>
      <c r="AG8382" s="2">
        <f ca="1"/>
        <v>0.46235480376270166</v>
      </c>
      <c r="AH8382" s="2" t="str">
        <f ca="1"/>
        <v>Bad</v>
      </c>
    </row>
    <row r="8383" spans="2:34" x14ac:dyDescent="0.2">
      <c r="B8383" s="2">
        <f ca="1"/>
        <v>0.61500755104009452</v>
      </c>
      <c r="O8383" s="2">
        <f ca="1"/>
        <v>0.72200281915648745</v>
      </c>
      <c r="X8383" s="2">
        <f ca="1"/>
        <v>36.565235961486636</v>
      </c>
      <c r="AG8383" s="2">
        <f ca="1"/>
        <v>0.62012635633409685</v>
      </c>
      <c r="AH8383" s="2" t="str">
        <f ca="1"/>
        <v>Bad</v>
      </c>
    </row>
    <row r="8384" spans="2:34" x14ac:dyDescent="0.2">
      <c r="B8384" s="2">
        <f ca="1"/>
        <v>0.86087479253199173</v>
      </c>
      <c r="O8384" s="2">
        <f ca="1"/>
        <v>0.52109742933368963</v>
      </c>
      <c r="X8384" s="2">
        <f ca="1"/>
        <v>55.410940699212176</v>
      </c>
      <c r="AG8384" s="2">
        <f ca="1"/>
        <v>0.41470669399919791</v>
      </c>
      <c r="AH8384" s="2" t="str">
        <f ca="1"/>
        <v>Bad</v>
      </c>
    </row>
    <row r="8385" spans="2:34" x14ac:dyDescent="0.2">
      <c r="B8385" s="2">
        <f ca="1"/>
        <v>0.49017456517925706</v>
      </c>
      <c r="O8385" s="2">
        <f ca="1"/>
        <v>-0.29079876255859843</v>
      </c>
      <c r="X8385" s="2">
        <f ca="1"/>
        <v>59.346186842867972</v>
      </c>
      <c r="AG8385" s="2">
        <f ca="1"/>
        <v>0.25972354775088435</v>
      </c>
      <c r="AH8385" s="2" t="str">
        <f ca="1"/>
        <v>OK</v>
      </c>
    </row>
    <row r="8386" spans="2:34" x14ac:dyDescent="0.2">
      <c r="B8386" s="2">
        <f ca="1"/>
        <v>0.96562369711672846</v>
      </c>
      <c r="O8386" s="2">
        <f ca="1"/>
        <v>1.1577491430221503</v>
      </c>
      <c r="X8386" s="2">
        <f ca="1"/>
        <v>74.568980625006461</v>
      </c>
      <c r="AG8386" s="2">
        <f ca="1"/>
        <v>0.90441830475597551</v>
      </c>
      <c r="AH8386" s="2" t="str">
        <f ca="1"/>
        <v>Bad</v>
      </c>
    </row>
    <row r="8387" spans="2:34" x14ac:dyDescent="0.2">
      <c r="B8387" s="2">
        <f ca="1"/>
        <v>0.64860235435171543</v>
      </c>
      <c r="O8387" s="2">
        <f ca="1"/>
        <v>0.58073731857578359</v>
      </c>
      <c r="X8387" s="2">
        <f ca="1"/>
        <v>55.008708595700256</v>
      </c>
      <c r="AG8387" s="2">
        <f ca="1"/>
        <v>0.30598718705877226</v>
      </c>
      <c r="AH8387" s="2" t="str">
        <f ca="1"/>
        <v>OK</v>
      </c>
    </row>
    <row r="8388" spans="2:34" x14ac:dyDescent="0.2">
      <c r="B8388" s="2">
        <f ca="1"/>
        <v>0.74103979139575316</v>
      </c>
      <c r="O8388" s="2">
        <f ca="1"/>
        <v>-0.11780799991889732</v>
      </c>
      <c r="X8388" s="2">
        <f ca="1"/>
        <v>47.507967298405887</v>
      </c>
      <c r="AG8388" s="2">
        <f ca="1"/>
        <v>0.78178428194132699</v>
      </c>
      <c r="AH8388" s="2" t="str">
        <f ca="1"/>
        <v>Bad</v>
      </c>
    </row>
    <row r="8389" spans="2:34" x14ac:dyDescent="0.2">
      <c r="B8389" s="2">
        <f ca="1"/>
        <v>0.49337375918621729</v>
      </c>
      <c r="O8389" s="2">
        <f ca="1"/>
        <v>-0.5199965406177478</v>
      </c>
      <c r="X8389" s="2">
        <f ca="1"/>
        <v>35.837160996107386</v>
      </c>
      <c r="AG8389" s="2">
        <f ca="1"/>
        <v>0.31393629850952154</v>
      </c>
      <c r="AH8389" s="2" t="str">
        <f ca="1"/>
        <v>OK</v>
      </c>
    </row>
    <row r="8390" spans="2:34" x14ac:dyDescent="0.2">
      <c r="B8390" s="2">
        <f ca="1"/>
        <v>0.96131079334040415</v>
      </c>
      <c r="O8390" s="2">
        <f ca="1"/>
        <v>-1.9844478955896765</v>
      </c>
      <c r="X8390" s="2">
        <f ca="1"/>
        <v>44.326641292647025</v>
      </c>
      <c r="AG8390" s="2">
        <f ca="1"/>
        <v>0.35809939266796453</v>
      </c>
      <c r="AH8390" s="2" t="str">
        <f ca="1"/>
        <v>OK</v>
      </c>
    </row>
    <row r="8391" spans="2:34" x14ac:dyDescent="0.2">
      <c r="B8391" s="2">
        <f ca="1"/>
        <v>0.8439433428562384</v>
      </c>
      <c r="O8391" s="2">
        <f ca="1"/>
        <v>-2.0439856068791427</v>
      </c>
      <c r="X8391" s="2">
        <f ca="1"/>
        <v>55.554467240859886</v>
      </c>
      <c r="AG8391" s="2">
        <f ca="1"/>
        <v>0.99808969860477426</v>
      </c>
      <c r="AH8391" s="2" t="str">
        <f ca="1"/>
        <v>Bad</v>
      </c>
    </row>
    <row r="8392" spans="2:34" x14ac:dyDescent="0.2">
      <c r="B8392" s="2">
        <f ca="1"/>
        <v>0.14176675050574428</v>
      </c>
      <c r="O8392" s="2">
        <f ca="1"/>
        <v>-0.30067707390647386</v>
      </c>
      <c r="X8392" s="2">
        <f ca="1"/>
        <v>46.043675053599181</v>
      </c>
      <c r="AG8392" s="2">
        <f ca="1"/>
        <v>0.22025313530061652</v>
      </c>
      <c r="AH8392" s="2" t="str">
        <f ca="1"/>
        <v>OK</v>
      </c>
    </row>
    <row r="8393" spans="2:34" x14ac:dyDescent="0.2">
      <c r="B8393" s="2">
        <f ca="1"/>
        <v>0.81129504294009003</v>
      </c>
      <c r="O8393" s="2">
        <f ca="1"/>
        <v>-0.48421633725704732</v>
      </c>
      <c r="X8393" s="2">
        <f ca="1"/>
        <v>36.76140907083672</v>
      </c>
      <c r="AG8393" s="2">
        <f ca="1"/>
        <v>0.63349128510399577</v>
      </c>
      <c r="AH8393" s="2" t="str">
        <f ca="1"/>
        <v>Bad</v>
      </c>
    </row>
    <row r="8394" spans="2:34" x14ac:dyDescent="0.2">
      <c r="B8394" s="2">
        <f ca="1"/>
        <v>0.13360603927759529</v>
      </c>
      <c r="O8394" s="2">
        <f ca="1"/>
        <v>1.1357775191143948</v>
      </c>
      <c r="X8394" s="2">
        <f ca="1"/>
        <v>51.112266115806861</v>
      </c>
      <c r="AG8394" s="2">
        <f ca="1"/>
        <v>4.2689304294523334E-2</v>
      </c>
      <c r="AH8394" s="2" t="str">
        <f ca="1"/>
        <v>Good</v>
      </c>
    </row>
    <row r="8395" spans="2:34" x14ac:dyDescent="0.2">
      <c r="B8395" s="2">
        <f ca="1"/>
        <v>0.54086930810217226</v>
      </c>
      <c r="O8395" s="2">
        <f ca="1"/>
        <v>0.77073201322786777</v>
      </c>
      <c r="X8395" s="2">
        <f ca="1"/>
        <v>31.669402780588094</v>
      </c>
      <c r="AG8395" s="2">
        <f ca="1"/>
        <v>3.685165201881957E-2</v>
      </c>
      <c r="AH8395" s="2" t="str">
        <f ca="1"/>
        <v>Good</v>
      </c>
    </row>
    <row r="8396" spans="2:34" x14ac:dyDescent="0.2">
      <c r="B8396" s="2">
        <f ca="1"/>
        <v>0.78324116911522323</v>
      </c>
      <c r="O8396" s="2">
        <f ca="1"/>
        <v>0.84651356369259412</v>
      </c>
      <c r="X8396" s="2">
        <f ca="1"/>
        <v>55.20736020980771</v>
      </c>
      <c r="AG8396" s="2">
        <f ca="1"/>
        <v>0.54166197175709341</v>
      </c>
      <c r="AH8396" s="2" t="str">
        <f ca="1"/>
        <v>Bad</v>
      </c>
    </row>
    <row r="8397" spans="2:34" x14ac:dyDescent="0.2">
      <c r="B8397" s="2">
        <f ca="1"/>
        <v>2.2788033252850948E-2</v>
      </c>
      <c r="O8397" s="2">
        <f ca="1"/>
        <v>-2.1906305149130163</v>
      </c>
      <c r="X8397" s="2">
        <f ca="1"/>
        <v>46.234296063582939</v>
      </c>
      <c r="AG8397" s="2">
        <f ca="1"/>
        <v>0.59698771823793617</v>
      </c>
      <c r="AH8397" s="2" t="str">
        <f ca="1"/>
        <v>Bad</v>
      </c>
    </row>
    <row r="8398" spans="2:34" x14ac:dyDescent="0.2">
      <c r="B8398" s="2">
        <f ca="1"/>
        <v>0.7587922169796455</v>
      </c>
      <c r="O8398" s="2">
        <f ca="1"/>
        <v>0.23279783410235569</v>
      </c>
      <c r="X8398" s="2">
        <f ca="1"/>
        <v>76.577241189571225</v>
      </c>
      <c r="AG8398" s="2">
        <f ca="1"/>
        <v>0.88208846888612524</v>
      </c>
      <c r="AH8398" s="2" t="str">
        <f ca="1"/>
        <v>Bad</v>
      </c>
    </row>
    <row r="8399" spans="2:34" x14ac:dyDescent="0.2">
      <c r="B8399" s="2">
        <f ca="1"/>
        <v>0.55588002592449604</v>
      </c>
      <c r="O8399" s="2">
        <f ca="1"/>
        <v>0.49890961891385038</v>
      </c>
      <c r="X8399" s="2">
        <f ca="1"/>
        <v>42.980246807585758</v>
      </c>
      <c r="AG8399" s="2">
        <f ca="1"/>
        <v>0.36034180801767812</v>
      </c>
      <c r="AH8399" s="2" t="str">
        <f ca="1"/>
        <v>OK</v>
      </c>
    </row>
    <row r="8400" spans="2:34" x14ac:dyDescent="0.2">
      <c r="B8400" s="2">
        <f ca="1"/>
        <v>0.16733960002889958</v>
      </c>
      <c r="O8400" s="2">
        <f ca="1"/>
        <v>-1.1206332807729256</v>
      </c>
      <c r="X8400" s="2">
        <f ca="1"/>
        <v>17.565981302899715</v>
      </c>
      <c r="AG8400" s="2">
        <f ca="1"/>
        <v>0.27137148164072489</v>
      </c>
      <c r="AH8400" s="2" t="str">
        <f ca="1"/>
        <v>OK</v>
      </c>
    </row>
    <row r="8401" spans="2:34" x14ac:dyDescent="0.2">
      <c r="B8401" s="2">
        <f ca="1"/>
        <v>0.59734747519166165</v>
      </c>
      <c r="O8401" s="2">
        <f ca="1"/>
        <v>6.463950443289293E-2</v>
      </c>
      <c r="X8401" s="2">
        <f ca="1"/>
        <v>55.015682263239626</v>
      </c>
      <c r="AG8401" s="2">
        <f ca="1"/>
        <v>0.70964151796266317</v>
      </c>
      <c r="AH8401" s="2" t="str">
        <f ca="1"/>
        <v>Bad</v>
      </c>
    </row>
    <row r="8402" spans="2:34" x14ac:dyDescent="0.2">
      <c r="B8402" s="2">
        <f ca="1"/>
        <v>0.5811209891801945</v>
      </c>
      <c r="O8402" s="2">
        <f ca="1"/>
        <v>1.4170728543496698</v>
      </c>
      <c r="X8402" s="2">
        <f ca="1"/>
        <v>27.46968960860346</v>
      </c>
      <c r="AG8402" s="2">
        <f ca="1"/>
        <v>0.77043518878160566</v>
      </c>
      <c r="AH8402" s="2" t="str">
        <f ca="1"/>
        <v>Bad</v>
      </c>
    </row>
    <row r="8403" spans="2:34" x14ac:dyDescent="0.2">
      <c r="B8403" s="2">
        <f ca="1"/>
        <v>0.6385381372101675</v>
      </c>
      <c r="O8403" s="2">
        <f ca="1"/>
        <v>0.46354964137443411</v>
      </c>
      <c r="X8403" s="2">
        <f ca="1"/>
        <v>38.653041814325469</v>
      </c>
      <c r="AG8403" s="2">
        <f ca="1"/>
        <v>0.88827167443084409</v>
      </c>
      <c r="AH8403" s="2" t="str">
        <f ca="1"/>
        <v>Bad</v>
      </c>
    </row>
    <row r="8404" spans="2:34" x14ac:dyDescent="0.2">
      <c r="B8404" s="2">
        <f ca="1"/>
        <v>0.14451008581210889</v>
      </c>
      <c r="O8404" s="2">
        <f ca="1"/>
        <v>-0.38067772009877648</v>
      </c>
      <c r="X8404" s="2">
        <f ca="1"/>
        <v>59.975344483769028</v>
      </c>
      <c r="AG8404" s="2">
        <f ca="1"/>
        <v>0.91590224382573404</v>
      </c>
      <c r="AH8404" s="2" t="str">
        <f ca="1"/>
        <v>Bad</v>
      </c>
    </row>
    <row r="8405" spans="2:34" x14ac:dyDescent="0.2">
      <c r="B8405" s="2">
        <f ca="1"/>
        <v>0.90097841875773699</v>
      </c>
      <c r="O8405" s="2">
        <f ca="1"/>
        <v>2.1790103306632886</v>
      </c>
      <c r="X8405" s="2">
        <f ca="1"/>
        <v>73.365890349824753</v>
      </c>
      <c r="AG8405" s="2">
        <f ca="1"/>
        <v>0.36938872027773506</v>
      </c>
      <c r="AH8405" s="2" t="str">
        <f ca="1"/>
        <v>OK</v>
      </c>
    </row>
    <row r="8406" spans="2:34" x14ac:dyDescent="0.2">
      <c r="B8406" s="2">
        <f ca="1"/>
        <v>0.50020673320222508</v>
      </c>
      <c r="O8406" s="2">
        <f ca="1"/>
        <v>0.83125145109084153</v>
      </c>
      <c r="X8406" s="2">
        <f ca="1"/>
        <v>55.715593140199758</v>
      </c>
      <c r="AG8406" s="2">
        <f ca="1"/>
        <v>0.97414441385772266</v>
      </c>
      <c r="AH8406" s="2" t="str">
        <f ca="1"/>
        <v>Bad</v>
      </c>
    </row>
    <row r="8407" spans="2:34" x14ac:dyDescent="0.2">
      <c r="B8407" s="2">
        <f ca="1"/>
        <v>0.30303345712771956</v>
      </c>
      <c r="O8407" s="2">
        <f ca="1"/>
        <v>0.24987458494485373</v>
      </c>
      <c r="X8407" s="2">
        <f ca="1"/>
        <v>24.646052629259966</v>
      </c>
      <c r="AG8407" s="2">
        <f ca="1"/>
        <v>0.48105954926201</v>
      </c>
      <c r="AH8407" s="2" t="str">
        <f ca="1"/>
        <v>Bad</v>
      </c>
    </row>
    <row r="8408" spans="2:34" x14ac:dyDescent="0.2">
      <c r="B8408" s="2">
        <f ca="1"/>
        <v>0.10016203650718314</v>
      </c>
      <c r="O8408" s="2">
        <f ca="1"/>
        <v>-2.8115086121970947</v>
      </c>
      <c r="X8408" s="2">
        <f ca="1"/>
        <v>57.291008622578758</v>
      </c>
      <c r="AG8408" s="2">
        <f ca="1"/>
        <v>0.40047148464080751</v>
      </c>
      <c r="AH8408" s="2" t="str">
        <f ca="1"/>
        <v>Bad</v>
      </c>
    </row>
    <row r="8409" spans="2:34" x14ac:dyDescent="0.2">
      <c r="B8409" s="2">
        <f ca="1"/>
        <v>0.81263221565132793</v>
      </c>
      <c r="O8409" s="2">
        <f ca="1"/>
        <v>0.41605485096244349</v>
      </c>
      <c r="X8409" s="2">
        <f ca="1"/>
        <v>35.03001966326925</v>
      </c>
      <c r="AG8409" s="2">
        <f ca="1"/>
        <v>1.2480870042448577E-2</v>
      </c>
      <c r="AH8409" s="2" t="str">
        <f ca="1"/>
        <v>Good</v>
      </c>
    </row>
    <row r="8410" spans="2:34" x14ac:dyDescent="0.2">
      <c r="B8410" s="2">
        <f ca="1"/>
        <v>0.84911248212181389</v>
      </c>
      <c r="O8410" s="2">
        <f ca="1"/>
        <v>-0.825311988780565</v>
      </c>
      <c r="X8410" s="2">
        <f ca="1"/>
        <v>67.454548009859991</v>
      </c>
      <c r="AG8410" s="2">
        <f ca="1"/>
        <v>0.14099253064287454</v>
      </c>
      <c r="AH8410" s="2" t="str">
        <f ca="1"/>
        <v>OK</v>
      </c>
    </row>
    <row r="8411" spans="2:34" x14ac:dyDescent="0.2">
      <c r="B8411" s="2">
        <f ca="1"/>
        <v>0.22335057890517951</v>
      </c>
      <c r="O8411" s="2">
        <f ca="1"/>
        <v>-6.4675056696351582E-2</v>
      </c>
      <c r="X8411" s="2">
        <f ca="1"/>
        <v>49.306259688766232</v>
      </c>
      <c r="AG8411" s="2">
        <f ca="1"/>
        <v>0.66161391791366997</v>
      </c>
      <c r="AH8411" s="2" t="str">
        <f ca="1"/>
        <v>Bad</v>
      </c>
    </row>
    <row r="8412" spans="2:34" x14ac:dyDescent="0.2">
      <c r="B8412" s="2">
        <f ca="1"/>
        <v>1.6956966041207444E-2</v>
      </c>
      <c r="O8412" s="2">
        <f ca="1"/>
        <v>2.6342905513486912</v>
      </c>
      <c r="X8412" s="2">
        <f ca="1"/>
        <v>44.456732663387079</v>
      </c>
      <c r="AG8412" s="2">
        <f ca="1"/>
        <v>0.37655905134654133</v>
      </c>
      <c r="AH8412" s="2" t="str">
        <f ca="1"/>
        <v>OK</v>
      </c>
    </row>
    <row r="8413" spans="2:34" x14ac:dyDescent="0.2">
      <c r="B8413" s="2">
        <f ca="1"/>
        <v>0.11748316051687135</v>
      </c>
      <c r="O8413" s="2">
        <f ca="1"/>
        <v>-1.821356445455367</v>
      </c>
      <c r="X8413" s="2">
        <f ca="1"/>
        <v>68.358995934952816</v>
      </c>
      <c r="AG8413" s="2">
        <f ca="1"/>
        <v>8.710672096625105E-2</v>
      </c>
      <c r="AH8413" s="2" t="str">
        <f ca="1"/>
        <v>OK</v>
      </c>
    </row>
    <row r="8414" spans="2:34" x14ac:dyDescent="0.2">
      <c r="B8414" s="2">
        <f ca="1"/>
        <v>1.5017437808885647E-2</v>
      </c>
      <c r="O8414" s="2">
        <f ca="1"/>
        <v>6.9469919695482468E-2</v>
      </c>
      <c r="X8414" s="2">
        <f ca="1"/>
        <v>58.444013556215978</v>
      </c>
      <c r="AG8414" s="2">
        <f ca="1"/>
        <v>0.62489484123297845</v>
      </c>
      <c r="AH8414" s="2" t="str">
        <f ca="1"/>
        <v>Bad</v>
      </c>
    </row>
    <row r="8415" spans="2:34" x14ac:dyDescent="0.2">
      <c r="B8415" s="2">
        <f ca="1"/>
        <v>0.47479841674642342</v>
      </c>
      <c r="O8415" s="2">
        <f ca="1"/>
        <v>-0.57246139326301193</v>
      </c>
      <c r="X8415" s="2">
        <f ca="1"/>
        <v>44.19206361011689</v>
      </c>
      <c r="AG8415" s="2">
        <f ca="1"/>
        <v>0.37125929657728118</v>
      </c>
      <c r="AH8415" s="2" t="str">
        <f ca="1"/>
        <v>OK</v>
      </c>
    </row>
    <row r="8416" spans="2:34" x14ac:dyDescent="0.2">
      <c r="B8416" s="2">
        <f ca="1"/>
        <v>8.2611592980508464E-2</v>
      </c>
      <c r="O8416" s="2">
        <f ca="1"/>
        <v>0.39736828922119627</v>
      </c>
      <c r="X8416" s="2">
        <f ca="1"/>
        <v>59.01064306235773</v>
      </c>
      <c r="AG8416" s="2">
        <f ca="1"/>
        <v>0.10953397786817876</v>
      </c>
      <c r="AH8416" s="2" t="str">
        <f ca="1"/>
        <v>OK</v>
      </c>
    </row>
    <row r="8417" spans="2:34" x14ac:dyDescent="0.2">
      <c r="B8417" s="2">
        <f ca="1"/>
        <v>0.1268513697621636</v>
      </c>
      <c r="O8417" s="2">
        <f ca="1"/>
        <v>-1.1189200081272714</v>
      </c>
      <c r="X8417" s="2">
        <f ca="1"/>
        <v>35.447452519868676</v>
      </c>
      <c r="AG8417" s="2">
        <f ca="1"/>
        <v>0.39114398462212741</v>
      </c>
      <c r="AH8417" s="2" t="str">
        <f ca="1"/>
        <v>OK</v>
      </c>
    </row>
    <row r="8418" spans="2:34" x14ac:dyDescent="0.2">
      <c r="B8418" s="2">
        <f ca="1"/>
        <v>7.9071550725566153E-2</v>
      </c>
      <c r="O8418" s="2">
        <f ca="1"/>
        <v>0.71171922457737968</v>
      </c>
      <c r="X8418" s="2">
        <f ca="1"/>
        <v>74.227166729572517</v>
      </c>
      <c r="AG8418" s="2">
        <f ca="1"/>
        <v>0.1645645509968674</v>
      </c>
      <c r="AH8418" s="2" t="str">
        <f ca="1"/>
        <v>OK</v>
      </c>
    </row>
    <row r="8419" spans="2:34" x14ac:dyDescent="0.2">
      <c r="B8419" s="2">
        <f ca="1"/>
        <v>0.58643630156137183</v>
      </c>
      <c r="O8419" s="2">
        <f ca="1"/>
        <v>1.3846289000766594</v>
      </c>
      <c r="X8419" s="2">
        <f ca="1"/>
        <v>82.564867776302833</v>
      </c>
      <c r="AG8419" s="2">
        <f ca="1"/>
        <v>4.8871311044919485E-2</v>
      </c>
      <c r="AH8419" s="2" t="str">
        <f ca="1"/>
        <v>Good</v>
      </c>
    </row>
    <row r="8420" spans="2:34" x14ac:dyDescent="0.2">
      <c r="B8420" s="2">
        <f ca="1"/>
        <v>0.24857715909751255</v>
      </c>
      <c r="O8420" s="2">
        <f ca="1"/>
        <v>-0.73003212717203847</v>
      </c>
      <c r="X8420" s="2">
        <f ca="1"/>
        <v>31.565653161195169</v>
      </c>
      <c r="AG8420" s="2">
        <f ca="1"/>
        <v>0.22828719646490292</v>
      </c>
      <c r="AH8420" s="2" t="str">
        <f ca="1"/>
        <v>OK</v>
      </c>
    </row>
    <row r="8421" spans="2:34" x14ac:dyDescent="0.2">
      <c r="B8421" s="2">
        <f ca="1"/>
        <v>0.18291168803104885</v>
      </c>
      <c r="O8421" s="2">
        <f ca="1"/>
        <v>1.0933938305996775</v>
      </c>
      <c r="X8421" s="2">
        <f ca="1"/>
        <v>48.253279725116762</v>
      </c>
      <c r="AG8421" s="2">
        <f ca="1"/>
        <v>0.98943808989413218</v>
      </c>
      <c r="AH8421" s="2" t="str">
        <f ca="1"/>
        <v>Bad</v>
      </c>
    </row>
    <row r="8422" spans="2:34" x14ac:dyDescent="0.2">
      <c r="B8422" s="2">
        <f ca="1"/>
        <v>0.23982257884308478</v>
      </c>
      <c r="O8422" s="2">
        <f ca="1"/>
        <v>-0.14698593785105576</v>
      </c>
      <c r="X8422" s="2">
        <f ca="1"/>
        <v>74.109099721782798</v>
      </c>
      <c r="AG8422" s="2">
        <f ca="1"/>
        <v>0.26803318098236995</v>
      </c>
      <c r="AH8422" s="2" t="str">
        <f ca="1"/>
        <v>OK</v>
      </c>
    </row>
    <row r="8423" spans="2:34" x14ac:dyDescent="0.2">
      <c r="B8423" s="2">
        <f ca="1"/>
        <v>0.78593760257000356</v>
      </c>
      <c r="O8423" s="2">
        <f ca="1"/>
        <v>-1.6882613397204909</v>
      </c>
      <c r="X8423" s="2">
        <f ca="1"/>
        <v>46.164163454436029</v>
      </c>
      <c r="AG8423" s="2">
        <f ca="1"/>
        <v>8.6930434640626331E-2</v>
      </c>
      <c r="AH8423" s="2" t="str">
        <f ca="1"/>
        <v>OK</v>
      </c>
    </row>
    <row r="8424" spans="2:34" x14ac:dyDescent="0.2">
      <c r="B8424" s="2">
        <f ca="1"/>
        <v>1.2869755830497542E-2</v>
      </c>
      <c r="O8424" s="2">
        <f ca="1"/>
        <v>-0.19247307083241966</v>
      </c>
      <c r="X8424" s="2">
        <f ca="1"/>
        <v>42.515806102157327</v>
      </c>
      <c r="AG8424" s="2">
        <f ca="1"/>
        <v>7.7185005707857801E-2</v>
      </c>
      <c r="AH8424" s="2" t="str">
        <f ca="1"/>
        <v>OK</v>
      </c>
    </row>
    <row r="8425" spans="2:34" x14ac:dyDescent="0.2">
      <c r="B8425" s="2">
        <f ca="1"/>
        <v>0.11362460167621524</v>
      </c>
      <c r="O8425" s="2">
        <f ca="1"/>
        <v>0.56611697919574577</v>
      </c>
      <c r="X8425" s="2">
        <f ca="1"/>
        <v>70.07130408910561</v>
      </c>
      <c r="AG8425" s="2">
        <f ca="1"/>
        <v>0.27610086863307304</v>
      </c>
      <c r="AH8425" s="2" t="str">
        <f ca="1"/>
        <v>OK</v>
      </c>
    </row>
    <row r="8426" spans="2:34" x14ac:dyDescent="0.2">
      <c r="B8426" s="2">
        <f ca="1"/>
        <v>0.19644479423098238</v>
      </c>
      <c r="O8426" s="2">
        <f ca="1"/>
        <v>-1.2989922982059305</v>
      </c>
      <c r="X8426" s="2">
        <f ca="1"/>
        <v>58.216842010715325</v>
      </c>
      <c r="AG8426" s="2">
        <f ca="1"/>
        <v>0.8302582364532145</v>
      </c>
      <c r="AH8426" s="2" t="str">
        <f ca="1"/>
        <v>Bad</v>
      </c>
    </row>
    <row r="8427" spans="2:34" x14ac:dyDescent="0.2">
      <c r="B8427" s="2">
        <f ca="1"/>
        <v>0.26262448350130918</v>
      </c>
      <c r="O8427" s="2">
        <f ca="1"/>
        <v>0.42721855586648888</v>
      </c>
      <c r="X8427" s="2">
        <f ca="1"/>
        <v>60.991098439220764</v>
      </c>
      <c r="AG8427" s="2">
        <f ca="1"/>
        <v>0.86780418603051102</v>
      </c>
      <c r="AH8427" s="2" t="str">
        <f ca="1"/>
        <v>Bad</v>
      </c>
    </row>
    <row r="8428" spans="2:34" x14ac:dyDescent="0.2">
      <c r="B8428" s="2">
        <f ca="1"/>
        <v>0.75923292762010597</v>
      </c>
      <c r="O8428" s="2">
        <f ca="1"/>
        <v>-0.35124523502612842</v>
      </c>
      <c r="X8428" s="2">
        <f ca="1"/>
        <v>53.317119799009582</v>
      </c>
      <c r="AG8428" s="2">
        <f ca="1"/>
        <v>9.8655592403863013E-2</v>
      </c>
      <c r="AH8428" s="2" t="str">
        <f ca="1"/>
        <v>OK</v>
      </c>
    </row>
    <row r="8429" spans="2:34" x14ac:dyDescent="0.2">
      <c r="B8429" s="2">
        <f ca="1"/>
        <v>0.94092355310079423</v>
      </c>
      <c r="O8429" s="2">
        <f ca="1"/>
        <v>0.45601524623013623</v>
      </c>
      <c r="X8429" s="2">
        <f ca="1"/>
        <v>43.168640501240681</v>
      </c>
      <c r="AG8429" s="2">
        <f ca="1"/>
        <v>0.73576756940418186</v>
      </c>
      <c r="AH8429" s="2" t="str">
        <f ca="1"/>
        <v>Bad</v>
      </c>
    </row>
    <row r="8430" spans="2:34" x14ac:dyDescent="0.2">
      <c r="B8430" s="2">
        <f ca="1"/>
        <v>0.98936564249359482</v>
      </c>
      <c r="O8430" s="2">
        <f ca="1"/>
        <v>7.1814177192220108E-2</v>
      </c>
      <c r="X8430" s="2">
        <f ca="1"/>
        <v>15.948290559631564</v>
      </c>
      <c r="AG8430" s="2">
        <f ca="1"/>
        <v>0.42404751433533927</v>
      </c>
      <c r="AH8430" s="2" t="str">
        <f ca="1"/>
        <v>Bad</v>
      </c>
    </row>
    <row r="8431" spans="2:34" x14ac:dyDescent="0.2">
      <c r="B8431" s="2">
        <f ca="1"/>
        <v>0.58942942657364483</v>
      </c>
      <c r="O8431" s="2">
        <f ca="1"/>
        <v>0.30060207668488659</v>
      </c>
      <c r="X8431" s="2">
        <f ca="1"/>
        <v>76.562502358045691</v>
      </c>
      <c r="AG8431" s="2">
        <f ca="1"/>
        <v>2.709844438534259E-2</v>
      </c>
      <c r="AH8431" s="2" t="str">
        <f ca="1"/>
        <v>Good</v>
      </c>
    </row>
    <row r="8432" spans="2:34" x14ac:dyDescent="0.2">
      <c r="B8432" s="2">
        <f ca="1"/>
        <v>0.68372177330186745</v>
      </c>
      <c r="O8432" s="2">
        <f ca="1"/>
        <v>-0.4874266449990447</v>
      </c>
      <c r="X8432" s="2">
        <f ca="1"/>
        <v>55.485157774939026</v>
      </c>
      <c r="AG8432" s="2">
        <f ca="1"/>
        <v>0.84955707769865807</v>
      </c>
      <c r="AH8432" s="2" t="str">
        <f ca="1"/>
        <v>Bad</v>
      </c>
    </row>
    <row r="8433" spans="2:34" x14ac:dyDescent="0.2">
      <c r="B8433" s="2">
        <f ca="1"/>
        <v>0.19751511302647073</v>
      </c>
      <c r="O8433" s="2">
        <f ca="1"/>
        <v>0.67262178073348711</v>
      </c>
      <c r="X8433" s="2">
        <f ca="1"/>
        <v>43.186969304778955</v>
      </c>
      <c r="AG8433" s="2">
        <f ca="1"/>
        <v>0.36983810991058874</v>
      </c>
      <c r="AH8433" s="2" t="str">
        <f ca="1"/>
        <v>OK</v>
      </c>
    </row>
    <row r="8434" spans="2:34" x14ac:dyDescent="0.2">
      <c r="B8434" s="2">
        <f ca="1"/>
        <v>0.83036820273235556</v>
      </c>
      <c r="O8434" s="2">
        <f ca="1"/>
        <v>2.6700123743600073</v>
      </c>
      <c r="X8434" s="2">
        <f ca="1"/>
        <v>39.103056014713744</v>
      </c>
      <c r="AG8434" s="2">
        <f ca="1"/>
        <v>7.1252574746361264E-2</v>
      </c>
      <c r="AH8434" s="2" t="str">
        <f ca="1"/>
        <v>OK</v>
      </c>
    </row>
    <row r="8435" spans="2:34" x14ac:dyDescent="0.2">
      <c r="B8435" s="2">
        <f ca="1"/>
        <v>5.1937641259361733E-2</v>
      </c>
      <c r="O8435" s="2">
        <f ca="1"/>
        <v>0.33526371726192467</v>
      </c>
      <c r="X8435" s="2">
        <f ca="1"/>
        <v>60.760197670107075</v>
      </c>
      <c r="AG8435" s="2">
        <f ca="1"/>
        <v>0.14952198478586931</v>
      </c>
      <c r="AH8435" s="2" t="str">
        <f ca="1"/>
        <v>OK</v>
      </c>
    </row>
    <row r="8436" spans="2:34" x14ac:dyDescent="0.2">
      <c r="B8436" s="2">
        <f ca="1"/>
        <v>0.45407427336291417</v>
      </c>
      <c r="O8436" s="2">
        <f ca="1"/>
        <v>-1.9356603594588517</v>
      </c>
      <c r="X8436" s="2">
        <f ca="1"/>
        <v>42.46169173414301</v>
      </c>
      <c r="AG8436" s="2">
        <f ca="1"/>
        <v>0.46651185417571228</v>
      </c>
      <c r="AH8436" s="2" t="str">
        <f ca="1"/>
        <v>Bad</v>
      </c>
    </row>
    <row r="8437" spans="2:34" x14ac:dyDescent="0.2">
      <c r="B8437" s="2">
        <f ca="1"/>
        <v>0.74992102419642404</v>
      </c>
      <c r="O8437" s="2">
        <f ca="1"/>
        <v>-4.9470540131953428E-2</v>
      </c>
      <c r="X8437" s="2">
        <f ca="1"/>
        <v>43.921769483435959</v>
      </c>
      <c r="AG8437" s="2">
        <f ca="1"/>
        <v>0.21526775238960028</v>
      </c>
      <c r="AH8437" s="2" t="str">
        <f ca="1"/>
        <v>OK</v>
      </c>
    </row>
    <row r="8438" spans="2:34" x14ac:dyDescent="0.2">
      <c r="B8438" s="2">
        <f ca="1"/>
        <v>8.0744795814206682E-2</v>
      </c>
      <c r="O8438" s="2">
        <f ca="1"/>
        <v>-1.8669982648397474</v>
      </c>
      <c r="X8438" s="2">
        <f ca="1"/>
        <v>43.082544378371857</v>
      </c>
      <c r="AG8438" s="2">
        <f ca="1"/>
        <v>0.65944707043840678</v>
      </c>
      <c r="AH8438" s="2" t="str">
        <f ca="1"/>
        <v>Bad</v>
      </c>
    </row>
    <row r="8439" spans="2:34" x14ac:dyDescent="0.2">
      <c r="B8439" s="2">
        <f ca="1"/>
        <v>0.55819071498728245</v>
      </c>
      <c r="O8439" s="2">
        <f ca="1"/>
        <v>0.26121115890877034</v>
      </c>
      <c r="X8439" s="2">
        <f ca="1"/>
        <v>53.416098199273122</v>
      </c>
      <c r="AG8439" s="2">
        <f ca="1"/>
        <v>0.68901543320705794</v>
      </c>
      <c r="AH8439" s="2" t="str">
        <f ca="1"/>
        <v>Bad</v>
      </c>
    </row>
    <row r="8440" spans="2:34" x14ac:dyDescent="0.2">
      <c r="B8440" s="2">
        <f ca="1"/>
        <v>0.23681410624656496</v>
      </c>
      <c r="O8440" s="2">
        <f ca="1"/>
        <v>0.59003571929475984</v>
      </c>
      <c r="X8440" s="2">
        <f ca="1"/>
        <v>68.818924020073126</v>
      </c>
      <c r="AG8440" s="2">
        <f ca="1"/>
        <v>0.88710444906034347</v>
      </c>
      <c r="AH8440" s="2" t="str">
        <f ca="1"/>
        <v>Bad</v>
      </c>
    </row>
    <row r="8441" spans="2:34" x14ac:dyDescent="0.2">
      <c r="B8441" s="2">
        <f ca="1"/>
        <v>4.5132546792812089E-3</v>
      </c>
      <c r="O8441" s="2">
        <f ca="1"/>
        <v>-0.39796314691805473</v>
      </c>
      <c r="X8441" s="2">
        <f ca="1"/>
        <v>43.143526160098048</v>
      </c>
      <c r="AG8441" s="2">
        <f ca="1"/>
        <v>0.72303481710838713</v>
      </c>
      <c r="AH8441" s="2" t="str">
        <f ca="1"/>
        <v>Bad</v>
      </c>
    </row>
    <row r="8442" spans="2:34" x14ac:dyDescent="0.2">
      <c r="B8442" s="2">
        <f ca="1"/>
        <v>0.66140656297389988</v>
      </c>
      <c r="O8442" s="2">
        <f ca="1"/>
        <v>-0.48709848011834433</v>
      </c>
      <c r="X8442" s="2">
        <f ca="1"/>
        <v>39.96385939669338</v>
      </c>
      <c r="AG8442" s="2">
        <f ca="1"/>
        <v>0.22615931126020117</v>
      </c>
      <c r="AH8442" s="2" t="str">
        <f ca="1"/>
        <v>OK</v>
      </c>
    </row>
    <row r="8443" spans="2:34" x14ac:dyDescent="0.2">
      <c r="B8443" s="2">
        <f ca="1"/>
        <v>0.28889257661849888</v>
      </c>
      <c r="O8443" s="2">
        <f ca="1"/>
        <v>-1.1872922091349054</v>
      </c>
      <c r="X8443" s="2">
        <f ca="1"/>
        <v>31.39039027797903</v>
      </c>
      <c r="AG8443" s="2">
        <f ca="1"/>
        <v>0.55963825662833733</v>
      </c>
      <c r="AH8443" s="2" t="str">
        <f ca="1"/>
        <v>Bad</v>
      </c>
    </row>
    <row r="8444" spans="2:34" x14ac:dyDescent="0.2">
      <c r="B8444" s="2">
        <f ca="1"/>
        <v>0.95094007406459991</v>
      </c>
      <c r="O8444" s="2">
        <f ca="1"/>
        <v>-0.37638571693810369</v>
      </c>
      <c r="X8444" s="2">
        <f ca="1"/>
        <v>58.224043896014692</v>
      </c>
      <c r="AG8444" s="2">
        <f ca="1"/>
        <v>0.30505905689884028</v>
      </c>
      <c r="AH8444" s="2" t="str">
        <f ca="1"/>
        <v>OK</v>
      </c>
    </row>
    <row r="8445" spans="2:34" x14ac:dyDescent="0.2">
      <c r="B8445" s="2">
        <f ca="1"/>
        <v>0.50731617845152566</v>
      </c>
      <c r="O8445" s="2">
        <f ca="1"/>
        <v>-1.0604402089186244</v>
      </c>
      <c r="X8445" s="2">
        <f ca="1"/>
        <v>47.109001455692535</v>
      </c>
      <c r="AG8445" s="2">
        <f ca="1"/>
        <v>0.92211462154840929</v>
      </c>
      <c r="AH8445" s="2" t="str">
        <f ca="1"/>
        <v>Bad</v>
      </c>
    </row>
    <row r="8446" spans="2:34" x14ac:dyDescent="0.2">
      <c r="B8446" s="2">
        <f ca="1"/>
        <v>0.8042025161025308</v>
      </c>
      <c r="O8446" s="2">
        <f ca="1"/>
        <v>1.1265748633836017</v>
      </c>
      <c r="X8446" s="2">
        <f ca="1"/>
        <v>38.294788784085242</v>
      </c>
      <c r="AG8446" s="2">
        <f ca="1"/>
        <v>0.78727976520179621</v>
      </c>
      <c r="AH8446" s="2" t="str">
        <f ca="1"/>
        <v>Bad</v>
      </c>
    </row>
    <row r="8447" spans="2:34" x14ac:dyDescent="0.2">
      <c r="B8447" s="2">
        <f ca="1"/>
        <v>0.94530542488442504</v>
      </c>
      <c r="O8447" s="2">
        <f ca="1"/>
        <v>0.56839776761580041</v>
      </c>
      <c r="X8447" s="2">
        <f ca="1"/>
        <v>93.723235826874415</v>
      </c>
      <c r="AG8447" s="2">
        <f ca="1"/>
        <v>0.28384262820035588</v>
      </c>
      <c r="AH8447" s="2" t="str">
        <f ca="1"/>
        <v>OK</v>
      </c>
    </row>
    <row r="8448" spans="2:34" x14ac:dyDescent="0.2">
      <c r="B8448" s="2">
        <f ca="1"/>
        <v>0.59095389227786832</v>
      </c>
      <c r="O8448" s="2">
        <f ca="1"/>
        <v>2.2160539207156136</v>
      </c>
      <c r="X8448" s="2">
        <f ca="1"/>
        <v>43.016941620581342</v>
      </c>
      <c r="AG8448" s="2">
        <f ca="1"/>
        <v>0.93094152509881534</v>
      </c>
      <c r="AH8448" s="2" t="str">
        <f ca="1"/>
        <v>Bad</v>
      </c>
    </row>
    <row r="8449" spans="2:34" x14ac:dyDescent="0.2">
      <c r="B8449" s="2">
        <f ca="1"/>
        <v>7.7983092352746253E-2</v>
      </c>
      <c r="O8449" s="2">
        <f ca="1"/>
        <v>1.7337544857663034</v>
      </c>
      <c r="X8449" s="2">
        <f ca="1"/>
        <v>59.640788505787114</v>
      </c>
      <c r="AG8449" s="2">
        <f ca="1"/>
        <v>0.89971896164522591</v>
      </c>
      <c r="AH8449" s="2" t="str">
        <f ca="1"/>
        <v>Bad</v>
      </c>
    </row>
    <row r="8450" spans="2:34" x14ac:dyDescent="0.2">
      <c r="B8450" s="2">
        <f ca="1"/>
        <v>0.16775956110856116</v>
      </c>
      <c r="O8450" s="2">
        <f ca="1"/>
        <v>-0.70001901393975319</v>
      </c>
      <c r="X8450" s="2">
        <f ca="1"/>
        <v>52.836135573111214</v>
      </c>
      <c r="AG8450" s="2">
        <f ca="1"/>
        <v>0.80022412362661632</v>
      </c>
      <c r="AH8450" s="2" t="str">
        <f ca="1"/>
        <v>Bad</v>
      </c>
    </row>
    <row r="8451" spans="2:34" x14ac:dyDescent="0.2">
      <c r="B8451" s="2">
        <f ca="1"/>
        <v>0.40002094632032503</v>
      </c>
      <c r="O8451" s="2">
        <f ca="1"/>
        <v>-1.3669112515097497</v>
      </c>
      <c r="X8451" s="2">
        <f ca="1"/>
        <v>52.012812939786038</v>
      </c>
      <c r="AG8451" s="2">
        <f ca="1"/>
        <v>0.33711823929647555</v>
      </c>
      <c r="AH8451" s="2" t="str">
        <f ca="1"/>
        <v>OK</v>
      </c>
    </row>
    <row r="8452" spans="2:34" x14ac:dyDescent="0.2">
      <c r="B8452" s="2">
        <f ca="1"/>
        <v>0.63056847993047116</v>
      </c>
      <c r="O8452" s="2">
        <f ca="1"/>
        <v>0.99185734480387322</v>
      </c>
      <c r="X8452" s="2">
        <f ca="1"/>
        <v>52.459532185931678</v>
      </c>
      <c r="AG8452" s="2">
        <f ca="1"/>
        <v>0.17146167607495544</v>
      </c>
      <c r="AH8452" s="2" t="str">
        <f ca="1"/>
        <v>OK</v>
      </c>
    </row>
    <row r="8453" spans="2:34" x14ac:dyDescent="0.2">
      <c r="B8453" s="2">
        <f ca="1"/>
        <v>0.66584212122940012</v>
      </c>
      <c r="O8453" s="2">
        <f ca="1"/>
        <v>0.35220699132676792</v>
      </c>
      <c r="X8453" s="2">
        <f ca="1"/>
        <v>32.284833045591924</v>
      </c>
      <c r="AG8453" s="2">
        <f ca="1"/>
        <v>1.9583455590821863E-2</v>
      </c>
      <c r="AH8453" s="2" t="str">
        <f ca="1"/>
        <v>Good</v>
      </c>
    </row>
    <row r="8454" spans="2:34" x14ac:dyDescent="0.2">
      <c r="B8454" s="2">
        <f ca="1"/>
        <v>0.9154446573559385</v>
      </c>
      <c r="O8454" s="2">
        <f ca="1"/>
        <v>-0.58103886830130913</v>
      </c>
      <c r="X8454" s="2">
        <f ca="1"/>
        <v>51.903112911302017</v>
      </c>
      <c r="AG8454" s="2">
        <f ca="1"/>
        <v>5.0504003902318795E-2</v>
      </c>
      <c r="AH8454" s="2" t="str">
        <f ca="1"/>
        <v>OK</v>
      </c>
    </row>
    <row r="8455" spans="2:34" x14ac:dyDescent="0.2">
      <c r="B8455" s="2">
        <f ca="1"/>
        <v>0.29289182463219632</v>
      </c>
      <c r="O8455" s="2">
        <f ca="1"/>
        <v>-0.72119308588466524</v>
      </c>
      <c r="X8455" s="2">
        <f ca="1"/>
        <v>24.98103657915739</v>
      </c>
      <c r="AG8455" s="2">
        <f ca="1"/>
        <v>0.91323461821759411</v>
      </c>
      <c r="AH8455" s="2" t="str">
        <f ca="1"/>
        <v>Bad</v>
      </c>
    </row>
    <row r="8456" spans="2:34" x14ac:dyDescent="0.2">
      <c r="B8456" s="2">
        <f ca="1"/>
        <v>0.91534001093022965</v>
      </c>
      <c r="O8456" s="2">
        <f ca="1"/>
        <v>-0.5812448073370684</v>
      </c>
      <c r="X8456" s="2">
        <f ca="1"/>
        <v>47.321339490445183</v>
      </c>
      <c r="AG8456" s="2">
        <f ca="1"/>
        <v>0.43722701285858823</v>
      </c>
      <c r="AH8456" s="2" t="str">
        <f ca="1"/>
        <v>Bad</v>
      </c>
    </row>
    <row r="8457" spans="2:34" x14ac:dyDescent="0.2">
      <c r="B8457" s="2">
        <f ca="1"/>
        <v>0.41696672140276259</v>
      </c>
      <c r="O8457" s="2">
        <f ca="1"/>
        <v>-5.8066409524954177E-2</v>
      </c>
      <c r="X8457" s="2">
        <f ca="1"/>
        <v>40.525482846588467</v>
      </c>
      <c r="AG8457" s="2">
        <f ca="1"/>
        <v>0.28488613672033924</v>
      </c>
      <c r="AH8457" s="2" t="str">
        <f ca="1"/>
        <v>OK</v>
      </c>
    </row>
    <row r="8458" spans="2:34" x14ac:dyDescent="0.2">
      <c r="B8458" s="2">
        <f ca="1"/>
        <v>2.5220719151032522E-2</v>
      </c>
      <c r="O8458" s="2">
        <f ca="1"/>
        <v>-0.51732512187398261</v>
      </c>
      <c r="X8458" s="2">
        <f ca="1"/>
        <v>25.869399581694502</v>
      </c>
      <c r="AG8458" s="2">
        <f ca="1"/>
        <v>0.99563752311720122</v>
      </c>
      <c r="AH8458" s="2" t="str">
        <f ca="1"/>
        <v>Bad</v>
      </c>
    </row>
    <row r="8459" spans="2:34" x14ac:dyDescent="0.2">
      <c r="B8459" s="2">
        <f ca="1"/>
        <v>0.647333642871184</v>
      </c>
      <c r="O8459" s="2">
        <f ca="1"/>
        <v>1.2695891062825642</v>
      </c>
      <c r="X8459" s="2">
        <f ca="1"/>
        <v>38.996994990601195</v>
      </c>
      <c r="AG8459" s="2">
        <f ca="1"/>
        <v>0.8942918358131704</v>
      </c>
      <c r="AH8459" s="2" t="str">
        <f ca="1"/>
        <v>Bad</v>
      </c>
    </row>
    <row r="8460" spans="2:34" x14ac:dyDescent="0.2">
      <c r="B8460" s="2">
        <f ca="1"/>
        <v>0.8465981629381818</v>
      </c>
      <c r="O8460" s="2">
        <f ca="1"/>
        <v>0.44457577932594389</v>
      </c>
      <c r="X8460" s="2">
        <f ca="1"/>
        <v>51.465939131178942</v>
      </c>
      <c r="AG8460" s="2">
        <f ca="1"/>
        <v>0.36633074557722489</v>
      </c>
      <c r="AH8460" s="2" t="str">
        <f ca="1"/>
        <v>OK</v>
      </c>
    </row>
    <row r="8461" spans="2:34" x14ac:dyDescent="0.2">
      <c r="B8461" s="2">
        <f ca="1"/>
        <v>0.78351779738588423</v>
      </c>
      <c r="O8461" s="2">
        <f ca="1"/>
        <v>0.3452846563810118</v>
      </c>
      <c r="X8461" s="2">
        <f ca="1"/>
        <v>58.002178304019978</v>
      </c>
      <c r="AG8461" s="2">
        <f ca="1"/>
        <v>0.68312901240364865</v>
      </c>
      <c r="AH8461" s="2" t="str">
        <f ca="1"/>
        <v>Bad</v>
      </c>
    </row>
    <row r="8462" spans="2:34" x14ac:dyDescent="0.2">
      <c r="B8462" s="2">
        <f ca="1"/>
        <v>0.14996898804442771</v>
      </c>
      <c r="O8462" s="2">
        <f ca="1"/>
        <v>-0.96068557793843179</v>
      </c>
      <c r="X8462" s="2">
        <f ca="1"/>
        <v>47.240828549035776</v>
      </c>
      <c r="AG8462" s="2">
        <f ca="1"/>
        <v>0.12035156689217574</v>
      </c>
      <c r="AH8462" s="2" t="str">
        <f ca="1"/>
        <v>OK</v>
      </c>
    </row>
    <row r="8463" spans="2:34" x14ac:dyDescent="0.2">
      <c r="B8463" s="2">
        <f ca="1"/>
        <v>0.84061151494320185</v>
      </c>
      <c r="O8463" s="2">
        <f ca="1"/>
        <v>0.92085476176625725</v>
      </c>
      <c r="X8463" s="2">
        <f ca="1"/>
        <v>55.909854930208468</v>
      </c>
      <c r="AG8463" s="2">
        <f ca="1"/>
        <v>0.86708867434292913</v>
      </c>
      <c r="AH8463" s="2" t="str">
        <f ca="1"/>
        <v>Bad</v>
      </c>
    </row>
    <row r="8464" spans="2:34" x14ac:dyDescent="0.2">
      <c r="B8464" s="2">
        <f ca="1"/>
        <v>0.34920086515356519</v>
      </c>
      <c r="O8464" s="2">
        <f ca="1"/>
        <v>-9.0514187243304831E-3</v>
      </c>
      <c r="X8464" s="2">
        <f ca="1"/>
        <v>42.232344259225925</v>
      </c>
      <c r="AG8464" s="2">
        <f ca="1"/>
        <v>0.38986090435769216</v>
      </c>
      <c r="AH8464" s="2" t="str">
        <f ca="1"/>
        <v>OK</v>
      </c>
    </row>
    <row r="8465" spans="2:34" x14ac:dyDescent="0.2">
      <c r="B8465" s="2">
        <f ca="1"/>
        <v>0.41184797979110388</v>
      </c>
      <c r="O8465" s="2">
        <f ca="1"/>
        <v>-1.7849548157075283</v>
      </c>
      <c r="X8465" s="2">
        <f ca="1"/>
        <v>47.152259104224214</v>
      </c>
      <c r="AG8465" s="2">
        <f ca="1"/>
        <v>0.9077654470001062</v>
      </c>
      <c r="AH8465" s="2" t="str">
        <f ca="1"/>
        <v>Bad</v>
      </c>
    </row>
    <row r="8466" spans="2:34" x14ac:dyDescent="0.2">
      <c r="B8466" s="2">
        <f ca="1"/>
        <v>0.686193214210014</v>
      </c>
      <c r="O8466" s="2">
        <f ca="1"/>
        <v>0.18557471572061726</v>
      </c>
      <c r="X8466" s="2">
        <f ca="1"/>
        <v>72.89419051744791</v>
      </c>
      <c r="AG8466" s="2">
        <f ca="1"/>
        <v>0.56418141757223217</v>
      </c>
      <c r="AH8466" s="2" t="str">
        <f ca="1"/>
        <v>Bad</v>
      </c>
    </row>
    <row r="8467" spans="2:34" x14ac:dyDescent="0.2">
      <c r="B8467" s="2">
        <f ca="1"/>
        <v>0.64143399097302578</v>
      </c>
      <c r="O8467" s="2">
        <f ca="1"/>
        <v>-0.57050002697697511</v>
      </c>
      <c r="X8467" s="2">
        <f ca="1"/>
        <v>42.982953919895657</v>
      </c>
      <c r="AG8467" s="2">
        <f ca="1"/>
        <v>0.43749365513791494</v>
      </c>
      <c r="AH8467" s="2" t="str">
        <f ca="1"/>
        <v>Bad</v>
      </c>
    </row>
    <row r="8468" spans="2:34" x14ac:dyDescent="0.2">
      <c r="B8468" s="2">
        <f ca="1"/>
        <v>9.1972283584810466E-2</v>
      </c>
      <c r="O8468" s="2">
        <f ca="1"/>
        <v>-1.7831680565110026</v>
      </c>
      <c r="X8468" s="2">
        <f ca="1"/>
        <v>35.497246247687428</v>
      </c>
      <c r="AG8468" s="2">
        <f ca="1"/>
        <v>0.52127109761356993</v>
      </c>
      <c r="AH8468" s="2" t="str">
        <f ca="1"/>
        <v>Bad</v>
      </c>
    </row>
    <row r="8469" spans="2:34" x14ac:dyDescent="0.2">
      <c r="B8469" s="2">
        <f ca="1"/>
        <v>0.49039238976760635</v>
      </c>
      <c r="O8469" s="2">
        <f ca="1"/>
        <v>-1.1230882585565716</v>
      </c>
      <c r="X8469" s="2">
        <f ca="1"/>
        <v>48.304444655795237</v>
      </c>
      <c r="AG8469" s="2">
        <f ca="1"/>
        <v>0.81452114865887126</v>
      </c>
      <c r="AH8469" s="2" t="str">
        <f ca="1"/>
        <v>Bad</v>
      </c>
    </row>
    <row r="8470" spans="2:34" x14ac:dyDescent="0.2">
      <c r="B8470" s="2">
        <f ca="1"/>
        <v>0.23726270815480799</v>
      </c>
      <c r="O8470" s="2">
        <f ca="1"/>
        <v>-3.0820296718861981E-2</v>
      </c>
      <c r="X8470" s="2">
        <f ca="1"/>
        <v>43.917616582167796</v>
      </c>
      <c r="AG8470" s="2">
        <f ca="1"/>
        <v>0.14444312536498183</v>
      </c>
      <c r="AH8470" s="2" t="str">
        <f ca="1"/>
        <v>OK</v>
      </c>
    </row>
    <row r="8471" spans="2:34" x14ac:dyDescent="0.2">
      <c r="B8471" s="2">
        <f ca="1"/>
        <v>0.27548903096444666</v>
      </c>
      <c r="O8471" s="2">
        <f ca="1"/>
        <v>-0.29067096069615267</v>
      </c>
      <c r="X8471" s="2">
        <f ca="1"/>
        <v>79.806636466859558</v>
      </c>
      <c r="AG8471" s="2">
        <f ca="1"/>
        <v>0.61717797964261645</v>
      </c>
      <c r="AH8471" s="2" t="str">
        <f ca="1"/>
        <v>Bad</v>
      </c>
    </row>
    <row r="8472" spans="2:34" x14ac:dyDescent="0.2">
      <c r="B8472" s="2">
        <f ca="1"/>
        <v>0.34300136578331775</v>
      </c>
      <c r="O8472" s="2">
        <f ca="1"/>
        <v>-0.80373573749108695</v>
      </c>
      <c r="X8472" s="2">
        <f ca="1"/>
        <v>25.662497067064169</v>
      </c>
      <c r="AG8472" s="2">
        <f ca="1"/>
        <v>0.53415653805772489</v>
      </c>
      <c r="AH8472" s="2" t="str">
        <f ca="1"/>
        <v>Bad</v>
      </c>
    </row>
    <row r="8473" spans="2:34" x14ac:dyDescent="0.2">
      <c r="B8473" s="2">
        <f ca="1"/>
        <v>0.66112145199051575</v>
      </c>
      <c r="O8473" s="2">
        <f ca="1"/>
        <v>-0.38708848353326708</v>
      </c>
      <c r="X8473" s="2">
        <f ca="1"/>
        <v>46.317631092592862</v>
      </c>
      <c r="AG8473" s="2">
        <f ca="1"/>
        <v>0.50254534120216521</v>
      </c>
      <c r="AH8473" s="2" t="str">
        <f ca="1"/>
        <v>Bad</v>
      </c>
    </row>
    <row r="8474" spans="2:34" x14ac:dyDescent="0.2">
      <c r="B8474" s="2">
        <f ca="1"/>
        <v>0.52764623927526033</v>
      </c>
      <c r="O8474" s="2">
        <f ca="1"/>
        <v>-0.13818044171484192</v>
      </c>
      <c r="X8474" s="2">
        <f ca="1"/>
        <v>68.742937095291211</v>
      </c>
      <c r="AG8474" s="2">
        <f ca="1"/>
        <v>0.22096551394508746</v>
      </c>
      <c r="AH8474" s="2" t="str">
        <f ca="1"/>
        <v>OK</v>
      </c>
    </row>
    <row r="8475" spans="2:34" x14ac:dyDescent="0.2">
      <c r="B8475" s="2">
        <f ca="1"/>
        <v>0.46833391032321803</v>
      </c>
      <c r="O8475" s="2">
        <f ca="1"/>
        <v>1.0176509192217085</v>
      </c>
      <c r="X8475" s="2">
        <f ca="1"/>
        <v>29.485999924854131</v>
      </c>
      <c r="AG8475" s="2">
        <f ca="1"/>
        <v>0.41183358077304466</v>
      </c>
      <c r="AH8475" s="2" t="str">
        <f ca="1"/>
        <v>Bad</v>
      </c>
    </row>
    <row r="8476" spans="2:34" x14ac:dyDescent="0.2">
      <c r="B8476" s="2">
        <f ca="1"/>
        <v>0.53246496518847652</v>
      </c>
      <c r="O8476" s="2">
        <f ca="1"/>
        <v>0.17559915452787106</v>
      </c>
      <c r="X8476" s="2">
        <f ca="1"/>
        <v>29.850822992762783</v>
      </c>
      <c r="AG8476" s="2">
        <f ca="1"/>
        <v>0.49342424907455129</v>
      </c>
      <c r="AH8476" s="2" t="str">
        <f ca="1"/>
        <v>Bad</v>
      </c>
    </row>
    <row r="8477" spans="2:34" x14ac:dyDescent="0.2">
      <c r="B8477" s="2">
        <f ca="1"/>
        <v>0.3764814683309512</v>
      </c>
      <c r="O8477" s="2">
        <f ca="1"/>
        <v>0.36991563936311744</v>
      </c>
      <c r="X8477" s="2">
        <f ca="1"/>
        <v>47.178066960998272</v>
      </c>
      <c r="AG8477" s="2">
        <f ca="1"/>
        <v>0.9314172147342914</v>
      </c>
      <c r="AH8477" s="2" t="str">
        <f ca="1"/>
        <v>Bad</v>
      </c>
    </row>
    <row r="8478" spans="2:34" x14ac:dyDescent="0.2">
      <c r="B8478" s="2">
        <f ca="1"/>
        <v>0.7307324020954955</v>
      </c>
      <c r="O8478" s="2">
        <f ca="1"/>
        <v>9.68318514962868E-2</v>
      </c>
      <c r="X8478" s="2">
        <f ca="1"/>
        <v>41.32466401352368</v>
      </c>
      <c r="AG8478" s="2">
        <f ca="1"/>
        <v>0.32583113192037128</v>
      </c>
      <c r="AH8478" s="2" t="str">
        <f ca="1"/>
        <v>OK</v>
      </c>
    </row>
    <row r="8479" spans="2:34" x14ac:dyDescent="0.2">
      <c r="B8479" s="2">
        <f ca="1"/>
        <v>0.29701980790960669</v>
      </c>
      <c r="O8479" s="2">
        <f ca="1"/>
        <v>-2.8752522893125878</v>
      </c>
      <c r="X8479" s="2">
        <f ca="1"/>
        <v>45.81750347041644</v>
      </c>
      <c r="AG8479" s="2">
        <f ca="1"/>
        <v>0.9496293280081618</v>
      </c>
      <c r="AH8479" s="2" t="str">
        <f ca="1"/>
        <v>Bad</v>
      </c>
    </row>
    <row r="8480" spans="2:34" x14ac:dyDescent="0.2">
      <c r="B8480" s="2">
        <f ca="1"/>
        <v>4.3653567789039283E-3</v>
      </c>
      <c r="O8480" s="2">
        <f ca="1"/>
        <v>0.2313527268941164</v>
      </c>
      <c r="X8480" s="2">
        <f ca="1"/>
        <v>74.973370333367257</v>
      </c>
      <c r="AG8480" s="2">
        <f ca="1"/>
        <v>0.73405166216467976</v>
      </c>
      <c r="AH8480" s="2" t="str">
        <f ca="1"/>
        <v>Bad</v>
      </c>
    </row>
    <row r="8481" spans="2:34" x14ac:dyDescent="0.2">
      <c r="B8481" s="2">
        <f ca="1"/>
        <v>0.91909513448939806</v>
      </c>
      <c r="O8481" s="2">
        <f ca="1"/>
        <v>7.6830664652519217E-4</v>
      </c>
      <c r="X8481" s="2">
        <f ca="1"/>
        <v>56.111071004545167</v>
      </c>
      <c r="AG8481" s="2">
        <f ca="1"/>
        <v>0.70268079505370951</v>
      </c>
      <c r="AH8481" s="2" t="str">
        <f ca="1"/>
        <v>Bad</v>
      </c>
    </row>
    <row r="8482" spans="2:34" x14ac:dyDescent="0.2">
      <c r="B8482" s="2">
        <f ca="1"/>
        <v>0.39813405197509932</v>
      </c>
      <c r="O8482" s="2">
        <f ca="1"/>
        <v>-0.63524758378665314</v>
      </c>
      <c r="X8482" s="2">
        <f ca="1"/>
        <v>31.203959244832188</v>
      </c>
      <c r="AG8482" s="2">
        <f ca="1"/>
        <v>0.42382780305305978</v>
      </c>
      <c r="AH8482" s="2" t="str">
        <f ca="1"/>
        <v>Bad</v>
      </c>
    </row>
    <row r="8483" spans="2:34" x14ac:dyDescent="0.2">
      <c r="B8483" s="2">
        <f ca="1"/>
        <v>3.2519586411275725E-2</v>
      </c>
      <c r="O8483" s="2">
        <f ca="1"/>
        <v>0.55321340558860643</v>
      </c>
      <c r="X8483" s="2">
        <f ca="1"/>
        <v>65.599980470325633</v>
      </c>
      <c r="AG8483" s="2">
        <f ca="1"/>
        <v>0.98146496212426326</v>
      </c>
      <c r="AH8483" s="2" t="str">
        <f ca="1"/>
        <v>Bad</v>
      </c>
    </row>
    <row r="8484" spans="2:34" x14ac:dyDescent="0.2">
      <c r="B8484" s="2">
        <f ca="1"/>
        <v>0.91417443506803675</v>
      </c>
      <c r="O8484" s="2">
        <f ca="1"/>
        <v>-0.94157994087453178</v>
      </c>
      <c r="X8484" s="2">
        <f ca="1"/>
        <v>32.060997405044979</v>
      </c>
      <c r="AG8484" s="2">
        <f ca="1"/>
        <v>0.91034056672316144</v>
      </c>
      <c r="AH8484" s="2" t="str">
        <f ca="1"/>
        <v>Bad</v>
      </c>
    </row>
    <row r="8485" spans="2:34" x14ac:dyDescent="0.2">
      <c r="B8485" s="2">
        <f ca="1"/>
        <v>2.7519924835238685E-2</v>
      </c>
      <c r="O8485" s="2">
        <f ca="1"/>
        <v>-0.20916433046160191</v>
      </c>
      <c r="X8485" s="2">
        <f ca="1"/>
        <v>40.52196085280778</v>
      </c>
      <c r="AG8485" s="2">
        <f ca="1"/>
        <v>0.10706094485427009</v>
      </c>
      <c r="AH8485" s="2" t="str">
        <f ca="1"/>
        <v>OK</v>
      </c>
    </row>
    <row r="8486" spans="2:34" x14ac:dyDescent="0.2">
      <c r="B8486" s="2">
        <f ca="1"/>
        <v>0.6563135202242405</v>
      </c>
      <c r="O8486" s="2">
        <f ca="1"/>
        <v>0.48314158012974601</v>
      </c>
      <c r="X8486" s="2">
        <f ca="1"/>
        <v>62.900143023741244</v>
      </c>
      <c r="AG8486" s="2">
        <f ca="1"/>
        <v>0.80047541086903573</v>
      </c>
      <c r="AH8486" s="2" t="str">
        <f ca="1"/>
        <v>Bad</v>
      </c>
    </row>
    <row r="8487" spans="2:34" x14ac:dyDescent="0.2">
      <c r="B8487" s="2">
        <f ca="1"/>
        <v>0.91127813823261894</v>
      </c>
      <c r="O8487" s="2">
        <f ca="1"/>
        <v>0.11134189555873436</v>
      </c>
      <c r="X8487" s="2">
        <f ca="1"/>
        <v>39.948120372005683</v>
      </c>
      <c r="AG8487" s="2">
        <f ca="1"/>
        <v>0.60547908123900918</v>
      </c>
      <c r="AH8487" s="2" t="str">
        <f ca="1"/>
        <v>Bad</v>
      </c>
    </row>
    <row r="8488" spans="2:34" x14ac:dyDescent="0.2">
      <c r="B8488" s="2">
        <f ca="1"/>
        <v>0.79023173979035044</v>
      </c>
      <c r="O8488" s="2">
        <f ca="1"/>
        <v>0.78387252943809838</v>
      </c>
      <c r="X8488" s="2">
        <f ca="1"/>
        <v>41.142097841706722</v>
      </c>
      <c r="AG8488" s="2">
        <f ca="1"/>
        <v>0.99746035824163126</v>
      </c>
      <c r="AH8488" s="2" t="str">
        <f ca="1"/>
        <v>Bad</v>
      </c>
    </row>
    <row r="8489" spans="2:34" x14ac:dyDescent="0.2">
      <c r="B8489" s="2">
        <f ca="1"/>
        <v>0.98478389060630822</v>
      </c>
      <c r="O8489" s="2">
        <f ca="1"/>
        <v>0.6375710515192835</v>
      </c>
      <c r="X8489" s="2">
        <f ca="1"/>
        <v>30.797250047385671</v>
      </c>
      <c r="AG8489" s="2">
        <f ca="1"/>
        <v>0.26754050872925972</v>
      </c>
      <c r="AH8489" s="2" t="str">
        <f ca="1"/>
        <v>OK</v>
      </c>
    </row>
    <row r="8490" spans="2:34" x14ac:dyDescent="0.2">
      <c r="B8490" s="2">
        <f ca="1"/>
        <v>0.86657286753045648</v>
      </c>
      <c r="O8490" s="2">
        <f ca="1"/>
        <v>-0.49974645967800224</v>
      </c>
      <c r="X8490" s="2">
        <f ca="1"/>
        <v>48.984082521604442</v>
      </c>
      <c r="AG8490" s="2">
        <f ca="1"/>
        <v>0.79536749971803311</v>
      </c>
      <c r="AH8490" s="2" t="str">
        <f ca="1"/>
        <v>Bad</v>
      </c>
    </row>
    <row r="8491" spans="2:34" x14ac:dyDescent="0.2">
      <c r="B8491" s="2">
        <f ca="1"/>
        <v>0.30301244378089276</v>
      </c>
      <c r="O8491" s="2">
        <f ca="1"/>
        <v>-0.57336310690913239</v>
      </c>
      <c r="X8491" s="2">
        <f ca="1"/>
        <v>43.473357063685441</v>
      </c>
      <c r="AG8491" s="2">
        <f ca="1"/>
        <v>0.59986457842904439</v>
      </c>
      <c r="AH8491" s="2" t="str">
        <f ca="1"/>
        <v>Bad</v>
      </c>
    </row>
    <row r="8492" spans="2:34" x14ac:dyDescent="0.2">
      <c r="B8492" s="2">
        <f ca="1"/>
        <v>0.54855427926893641</v>
      </c>
      <c r="O8492" s="2">
        <f ca="1"/>
        <v>4.7372756758290051E-2</v>
      </c>
      <c r="X8492" s="2">
        <f ca="1"/>
        <v>24.96229346525617</v>
      </c>
      <c r="AG8492" s="2">
        <f ca="1"/>
        <v>0.31737403685156007</v>
      </c>
      <c r="AH8492" s="2" t="str">
        <f ca="1"/>
        <v>OK</v>
      </c>
    </row>
    <row r="8493" spans="2:34" x14ac:dyDescent="0.2">
      <c r="B8493" s="2">
        <f ca="1"/>
        <v>0.1417155879047769</v>
      </c>
      <c r="O8493" s="2">
        <f ca="1"/>
        <v>2.2410097050822007</v>
      </c>
      <c r="X8493" s="2">
        <f ca="1"/>
        <v>55.890793552681842</v>
      </c>
      <c r="AG8493" s="2">
        <f ca="1"/>
        <v>0.54328339697512407</v>
      </c>
      <c r="AH8493" s="2" t="str">
        <f ca="1"/>
        <v>Bad</v>
      </c>
    </row>
    <row r="8494" spans="2:34" x14ac:dyDescent="0.2">
      <c r="B8494" s="2">
        <f ca="1"/>
        <v>4.4855454557723551E-2</v>
      </c>
      <c r="O8494" s="2">
        <f ca="1"/>
        <v>3.5303311414522469E-2</v>
      </c>
      <c r="X8494" s="2">
        <f ca="1"/>
        <v>66.001201497512781</v>
      </c>
      <c r="AG8494" s="2">
        <f ca="1"/>
        <v>0.4864245482757541</v>
      </c>
      <c r="AH8494" s="2" t="str">
        <f ca="1"/>
        <v>Bad</v>
      </c>
    </row>
    <row r="8495" spans="2:34" x14ac:dyDescent="0.2">
      <c r="B8495" s="2">
        <f ca="1"/>
        <v>3.0410993696163846E-2</v>
      </c>
      <c r="O8495" s="2">
        <f ca="1"/>
        <v>-0.82627391918226556</v>
      </c>
      <c r="X8495" s="2">
        <f ca="1"/>
        <v>62.287177762887971</v>
      </c>
      <c r="AG8495" s="2">
        <f ca="1"/>
        <v>0.40540758959820189</v>
      </c>
      <c r="AH8495" s="2" t="str">
        <f ca="1"/>
        <v>Bad</v>
      </c>
    </row>
    <row r="8496" spans="2:34" x14ac:dyDescent="0.2">
      <c r="B8496" s="2">
        <f ca="1"/>
        <v>0.52599289142741834</v>
      </c>
      <c r="O8496" s="2">
        <f ca="1"/>
        <v>-1.285627991859364</v>
      </c>
      <c r="X8496" s="2">
        <f ca="1"/>
        <v>39.20216328832224</v>
      </c>
      <c r="AG8496" s="2">
        <f ca="1"/>
        <v>0.50718739995832629</v>
      </c>
      <c r="AH8496" s="2" t="str">
        <f ca="1"/>
        <v>Bad</v>
      </c>
    </row>
    <row r="8497" spans="2:34" x14ac:dyDescent="0.2">
      <c r="B8497" s="2">
        <f ca="1"/>
        <v>0.16788210955899574</v>
      </c>
      <c r="O8497" s="2">
        <f ca="1"/>
        <v>0.17210677263735474</v>
      </c>
      <c r="X8497" s="2">
        <f ca="1"/>
        <v>31.795874715245709</v>
      </c>
      <c r="AG8497" s="2">
        <f ca="1"/>
        <v>0.67536710461005289</v>
      </c>
      <c r="AH8497" s="2" t="str">
        <f ca="1"/>
        <v>Bad</v>
      </c>
    </row>
    <row r="8498" spans="2:34" x14ac:dyDescent="0.2">
      <c r="B8498" s="2">
        <f ca="1"/>
        <v>0.1262567180716474</v>
      </c>
      <c r="O8498" s="2">
        <f ca="1"/>
        <v>-1.7192120324213322</v>
      </c>
      <c r="X8498" s="2">
        <f ca="1"/>
        <v>47.212825995639776</v>
      </c>
      <c r="AG8498" s="2">
        <f ca="1"/>
        <v>6.7951655163014824E-2</v>
      </c>
      <c r="AH8498" s="2" t="str">
        <f ca="1"/>
        <v>OK</v>
      </c>
    </row>
    <row r="8499" spans="2:34" x14ac:dyDescent="0.2">
      <c r="B8499" s="2">
        <f ca="1"/>
        <v>0.52830822669936772</v>
      </c>
      <c r="O8499" s="2">
        <f ca="1"/>
        <v>-1.8438407300832065E-2</v>
      </c>
      <c r="X8499" s="2">
        <f ca="1"/>
        <v>62.836027895264557</v>
      </c>
      <c r="AG8499" s="2">
        <f ca="1"/>
        <v>0.59832515418282606</v>
      </c>
      <c r="AH8499" s="2" t="str">
        <f ca="1"/>
        <v>Bad</v>
      </c>
    </row>
    <row r="8500" spans="2:34" x14ac:dyDescent="0.2">
      <c r="B8500" s="2">
        <f ca="1"/>
        <v>0.83724184818444791</v>
      </c>
      <c r="O8500" s="2">
        <f ca="1"/>
        <v>0.11321139034893563</v>
      </c>
      <c r="X8500" s="2">
        <f ca="1"/>
        <v>42.75931329838096</v>
      </c>
      <c r="AG8500" s="2">
        <f ca="1"/>
        <v>0.73262440162805764</v>
      </c>
      <c r="AH8500" s="2" t="str">
        <f ca="1"/>
        <v>Bad</v>
      </c>
    </row>
    <row r="8501" spans="2:34" x14ac:dyDescent="0.2">
      <c r="B8501" s="2">
        <f ca="1"/>
        <v>0.88987238394022805</v>
      </c>
      <c r="O8501" s="2">
        <f ca="1"/>
        <v>0.11250860319224519</v>
      </c>
      <c r="X8501" s="2">
        <f ca="1"/>
        <v>50.170762195263336</v>
      </c>
      <c r="AG8501" s="2">
        <f ca="1"/>
        <v>6.9066730688849276E-4</v>
      </c>
      <c r="AH8501" s="2" t="str">
        <f ca="1"/>
        <v>Good</v>
      </c>
    </row>
    <row r="8502" spans="2:34" x14ac:dyDescent="0.2">
      <c r="B8502" s="2">
        <f ca="1"/>
        <v>0.10776057483793244</v>
      </c>
      <c r="O8502" s="2">
        <f ca="1"/>
        <v>1.0012898098179992</v>
      </c>
      <c r="X8502" s="2">
        <f ca="1"/>
        <v>61.523672298961941</v>
      </c>
      <c r="AG8502" s="2">
        <f ca="1"/>
        <v>0.66754043859281564</v>
      </c>
      <c r="AH8502" s="2" t="str">
        <f ca="1"/>
        <v>Bad</v>
      </c>
    </row>
    <row r="8503" spans="2:34" x14ac:dyDescent="0.2">
      <c r="B8503" s="2">
        <f ca="1"/>
        <v>0.18525334352096801</v>
      </c>
      <c r="O8503" s="2">
        <f ca="1"/>
        <v>-0.90415578653507056</v>
      </c>
      <c r="X8503" s="2">
        <f ca="1"/>
        <v>54.165283198638896</v>
      </c>
      <c r="AG8503" s="2">
        <f ca="1"/>
        <v>0.55619634434290299</v>
      </c>
      <c r="AH8503" s="2" t="str">
        <f ca="1"/>
        <v>Bad</v>
      </c>
    </row>
    <row r="8504" spans="2:34" x14ac:dyDescent="0.2">
      <c r="B8504" s="2">
        <f ca="1"/>
        <v>0.96378655195353358</v>
      </c>
      <c r="O8504" s="2">
        <f ca="1"/>
        <v>-0.48724577167465538</v>
      </c>
      <c r="X8504" s="2">
        <f ca="1"/>
        <v>27.149852056787793</v>
      </c>
      <c r="AG8504" s="2">
        <f ca="1"/>
        <v>0.93613958252362695</v>
      </c>
      <c r="AH8504" s="2" t="str">
        <f ca="1"/>
        <v>Bad</v>
      </c>
    </row>
    <row r="8505" spans="2:34" x14ac:dyDescent="0.2">
      <c r="B8505" s="2">
        <f ca="1"/>
        <v>0.81194558343331757</v>
      </c>
      <c r="O8505" s="2">
        <f ca="1"/>
        <v>0.94789622230133186</v>
      </c>
      <c r="X8505" s="2">
        <f ca="1"/>
        <v>31.837705296171031</v>
      </c>
      <c r="AG8505" s="2">
        <f ca="1"/>
        <v>0.17280008789037948</v>
      </c>
      <c r="AH8505" s="2" t="str">
        <f ca="1"/>
        <v>OK</v>
      </c>
    </row>
    <row r="8506" spans="2:34" x14ac:dyDescent="0.2">
      <c r="B8506" s="2">
        <f ca="1"/>
        <v>0.82565879247880303</v>
      </c>
      <c r="O8506" s="2">
        <f ca="1"/>
        <v>0.97897034368215452</v>
      </c>
      <c r="X8506" s="2">
        <f ca="1"/>
        <v>52.825891117972716</v>
      </c>
      <c r="AG8506" s="2">
        <f ca="1"/>
        <v>0.66172896158072692</v>
      </c>
      <c r="AH8506" s="2" t="str">
        <f ca="1"/>
        <v>Bad</v>
      </c>
    </row>
    <row r="8507" spans="2:34" x14ac:dyDescent="0.2">
      <c r="B8507" s="2">
        <f ca="1"/>
        <v>0.57022440142814035</v>
      </c>
      <c r="O8507" s="2">
        <f ca="1"/>
        <v>-0.37228610316265381</v>
      </c>
      <c r="X8507" s="2">
        <f ca="1"/>
        <v>29.64500463110933</v>
      </c>
      <c r="AG8507" s="2">
        <f ca="1"/>
        <v>0.23082451393436587</v>
      </c>
      <c r="AH8507" s="2" t="str">
        <f ca="1"/>
        <v>OK</v>
      </c>
    </row>
    <row r="8508" spans="2:34" x14ac:dyDescent="0.2">
      <c r="B8508" s="2">
        <f ca="1"/>
        <v>0.57353192080118975</v>
      </c>
      <c r="O8508" s="2">
        <f ca="1"/>
        <v>-9.8175314231842767E-2</v>
      </c>
      <c r="X8508" s="2">
        <f ca="1"/>
        <v>27.629492911265491</v>
      </c>
      <c r="AG8508" s="2">
        <f ca="1"/>
        <v>0.69193280633908816</v>
      </c>
      <c r="AH8508" s="2" t="str">
        <f ca="1"/>
        <v>Bad</v>
      </c>
    </row>
    <row r="8509" spans="2:34" x14ac:dyDescent="0.2">
      <c r="B8509" s="2">
        <f ca="1"/>
        <v>0.85582607475311789</v>
      </c>
      <c r="O8509" s="2">
        <f ca="1"/>
        <v>0.29475219248612167</v>
      </c>
      <c r="X8509" s="2">
        <f ca="1"/>
        <v>48.486112172140338</v>
      </c>
      <c r="AG8509" s="2">
        <f ca="1"/>
        <v>0.17601195029992467</v>
      </c>
      <c r="AH8509" s="2" t="str">
        <f ca="1"/>
        <v>OK</v>
      </c>
    </row>
    <row r="8510" spans="2:34" x14ac:dyDescent="0.2">
      <c r="B8510" s="2">
        <f ca="1"/>
        <v>0.15270600185857819</v>
      </c>
      <c r="O8510" s="2">
        <f ca="1"/>
        <v>-0.52614746295502968</v>
      </c>
      <c r="X8510" s="2">
        <f ca="1"/>
        <v>49.136289265866075</v>
      </c>
      <c r="AG8510" s="2">
        <f ca="1"/>
        <v>0.9316246303653315</v>
      </c>
      <c r="AH8510" s="2" t="str">
        <f ca="1"/>
        <v>Bad</v>
      </c>
    </row>
    <row r="8511" spans="2:34" x14ac:dyDescent="0.2">
      <c r="B8511" s="2">
        <f ca="1"/>
        <v>0.49250012301164769</v>
      </c>
      <c r="O8511" s="2">
        <f ca="1"/>
        <v>-0.60634382280350541</v>
      </c>
      <c r="X8511" s="2">
        <f ca="1"/>
        <v>47.971215038067797</v>
      </c>
      <c r="AG8511" s="2">
        <f ca="1"/>
        <v>8.8897965141828683E-2</v>
      </c>
      <c r="AH8511" s="2" t="str">
        <f ca="1"/>
        <v>OK</v>
      </c>
    </row>
    <row r="8512" spans="2:34" x14ac:dyDescent="0.2">
      <c r="B8512" s="2">
        <f ca="1"/>
        <v>0.45555589172006039</v>
      </c>
      <c r="O8512" s="2">
        <f ca="1"/>
        <v>0.23987363415437363</v>
      </c>
      <c r="X8512" s="2">
        <f ca="1"/>
        <v>28.964945026654721</v>
      </c>
      <c r="AG8512" s="2">
        <f ca="1"/>
        <v>0.48193310121224742</v>
      </c>
      <c r="AH8512" s="2" t="str">
        <f ca="1"/>
        <v>Bad</v>
      </c>
    </row>
    <row r="8513" spans="2:34" x14ac:dyDescent="0.2">
      <c r="B8513" s="2">
        <f ca="1"/>
        <v>0.65280414902890671</v>
      </c>
      <c r="O8513" s="2">
        <f ca="1"/>
        <v>0.39202400924801467</v>
      </c>
      <c r="X8513" s="2">
        <f ca="1"/>
        <v>50.014523983245283</v>
      </c>
      <c r="AG8513" s="2">
        <f ca="1"/>
        <v>0.6596825919320608</v>
      </c>
      <c r="AH8513" s="2" t="str">
        <f ca="1"/>
        <v>Bad</v>
      </c>
    </row>
    <row r="8514" spans="2:34" x14ac:dyDescent="0.2">
      <c r="B8514" s="2">
        <f ca="1"/>
        <v>0.9089380987292468</v>
      </c>
      <c r="O8514" s="2">
        <f ca="1"/>
        <v>1.9292155758116871</v>
      </c>
      <c r="X8514" s="2">
        <f ca="1"/>
        <v>40.528761884993102</v>
      </c>
      <c r="AG8514" s="2">
        <f ca="1"/>
        <v>0.12866551104726898</v>
      </c>
      <c r="AH8514" s="2" t="str">
        <f ca="1"/>
        <v>OK</v>
      </c>
    </row>
    <row r="8515" spans="2:34" x14ac:dyDescent="0.2">
      <c r="B8515" s="2">
        <f ca="1"/>
        <v>0.44379623873856389</v>
      </c>
      <c r="O8515" s="2">
        <f ca="1"/>
        <v>1.0742918143726121</v>
      </c>
      <c r="X8515" s="2">
        <f ca="1"/>
        <v>62.265264103598739</v>
      </c>
      <c r="AG8515" s="2">
        <f ca="1"/>
        <v>0.6230081720450551</v>
      </c>
      <c r="AH8515" s="2" t="str">
        <f ca="1"/>
        <v>Bad</v>
      </c>
    </row>
    <row r="8516" spans="2:34" x14ac:dyDescent="0.2">
      <c r="B8516" s="2">
        <f ca="1"/>
        <v>0.98976531022657022</v>
      </c>
      <c r="O8516" s="2">
        <f ca="1"/>
        <v>-0.64508394893345067</v>
      </c>
      <c r="X8516" s="2">
        <f ca="1"/>
        <v>35.939903631702421</v>
      </c>
      <c r="AG8516" s="2">
        <f ca="1"/>
        <v>0.4829288617064349</v>
      </c>
      <c r="AH8516" s="2" t="str">
        <f ca="1"/>
        <v>Bad</v>
      </c>
    </row>
    <row r="8517" spans="2:34" x14ac:dyDescent="0.2">
      <c r="B8517" s="2">
        <f ca="1"/>
        <v>0.7591464389238376</v>
      </c>
      <c r="O8517" s="2">
        <f ca="1"/>
        <v>-0.46628001611208586</v>
      </c>
      <c r="X8517" s="2">
        <f ca="1"/>
        <v>61.36637614966132</v>
      </c>
      <c r="AG8517" s="2">
        <f ca="1"/>
        <v>0.11764023021914061</v>
      </c>
      <c r="AH8517" s="2" t="str">
        <f ca="1"/>
        <v>OK</v>
      </c>
    </row>
    <row r="8518" spans="2:34" x14ac:dyDescent="0.2">
      <c r="B8518" s="2">
        <f ca="1"/>
        <v>0.54891235540261141</v>
      </c>
      <c r="O8518" s="2">
        <f ca="1"/>
        <v>0.53495791481021859</v>
      </c>
      <c r="X8518" s="2">
        <f ca="1"/>
        <v>47.964013655128205</v>
      </c>
      <c r="AG8518" s="2">
        <f ca="1"/>
        <v>0.14068521057263172</v>
      </c>
      <c r="AH8518" s="2" t="str">
        <f ca="1"/>
        <v>OK</v>
      </c>
    </row>
    <row r="8519" spans="2:34" x14ac:dyDescent="0.2">
      <c r="B8519" s="2">
        <f ca="1"/>
        <v>0.16589405861114037</v>
      </c>
      <c r="O8519" s="2">
        <f ca="1"/>
        <v>-1.0022920876619761</v>
      </c>
      <c r="X8519" s="2">
        <f ca="1"/>
        <v>46.883858633355175</v>
      </c>
      <c r="AG8519" s="2">
        <f ca="1"/>
        <v>0.17766216942625657</v>
      </c>
      <c r="AH8519" s="2" t="str">
        <f ca="1"/>
        <v>OK</v>
      </c>
    </row>
    <row r="8520" spans="2:34" x14ac:dyDescent="0.2">
      <c r="B8520" s="2">
        <f ca="1"/>
        <v>0.46596794914816964</v>
      </c>
      <c r="O8520" s="2">
        <f ca="1"/>
        <v>1.4757435863355204</v>
      </c>
      <c r="X8520" s="2">
        <f ca="1"/>
        <v>62.620627688917949</v>
      </c>
      <c r="AG8520" s="2">
        <f ca="1"/>
        <v>0.30953658140992957</v>
      </c>
      <c r="AH8520" s="2" t="str">
        <f ca="1"/>
        <v>OK</v>
      </c>
    </row>
    <row r="8521" spans="2:34" x14ac:dyDescent="0.2">
      <c r="B8521" s="2">
        <f ca="1"/>
        <v>0.97946692927118284</v>
      </c>
      <c r="O8521" s="2">
        <f ca="1"/>
        <v>-0.13896027112154602</v>
      </c>
      <c r="X8521" s="2">
        <f ca="1"/>
        <v>42.890499679549492</v>
      </c>
      <c r="AG8521" s="2">
        <f ca="1"/>
        <v>6.3398067420736837E-3</v>
      </c>
      <c r="AH8521" s="2" t="str">
        <f ca="1"/>
        <v>Good</v>
      </c>
    </row>
    <row r="8522" spans="2:34" x14ac:dyDescent="0.2">
      <c r="B8522" s="2">
        <f ca="1"/>
        <v>0.17193925683940559</v>
      </c>
      <c r="O8522" s="2">
        <f ca="1"/>
        <v>0.92848732500875575</v>
      </c>
      <c r="X8522" s="2">
        <f ca="1"/>
        <v>77.378570252248622</v>
      </c>
      <c r="AG8522" s="2">
        <f ca="1"/>
        <v>0.67387056674881052</v>
      </c>
      <c r="AH8522" s="2" t="str">
        <f ca="1"/>
        <v>Bad</v>
      </c>
    </row>
    <row r="8523" spans="2:34" x14ac:dyDescent="0.2">
      <c r="B8523" s="2">
        <f ca="1"/>
        <v>0.57861747445635858</v>
      </c>
      <c r="O8523" s="2">
        <f ca="1"/>
        <v>-0.90253914381227207</v>
      </c>
      <c r="X8523" s="2">
        <f ca="1"/>
        <v>38.658157782981412</v>
      </c>
      <c r="AG8523" s="2">
        <f ca="1"/>
        <v>0.61219558299396737</v>
      </c>
      <c r="AH8523" s="2" t="str">
        <f ca="1"/>
        <v>Bad</v>
      </c>
    </row>
    <row r="8524" spans="2:34" x14ac:dyDescent="0.2">
      <c r="B8524" s="2">
        <f ca="1"/>
        <v>0.88649592740965999</v>
      </c>
      <c r="O8524" s="2">
        <f ca="1"/>
        <v>0.9466009671706197</v>
      </c>
      <c r="X8524" s="2">
        <f ca="1"/>
        <v>44.462411907341711</v>
      </c>
      <c r="AG8524" s="2">
        <f ca="1"/>
        <v>0.14659442883055851</v>
      </c>
      <c r="AH8524" s="2" t="str">
        <f ca="1"/>
        <v>OK</v>
      </c>
    </row>
    <row r="8525" spans="2:34" x14ac:dyDescent="0.2">
      <c r="B8525" s="2">
        <f ca="1"/>
        <v>0.72861524902046204</v>
      </c>
      <c r="O8525" s="2">
        <f ca="1"/>
        <v>0.22293250605591577</v>
      </c>
      <c r="X8525" s="2">
        <f ca="1"/>
        <v>38.183862678811437</v>
      </c>
      <c r="AG8525" s="2">
        <f ca="1"/>
        <v>0.87430715843410156</v>
      </c>
      <c r="AH8525" s="2" t="str">
        <f ca="1"/>
        <v>Bad</v>
      </c>
    </row>
    <row r="8526" spans="2:34" x14ac:dyDescent="0.2">
      <c r="B8526" s="2">
        <f ca="1"/>
        <v>0.6303998008774514</v>
      </c>
      <c r="O8526" s="2">
        <f ca="1"/>
        <v>-0.91544399598671133</v>
      </c>
      <c r="X8526" s="2">
        <f ca="1"/>
        <v>34.066781643514197</v>
      </c>
      <c r="AG8526" s="2">
        <f ca="1"/>
        <v>0.78436156829971737</v>
      </c>
      <c r="AH8526" s="2" t="str">
        <f ca="1"/>
        <v>Bad</v>
      </c>
    </row>
    <row r="8527" spans="2:34" x14ac:dyDescent="0.2">
      <c r="B8527" s="2">
        <f ca="1"/>
        <v>3.4501771256769898E-2</v>
      </c>
      <c r="O8527" s="2">
        <f ca="1"/>
        <v>-0.57859439316379535</v>
      </c>
      <c r="X8527" s="2">
        <f ca="1"/>
        <v>53.964769251748457</v>
      </c>
      <c r="AG8527" s="2">
        <f ca="1"/>
        <v>0.75891220410733706</v>
      </c>
      <c r="AH8527" s="2" t="str">
        <f ca="1"/>
        <v>Bad</v>
      </c>
    </row>
    <row r="8528" spans="2:34" x14ac:dyDescent="0.2">
      <c r="B8528" s="2">
        <f ca="1"/>
        <v>0.75606070441339601</v>
      </c>
      <c r="O8528" s="2">
        <f ca="1"/>
        <v>0.24233358929251725</v>
      </c>
      <c r="X8528" s="2">
        <f ca="1"/>
        <v>46.691204521788407</v>
      </c>
      <c r="AG8528" s="2">
        <f ca="1"/>
        <v>0.78587645645189053</v>
      </c>
      <c r="AH8528" s="2" t="str">
        <f ca="1"/>
        <v>Bad</v>
      </c>
    </row>
    <row r="8529" spans="2:34" x14ac:dyDescent="0.2">
      <c r="B8529" s="2">
        <f ca="1"/>
        <v>0.84372415873275353</v>
      </c>
      <c r="O8529" s="2">
        <f ca="1"/>
        <v>-1.1413751222506219</v>
      </c>
      <c r="X8529" s="2">
        <f ca="1"/>
        <v>64.5163427645045</v>
      </c>
      <c r="AG8529" s="2">
        <f ca="1"/>
        <v>0.16818655916925174</v>
      </c>
      <c r="AH8529" s="2" t="str">
        <f ca="1"/>
        <v>OK</v>
      </c>
    </row>
    <row r="8530" spans="2:34" x14ac:dyDescent="0.2">
      <c r="B8530" s="2">
        <f ca="1"/>
        <v>0.45963690241762833</v>
      </c>
      <c r="O8530" s="2">
        <f ca="1"/>
        <v>0.98157046464697795</v>
      </c>
      <c r="X8530" s="2">
        <f ca="1"/>
        <v>53.154552508013694</v>
      </c>
      <c r="AG8530" s="2">
        <f ca="1"/>
        <v>0.40667738402264542</v>
      </c>
      <c r="AH8530" s="2" t="str">
        <f ca="1"/>
        <v>Bad</v>
      </c>
    </row>
    <row r="8531" spans="2:34" x14ac:dyDescent="0.2">
      <c r="B8531" s="2">
        <f ca="1"/>
        <v>0.43794953965682026</v>
      </c>
      <c r="O8531" s="2">
        <f ca="1"/>
        <v>-0.5164554197779252</v>
      </c>
      <c r="X8531" s="2">
        <f ca="1"/>
        <v>50.856394363068553</v>
      </c>
      <c r="AG8531" s="2">
        <f ca="1"/>
        <v>5.7535104872601162E-2</v>
      </c>
      <c r="AH8531" s="2" t="str">
        <f ca="1"/>
        <v>OK</v>
      </c>
    </row>
    <row r="8532" spans="2:34" x14ac:dyDescent="0.2">
      <c r="B8532" s="2">
        <f ca="1"/>
        <v>0.96836689273475329</v>
      </c>
      <c r="O8532" s="2">
        <f ca="1"/>
        <v>-0.30432094219660999</v>
      </c>
      <c r="X8532" s="2">
        <f ca="1"/>
        <v>75.021871060840354</v>
      </c>
      <c r="AG8532" s="2">
        <f ca="1"/>
        <v>0.12853933550122987</v>
      </c>
      <c r="AH8532" s="2" t="str">
        <f ca="1"/>
        <v>OK</v>
      </c>
    </row>
    <row r="8533" spans="2:34" x14ac:dyDescent="0.2">
      <c r="B8533" s="2">
        <f ca="1"/>
        <v>0.97179797065420459</v>
      </c>
      <c r="O8533" s="2">
        <f ca="1"/>
        <v>-0.10759284516956272</v>
      </c>
      <c r="X8533" s="2">
        <f ca="1"/>
        <v>43.671825797946553</v>
      </c>
      <c r="AG8533" s="2">
        <f ca="1"/>
        <v>0.33080308122220625</v>
      </c>
      <c r="AH8533" s="2" t="str">
        <f ca="1"/>
        <v>OK</v>
      </c>
    </row>
    <row r="8534" spans="2:34" x14ac:dyDescent="0.2">
      <c r="B8534" s="2">
        <f ca="1"/>
        <v>0.36394962341622827</v>
      </c>
      <c r="O8534" s="2">
        <f ca="1"/>
        <v>1.2402255321512867</v>
      </c>
      <c r="X8534" s="2">
        <f ca="1"/>
        <v>45.089755962687562</v>
      </c>
      <c r="AG8534" s="2">
        <f ca="1"/>
        <v>0.92013959184232963</v>
      </c>
      <c r="AH8534" s="2" t="str">
        <f ca="1"/>
        <v>Bad</v>
      </c>
    </row>
    <row r="8535" spans="2:34" x14ac:dyDescent="0.2">
      <c r="B8535" s="2">
        <f ca="1"/>
        <v>0.40522800083637445</v>
      </c>
      <c r="O8535" s="2">
        <f ca="1"/>
        <v>0.75947691901405201</v>
      </c>
      <c r="X8535" s="2">
        <f ca="1"/>
        <v>66.96418249978116</v>
      </c>
      <c r="AG8535" s="2">
        <f ca="1"/>
        <v>0.38360932663025893</v>
      </c>
      <c r="AH8535" s="2" t="str">
        <f ca="1"/>
        <v>OK</v>
      </c>
    </row>
    <row r="8536" spans="2:34" x14ac:dyDescent="0.2">
      <c r="B8536" s="2">
        <f ca="1"/>
        <v>0.99822426360415117</v>
      </c>
      <c r="O8536" s="2">
        <f ca="1"/>
        <v>-0.19192157351140701</v>
      </c>
      <c r="X8536" s="2">
        <f ca="1"/>
        <v>40.536657640101225</v>
      </c>
      <c r="AG8536" s="2">
        <f ca="1"/>
        <v>0.64579477955278319</v>
      </c>
      <c r="AH8536" s="2" t="str">
        <f ca="1"/>
        <v>Bad</v>
      </c>
    </row>
    <row r="8537" spans="2:34" x14ac:dyDescent="0.2">
      <c r="B8537" s="2">
        <f ca="1"/>
        <v>0.77057905100330415</v>
      </c>
      <c r="O8537" s="2">
        <f ca="1"/>
        <v>-0.38389247322485448</v>
      </c>
      <c r="X8537" s="2">
        <f ca="1"/>
        <v>40.007055990683625</v>
      </c>
      <c r="AG8537" s="2">
        <f ca="1"/>
        <v>0.29936984623111806</v>
      </c>
      <c r="AH8537" s="2" t="str">
        <f ca="1"/>
        <v>OK</v>
      </c>
    </row>
    <row r="8538" spans="2:34" x14ac:dyDescent="0.2">
      <c r="B8538" s="2">
        <f ca="1"/>
        <v>0.10158531254296599</v>
      </c>
      <c r="O8538" s="2">
        <f ca="1"/>
        <v>1.2847310882465786</v>
      </c>
      <c r="X8538" s="2">
        <f ca="1"/>
        <v>63.35588411163706</v>
      </c>
      <c r="AG8538" s="2">
        <f ca="1"/>
        <v>0.35596823358004936</v>
      </c>
      <c r="AH8538" s="2" t="str">
        <f ca="1"/>
        <v>OK</v>
      </c>
    </row>
    <row r="8539" spans="2:34" x14ac:dyDescent="0.2">
      <c r="B8539" s="2">
        <f ca="1"/>
        <v>0.22378149750144205</v>
      </c>
      <c r="O8539" s="2">
        <f ca="1"/>
        <v>0.35847685856745987</v>
      </c>
      <c r="X8539" s="2">
        <f ca="1"/>
        <v>23.378796858463588</v>
      </c>
      <c r="AG8539" s="2">
        <f ca="1"/>
        <v>6.0770560943108176E-2</v>
      </c>
      <c r="AH8539" s="2" t="str">
        <f ca="1"/>
        <v>OK</v>
      </c>
    </row>
    <row r="8540" spans="2:34" x14ac:dyDescent="0.2">
      <c r="B8540" s="2">
        <f ca="1"/>
        <v>0.47021497707097248</v>
      </c>
      <c r="O8540" s="2">
        <f ca="1"/>
        <v>0.98511434034775047</v>
      </c>
      <c r="X8540" s="2">
        <f ca="1"/>
        <v>64.958229910664997</v>
      </c>
      <c r="AG8540" s="2">
        <f ca="1"/>
        <v>0.85751369410648293</v>
      </c>
      <c r="AH8540" s="2" t="str">
        <f ca="1"/>
        <v>Bad</v>
      </c>
    </row>
    <row r="8541" spans="2:34" x14ac:dyDescent="0.2">
      <c r="B8541" s="2">
        <f ca="1"/>
        <v>0.61035207484225684</v>
      </c>
      <c r="O8541" s="2">
        <f ca="1"/>
        <v>-0.27910989853831114</v>
      </c>
      <c r="X8541" s="2">
        <f ca="1"/>
        <v>91.174974416959969</v>
      </c>
      <c r="AG8541" s="2">
        <f ca="1"/>
        <v>0.14906909928995349</v>
      </c>
      <c r="AH8541" s="2" t="str">
        <f ca="1"/>
        <v>OK</v>
      </c>
    </row>
    <row r="8542" spans="2:34" x14ac:dyDescent="0.2">
      <c r="B8542" s="2">
        <f ca="1"/>
        <v>0.28671716839901085</v>
      </c>
      <c r="O8542" s="2">
        <f ca="1"/>
        <v>-1.2172726720829092</v>
      </c>
      <c r="X8542" s="2">
        <f ca="1"/>
        <v>57.732549510716929</v>
      </c>
      <c r="AG8542" s="2">
        <f ca="1"/>
        <v>3.9689289774696546E-2</v>
      </c>
      <c r="AH8542" s="2" t="str">
        <f ca="1"/>
        <v>Good</v>
      </c>
    </row>
    <row r="8543" spans="2:34" x14ac:dyDescent="0.2">
      <c r="B8543" s="2">
        <f ca="1"/>
        <v>0.14023419217424471</v>
      </c>
      <c r="O8543" s="2">
        <f ca="1"/>
        <v>0.9809141497133842</v>
      </c>
      <c r="X8543" s="2">
        <f ca="1"/>
        <v>54.641367485717431</v>
      </c>
      <c r="AG8543" s="2">
        <f ca="1"/>
        <v>0.16974521610174143</v>
      </c>
      <c r="AH8543" s="2" t="str">
        <f ca="1"/>
        <v>OK</v>
      </c>
    </row>
    <row r="8544" spans="2:34" x14ac:dyDescent="0.2">
      <c r="B8544" s="2">
        <f ca="1"/>
        <v>0.74981037050562893</v>
      </c>
      <c r="O8544" s="2">
        <f ca="1"/>
        <v>-0.71818397644793297</v>
      </c>
      <c r="X8544" s="2">
        <f ca="1"/>
        <v>24.550531242297016</v>
      </c>
      <c r="AG8544" s="2">
        <f ca="1"/>
        <v>0.62749741404562553</v>
      </c>
      <c r="AH8544" s="2" t="str">
        <f ca="1"/>
        <v>Bad</v>
      </c>
    </row>
    <row r="8545" spans="2:34" x14ac:dyDescent="0.2">
      <c r="B8545" s="2">
        <f ca="1"/>
        <v>7.0224373661285755E-2</v>
      </c>
      <c r="O8545" s="2">
        <f ca="1"/>
        <v>-2.1268094604138192</v>
      </c>
      <c r="X8545" s="2">
        <f ca="1"/>
        <v>68.584995588680869</v>
      </c>
      <c r="AG8545" s="2">
        <f ca="1"/>
        <v>0.38752426697123044</v>
      </c>
      <c r="AH8545" s="2" t="str">
        <f ca="1"/>
        <v>OK</v>
      </c>
    </row>
    <row r="8546" spans="2:34" x14ac:dyDescent="0.2">
      <c r="B8546" s="2">
        <f ca="1"/>
        <v>0.6883207737343382</v>
      </c>
      <c r="O8546" s="2">
        <f ca="1"/>
        <v>0.16098655115729343</v>
      </c>
      <c r="X8546" s="2">
        <f ca="1"/>
        <v>58.112002949548049</v>
      </c>
      <c r="AG8546" s="2">
        <f ca="1"/>
        <v>0.45939751510173044</v>
      </c>
      <c r="AH8546" s="2" t="str">
        <f ca="1"/>
        <v>Bad</v>
      </c>
    </row>
    <row r="8547" spans="2:34" x14ac:dyDescent="0.2">
      <c r="B8547" s="2">
        <f ca="1"/>
        <v>0.70666797123732983</v>
      </c>
      <c r="O8547" s="2">
        <f ca="1"/>
        <v>0.79590861944538316</v>
      </c>
      <c r="X8547" s="2">
        <f ca="1"/>
        <v>89.333976842870413</v>
      </c>
      <c r="AG8547" s="2">
        <f ca="1"/>
        <v>0.84662412479392346</v>
      </c>
      <c r="AH8547" s="2" t="str">
        <f ca="1"/>
        <v>Bad</v>
      </c>
    </row>
    <row r="8548" spans="2:34" x14ac:dyDescent="0.2">
      <c r="B8548" s="2">
        <f ca="1"/>
        <v>0.78926766369840085</v>
      </c>
      <c r="O8548" s="2">
        <f ca="1"/>
        <v>2.1652875931822577</v>
      </c>
      <c r="X8548" s="2">
        <f ca="1"/>
        <v>40.582517983352382</v>
      </c>
      <c r="AG8548" s="2">
        <f ca="1"/>
        <v>2.3571946415495537E-2</v>
      </c>
      <c r="AH8548" s="2" t="str">
        <f ca="1"/>
        <v>Good</v>
      </c>
    </row>
    <row r="8549" spans="2:34" x14ac:dyDescent="0.2">
      <c r="B8549" s="2">
        <f ca="1"/>
        <v>0.72810440344255323</v>
      </c>
      <c r="O8549" s="2">
        <f ca="1"/>
        <v>1.2020902174105201</v>
      </c>
      <c r="X8549" s="2">
        <f ca="1"/>
        <v>68.695932042232798</v>
      </c>
      <c r="AG8549" s="2">
        <f ca="1"/>
        <v>0.21326723736614794</v>
      </c>
      <c r="AH8549" s="2" t="str">
        <f ca="1"/>
        <v>OK</v>
      </c>
    </row>
    <row r="8550" spans="2:34" x14ac:dyDescent="0.2">
      <c r="B8550" s="2">
        <f ca="1"/>
        <v>2.0452425012000619E-2</v>
      </c>
      <c r="O8550" s="2">
        <f ca="1"/>
        <v>-0.67087367052854974</v>
      </c>
      <c r="X8550" s="2">
        <f ca="1"/>
        <v>38.548281189449831</v>
      </c>
      <c r="AG8550" s="2">
        <f ca="1"/>
        <v>0.4561140817445466</v>
      </c>
      <c r="AH8550" s="2" t="str">
        <f ca="1"/>
        <v>Bad</v>
      </c>
    </row>
    <row r="8551" spans="2:34" x14ac:dyDescent="0.2">
      <c r="B8551" s="2">
        <f ca="1"/>
        <v>0.99105451434403968</v>
      </c>
      <c r="O8551" s="2">
        <f ca="1"/>
        <v>-0.6757609359057356</v>
      </c>
      <c r="X8551" s="2">
        <f ca="1"/>
        <v>34.233566556665657</v>
      </c>
      <c r="AG8551" s="2">
        <f ca="1"/>
        <v>0.31436885999028896</v>
      </c>
      <c r="AH8551" s="2" t="str">
        <f ca="1"/>
        <v>OK</v>
      </c>
    </row>
    <row r="8552" spans="2:34" x14ac:dyDescent="0.2">
      <c r="B8552" s="2">
        <f ca="1"/>
        <v>0.79700368765577356</v>
      </c>
      <c r="O8552" s="2">
        <f ca="1"/>
        <v>-0.92023233175163077</v>
      </c>
      <c r="X8552" s="2">
        <f ca="1"/>
        <v>41.275259729692173</v>
      </c>
      <c r="AG8552" s="2">
        <f ca="1"/>
        <v>0.34360652995569896</v>
      </c>
      <c r="AH8552" s="2" t="str">
        <f ca="1"/>
        <v>OK</v>
      </c>
    </row>
    <row r="8553" spans="2:34" x14ac:dyDescent="0.2">
      <c r="B8553" s="2">
        <f ca="1"/>
        <v>0.86216101952087598</v>
      </c>
      <c r="O8553" s="2">
        <f ca="1"/>
        <v>1.1719528500802392</v>
      </c>
      <c r="X8553" s="2">
        <f ca="1"/>
        <v>58.297017077593424</v>
      </c>
      <c r="AG8553" s="2">
        <f ca="1"/>
        <v>0.7968906446230839</v>
      </c>
      <c r="AH8553" s="2" t="str">
        <f ca="1"/>
        <v>Bad</v>
      </c>
    </row>
    <row r="8554" spans="2:34" x14ac:dyDescent="0.2">
      <c r="B8554" s="2">
        <f ca="1"/>
        <v>0.15912988903150382</v>
      </c>
      <c r="O8554" s="2">
        <f ca="1"/>
        <v>-0.34197352412090853</v>
      </c>
      <c r="X8554" s="2">
        <f ca="1"/>
        <v>45.660071308747767</v>
      </c>
      <c r="AG8554" s="2">
        <f ca="1"/>
        <v>0.26922221596693885</v>
      </c>
      <c r="AH8554" s="2" t="str">
        <f ca="1"/>
        <v>OK</v>
      </c>
    </row>
    <row r="8555" spans="2:34" x14ac:dyDescent="0.2">
      <c r="B8555" s="2">
        <f ca="1"/>
        <v>0.80664828403663336</v>
      </c>
      <c r="O8555" s="2">
        <f ca="1"/>
        <v>-1.1650878985775901</v>
      </c>
      <c r="X8555" s="2">
        <f ca="1"/>
        <v>59.8112558112351</v>
      </c>
      <c r="AG8555" s="2">
        <f ca="1"/>
        <v>0.6550938206914354</v>
      </c>
      <c r="AH8555" s="2" t="str">
        <f ca="1"/>
        <v>Bad</v>
      </c>
    </row>
    <row r="8556" spans="2:34" x14ac:dyDescent="0.2">
      <c r="B8556" s="2">
        <f ca="1"/>
        <v>0.34720216897945844</v>
      </c>
      <c r="O8556" s="2">
        <f ca="1"/>
        <v>-0.93321265819782762</v>
      </c>
      <c r="X8556" s="2">
        <f ca="1"/>
        <v>39.535287793483036</v>
      </c>
      <c r="AG8556" s="2">
        <f ca="1"/>
        <v>0.62332733547887531</v>
      </c>
      <c r="AH8556" s="2" t="str">
        <f ca="1"/>
        <v>Bad</v>
      </c>
    </row>
    <row r="8557" spans="2:34" x14ac:dyDescent="0.2">
      <c r="B8557" s="2">
        <f ca="1"/>
        <v>0.29441762906165359</v>
      </c>
      <c r="O8557" s="2">
        <f ca="1"/>
        <v>0.7024738904248925</v>
      </c>
      <c r="X8557" s="2">
        <f ca="1"/>
        <v>56.722383411695851</v>
      </c>
      <c r="AG8557" s="2">
        <f ca="1"/>
        <v>0.19485067671075185</v>
      </c>
      <c r="AH8557" s="2" t="str">
        <f ca="1"/>
        <v>OK</v>
      </c>
    </row>
    <row r="8558" spans="2:34" x14ac:dyDescent="0.2">
      <c r="B8558" s="2">
        <f ca="1"/>
        <v>0.72120383114387887</v>
      </c>
      <c r="O8558" s="2">
        <f ca="1"/>
        <v>5.2406692391674323E-2</v>
      </c>
      <c r="X8558" s="2">
        <f ca="1"/>
        <v>58.33289565205245</v>
      </c>
      <c r="AG8558" s="2">
        <f ca="1"/>
        <v>0.64505430282140486</v>
      </c>
      <c r="AH8558" s="2" t="str">
        <f ca="1"/>
        <v>Bad</v>
      </c>
    </row>
    <row r="8559" spans="2:34" x14ac:dyDescent="0.2">
      <c r="B8559" s="2">
        <f ca="1"/>
        <v>0.41553776208483106</v>
      </c>
      <c r="O8559" s="2">
        <f ca="1"/>
        <v>-7.9454223276236094E-2</v>
      </c>
      <c r="X8559" s="2">
        <f ca="1"/>
        <v>51.896198559165548</v>
      </c>
      <c r="AG8559" s="2">
        <f ca="1"/>
        <v>0.81188044704458484</v>
      </c>
      <c r="AH8559" s="2" t="str">
        <f ca="1"/>
        <v>Bad</v>
      </c>
    </row>
    <row r="8560" spans="2:34" x14ac:dyDescent="0.2">
      <c r="B8560" s="2">
        <f ca="1"/>
        <v>0.12160693094112451</v>
      </c>
      <c r="O8560" s="2">
        <f ca="1"/>
        <v>0.2839561142543649</v>
      </c>
      <c r="X8560" s="2">
        <f ca="1"/>
        <v>39.172954523149869</v>
      </c>
      <c r="AG8560" s="2">
        <f ca="1"/>
        <v>0.6135558015524416</v>
      </c>
      <c r="AH8560" s="2" t="str">
        <f ca="1"/>
        <v>Bad</v>
      </c>
    </row>
    <row r="8561" spans="2:34" x14ac:dyDescent="0.2">
      <c r="B8561" s="2">
        <f ca="1"/>
        <v>0.24271463090449741</v>
      </c>
      <c r="O8561" s="2">
        <f ca="1"/>
        <v>-1.084501366087496</v>
      </c>
      <c r="X8561" s="2">
        <f ca="1"/>
        <v>28.247091256944575</v>
      </c>
      <c r="AG8561" s="2">
        <f ca="1"/>
        <v>0.83323567389059217</v>
      </c>
      <c r="AH8561" s="2" t="str">
        <f ca="1"/>
        <v>Bad</v>
      </c>
    </row>
    <row r="8562" spans="2:34" x14ac:dyDescent="0.2">
      <c r="B8562" s="2">
        <f ca="1"/>
        <v>0.58604747057670314</v>
      </c>
      <c r="O8562" s="2">
        <f ca="1"/>
        <v>0.69376265865085596</v>
      </c>
      <c r="X8562" s="2">
        <f ca="1"/>
        <v>50.728208623702798</v>
      </c>
      <c r="AG8562" s="2">
        <f ca="1"/>
        <v>0.15761356435973672</v>
      </c>
      <c r="AH8562" s="2" t="str">
        <f ca="1"/>
        <v>OK</v>
      </c>
    </row>
    <row r="8563" spans="2:34" x14ac:dyDescent="0.2">
      <c r="B8563" s="2">
        <f ca="1"/>
        <v>0.28460138379158906</v>
      </c>
      <c r="O8563" s="2">
        <f ca="1"/>
        <v>0.43249387167750863</v>
      </c>
      <c r="X8563" s="2">
        <f ca="1"/>
        <v>19.871552221332905</v>
      </c>
      <c r="AG8563" s="2">
        <f ca="1"/>
        <v>4.8502865458905697E-2</v>
      </c>
      <c r="AH8563" s="2" t="str">
        <f ca="1"/>
        <v>Good</v>
      </c>
    </row>
    <row r="8564" spans="2:34" x14ac:dyDescent="0.2">
      <c r="B8564" s="2">
        <f ca="1"/>
        <v>0.23912970855548732</v>
      </c>
      <c r="O8564" s="2">
        <f ca="1"/>
        <v>-0.17167660587935982</v>
      </c>
      <c r="X8564" s="2">
        <f ca="1"/>
        <v>52.561095108716458</v>
      </c>
      <c r="AG8564" s="2">
        <f ca="1"/>
        <v>0.71233729816523161</v>
      </c>
      <c r="AH8564" s="2" t="str">
        <f ca="1"/>
        <v>Bad</v>
      </c>
    </row>
    <row r="8565" spans="2:34" x14ac:dyDescent="0.2">
      <c r="B8565" s="2">
        <f ca="1"/>
        <v>9.6255705798612201E-2</v>
      </c>
      <c r="O8565" s="2">
        <f ca="1"/>
        <v>1.6095720862109923</v>
      </c>
      <c r="X8565" s="2">
        <f ca="1"/>
        <v>49.598186759611174</v>
      </c>
      <c r="AG8565" s="2">
        <f ca="1"/>
        <v>0.16850791397512732</v>
      </c>
      <c r="AH8565" s="2" t="str">
        <f ca="1"/>
        <v>OK</v>
      </c>
    </row>
    <row r="8566" spans="2:34" x14ac:dyDescent="0.2">
      <c r="B8566" s="2">
        <f ca="1"/>
        <v>0.46366667017637364</v>
      </c>
      <c r="O8566" s="2">
        <f ca="1"/>
        <v>-0.3567667695768727</v>
      </c>
      <c r="X8566" s="2">
        <f ca="1"/>
        <v>95.399535453204237</v>
      </c>
      <c r="AG8566" s="2">
        <f ca="1"/>
        <v>0.50299305484169099</v>
      </c>
      <c r="AH8566" s="2" t="str">
        <f ca="1"/>
        <v>Bad</v>
      </c>
    </row>
    <row r="8567" spans="2:34" x14ac:dyDescent="0.2">
      <c r="B8567" s="2">
        <f ca="1"/>
        <v>0.55527546307380549</v>
      </c>
      <c r="O8567" s="2">
        <f ca="1"/>
        <v>1.4177578657369962E-2</v>
      </c>
      <c r="X8567" s="2">
        <f ca="1"/>
        <v>43.620066697188761</v>
      </c>
      <c r="AG8567" s="2">
        <f ca="1"/>
        <v>0.67615438929919525</v>
      </c>
      <c r="AH8567" s="2" t="str">
        <f ca="1"/>
        <v>Bad</v>
      </c>
    </row>
    <row r="8568" spans="2:34" x14ac:dyDescent="0.2">
      <c r="B8568" s="2">
        <f ca="1"/>
        <v>0.62576767836923208</v>
      </c>
      <c r="O8568" s="2">
        <f ca="1"/>
        <v>0.96399853576777939</v>
      </c>
      <c r="X8568" s="2">
        <f ca="1"/>
        <v>57.53443818227386</v>
      </c>
      <c r="AG8568" s="2">
        <f ca="1"/>
        <v>0.91812712811883057</v>
      </c>
      <c r="AH8568" s="2" t="str">
        <f ca="1"/>
        <v>Bad</v>
      </c>
    </row>
    <row r="8569" spans="2:34" x14ac:dyDescent="0.2">
      <c r="B8569" s="2">
        <f ca="1"/>
        <v>0.18090351622831058</v>
      </c>
      <c r="O8569" s="2">
        <f ca="1"/>
        <v>-0.14434538742311226</v>
      </c>
      <c r="X8569" s="2">
        <f ca="1"/>
        <v>33.663584146825308</v>
      </c>
      <c r="AG8569" s="2">
        <f ca="1"/>
        <v>0.3299986092213345</v>
      </c>
      <c r="AH8569" s="2" t="str">
        <f ca="1"/>
        <v>OK</v>
      </c>
    </row>
    <row r="8570" spans="2:34" x14ac:dyDescent="0.2">
      <c r="B8570" s="2">
        <f ca="1"/>
        <v>0.5869347477671194</v>
      </c>
      <c r="O8570" s="2">
        <f ca="1"/>
        <v>6.5496229655866963E-3</v>
      </c>
      <c r="X8570" s="2">
        <f ca="1"/>
        <v>61.18748926753706</v>
      </c>
      <c r="AG8570" s="2">
        <f ca="1"/>
        <v>0.56668761068040951</v>
      </c>
      <c r="AH8570" s="2" t="str">
        <f ca="1"/>
        <v>Bad</v>
      </c>
    </row>
    <row r="8571" spans="2:34" x14ac:dyDescent="0.2">
      <c r="B8571" s="2">
        <f ca="1"/>
        <v>0.73658908147629298</v>
      </c>
      <c r="O8571" s="2">
        <f ca="1"/>
        <v>1.3414709622596599</v>
      </c>
      <c r="X8571" s="2">
        <f ca="1"/>
        <v>69.342552854870405</v>
      </c>
      <c r="AG8571" s="2">
        <f ca="1"/>
        <v>0.57932458040182211</v>
      </c>
      <c r="AH8571" s="2" t="str">
        <f ca="1"/>
        <v>Bad</v>
      </c>
    </row>
    <row r="8572" spans="2:34" x14ac:dyDescent="0.2">
      <c r="B8572" s="2">
        <f ca="1"/>
        <v>0.5874991925091515</v>
      </c>
      <c r="O8572" s="2">
        <f ca="1"/>
        <v>3.0446330927799243</v>
      </c>
      <c r="X8572" s="2">
        <f ca="1"/>
        <v>52.787030231508624</v>
      </c>
      <c r="AG8572" s="2">
        <f ca="1"/>
        <v>0.55171886200664977</v>
      </c>
      <c r="AH8572" s="2" t="str">
        <f ca="1"/>
        <v>Bad</v>
      </c>
    </row>
    <row r="8573" spans="2:34" x14ac:dyDescent="0.2">
      <c r="B8573" s="2">
        <f ca="1"/>
        <v>0.87933908889563228</v>
      </c>
      <c r="O8573" s="2">
        <f ca="1"/>
        <v>8.3608078876371561E-2</v>
      </c>
      <c r="X8573" s="2">
        <f ca="1"/>
        <v>38.207721689461479</v>
      </c>
      <c r="AG8573" s="2">
        <f ca="1"/>
        <v>5.9694727441597317E-2</v>
      </c>
      <c r="AH8573" s="2" t="str">
        <f ca="1"/>
        <v>OK</v>
      </c>
    </row>
    <row r="8574" spans="2:34" x14ac:dyDescent="0.2">
      <c r="B8574" s="2">
        <f ca="1"/>
        <v>0.45951565067438671</v>
      </c>
      <c r="O8574" s="2">
        <f ca="1"/>
        <v>0.52191910379634876</v>
      </c>
      <c r="X8574" s="2">
        <f ca="1"/>
        <v>58.643753726874237</v>
      </c>
      <c r="AG8574" s="2">
        <f ca="1"/>
        <v>0.49622784050317192</v>
      </c>
      <c r="AH8574" s="2" t="str">
        <f ca="1"/>
        <v>Bad</v>
      </c>
    </row>
    <row r="8575" spans="2:34" x14ac:dyDescent="0.2">
      <c r="B8575" s="2">
        <f ca="1"/>
        <v>0.63627194451650371</v>
      </c>
      <c r="O8575" s="2">
        <f ca="1"/>
        <v>-0.38608697582717943</v>
      </c>
      <c r="X8575" s="2">
        <f ca="1"/>
        <v>75.826165730898879</v>
      </c>
      <c r="AG8575" s="2">
        <f ca="1"/>
        <v>0.35924451325638573</v>
      </c>
      <c r="AH8575" s="2" t="str">
        <f ca="1"/>
        <v>OK</v>
      </c>
    </row>
    <row r="8576" spans="2:34" x14ac:dyDescent="0.2">
      <c r="B8576" s="2">
        <f ca="1"/>
        <v>0.66796452192193256</v>
      </c>
      <c r="O8576" s="2">
        <f ca="1"/>
        <v>-1.0673880228137038</v>
      </c>
      <c r="X8576" s="2">
        <f ca="1"/>
        <v>38.895770510611911</v>
      </c>
      <c r="AG8576" s="2">
        <f ca="1"/>
        <v>0.19446536672876946</v>
      </c>
      <c r="AH8576" s="2" t="str">
        <f ca="1"/>
        <v>OK</v>
      </c>
    </row>
    <row r="8577" spans="2:34" x14ac:dyDescent="0.2">
      <c r="B8577" s="2">
        <f ca="1"/>
        <v>0.98011161961284143</v>
      </c>
      <c r="O8577" s="2">
        <f ca="1"/>
        <v>-0.43507867451785048</v>
      </c>
      <c r="X8577" s="2">
        <f ca="1"/>
        <v>60.164589395990873</v>
      </c>
      <c r="AG8577" s="2">
        <f ca="1"/>
        <v>0.39122195900281942</v>
      </c>
      <c r="AH8577" s="2" t="str">
        <f ca="1"/>
        <v>OK</v>
      </c>
    </row>
    <row r="8578" spans="2:34" x14ac:dyDescent="0.2">
      <c r="B8578" s="2">
        <f ca="1"/>
        <v>3.6499166184004173E-2</v>
      </c>
      <c r="O8578" s="2">
        <f ca="1"/>
        <v>-1.100773138413382E-2</v>
      </c>
      <c r="X8578" s="2">
        <f ca="1"/>
        <v>53.838403879785055</v>
      </c>
      <c r="AG8578" s="2">
        <f ca="1"/>
        <v>0.68966897767690472</v>
      </c>
      <c r="AH8578" s="2" t="str">
        <f ca="1"/>
        <v>Bad</v>
      </c>
    </row>
    <row r="8579" spans="2:34" x14ac:dyDescent="0.2">
      <c r="B8579" s="2">
        <f ca="1"/>
        <v>0.65997576915974632</v>
      </c>
      <c r="O8579" s="2">
        <f ca="1"/>
        <v>-1.4038667169545544</v>
      </c>
      <c r="X8579" s="2">
        <f ca="1"/>
        <v>55.676911145117529</v>
      </c>
      <c r="AG8579" s="2">
        <f ca="1"/>
        <v>0.20876961227522006</v>
      </c>
      <c r="AH8579" s="2" t="str">
        <f ca="1"/>
        <v>OK</v>
      </c>
    </row>
    <row r="8580" spans="2:34" x14ac:dyDescent="0.2">
      <c r="B8580" s="2">
        <f ca="1"/>
        <v>0.86296758005516971</v>
      </c>
      <c r="O8580" s="2">
        <f ca="1"/>
        <v>0.14600698728982772</v>
      </c>
      <c r="X8580" s="2">
        <f ca="1"/>
        <v>53.142788163265912</v>
      </c>
      <c r="AG8580" s="2">
        <f ca="1"/>
        <v>4.094477189054091E-3</v>
      </c>
      <c r="AH8580" s="2" t="str">
        <f ca="1"/>
        <v>Good</v>
      </c>
    </row>
    <row r="8581" spans="2:34" x14ac:dyDescent="0.2">
      <c r="B8581" s="2">
        <f ca="1"/>
        <v>0.84796378032846564</v>
      </c>
      <c r="O8581" s="2">
        <f ca="1"/>
        <v>0.53298174656658592</v>
      </c>
      <c r="X8581" s="2">
        <f ca="1"/>
        <v>58.882789784568331</v>
      </c>
      <c r="AG8581" s="2">
        <f ca="1"/>
        <v>6.8468344146275673E-2</v>
      </c>
      <c r="AH8581" s="2" t="str">
        <f ca="1"/>
        <v>OK</v>
      </c>
    </row>
    <row r="8582" spans="2:34" x14ac:dyDescent="0.2">
      <c r="B8582" s="2">
        <f ca="1"/>
        <v>0.53960403144549574</v>
      </c>
      <c r="O8582" s="2">
        <f ca="1"/>
        <v>0.34807774927222618</v>
      </c>
      <c r="X8582" s="2">
        <f ca="1"/>
        <v>41.156646640601139</v>
      </c>
      <c r="AG8582" s="2">
        <f ca="1"/>
        <v>0.44304102835232584</v>
      </c>
      <c r="AH8582" s="2" t="str">
        <f ca="1"/>
        <v>Bad</v>
      </c>
    </row>
    <row r="8583" spans="2:34" x14ac:dyDescent="0.2">
      <c r="B8583" s="2">
        <f ca="1"/>
        <v>0.16806318406848963</v>
      </c>
      <c r="O8583" s="2">
        <f ca="1"/>
        <v>0.4059795565225699</v>
      </c>
      <c r="X8583" s="2">
        <f ca="1"/>
        <v>45.767364382103707</v>
      </c>
      <c r="AG8583" s="2">
        <f ca="1"/>
        <v>0.92347028173652679</v>
      </c>
      <c r="AH8583" s="2" t="str">
        <f ca="1"/>
        <v>Bad</v>
      </c>
    </row>
    <row r="8584" spans="2:34" x14ac:dyDescent="0.2">
      <c r="B8584" s="2">
        <f ca="1"/>
        <v>0.94859264775826291</v>
      </c>
      <c r="O8584" s="2">
        <f ca="1"/>
        <v>-2.5085840486404543</v>
      </c>
      <c r="X8584" s="2">
        <f ca="1"/>
        <v>70.919625530395635</v>
      </c>
      <c r="AG8584" s="2">
        <f ca="1"/>
        <v>0.98408575942797172</v>
      </c>
      <c r="AH8584" s="2" t="str">
        <f ca="1"/>
        <v>Bad</v>
      </c>
    </row>
    <row r="8585" spans="2:34" x14ac:dyDescent="0.2">
      <c r="B8585" s="2">
        <f ca="1"/>
        <v>0.76148034310686419</v>
      </c>
      <c r="O8585" s="2">
        <f ca="1"/>
        <v>0.79125754508184054</v>
      </c>
      <c r="X8585" s="2">
        <f ca="1"/>
        <v>41.977931769702664</v>
      </c>
      <c r="AG8585" s="2">
        <f ca="1"/>
        <v>8.6422080812204705E-2</v>
      </c>
      <c r="AH8585" s="2" t="str">
        <f ca="1"/>
        <v>OK</v>
      </c>
    </row>
    <row r="8586" spans="2:34" x14ac:dyDescent="0.2">
      <c r="B8586" s="2">
        <f ca="1"/>
        <v>0.56516985179577772</v>
      </c>
      <c r="O8586" s="2">
        <f ca="1"/>
        <v>9.0998052213247277E-2</v>
      </c>
      <c r="X8586" s="2">
        <f ca="1"/>
        <v>74.631771032529514</v>
      </c>
      <c r="AG8586" s="2">
        <f ca="1"/>
        <v>0.96238276783794507</v>
      </c>
      <c r="AH8586" s="2" t="str">
        <f ca="1"/>
        <v>Bad</v>
      </c>
    </row>
    <row r="8587" spans="2:34" x14ac:dyDescent="0.2">
      <c r="B8587" s="2">
        <f ca="1"/>
        <v>0.99580735940487219</v>
      </c>
      <c r="O8587" s="2">
        <f ca="1"/>
        <v>-1.8440785193693541</v>
      </c>
      <c r="X8587" s="2">
        <f ca="1"/>
        <v>54.731195724119743</v>
      </c>
      <c r="AG8587" s="2">
        <f ca="1"/>
        <v>0.548618226541292</v>
      </c>
      <c r="AH8587" s="2" t="str">
        <f ca="1"/>
        <v>Bad</v>
      </c>
    </row>
    <row r="8588" spans="2:34" x14ac:dyDescent="0.2">
      <c r="B8588" s="2">
        <f ca="1"/>
        <v>0.49345916257814104</v>
      </c>
      <c r="O8588" s="2">
        <f ca="1"/>
        <v>-0.32144909322292198</v>
      </c>
      <c r="X8588" s="2">
        <f ca="1"/>
        <v>52.662017302287694</v>
      </c>
      <c r="AG8588" s="2">
        <f ca="1"/>
        <v>0.37454529473079434</v>
      </c>
      <c r="AH8588" s="2" t="str">
        <f ca="1"/>
        <v>OK</v>
      </c>
    </row>
    <row r="8589" spans="2:34" x14ac:dyDescent="0.2">
      <c r="B8589" s="2">
        <f ca="1"/>
        <v>6.9296090414446843E-2</v>
      </c>
      <c r="O8589" s="2">
        <f ca="1"/>
        <v>0.90774936038952891</v>
      </c>
      <c r="X8589" s="2">
        <f ca="1"/>
        <v>34.309802938152494</v>
      </c>
      <c r="AG8589" s="2">
        <f ca="1"/>
        <v>0.43006808434170685</v>
      </c>
      <c r="AH8589" s="2" t="str">
        <f ca="1"/>
        <v>Bad</v>
      </c>
    </row>
    <row r="8590" spans="2:34" x14ac:dyDescent="0.2">
      <c r="B8590" s="2">
        <f ca="1"/>
        <v>6.3580014032408094E-2</v>
      </c>
      <c r="O8590" s="2">
        <f ca="1"/>
        <v>-1.0577835734426952</v>
      </c>
      <c r="X8590" s="2">
        <f ca="1"/>
        <v>67.618588647934857</v>
      </c>
      <c r="AG8590" s="2">
        <f ca="1"/>
        <v>0.28572299617368824</v>
      </c>
      <c r="AH8590" s="2" t="str">
        <f ca="1"/>
        <v>OK</v>
      </c>
    </row>
    <row r="8591" spans="2:34" x14ac:dyDescent="0.2">
      <c r="B8591" s="2">
        <f ca="1"/>
        <v>0.47253525379878258</v>
      </c>
      <c r="O8591" s="2">
        <f ca="1"/>
        <v>2.9220773958050623</v>
      </c>
      <c r="X8591" s="2">
        <f ca="1"/>
        <v>48.945542559168977</v>
      </c>
      <c r="AG8591" s="2">
        <f ca="1"/>
        <v>1.8988557077861401E-3</v>
      </c>
      <c r="AH8591" s="2" t="str">
        <f ca="1"/>
        <v>Good</v>
      </c>
    </row>
    <row r="8592" spans="2:34" x14ac:dyDescent="0.2">
      <c r="B8592" s="2">
        <f ca="1"/>
        <v>0.93790867363015962</v>
      </c>
      <c r="O8592" s="2">
        <f ca="1"/>
        <v>-0.68643068359978932</v>
      </c>
      <c r="X8592" s="2">
        <f ca="1"/>
        <v>43.987616146328065</v>
      </c>
      <c r="AG8592" s="2">
        <f ca="1"/>
        <v>0.80114102435632817</v>
      </c>
      <c r="AH8592" s="2" t="str">
        <f ca="1"/>
        <v>Bad</v>
      </c>
    </row>
    <row r="8593" spans="2:34" x14ac:dyDescent="0.2">
      <c r="B8593" s="2">
        <f ca="1"/>
        <v>8.4962635736007597E-2</v>
      </c>
      <c r="O8593" s="2">
        <f ca="1"/>
        <v>0.15537197417752316</v>
      </c>
      <c r="X8593" s="2">
        <f ca="1"/>
        <v>46.470245828234297</v>
      </c>
      <c r="AG8593" s="2">
        <f ca="1"/>
        <v>0.4854935714653601</v>
      </c>
      <c r="AH8593" s="2" t="str">
        <f ca="1"/>
        <v>Bad</v>
      </c>
    </row>
    <row r="8594" spans="2:34" x14ac:dyDescent="0.2">
      <c r="B8594" s="2">
        <f ca="1"/>
        <v>0.32156967693581184</v>
      </c>
      <c r="O8594" s="2">
        <f ca="1"/>
        <v>0.14986976822057074</v>
      </c>
      <c r="X8594" s="2">
        <f ca="1"/>
        <v>57.06454233803592</v>
      </c>
      <c r="AG8594" s="2">
        <f ca="1"/>
        <v>0.90585695167299485</v>
      </c>
      <c r="AH8594" s="2" t="str">
        <f ca="1"/>
        <v>Bad</v>
      </c>
    </row>
    <row r="8595" spans="2:34" x14ac:dyDescent="0.2">
      <c r="B8595" s="2">
        <f ca="1"/>
        <v>0.4966278380996787</v>
      </c>
      <c r="O8595" s="2">
        <f ca="1"/>
        <v>-1.1042076820534594</v>
      </c>
      <c r="X8595" s="2">
        <f ca="1"/>
        <v>35.459463105869581</v>
      </c>
      <c r="AG8595" s="2">
        <f ca="1"/>
        <v>0.64750302495352297</v>
      </c>
      <c r="AH8595" s="2" t="str">
        <f ca="1"/>
        <v>Bad</v>
      </c>
    </row>
    <row r="8596" spans="2:34" x14ac:dyDescent="0.2">
      <c r="B8596" s="2">
        <f ca="1"/>
        <v>0.57182499579201873</v>
      </c>
      <c r="O8596" s="2">
        <f ca="1"/>
        <v>-1.0018233520692277</v>
      </c>
      <c r="X8596" s="2">
        <f ca="1"/>
        <v>66.583264998216023</v>
      </c>
      <c r="AG8596" s="2">
        <f ca="1"/>
        <v>0.34782813268110302</v>
      </c>
      <c r="AH8596" s="2" t="str">
        <f ca="1"/>
        <v>OK</v>
      </c>
    </row>
    <row r="8597" spans="2:34" x14ac:dyDescent="0.2">
      <c r="B8597" s="2">
        <f ca="1"/>
        <v>0.78116554087076295</v>
      </c>
      <c r="O8597" s="2">
        <f ca="1"/>
        <v>-2.3044277770053392</v>
      </c>
      <c r="X8597" s="2">
        <f ca="1"/>
        <v>47.602826907944532</v>
      </c>
      <c r="AG8597" s="2">
        <f ca="1"/>
        <v>0.50686597105413811</v>
      </c>
      <c r="AH8597" s="2" t="str">
        <f ca="1"/>
        <v>Bad</v>
      </c>
    </row>
    <row r="8598" spans="2:34" x14ac:dyDescent="0.2">
      <c r="B8598" s="2">
        <f ca="1"/>
        <v>0.87404012580562829</v>
      </c>
      <c r="O8598" s="2">
        <f ca="1"/>
        <v>-1.2417249569958144</v>
      </c>
      <c r="X8598" s="2">
        <f ca="1"/>
        <v>40.417386109657585</v>
      </c>
      <c r="AG8598" s="2">
        <f ca="1"/>
        <v>0.56550565093843219</v>
      </c>
      <c r="AH8598" s="2" t="str">
        <f ca="1"/>
        <v>Bad</v>
      </c>
    </row>
    <row r="8599" spans="2:34" x14ac:dyDescent="0.2">
      <c r="B8599" s="2">
        <f ca="1"/>
        <v>0.41500943844170224</v>
      </c>
      <c r="O8599" s="2">
        <f ca="1"/>
        <v>1.4498333180030605</v>
      </c>
      <c r="X8599" s="2">
        <f ca="1"/>
        <v>72.460746543598191</v>
      </c>
      <c r="AG8599" s="2">
        <f ca="1"/>
        <v>0.91943649368201696</v>
      </c>
      <c r="AH8599" s="2" t="str">
        <f ca="1"/>
        <v>Bad</v>
      </c>
    </row>
    <row r="8600" spans="2:34" x14ac:dyDescent="0.2">
      <c r="B8600" s="2">
        <f ca="1"/>
        <v>0.12855814544647015</v>
      </c>
      <c r="O8600" s="2">
        <f ca="1"/>
        <v>-3.5345679294761026E-2</v>
      </c>
      <c r="X8600" s="2">
        <f ca="1"/>
        <v>91.273331253915643</v>
      </c>
      <c r="AG8600" s="2">
        <f ca="1"/>
        <v>3.7487032390806085E-3</v>
      </c>
      <c r="AH8600" s="2" t="str">
        <f ca="1"/>
        <v>Good</v>
      </c>
    </row>
    <row r="8601" spans="2:34" x14ac:dyDescent="0.2">
      <c r="B8601" s="2">
        <f ca="1"/>
        <v>0.10895122089953491</v>
      </c>
      <c r="O8601" s="2">
        <f ca="1"/>
        <v>0.64320983978164736</v>
      </c>
      <c r="X8601" s="2">
        <f ca="1"/>
        <v>33.330890723406291</v>
      </c>
      <c r="AG8601" s="2">
        <f ca="1"/>
        <v>0.81632181820592575</v>
      </c>
      <c r="AH8601" s="2" t="str">
        <f ca="1"/>
        <v>Bad</v>
      </c>
    </row>
    <row r="8602" spans="2:34" x14ac:dyDescent="0.2">
      <c r="B8602" s="2">
        <f ca="1"/>
        <v>0.75014551787291994</v>
      </c>
      <c r="O8602" s="2">
        <f ca="1"/>
        <v>-1.026798055729911</v>
      </c>
      <c r="X8602" s="2">
        <f ca="1"/>
        <v>69.974881579602211</v>
      </c>
      <c r="AG8602" s="2">
        <f ca="1"/>
        <v>0.68289210312597359</v>
      </c>
      <c r="AH8602" s="2" t="str">
        <f ca="1"/>
        <v>Bad</v>
      </c>
    </row>
    <row r="8603" spans="2:34" x14ac:dyDescent="0.2">
      <c r="B8603" s="2">
        <f ca="1"/>
        <v>0.90266889263889838</v>
      </c>
      <c r="O8603" s="2">
        <f ca="1"/>
        <v>-1.2686378435025445</v>
      </c>
      <c r="X8603" s="2">
        <f ca="1"/>
        <v>46.613631266507667</v>
      </c>
      <c r="AG8603" s="2">
        <f ca="1"/>
        <v>0.55049152445892324</v>
      </c>
      <c r="AH8603" s="2" t="str">
        <f ca="1"/>
        <v>Bad</v>
      </c>
    </row>
    <row r="8604" spans="2:34" x14ac:dyDescent="0.2">
      <c r="B8604" s="2">
        <f ca="1"/>
        <v>4.0982891805282362E-2</v>
      </c>
      <c r="O8604" s="2">
        <f ca="1"/>
        <v>-1.9264767298402603</v>
      </c>
      <c r="X8604" s="2">
        <f ca="1"/>
        <v>41.320816104160272</v>
      </c>
      <c r="AG8604" s="2">
        <f ca="1"/>
        <v>0.12992872530386257</v>
      </c>
      <c r="AH8604" s="2" t="str">
        <f ca="1"/>
        <v>OK</v>
      </c>
    </row>
    <row r="8605" spans="2:34" x14ac:dyDescent="0.2">
      <c r="B8605" s="2">
        <f ca="1"/>
        <v>0.17921347335957138</v>
      </c>
      <c r="O8605" s="2">
        <f ca="1"/>
        <v>0.81155943152977528</v>
      </c>
      <c r="X8605" s="2">
        <f ca="1"/>
        <v>63.770753628157607</v>
      </c>
      <c r="AG8605" s="2">
        <f ca="1"/>
        <v>0.24502369167054305</v>
      </c>
      <c r="AH8605" s="2" t="str">
        <f ca="1"/>
        <v>OK</v>
      </c>
    </row>
    <row r="8606" spans="2:34" x14ac:dyDescent="0.2">
      <c r="B8606" s="2">
        <f ca="1"/>
        <v>0.75391710839014103</v>
      </c>
      <c r="O8606" s="2">
        <f ca="1"/>
        <v>0.44052238031988189</v>
      </c>
      <c r="X8606" s="2">
        <f ca="1"/>
        <v>54.557450467927239</v>
      </c>
      <c r="AG8606" s="2">
        <f ca="1"/>
        <v>0.36471871855950755</v>
      </c>
      <c r="AH8606" s="2" t="str">
        <f ca="1"/>
        <v>OK</v>
      </c>
    </row>
    <row r="8607" spans="2:34" x14ac:dyDescent="0.2">
      <c r="B8607" s="2">
        <f ca="1"/>
        <v>0.45041624814405523</v>
      </c>
      <c r="O8607" s="2">
        <f ca="1"/>
        <v>0.77153217954569575</v>
      </c>
      <c r="X8607" s="2">
        <f ca="1"/>
        <v>56.073496251092266</v>
      </c>
      <c r="AG8607" s="2">
        <f ca="1"/>
        <v>0.86679390470440754</v>
      </c>
      <c r="AH8607" s="2" t="str">
        <f ca="1"/>
        <v>Bad</v>
      </c>
    </row>
    <row r="8608" spans="2:34" x14ac:dyDescent="0.2">
      <c r="B8608" s="2">
        <f ca="1"/>
        <v>0.77472211995756712</v>
      </c>
      <c r="O8608" s="2">
        <f ca="1"/>
        <v>2.0426727774048499</v>
      </c>
      <c r="X8608" s="2">
        <f ca="1"/>
        <v>36.996173000248177</v>
      </c>
      <c r="AG8608" s="2">
        <f ca="1"/>
        <v>0.24937578881786271</v>
      </c>
      <c r="AH8608" s="2" t="str">
        <f ca="1"/>
        <v>OK</v>
      </c>
    </row>
    <row r="8609" spans="2:34" x14ac:dyDescent="0.2">
      <c r="B8609" s="2">
        <f ca="1"/>
        <v>3.6478413104703122E-2</v>
      </c>
      <c r="O8609" s="2">
        <f ca="1"/>
        <v>1.5335229955894563</v>
      </c>
      <c r="X8609" s="2">
        <f ca="1"/>
        <v>40.7859057864178</v>
      </c>
      <c r="AG8609" s="2">
        <f ca="1"/>
        <v>0.16249711959914337</v>
      </c>
      <c r="AH8609" s="2" t="str">
        <f ca="1"/>
        <v>OK</v>
      </c>
    </row>
    <row r="8610" spans="2:34" x14ac:dyDescent="0.2">
      <c r="B8610" s="2">
        <f ca="1"/>
        <v>0.29972265534493325</v>
      </c>
      <c r="O8610" s="2">
        <f ca="1"/>
        <v>1.6601314562467948</v>
      </c>
      <c r="X8610" s="2">
        <f ca="1"/>
        <v>29.81655729363661</v>
      </c>
      <c r="AG8610" s="2">
        <f ca="1"/>
        <v>0.83304079712533241</v>
      </c>
      <c r="AH8610" s="2" t="str">
        <f ca="1"/>
        <v>Bad</v>
      </c>
    </row>
    <row r="8611" spans="2:34" x14ac:dyDescent="0.2">
      <c r="B8611" s="2">
        <f ca="1"/>
        <v>0.94760671259919071</v>
      </c>
      <c r="O8611" s="2">
        <f ca="1"/>
        <v>1.6100565644011278</v>
      </c>
      <c r="X8611" s="2">
        <f ca="1"/>
        <v>54.863982672230605</v>
      </c>
      <c r="AG8611" s="2">
        <f ca="1"/>
        <v>0.95035415529976763</v>
      </c>
      <c r="AH8611" s="2" t="str">
        <f ca="1"/>
        <v>Bad</v>
      </c>
    </row>
    <row r="8612" spans="2:34" x14ac:dyDescent="0.2">
      <c r="B8612" s="2">
        <f ca="1"/>
        <v>0.8892227464468887</v>
      </c>
      <c r="O8612" s="2">
        <f ca="1"/>
        <v>2.2342147256264866</v>
      </c>
      <c r="X8612" s="2">
        <f ca="1"/>
        <v>22.862754849254525</v>
      </c>
      <c r="AG8612" s="2">
        <f ca="1"/>
        <v>0.82739504318012691</v>
      </c>
      <c r="AH8612" s="2" t="str">
        <f ca="1"/>
        <v>Bad</v>
      </c>
    </row>
    <row r="8613" spans="2:34" x14ac:dyDescent="0.2">
      <c r="B8613" s="2">
        <f ca="1"/>
        <v>0.89753372042715651</v>
      </c>
      <c r="O8613" s="2">
        <f ca="1"/>
        <v>1.2501247251761773</v>
      </c>
      <c r="X8613" s="2">
        <f ca="1"/>
        <v>70.779326519403384</v>
      </c>
      <c r="AG8613" s="2">
        <f ca="1"/>
        <v>7.0104871008143554E-2</v>
      </c>
      <c r="AH8613" s="2" t="str">
        <f ca="1"/>
        <v>OK</v>
      </c>
    </row>
    <row r="8614" spans="2:34" x14ac:dyDescent="0.2">
      <c r="B8614" s="2">
        <f ca="1"/>
        <v>0.3980996476624401</v>
      </c>
      <c r="O8614" s="2">
        <f ca="1"/>
        <v>0.6971093993623998</v>
      </c>
      <c r="X8614" s="2">
        <f ca="1"/>
        <v>70.350739247028059</v>
      </c>
      <c r="AG8614" s="2">
        <f ca="1"/>
        <v>0.14317212531660739</v>
      </c>
      <c r="AH8614" s="2" t="str">
        <f ca="1"/>
        <v>OK</v>
      </c>
    </row>
    <row r="8615" spans="2:34" x14ac:dyDescent="0.2">
      <c r="B8615" s="2">
        <f ca="1"/>
        <v>0.15791753660980978</v>
      </c>
      <c r="O8615" s="2">
        <f ca="1"/>
        <v>-0.17722363472082894</v>
      </c>
      <c r="X8615" s="2">
        <f ca="1"/>
        <v>57.57526460445429</v>
      </c>
      <c r="AG8615" s="2">
        <f ca="1"/>
        <v>0.45913378854103737</v>
      </c>
      <c r="AH8615" s="2" t="str">
        <f ca="1"/>
        <v>Bad</v>
      </c>
    </row>
    <row r="8616" spans="2:34" x14ac:dyDescent="0.2">
      <c r="B8616" s="2">
        <f ca="1"/>
        <v>0.79243122122468068</v>
      </c>
      <c r="O8616" s="2">
        <f ca="1"/>
        <v>-1.4549308125454388</v>
      </c>
      <c r="X8616" s="2">
        <f ca="1"/>
        <v>39.716768156417174</v>
      </c>
      <c r="AG8616" s="2">
        <f ca="1"/>
        <v>0.23243661336400012</v>
      </c>
      <c r="AH8616" s="2" t="str">
        <f ca="1"/>
        <v>OK</v>
      </c>
    </row>
    <row r="8617" spans="2:34" x14ac:dyDescent="0.2">
      <c r="B8617" s="2">
        <f ca="1"/>
        <v>0.43913899620784091</v>
      </c>
      <c r="O8617" s="2">
        <f ca="1"/>
        <v>0.67590266421186518</v>
      </c>
      <c r="X8617" s="2">
        <f ca="1"/>
        <v>32.306861294279436</v>
      </c>
      <c r="AG8617" s="2">
        <f ca="1"/>
        <v>0.65972446185915268</v>
      </c>
      <c r="AH8617" s="2" t="str">
        <f ca="1"/>
        <v>Bad</v>
      </c>
    </row>
    <row r="8618" spans="2:34" x14ac:dyDescent="0.2">
      <c r="B8618" s="2">
        <f ca="1"/>
        <v>0.70276804601092691</v>
      </c>
      <c r="O8618" s="2">
        <f ca="1"/>
        <v>0.34715572112326848</v>
      </c>
      <c r="X8618" s="2">
        <f ca="1"/>
        <v>38.296827274207672</v>
      </c>
      <c r="AG8618" s="2">
        <f ca="1"/>
        <v>0.29015089412116102</v>
      </c>
      <c r="AH8618" s="2" t="str">
        <f ca="1"/>
        <v>OK</v>
      </c>
    </row>
    <row r="8619" spans="2:34" x14ac:dyDescent="0.2">
      <c r="B8619" s="2">
        <f ca="1"/>
        <v>7.2365265496560305E-2</v>
      </c>
      <c r="O8619" s="2">
        <f ca="1"/>
        <v>0.59137331265894355</v>
      </c>
      <c r="X8619" s="2">
        <f ca="1"/>
        <v>30.673854848931057</v>
      </c>
      <c r="AG8619" s="2">
        <f ca="1"/>
        <v>0.95139580501280641</v>
      </c>
      <c r="AH8619" s="2" t="str">
        <f ca="1"/>
        <v>Bad</v>
      </c>
    </row>
    <row r="8620" spans="2:34" x14ac:dyDescent="0.2">
      <c r="B8620" s="2">
        <f ca="1"/>
        <v>0.68146792193790762</v>
      </c>
      <c r="O8620" s="2">
        <f ca="1"/>
        <v>0.503718305446613</v>
      </c>
      <c r="X8620" s="2">
        <f ca="1"/>
        <v>30.555348534789431</v>
      </c>
      <c r="AG8620" s="2">
        <f ca="1"/>
        <v>0.45680454659369563</v>
      </c>
      <c r="AH8620" s="2" t="str">
        <f ca="1"/>
        <v>Bad</v>
      </c>
    </row>
    <row r="8621" spans="2:34" x14ac:dyDescent="0.2">
      <c r="B8621" s="2">
        <f ca="1"/>
        <v>0.31409311279113106</v>
      </c>
      <c r="O8621" s="2">
        <f ca="1"/>
        <v>0.34675358850787108</v>
      </c>
      <c r="X8621" s="2">
        <f ca="1"/>
        <v>38.785784671627162</v>
      </c>
      <c r="AG8621" s="2">
        <f ca="1"/>
        <v>0.99096716613393387</v>
      </c>
      <c r="AH8621" s="2" t="str">
        <f ca="1"/>
        <v>Bad</v>
      </c>
    </row>
    <row r="8622" spans="2:34" x14ac:dyDescent="0.2">
      <c r="B8622" s="2">
        <f ca="1"/>
        <v>0.57189390602168433</v>
      </c>
      <c r="O8622" s="2">
        <f ca="1"/>
        <v>-0.40217067382207883</v>
      </c>
      <c r="X8622" s="2">
        <f ca="1"/>
        <v>56.834777469533158</v>
      </c>
      <c r="AG8622" s="2">
        <f ca="1"/>
        <v>0.73479591193551808</v>
      </c>
      <c r="AH8622" s="2" t="str">
        <f ca="1"/>
        <v>Bad</v>
      </c>
    </row>
    <row r="8623" spans="2:34" x14ac:dyDescent="0.2">
      <c r="B8623" s="2">
        <f ca="1"/>
        <v>0.31267347632943876</v>
      </c>
      <c r="O8623" s="2">
        <f ca="1"/>
        <v>-0.77928187117852221</v>
      </c>
      <c r="X8623" s="2">
        <f ca="1"/>
        <v>37.343091929922771</v>
      </c>
      <c r="AG8623" s="2">
        <f ca="1"/>
        <v>0.14910612473538842</v>
      </c>
      <c r="AH8623" s="2" t="str">
        <f ca="1"/>
        <v>OK</v>
      </c>
    </row>
    <row r="8624" spans="2:34" x14ac:dyDescent="0.2">
      <c r="B8624" s="2">
        <f ca="1"/>
        <v>0.31746637700414815</v>
      </c>
      <c r="O8624" s="2">
        <f ca="1"/>
        <v>1.037178664498116</v>
      </c>
      <c r="X8624" s="2">
        <f ca="1"/>
        <v>40.05303864545165</v>
      </c>
      <c r="AG8624" s="2">
        <f ca="1"/>
        <v>0.66770562293215074</v>
      </c>
      <c r="AH8624" s="2" t="str">
        <f ca="1"/>
        <v>Bad</v>
      </c>
    </row>
    <row r="8625" spans="2:34" x14ac:dyDescent="0.2">
      <c r="B8625" s="2">
        <f ca="1"/>
        <v>0.30117949445097536</v>
      </c>
      <c r="O8625" s="2">
        <f ca="1"/>
        <v>0.82558409149049972</v>
      </c>
      <c r="X8625" s="2">
        <f ca="1"/>
        <v>40.659701523896878</v>
      </c>
      <c r="AG8625" s="2">
        <f ca="1"/>
        <v>9.9632812867149756E-2</v>
      </c>
      <c r="AH8625" s="2" t="str">
        <f ca="1"/>
        <v>OK</v>
      </c>
    </row>
    <row r="8626" spans="2:34" x14ac:dyDescent="0.2">
      <c r="B8626" s="2">
        <f ca="1"/>
        <v>9.5370844153845002E-2</v>
      </c>
      <c r="O8626" s="2">
        <f ca="1"/>
        <v>0.79877141741533608</v>
      </c>
      <c r="X8626" s="2">
        <f ca="1"/>
        <v>67.154053046404442</v>
      </c>
      <c r="AG8626" s="2">
        <f ca="1"/>
        <v>0.23675465029312526</v>
      </c>
      <c r="AH8626" s="2" t="str">
        <f ca="1"/>
        <v>OK</v>
      </c>
    </row>
    <row r="8627" spans="2:34" x14ac:dyDescent="0.2">
      <c r="B8627" s="2">
        <f ca="1"/>
        <v>0.44346458136251088</v>
      </c>
      <c r="O8627" s="2">
        <f ca="1"/>
        <v>1.0227098782600474</v>
      </c>
      <c r="X8627" s="2">
        <f ca="1"/>
        <v>58.0005157442395</v>
      </c>
      <c r="AG8627" s="2">
        <f ca="1"/>
        <v>0.90335754420876646</v>
      </c>
      <c r="AH8627" s="2" t="str">
        <f ca="1"/>
        <v>Bad</v>
      </c>
    </row>
    <row r="8628" spans="2:34" x14ac:dyDescent="0.2">
      <c r="B8628" s="2">
        <f ca="1"/>
        <v>0.62048471305725506</v>
      </c>
      <c r="O8628" s="2">
        <f ca="1"/>
        <v>1.2521041961802246</v>
      </c>
      <c r="X8628" s="2">
        <f ca="1"/>
        <v>45.448371500114924</v>
      </c>
      <c r="AG8628" s="2">
        <f ca="1"/>
        <v>0.50459403739380626</v>
      </c>
      <c r="AH8628" s="2" t="str">
        <f ca="1"/>
        <v>Bad</v>
      </c>
    </row>
    <row r="8629" spans="2:34" x14ac:dyDescent="0.2">
      <c r="B8629" s="2">
        <f ca="1"/>
        <v>0.67272287209150239</v>
      </c>
      <c r="O8629" s="2">
        <f ca="1"/>
        <v>5.5971524684959181E-2</v>
      </c>
      <c r="X8629" s="2">
        <f ca="1"/>
        <v>45.126738963213811</v>
      </c>
      <c r="AG8629" s="2">
        <f ca="1"/>
        <v>1.7611995384062329E-2</v>
      </c>
      <c r="AH8629" s="2" t="str">
        <f ca="1"/>
        <v>Good</v>
      </c>
    </row>
    <row r="8630" spans="2:34" x14ac:dyDescent="0.2">
      <c r="B8630" s="2">
        <f ca="1"/>
        <v>0.17860387936699329</v>
      </c>
      <c r="O8630" s="2">
        <f ca="1"/>
        <v>0.54914178979709971</v>
      </c>
      <c r="X8630" s="2">
        <f ca="1"/>
        <v>43.960442914859257</v>
      </c>
      <c r="AG8630" s="2">
        <f ca="1"/>
        <v>6.2602164853857722E-3</v>
      </c>
      <c r="AH8630" s="2" t="str">
        <f ca="1"/>
        <v>Good</v>
      </c>
    </row>
    <row r="8631" spans="2:34" x14ac:dyDescent="0.2">
      <c r="B8631" s="2">
        <f ca="1"/>
        <v>0.24248750185784607</v>
      </c>
      <c r="O8631" s="2">
        <f ca="1"/>
        <v>1.2110924908604608</v>
      </c>
      <c r="X8631" s="2">
        <f ca="1"/>
        <v>63.721731488120469</v>
      </c>
      <c r="AG8631" s="2">
        <f ca="1"/>
        <v>0.13730740539739927</v>
      </c>
      <c r="AH8631" s="2" t="str">
        <f ca="1"/>
        <v>OK</v>
      </c>
    </row>
    <row r="8632" spans="2:34" x14ac:dyDescent="0.2">
      <c r="B8632" s="2">
        <f ca="1"/>
        <v>0.35717401590582765</v>
      </c>
      <c r="O8632" s="2">
        <f ca="1"/>
        <v>-1.2641878707269145</v>
      </c>
      <c r="X8632" s="2">
        <f ca="1"/>
        <v>30.23465089014605</v>
      </c>
      <c r="AG8632" s="2">
        <f ca="1"/>
        <v>0.61957575490665273</v>
      </c>
      <c r="AH8632" s="2" t="str">
        <f ca="1"/>
        <v>Bad</v>
      </c>
    </row>
    <row r="8633" spans="2:34" x14ac:dyDescent="0.2">
      <c r="B8633" s="2">
        <f ca="1"/>
        <v>0.92152615815683614</v>
      </c>
      <c r="O8633" s="2">
        <f ca="1"/>
        <v>-2.4397108565585484</v>
      </c>
      <c r="X8633" s="2">
        <f ca="1"/>
        <v>36.981596488766314</v>
      </c>
      <c r="AG8633" s="2">
        <f ca="1"/>
        <v>0.11204711879727491</v>
      </c>
      <c r="AH8633" s="2" t="str">
        <f ca="1"/>
        <v>OK</v>
      </c>
    </row>
    <row r="8634" spans="2:34" x14ac:dyDescent="0.2">
      <c r="B8634" s="2">
        <f ca="1"/>
        <v>0.44533337805105133</v>
      </c>
      <c r="O8634" s="2">
        <f ca="1"/>
        <v>1.9745201239977748</v>
      </c>
      <c r="X8634" s="2">
        <f ca="1"/>
        <v>46.201635585695556</v>
      </c>
      <c r="AG8634" s="2">
        <f ca="1"/>
        <v>0.62012528715402526</v>
      </c>
      <c r="AH8634" s="2" t="str">
        <f ca="1"/>
        <v>Bad</v>
      </c>
    </row>
    <row r="8635" spans="2:34" x14ac:dyDescent="0.2">
      <c r="B8635" s="2">
        <f ca="1"/>
        <v>0.2834605017570484</v>
      </c>
      <c r="O8635" s="2">
        <f ca="1"/>
        <v>0.17997734132841731</v>
      </c>
      <c r="X8635" s="2">
        <f ca="1"/>
        <v>41.400755779314437</v>
      </c>
      <c r="AG8635" s="2">
        <f ca="1"/>
        <v>0.90065663936031726</v>
      </c>
      <c r="AH8635" s="2" t="str">
        <f ca="1"/>
        <v>Bad</v>
      </c>
    </row>
    <row r="8636" spans="2:34" x14ac:dyDescent="0.2">
      <c r="B8636" s="2">
        <f ca="1"/>
        <v>0.35202832191234901</v>
      </c>
      <c r="O8636" s="2">
        <f ca="1"/>
        <v>6.9131767426538121E-2</v>
      </c>
      <c r="X8636" s="2">
        <f ca="1"/>
        <v>60.421727943512245</v>
      </c>
      <c r="AG8636" s="2">
        <f ca="1"/>
        <v>2.1203163703221728E-2</v>
      </c>
      <c r="AH8636" s="2" t="str">
        <f ca="1"/>
        <v>Good</v>
      </c>
    </row>
    <row r="8637" spans="2:34" x14ac:dyDescent="0.2">
      <c r="B8637" s="2">
        <f ca="1"/>
        <v>9.871735347928734E-2</v>
      </c>
      <c r="O8637" s="2">
        <f ca="1"/>
        <v>0.48952150822012608</v>
      </c>
      <c r="X8637" s="2">
        <f ca="1"/>
        <v>56.160288434484116</v>
      </c>
      <c r="AG8637" s="2">
        <f ca="1"/>
        <v>0.38805664385247907</v>
      </c>
      <c r="AH8637" s="2" t="str">
        <f ca="1"/>
        <v>OK</v>
      </c>
    </row>
    <row r="8638" spans="2:34" x14ac:dyDescent="0.2">
      <c r="B8638" s="2">
        <f ca="1"/>
        <v>0.11392366860403547</v>
      </c>
      <c r="O8638" s="2">
        <f ca="1"/>
        <v>0.67819176770293788</v>
      </c>
      <c r="X8638" s="2">
        <f ca="1"/>
        <v>25.605057283051472</v>
      </c>
      <c r="AG8638" s="2">
        <f ca="1"/>
        <v>2.9210233756102655E-2</v>
      </c>
      <c r="AH8638" s="2" t="str">
        <f ca="1"/>
        <v>Good</v>
      </c>
    </row>
    <row r="8639" spans="2:34" x14ac:dyDescent="0.2">
      <c r="B8639" s="2">
        <f ca="1"/>
        <v>0.95545902593365661</v>
      </c>
      <c r="O8639" s="2">
        <f ca="1"/>
        <v>0.15350837259132422</v>
      </c>
      <c r="X8639" s="2">
        <f ca="1"/>
        <v>40.630260662638747</v>
      </c>
      <c r="AG8639" s="2">
        <f ca="1"/>
        <v>0.88903633837147611</v>
      </c>
      <c r="AH8639" s="2" t="str">
        <f ca="1"/>
        <v>Bad</v>
      </c>
    </row>
    <row r="8640" spans="2:34" x14ac:dyDescent="0.2">
      <c r="B8640" s="2">
        <f ca="1"/>
        <v>0.54197472688439419</v>
      </c>
      <c r="O8640" s="2">
        <f ca="1"/>
        <v>1.1370106415136403</v>
      </c>
      <c r="X8640" s="2">
        <f ca="1"/>
        <v>41.054805200039979</v>
      </c>
      <c r="AG8640" s="2">
        <f ca="1"/>
        <v>4.7923947620690965E-2</v>
      </c>
      <c r="AH8640" s="2" t="str">
        <f ca="1"/>
        <v>Good</v>
      </c>
    </row>
    <row r="8641" spans="2:34" x14ac:dyDescent="0.2">
      <c r="B8641" s="2">
        <f ca="1"/>
        <v>8.1652676918335443E-2</v>
      </c>
      <c r="O8641" s="2">
        <f ca="1"/>
        <v>-0.15654529995217342</v>
      </c>
      <c r="X8641" s="2">
        <f ca="1"/>
        <v>71.829240735188051</v>
      </c>
      <c r="AG8641" s="2">
        <f ca="1"/>
        <v>0.85919783751032308</v>
      </c>
      <c r="AH8641" s="2" t="str">
        <f ca="1"/>
        <v>Bad</v>
      </c>
    </row>
    <row r="8642" spans="2:34" x14ac:dyDescent="0.2">
      <c r="B8642" s="2">
        <f ca="1"/>
        <v>7.6552822501211093E-2</v>
      </c>
      <c r="O8642" s="2">
        <f ca="1"/>
        <v>0.27970472506418353</v>
      </c>
      <c r="X8642" s="2">
        <f ca="1"/>
        <v>89.865775143651362</v>
      </c>
      <c r="AG8642" s="2">
        <f ca="1"/>
        <v>0.10528674609887245</v>
      </c>
      <c r="AH8642" s="2" t="str">
        <f ca="1"/>
        <v>OK</v>
      </c>
    </row>
    <row r="8643" spans="2:34" x14ac:dyDescent="0.2">
      <c r="B8643" s="2">
        <f ca="1"/>
        <v>0.18304175627681829</v>
      </c>
      <c r="O8643" s="2">
        <f ca="1"/>
        <v>-1.6839546139626722</v>
      </c>
      <c r="X8643" s="2">
        <f ca="1"/>
        <v>59.787793110797587</v>
      </c>
      <c r="AG8643" s="2">
        <f ca="1"/>
        <v>0.42191150049160409</v>
      </c>
      <c r="AH8643" s="2" t="str">
        <f ca="1"/>
        <v>Bad</v>
      </c>
    </row>
    <row r="8644" spans="2:34" x14ac:dyDescent="0.2">
      <c r="B8644" s="2">
        <f ca="1"/>
        <v>0.38053307174839102</v>
      </c>
      <c r="O8644" s="2">
        <f ca="1"/>
        <v>0.84741432595402222</v>
      </c>
      <c r="X8644" s="2">
        <f ca="1"/>
        <v>49.335615076864912</v>
      </c>
      <c r="AG8644" s="2">
        <f ca="1"/>
        <v>0.31359324348539741</v>
      </c>
      <c r="AH8644" s="2" t="str">
        <f ca="1"/>
        <v>OK</v>
      </c>
    </row>
    <row r="8645" spans="2:34" x14ac:dyDescent="0.2">
      <c r="B8645" s="2">
        <f ca="1"/>
        <v>0.6574397009800288</v>
      </c>
      <c r="O8645" s="2">
        <f ca="1"/>
        <v>0.16595991161599991</v>
      </c>
      <c r="X8645" s="2">
        <f ca="1"/>
        <v>37.221381644973675</v>
      </c>
      <c r="AG8645" s="2">
        <f ca="1"/>
        <v>0.30364687701889514</v>
      </c>
      <c r="AH8645" s="2" t="str">
        <f ca="1"/>
        <v>OK</v>
      </c>
    </row>
    <row r="8646" spans="2:34" x14ac:dyDescent="0.2">
      <c r="B8646" s="2">
        <f ca="1"/>
        <v>0.38930992978533618</v>
      </c>
      <c r="O8646" s="2">
        <f ca="1"/>
        <v>1.0752162581436235</v>
      </c>
      <c r="X8646" s="2">
        <f ca="1"/>
        <v>117.61079411711491</v>
      </c>
      <c r="AG8646" s="2">
        <f ca="1"/>
        <v>0.38746132522736354</v>
      </c>
      <c r="AH8646" s="2" t="str">
        <f ca="1"/>
        <v>OK</v>
      </c>
    </row>
    <row r="8647" spans="2:34" x14ac:dyDescent="0.2">
      <c r="B8647" s="2">
        <f ca="1"/>
        <v>0.62929321211829059</v>
      </c>
      <c r="O8647" s="2">
        <f ca="1"/>
        <v>0.13524553240979689</v>
      </c>
      <c r="X8647" s="2">
        <f ca="1"/>
        <v>53.287203078852841</v>
      </c>
      <c r="AG8647" s="2">
        <f ca="1"/>
        <v>0.32603671607248708</v>
      </c>
      <c r="AH8647" s="2" t="str">
        <f ca="1"/>
        <v>OK</v>
      </c>
    </row>
    <row r="8648" spans="2:34" x14ac:dyDescent="0.2">
      <c r="B8648" s="2">
        <f ca="1"/>
        <v>0.52117938420717236</v>
      </c>
      <c r="O8648" s="2">
        <f ca="1"/>
        <v>1.2699333529159991</v>
      </c>
      <c r="X8648" s="2">
        <f ca="1"/>
        <v>85.497497929354026</v>
      </c>
      <c r="AG8648" s="2">
        <f ca="1"/>
        <v>0.30531496943933512</v>
      </c>
      <c r="AH8648" s="2" t="str">
        <f ca="1"/>
        <v>OK</v>
      </c>
    </row>
    <row r="8649" spans="2:34" x14ac:dyDescent="0.2">
      <c r="B8649" s="2">
        <f ca="1"/>
        <v>0.48675523646915275</v>
      </c>
      <c r="O8649" s="2">
        <f ca="1"/>
        <v>1.0131063217023402</v>
      </c>
      <c r="X8649" s="2">
        <f ca="1"/>
        <v>41.39195033783249</v>
      </c>
      <c r="AG8649" s="2">
        <f ca="1"/>
        <v>0.55238453705176549</v>
      </c>
      <c r="AH8649" s="2" t="str">
        <f ca="1"/>
        <v>Bad</v>
      </c>
    </row>
    <row r="8650" spans="2:34" x14ac:dyDescent="0.2">
      <c r="B8650" s="2">
        <f ca="1"/>
        <v>0.66628246034180516</v>
      </c>
      <c r="O8650" s="2">
        <f ca="1"/>
        <v>0.82998598456108952</v>
      </c>
      <c r="X8650" s="2">
        <f ca="1"/>
        <v>23.268087344320367</v>
      </c>
      <c r="AG8650" s="2">
        <f ca="1"/>
        <v>0.95955933718855468</v>
      </c>
      <c r="AH8650" s="2" t="str">
        <f ca="1"/>
        <v>Bad</v>
      </c>
    </row>
    <row r="8651" spans="2:34" x14ac:dyDescent="0.2">
      <c r="B8651" s="2">
        <f ca="1"/>
        <v>0.6180644603721841</v>
      </c>
      <c r="O8651" s="2">
        <f ca="1"/>
        <v>-1.1587214918287276</v>
      </c>
      <c r="X8651" s="2">
        <f ca="1"/>
        <v>52.303373338369674</v>
      </c>
      <c r="AG8651" s="2">
        <f ca="1"/>
        <v>0.90969750551161876</v>
      </c>
      <c r="AH8651" s="2" t="str">
        <f ca="1"/>
        <v>Bad</v>
      </c>
    </row>
    <row r="8652" spans="2:34" x14ac:dyDescent="0.2">
      <c r="B8652" s="2">
        <f ca="1"/>
        <v>0.57832061007671753</v>
      </c>
      <c r="O8652" s="2">
        <f ca="1"/>
        <v>-1.9507261011732073</v>
      </c>
      <c r="X8652" s="2">
        <f ca="1"/>
        <v>45.331642027108423</v>
      </c>
      <c r="AG8652" s="2">
        <f ca="1"/>
        <v>0.78553935618059612</v>
      </c>
      <c r="AH8652" s="2" t="str">
        <f ca="1"/>
        <v>Bad</v>
      </c>
    </row>
    <row r="8653" spans="2:34" x14ac:dyDescent="0.2">
      <c r="B8653" s="2">
        <f ca="1"/>
        <v>6.7074233851951437E-3</v>
      </c>
      <c r="O8653" s="2">
        <f ca="1"/>
        <v>0.31566102947900043</v>
      </c>
      <c r="X8653" s="2">
        <f ca="1"/>
        <v>46.920487696224697</v>
      </c>
      <c r="AG8653" s="2">
        <f ca="1"/>
        <v>0.84119337847389519</v>
      </c>
      <c r="AH8653" s="2" t="str">
        <f ca="1"/>
        <v>Bad</v>
      </c>
    </row>
    <row r="8654" spans="2:34" x14ac:dyDescent="0.2">
      <c r="B8654" s="2">
        <f ca="1"/>
        <v>0.6620526243117435</v>
      </c>
      <c r="O8654" s="2">
        <f ca="1"/>
        <v>0.82285576954997297</v>
      </c>
      <c r="X8654" s="2">
        <f ca="1"/>
        <v>70.334532683319296</v>
      </c>
      <c r="AG8654" s="2">
        <f ca="1"/>
        <v>0.55536292299893031</v>
      </c>
      <c r="AH8654" s="2" t="str">
        <f ca="1"/>
        <v>Bad</v>
      </c>
    </row>
    <row r="8655" spans="2:34" x14ac:dyDescent="0.2">
      <c r="B8655" s="2">
        <f ca="1"/>
        <v>0.31918102013651062</v>
      </c>
      <c r="O8655" s="2">
        <f ca="1"/>
        <v>0.12535276127156195</v>
      </c>
      <c r="X8655" s="2">
        <f ca="1"/>
        <v>50.254718679347725</v>
      </c>
      <c r="AG8655" s="2">
        <f ca="1"/>
        <v>0.33014030281872486</v>
      </c>
      <c r="AH8655" s="2" t="str">
        <f ca="1"/>
        <v>OK</v>
      </c>
    </row>
    <row r="8656" spans="2:34" x14ac:dyDescent="0.2">
      <c r="B8656" s="2">
        <f ca="1"/>
        <v>0.69510348373066089</v>
      </c>
      <c r="O8656" s="2">
        <f ca="1"/>
        <v>-0.1720411748853248</v>
      </c>
      <c r="X8656" s="2">
        <f ca="1"/>
        <v>37.673151890382478</v>
      </c>
      <c r="AG8656" s="2">
        <f ca="1"/>
        <v>4.970422942424868E-2</v>
      </c>
      <c r="AH8656" s="2" t="str">
        <f ca="1"/>
        <v>Good</v>
      </c>
    </row>
    <row r="8657" spans="2:34" x14ac:dyDescent="0.2">
      <c r="B8657" s="2">
        <f ca="1"/>
        <v>0.80031078791363197</v>
      </c>
      <c r="O8657" s="2">
        <f ca="1"/>
        <v>1.3555205333958402</v>
      </c>
      <c r="X8657" s="2">
        <f ca="1"/>
        <v>49.06690434325256</v>
      </c>
      <c r="AG8657" s="2">
        <f ca="1"/>
        <v>0.7811758737946175</v>
      </c>
      <c r="AH8657" s="2" t="str">
        <f ca="1"/>
        <v>Bad</v>
      </c>
    </row>
    <row r="8658" spans="2:34" x14ac:dyDescent="0.2">
      <c r="B8658" s="2">
        <f ca="1"/>
        <v>9.2951557020296116E-2</v>
      </c>
      <c r="O8658" s="2">
        <f ca="1"/>
        <v>-1.1417158601629895</v>
      </c>
      <c r="X8658" s="2">
        <f ca="1"/>
        <v>47.382976345166135</v>
      </c>
      <c r="AG8658" s="2">
        <f ca="1"/>
        <v>3.6577020309131347E-2</v>
      </c>
      <c r="AH8658" s="2" t="str">
        <f ca="1"/>
        <v>Good</v>
      </c>
    </row>
    <row r="8659" spans="2:34" x14ac:dyDescent="0.2">
      <c r="B8659" s="2">
        <f ca="1"/>
        <v>0.22958461924929296</v>
      </c>
      <c r="O8659" s="2">
        <f ca="1"/>
        <v>1.6004601358908346</v>
      </c>
      <c r="X8659" s="2">
        <f ca="1"/>
        <v>58.975075016427397</v>
      </c>
      <c r="AG8659" s="2">
        <f ca="1"/>
        <v>0.52482100606317728</v>
      </c>
      <c r="AH8659" s="2" t="str">
        <f ca="1"/>
        <v>Bad</v>
      </c>
    </row>
    <row r="8660" spans="2:34" x14ac:dyDescent="0.2">
      <c r="B8660" s="2">
        <f ca="1"/>
        <v>0.62140370558815761</v>
      </c>
      <c r="O8660" s="2">
        <f ca="1"/>
        <v>0.75668195431963303</v>
      </c>
      <c r="X8660" s="2">
        <f ca="1"/>
        <v>102.40751808478626</v>
      </c>
      <c r="AG8660" s="2">
        <f ca="1"/>
        <v>0.3336217996955344</v>
      </c>
      <c r="AH8660" s="2" t="str">
        <f ca="1"/>
        <v>OK</v>
      </c>
    </row>
    <row r="8661" spans="2:34" x14ac:dyDescent="0.2">
      <c r="B8661" s="2">
        <f ca="1"/>
        <v>9.9413500386464015E-2</v>
      </c>
      <c r="O8661" s="2">
        <f ca="1"/>
        <v>9.4461968374826455E-2</v>
      </c>
      <c r="X8661" s="2">
        <f ca="1"/>
        <v>67.200393012026751</v>
      </c>
      <c r="AG8661" s="2">
        <f ca="1"/>
        <v>0.90034055493043597</v>
      </c>
      <c r="AH8661" s="2" t="str">
        <f ca="1"/>
        <v>Bad</v>
      </c>
    </row>
    <row r="8662" spans="2:34" x14ac:dyDescent="0.2">
      <c r="B8662" s="2">
        <f ca="1"/>
        <v>0.9494514671708103</v>
      </c>
      <c r="O8662" s="2">
        <f ca="1"/>
        <v>0.63433263576662913</v>
      </c>
      <c r="X8662" s="2">
        <f ca="1"/>
        <v>39.500178038738468</v>
      </c>
      <c r="AG8662" s="2">
        <f ca="1"/>
        <v>0.10685447362200406</v>
      </c>
      <c r="AH8662" s="2" t="str">
        <f ca="1"/>
        <v>OK</v>
      </c>
    </row>
    <row r="8663" spans="2:34" x14ac:dyDescent="0.2">
      <c r="B8663" s="2">
        <f ca="1"/>
        <v>0.6849835851708026</v>
      </c>
      <c r="O8663" s="2">
        <f ca="1"/>
        <v>1.3424156313222257</v>
      </c>
      <c r="X8663" s="2">
        <f ca="1"/>
        <v>50.077224958182491</v>
      </c>
      <c r="AG8663" s="2">
        <f ca="1"/>
        <v>0.49586507527985724</v>
      </c>
      <c r="AH8663" s="2" t="str">
        <f ca="1"/>
        <v>Bad</v>
      </c>
    </row>
    <row r="8664" spans="2:34" x14ac:dyDescent="0.2">
      <c r="B8664" s="2">
        <f ca="1"/>
        <v>0.91456307404252812</v>
      </c>
      <c r="O8664" s="2">
        <f ca="1"/>
        <v>-0.78908322976121081</v>
      </c>
      <c r="X8664" s="2">
        <f ca="1"/>
        <v>49.937300087131376</v>
      </c>
      <c r="AG8664" s="2">
        <f ca="1"/>
        <v>0.54903453405102698</v>
      </c>
      <c r="AH8664" s="2" t="str">
        <f ca="1"/>
        <v>Bad</v>
      </c>
    </row>
    <row r="8665" spans="2:34" x14ac:dyDescent="0.2">
      <c r="B8665" s="2">
        <f ca="1"/>
        <v>0.7712340636960322</v>
      </c>
      <c r="O8665" s="2">
        <f ca="1"/>
        <v>-0.51450545979759899</v>
      </c>
      <c r="X8665" s="2">
        <f ca="1"/>
        <v>34.076688897827914</v>
      </c>
      <c r="AG8665" s="2">
        <f ca="1"/>
        <v>0.59428181041883077</v>
      </c>
      <c r="AH8665" s="2" t="str">
        <f ca="1"/>
        <v>Bad</v>
      </c>
    </row>
    <row r="8666" spans="2:34" x14ac:dyDescent="0.2">
      <c r="B8666" s="2">
        <f ca="1"/>
        <v>0.68767868322154113</v>
      </c>
      <c r="O8666" s="2">
        <f ca="1"/>
        <v>-0.84178653175839957</v>
      </c>
      <c r="X8666" s="2">
        <f ca="1"/>
        <v>49.966810754140816</v>
      </c>
      <c r="AG8666" s="2">
        <f ca="1"/>
        <v>4.1883208866075883E-3</v>
      </c>
      <c r="AH8666" s="2" t="str">
        <f ca="1"/>
        <v>Good</v>
      </c>
    </row>
    <row r="8667" spans="2:34" x14ac:dyDescent="0.2">
      <c r="B8667" s="2">
        <f ca="1"/>
        <v>0.81883757532901602</v>
      </c>
      <c r="O8667" s="2">
        <f ca="1"/>
        <v>-2.0770049582247601</v>
      </c>
      <c r="X8667" s="2">
        <f ca="1"/>
        <v>105.47235366295882</v>
      </c>
      <c r="AG8667" s="2">
        <f ca="1"/>
        <v>0.71923571995331415</v>
      </c>
      <c r="AH8667" s="2" t="str">
        <f ca="1"/>
        <v>Bad</v>
      </c>
    </row>
    <row r="8668" spans="2:34" x14ac:dyDescent="0.2">
      <c r="B8668" s="2">
        <f ca="1"/>
        <v>0.64216148119712635</v>
      </c>
      <c r="O8668" s="2">
        <f ca="1"/>
        <v>1.7356637844216429</v>
      </c>
      <c r="X8668" s="2">
        <f ca="1"/>
        <v>43.434309064379207</v>
      </c>
      <c r="AG8668" s="2">
        <f ca="1"/>
        <v>0.78219248184123846</v>
      </c>
      <c r="AH8668" s="2" t="str">
        <f ca="1"/>
        <v>Bad</v>
      </c>
    </row>
    <row r="8669" spans="2:34" x14ac:dyDescent="0.2">
      <c r="B8669" s="2">
        <f ca="1"/>
        <v>0.44702289385341643</v>
      </c>
      <c r="O8669" s="2">
        <f ca="1"/>
        <v>-1.3027816499237798E-2</v>
      </c>
      <c r="X8669" s="2">
        <f ca="1"/>
        <v>33.766452532504687</v>
      </c>
      <c r="AG8669" s="2">
        <f ca="1"/>
        <v>0.61367570263987203</v>
      </c>
      <c r="AH8669" s="2" t="str">
        <f ca="1"/>
        <v>Bad</v>
      </c>
    </row>
    <row r="8670" spans="2:34" x14ac:dyDescent="0.2">
      <c r="B8670" s="2">
        <f ca="1"/>
        <v>2.8993808847127767E-2</v>
      </c>
      <c r="O8670" s="2">
        <f ca="1"/>
        <v>-1.5195676454544815</v>
      </c>
      <c r="X8670" s="2">
        <f ca="1"/>
        <v>52.119793521902551</v>
      </c>
      <c r="AG8670" s="2">
        <f ca="1"/>
        <v>0.69740577392001746</v>
      </c>
      <c r="AH8670" s="2" t="str">
        <f ca="1"/>
        <v>Bad</v>
      </c>
    </row>
    <row r="8671" spans="2:34" x14ac:dyDescent="0.2">
      <c r="B8671" s="2">
        <f ca="1"/>
        <v>0.58108626870788704</v>
      </c>
      <c r="O8671" s="2">
        <f ca="1"/>
        <v>-0.17940350980772959</v>
      </c>
      <c r="X8671" s="2">
        <f ca="1"/>
        <v>64.083396390106472</v>
      </c>
      <c r="AG8671" s="2">
        <f ca="1"/>
        <v>0.21894394658163985</v>
      </c>
      <c r="AH8671" s="2" t="str">
        <f ca="1"/>
        <v>OK</v>
      </c>
    </row>
    <row r="8672" spans="2:34" x14ac:dyDescent="0.2">
      <c r="B8672" s="2">
        <f ca="1"/>
        <v>0.66889973064789232</v>
      </c>
      <c r="O8672" s="2">
        <f ca="1"/>
        <v>1.7908802092927605</v>
      </c>
      <c r="X8672" s="2">
        <f ca="1"/>
        <v>67.615107305623383</v>
      </c>
      <c r="AG8672" s="2">
        <f ca="1"/>
        <v>0.97978591572436913</v>
      </c>
      <c r="AH8672" s="2" t="str">
        <f ca="1"/>
        <v>Bad</v>
      </c>
    </row>
    <row r="8673" spans="2:34" x14ac:dyDescent="0.2">
      <c r="B8673" s="2">
        <f ca="1"/>
        <v>0.90543318351874391</v>
      </c>
      <c r="O8673" s="2">
        <f ca="1"/>
        <v>1.4612326256164569</v>
      </c>
      <c r="X8673" s="2">
        <f ca="1"/>
        <v>43.920654018573586</v>
      </c>
      <c r="AG8673" s="2">
        <f ca="1"/>
        <v>0.72021390493528581</v>
      </c>
      <c r="AH8673" s="2" t="str">
        <f ca="1"/>
        <v>Bad</v>
      </c>
    </row>
    <row r="8674" spans="2:34" x14ac:dyDescent="0.2">
      <c r="B8674" s="2">
        <f ca="1"/>
        <v>0.72715200378870493</v>
      </c>
      <c r="O8674" s="2">
        <f ca="1"/>
        <v>2.4833455576389784E-2</v>
      </c>
      <c r="X8674" s="2">
        <f ca="1"/>
        <v>81.115137046407881</v>
      </c>
      <c r="AG8674" s="2">
        <f ca="1"/>
        <v>0.43955123839965649</v>
      </c>
      <c r="AH8674" s="2" t="str">
        <f ca="1"/>
        <v>Bad</v>
      </c>
    </row>
    <row r="8675" spans="2:34" x14ac:dyDescent="0.2">
      <c r="B8675" s="2">
        <f ca="1"/>
        <v>0.67823188429391323</v>
      </c>
      <c r="O8675" s="2">
        <f ca="1"/>
        <v>-0.96882754664197013</v>
      </c>
      <c r="X8675" s="2">
        <f ca="1"/>
        <v>104.04216205342104</v>
      </c>
      <c r="AG8675" s="2">
        <f ca="1"/>
        <v>9.0890295378382335E-2</v>
      </c>
      <c r="AH8675" s="2" t="str">
        <f ca="1"/>
        <v>OK</v>
      </c>
    </row>
    <row r="8676" spans="2:34" x14ac:dyDescent="0.2">
      <c r="B8676" s="2">
        <f ca="1"/>
        <v>0.46648623837552994</v>
      </c>
      <c r="O8676" s="2">
        <f ca="1"/>
        <v>0.84082131917992697</v>
      </c>
      <c r="X8676" s="2">
        <f ca="1"/>
        <v>38.670954458143846</v>
      </c>
      <c r="AG8676" s="2">
        <f ca="1"/>
        <v>0.94799985753085614</v>
      </c>
      <c r="AH8676" s="2" t="str">
        <f ca="1"/>
        <v>Bad</v>
      </c>
    </row>
    <row r="8677" spans="2:34" x14ac:dyDescent="0.2">
      <c r="B8677" s="2">
        <f ca="1"/>
        <v>0.30076511955225849</v>
      </c>
      <c r="O8677" s="2">
        <f ca="1"/>
        <v>0.4498256440499061</v>
      </c>
      <c r="X8677" s="2">
        <f ca="1"/>
        <v>47.807045313174193</v>
      </c>
      <c r="AG8677" s="2">
        <f ca="1"/>
        <v>0.84335905035168302</v>
      </c>
      <c r="AH8677" s="2" t="str">
        <f ca="1"/>
        <v>Bad</v>
      </c>
    </row>
    <row r="8678" spans="2:34" x14ac:dyDescent="0.2">
      <c r="B8678" s="2">
        <f ca="1"/>
        <v>7.3818186451660939E-2</v>
      </c>
      <c r="O8678" s="2">
        <f ca="1"/>
        <v>-0.84394106086148701</v>
      </c>
      <c r="X8678" s="2">
        <f ca="1"/>
        <v>67.170251828930517</v>
      </c>
      <c r="AG8678" s="2">
        <f ca="1"/>
        <v>0.31875363147207225</v>
      </c>
      <c r="AH8678" s="2" t="str">
        <f ca="1"/>
        <v>OK</v>
      </c>
    </row>
    <row r="8679" spans="2:34" x14ac:dyDescent="0.2">
      <c r="B8679" s="2">
        <f ca="1"/>
        <v>0.42746392539609257</v>
      </c>
      <c r="O8679" s="2">
        <f ca="1"/>
        <v>0.56260275250130432</v>
      </c>
      <c r="X8679" s="2">
        <f ca="1"/>
        <v>66.214516867371586</v>
      </c>
      <c r="AG8679" s="2">
        <f ca="1"/>
        <v>0.78199257965433522</v>
      </c>
      <c r="AH8679" s="2" t="str">
        <f ca="1"/>
        <v>Bad</v>
      </c>
    </row>
    <row r="8680" spans="2:34" x14ac:dyDescent="0.2">
      <c r="B8680" s="2">
        <f ca="1"/>
        <v>0.29106885931439175</v>
      </c>
      <c r="O8680" s="2">
        <f ca="1"/>
        <v>1.0884337582674828</v>
      </c>
      <c r="X8680" s="2">
        <f ca="1"/>
        <v>64.250741494706929</v>
      </c>
      <c r="AG8680" s="2">
        <f ca="1"/>
        <v>8.8649107297245511E-2</v>
      </c>
      <c r="AH8680" s="2" t="str">
        <f ca="1"/>
        <v>OK</v>
      </c>
    </row>
    <row r="8681" spans="2:34" x14ac:dyDescent="0.2">
      <c r="B8681" s="2">
        <f ca="1"/>
        <v>0.64425257982537842</v>
      </c>
      <c r="O8681" s="2">
        <f ca="1"/>
        <v>0.21486712764925439</v>
      </c>
      <c r="X8681" s="2">
        <f ca="1"/>
        <v>72.82723981656072</v>
      </c>
      <c r="AG8681" s="2">
        <f ca="1"/>
        <v>0.96477441366573546</v>
      </c>
      <c r="AH8681" s="2" t="str">
        <f ca="1"/>
        <v>Bad</v>
      </c>
    </row>
    <row r="8682" spans="2:34" x14ac:dyDescent="0.2">
      <c r="B8682" s="2">
        <f ca="1"/>
        <v>0.32527921503830037</v>
      </c>
      <c r="O8682" s="2">
        <f ca="1"/>
        <v>0.13599033396490368</v>
      </c>
      <c r="X8682" s="2">
        <f ca="1"/>
        <v>55.383607507596999</v>
      </c>
      <c r="AG8682" s="2">
        <f ca="1"/>
        <v>0.93333140096605782</v>
      </c>
      <c r="AH8682" s="2" t="str">
        <f ca="1"/>
        <v>Bad</v>
      </c>
    </row>
    <row r="8683" spans="2:34" x14ac:dyDescent="0.2">
      <c r="B8683" s="2">
        <f ca="1"/>
        <v>0.29776653593427849</v>
      </c>
      <c r="O8683" s="2">
        <f ca="1"/>
        <v>0.4437588106241715</v>
      </c>
      <c r="X8683" s="2">
        <f ca="1"/>
        <v>36.300902710050266</v>
      </c>
      <c r="AG8683" s="2">
        <f ca="1"/>
        <v>0.87355761185151515</v>
      </c>
      <c r="AH8683" s="2" t="str">
        <f ca="1"/>
        <v>Bad</v>
      </c>
    </row>
    <row r="8684" spans="2:34" x14ac:dyDescent="0.2">
      <c r="B8684" s="2">
        <f ca="1"/>
        <v>0.49275745530176507</v>
      </c>
      <c r="O8684" s="2">
        <f ca="1"/>
        <v>-1.6050315422918821E-2</v>
      </c>
      <c r="X8684" s="2">
        <f ca="1"/>
        <v>63.270389221510214</v>
      </c>
      <c r="AG8684" s="2">
        <f ca="1"/>
        <v>0.44895187053842389</v>
      </c>
      <c r="AH8684" s="2" t="str">
        <f ca="1"/>
        <v>Bad</v>
      </c>
    </row>
    <row r="8685" spans="2:34" x14ac:dyDescent="0.2">
      <c r="B8685" s="2">
        <f ca="1"/>
        <v>0.51610872074342784</v>
      </c>
      <c r="O8685" s="2">
        <f ca="1"/>
        <v>-1.475441723731139</v>
      </c>
      <c r="X8685" s="2">
        <f ca="1"/>
        <v>23.759869793702361</v>
      </c>
      <c r="AG8685" s="2">
        <f ca="1"/>
        <v>0.81096871990009323</v>
      </c>
      <c r="AH8685" s="2" t="str">
        <f ca="1"/>
        <v>Bad</v>
      </c>
    </row>
    <row r="8686" spans="2:34" x14ac:dyDescent="0.2">
      <c r="B8686" s="2">
        <f ca="1"/>
        <v>0.5650648831739733</v>
      </c>
      <c r="O8686" s="2">
        <f ca="1"/>
        <v>-1.1072206473408639</v>
      </c>
      <c r="X8686" s="2">
        <f ca="1"/>
        <v>79.695464172000243</v>
      </c>
      <c r="AG8686" s="2">
        <f ca="1"/>
        <v>0.73620638361926671</v>
      </c>
      <c r="AH8686" s="2" t="str">
        <f ca="1"/>
        <v>Bad</v>
      </c>
    </row>
    <row r="8687" spans="2:34" x14ac:dyDescent="0.2">
      <c r="B8687" s="2">
        <f ca="1"/>
        <v>0.56981789788570048</v>
      </c>
      <c r="O8687" s="2">
        <f ca="1"/>
        <v>-0.11683575506825809</v>
      </c>
      <c r="X8687" s="2">
        <f ca="1"/>
        <v>61.905328153777255</v>
      </c>
      <c r="AG8687" s="2">
        <f ca="1"/>
        <v>0.16888530513070799</v>
      </c>
      <c r="AH8687" s="2" t="str">
        <f ca="1"/>
        <v>OK</v>
      </c>
    </row>
    <row r="8688" spans="2:34" x14ac:dyDescent="0.2">
      <c r="B8688" s="2">
        <f ca="1"/>
        <v>0.90838198969493988</v>
      </c>
      <c r="O8688" s="2">
        <f ca="1"/>
        <v>1.743743787497166</v>
      </c>
      <c r="X8688" s="2">
        <f ca="1"/>
        <v>81.267342261987224</v>
      </c>
      <c r="AG8688" s="2">
        <f ca="1"/>
        <v>0.95654074512067622</v>
      </c>
      <c r="AH8688" s="2" t="str">
        <f ca="1"/>
        <v>Bad</v>
      </c>
    </row>
    <row r="8689" spans="2:34" x14ac:dyDescent="0.2">
      <c r="B8689" s="2">
        <f ca="1"/>
        <v>0.47651022704126311</v>
      </c>
      <c r="O8689" s="2">
        <f ca="1"/>
        <v>0.55233779380139403</v>
      </c>
      <c r="X8689" s="2">
        <f ca="1"/>
        <v>61.41872107103935</v>
      </c>
      <c r="AG8689" s="2">
        <f ca="1"/>
        <v>0.82055103716372724</v>
      </c>
      <c r="AH8689" s="2" t="str">
        <f ca="1"/>
        <v>Bad</v>
      </c>
    </row>
    <row r="8690" spans="2:34" x14ac:dyDescent="0.2">
      <c r="B8690" s="2">
        <f ca="1"/>
        <v>0.76069058076179896</v>
      </c>
      <c r="O8690" s="2">
        <f ca="1"/>
        <v>-1.1063753935436726</v>
      </c>
      <c r="X8690" s="2">
        <f ca="1"/>
        <v>55.527087813706295</v>
      </c>
      <c r="AG8690" s="2">
        <f ca="1"/>
        <v>0.48325753745064093</v>
      </c>
      <c r="AH8690" s="2" t="str">
        <f ca="1"/>
        <v>Bad</v>
      </c>
    </row>
    <row r="8691" spans="2:34" x14ac:dyDescent="0.2">
      <c r="B8691" s="2">
        <f ca="1"/>
        <v>0.55344703007975249</v>
      </c>
      <c r="O8691" s="2">
        <f ca="1"/>
        <v>-1.94937293848917</v>
      </c>
      <c r="X8691" s="2">
        <f ca="1"/>
        <v>44.936438607748499</v>
      </c>
      <c r="AG8691" s="2">
        <f ca="1"/>
        <v>1.4539853591862828E-2</v>
      </c>
      <c r="AH8691" s="2" t="str">
        <f ca="1"/>
        <v>Good</v>
      </c>
    </row>
    <row r="8692" spans="2:34" x14ac:dyDescent="0.2">
      <c r="B8692" s="2">
        <f ca="1"/>
        <v>0.85310763374933307</v>
      </c>
      <c r="O8692" s="2">
        <f ca="1"/>
        <v>0.59814564304390827</v>
      </c>
      <c r="X8692" s="2">
        <f ca="1"/>
        <v>43.065448646478302</v>
      </c>
      <c r="AG8692" s="2">
        <f ca="1"/>
        <v>0.42366688264312979</v>
      </c>
      <c r="AH8692" s="2" t="str">
        <f ca="1"/>
        <v>Bad</v>
      </c>
    </row>
    <row r="8693" spans="2:34" x14ac:dyDescent="0.2">
      <c r="B8693" s="2">
        <f ca="1"/>
        <v>0.48167427297165011</v>
      </c>
      <c r="O8693" s="2">
        <f ca="1"/>
        <v>0.52619382186669572</v>
      </c>
      <c r="X8693" s="2">
        <f ca="1"/>
        <v>54.679594278926906</v>
      </c>
      <c r="AG8693" s="2">
        <f ca="1"/>
        <v>0.11434809104708821</v>
      </c>
      <c r="AH8693" s="2" t="str">
        <f ca="1"/>
        <v>OK</v>
      </c>
    </row>
    <row r="8694" spans="2:34" x14ac:dyDescent="0.2">
      <c r="B8694" s="2">
        <f ca="1"/>
        <v>0.21671853363212557</v>
      </c>
      <c r="O8694" s="2">
        <f ca="1"/>
        <v>0.53344632699053651</v>
      </c>
      <c r="X8694" s="2">
        <f ca="1"/>
        <v>47.618984428705822</v>
      </c>
      <c r="AG8694" s="2">
        <f ca="1"/>
        <v>0.87933205433810646</v>
      </c>
      <c r="AH8694" s="2" t="str">
        <f ca="1"/>
        <v>Bad</v>
      </c>
    </row>
    <row r="8695" spans="2:34" x14ac:dyDescent="0.2">
      <c r="B8695" s="2">
        <f ca="1"/>
        <v>0.37584791641622095</v>
      </c>
      <c r="O8695" s="2">
        <f ca="1"/>
        <v>0.42507591901987768</v>
      </c>
      <c r="X8695" s="2">
        <f ca="1"/>
        <v>37.256868021085438</v>
      </c>
      <c r="AG8695" s="2">
        <f ca="1"/>
        <v>0.6943537001436324</v>
      </c>
      <c r="AH8695" s="2" t="str">
        <f ca="1"/>
        <v>Bad</v>
      </c>
    </row>
    <row r="8696" spans="2:34" x14ac:dyDescent="0.2">
      <c r="B8696" s="2">
        <f ca="1"/>
        <v>0.92260844087988048</v>
      </c>
      <c r="O8696" s="2">
        <f ca="1"/>
        <v>-0.20209018918977439</v>
      </c>
      <c r="X8696" s="2">
        <f ca="1"/>
        <v>21.070674715347803</v>
      </c>
      <c r="AG8696" s="2">
        <f ca="1"/>
        <v>0.61122330789479462</v>
      </c>
      <c r="AH8696" s="2" t="str">
        <f ca="1"/>
        <v>Bad</v>
      </c>
    </row>
    <row r="8697" spans="2:34" x14ac:dyDescent="0.2">
      <c r="B8697" s="2">
        <f ca="1"/>
        <v>0.513356692588119</v>
      </c>
      <c r="O8697" s="2">
        <f ca="1"/>
        <v>-0.65758819980146921</v>
      </c>
      <c r="X8697" s="2">
        <f ca="1"/>
        <v>33.899358206432282</v>
      </c>
      <c r="AG8697" s="2">
        <f ca="1"/>
        <v>0.25429639405179572</v>
      </c>
      <c r="AH8697" s="2" t="str">
        <f ca="1"/>
        <v>OK</v>
      </c>
    </row>
    <row r="8698" spans="2:34" x14ac:dyDescent="0.2">
      <c r="B8698" s="2">
        <f ca="1"/>
        <v>0.48353292148943461</v>
      </c>
      <c r="O8698" s="2">
        <f ca="1"/>
        <v>2.0854688474684235</v>
      </c>
      <c r="X8698" s="2">
        <f ca="1"/>
        <v>54.236819240331485</v>
      </c>
      <c r="AG8698" s="2">
        <f ca="1"/>
        <v>0.99347250381978225</v>
      </c>
      <c r="AH8698" s="2" t="str">
        <f ca="1"/>
        <v>Bad</v>
      </c>
    </row>
    <row r="8699" spans="2:34" x14ac:dyDescent="0.2">
      <c r="B8699" s="2">
        <f ca="1"/>
        <v>0.22704045641758541</v>
      </c>
      <c r="O8699" s="2">
        <f ca="1"/>
        <v>-0.42851677569136437</v>
      </c>
      <c r="X8699" s="2">
        <f ca="1"/>
        <v>47.199212287082943</v>
      </c>
      <c r="AG8699" s="2">
        <f ca="1"/>
        <v>0.61347839840479468</v>
      </c>
      <c r="AH8699" s="2" t="str">
        <f ca="1"/>
        <v>Bad</v>
      </c>
    </row>
    <row r="8700" spans="2:34" x14ac:dyDescent="0.2">
      <c r="B8700" s="2">
        <f ca="1"/>
        <v>0.65116064314976985</v>
      </c>
      <c r="O8700" s="2">
        <f ca="1"/>
        <v>-0.85068109107294998</v>
      </c>
      <c r="X8700" s="2">
        <f ca="1"/>
        <v>47.748715250779114</v>
      </c>
      <c r="AG8700" s="2">
        <f ca="1"/>
        <v>0.48423448805947156</v>
      </c>
      <c r="AH8700" s="2" t="str">
        <f ca="1"/>
        <v>Bad</v>
      </c>
    </row>
    <row r="8701" spans="2:34" x14ac:dyDescent="0.2">
      <c r="B8701" s="2">
        <f ca="1"/>
        <v>0.82845596815600686</v>
      </c>
      <c r="O8701" s="2">
        <f ca="1"/>
        <v>6.5219007471407936E-2</v>
      </c>
      <c r="X8701" s="2">
        <f ca="1"/>
        <v>41.939573224736719</v>
      </c>
      <c r="AG8701" s="2">
        <f ca="1"/>
        <v>0.80225892292307477</v>
      </c>
      <c r="AH8701" s="2" t="str">
        <f ca="1"/>
        <v>Bad</v>
      </c>
    </row>
    <row r="8702" spans="2:34" x14ac:dyDescent="0.2">
      <c r="B8702" s="2">
        <f ca="1"/>
        <v>5.1459255682174687E-2</v>
      </c>
      <c r="O8702" s="2">
        <f ca="1"/>
        <v>0.56093125020336143</v>
      </c>
      <c r="X8702" s="2">
        <f ca="1"/>
        <v>51.650700314138192</v>
      </c>
      <c r="AG8702" s="2">
        <f ca="1"/>
        <v>0.76719970435397689</v>
      </c>
      <c r="AH8702" s="2" t="str">
        <f ca="1"/>
        <v>Bad</v>
      </c>
    </row>
    <row r="8703" spans="2:34" x14ac:dyDescent="0.2">
      <c r="B8703" s="2">
        <f ca="1"/>
        <v>0.14660504594575396</v>
      </c>
      <c r="O8703" s="2">
        <f ca="1"/>
        <v>1.0585542763113793</v>
      </c>
      <c r="X8703" s="2">
        <f ca="1"/>
        <v>74.285183437573068</v>
      </c>
      <c r="AG8703" s="2">
        <f ca="1"/>
        <v>0.85087888382342269</v>
      </c>
      <c r="AH8703" s="2" t="str">
        <f ca="1"/>
        <v>Bad</v>
      </c>
    </row>
    <row r="8704" spans="2:34" x14ac:dyDescent="0.2">
      <c r="B8704" s="2">
        <f ca="1"/>
        <v>0.19256382971614006</v>
      </c>
      <c r="O8704" s="2">
        <f ca="1"/>
        <v>-2.2296797596059795E-2</v>
      </c>
      <c r="X8704" s="2">
        <f ca="1"/>
        <v>67.78545005752629</v>
      </c>
      <c r="AG8704" s="2">
        <f ca="1"/>
        <v>0.15073933711035181</v>
      </c>
      <c r="AH8704" s="2" t="str">
        <f ca="1"/>
        <v>OK</v>
      </c>
    </row>
    <row r="8705" spans="2:34" x14ac:dyDescent="0.2">
      <c r="B8705" s="2">
        <f ca="1"/>
        <v>0.80865869121677414</v>
      </c>
      <c r="O8705" s="2">
        <f ca="1"/>
        <v>-0.96922700408570328</v>
      </c>
      <c r="X8705" s="2">
        <f ca="1"/>
        <v>46.628778422320885</v>
      </c>
      <c r="AG8705" s="2">
        <f ca="1"/>
        <v>0.77768460033946285</v>
      </c>
      <c r="AH8705" s="2" t="str">
        <f ca="1"/>
        <v>Bad</v>
      </c>
    </row>
    <row r="8706" spans="2:34" x14ac:dyDescent="0.2">
      <c r="B8706" s="2">
        <f ca="1"/>
        <v>0.56494675950438289</v>
      </c>
      <c r="O8706" s="2">
        <f ca="1"/>
        <v>-0.52722655933169682</v>
      </c>
      <c r="X8706" s="2">
        <f ca="1"/>
        <v>50.777404015717245</v>
      </c>
      <c r="AG8706" s="2">
        <f ca="1"/>
        <v>0.82970069073714181</v>
      </c>
      <c r="AH8706" s="2" t="str">
        <f ca="1"/>
        <v>Bad</v>
      </c>
    </row>
    <row r="8707" spans="2:34" x14ac:dyDescent="0.2">
      <c r="B8707" s="2">
        <f ca="1"/>
        <v>0.22999354274835815</v>
      </c>
      <c r="O8707" s="2">
        <f ca="1"/>
        <v>-0.36941985190638532</v>
      </c>
      <c r="X8707" s="2">
        <f ca="1"/>
        <v>42.604591285239891</v>
      </c>
      <c r="AG8707" s="2">
        <f ca="1"/>
        <v>0.18891791040213501</v>
      </c>
      <c r="AH8707" s="2" t="str">
        <f ca="1"/>
        <v>OK</v>
      </c>
    </row>
    <row r="8708" spans="2:34" x14ac:dyDescent="0.2">
      <c r="B8708" s="2">
        <f ca="1"/>
        <v>0.9146348039737473</v>
      </c>
      <c r="O8708" s="2">
        <f ca="1"/>
        <v>0.14125300127954957</v>
      </c>
      <c r="X8708" s="2">
        <f ca="1"/>
        <v>30.929287494992373</v>
      </c>
      <c r="AG8708" s="2">
        <f ca="1"/>
        <v>0.65372872863833731</v>
      </c>
      <c r="AH8708" s="2" t="str">
        <f ca="1"/>
        <v>Bad</v>
      </c>
    </row>
    <row r="8709" spans="2:34" x14ac:dyDescent="0.2">
      <c r="B8709" s="2">
        <f ca="1"/>
        <v>7.7291611466798527E-2</v>
      </c>
      <c r="O8709" s="2">
        <f ca="1"/>
        <v>0.53995536954280909</v>
      </c>
      <c r="X8709" s="2">
        <f ca="1"/>
        <v>28.086265808825395</v>
      </c>
      <c r="AG8709" s="2">
        <f ca="1"/>
        <v>0.31879487373209003</v>
      </c>
      <c r="AH8709" s="2" t="str">
        <f ca="1"/>
        <v>OK</v>
      </c>
    </row>
    <row r="8710" spans="2:34" x14ac:dyDescent="0.2">
      <c r="B8710" s="2">
        <f ca="1"/>
        <v>0.47680624005526462</v>
      </c>
      <c r="O8710" s="2">
        <f ca="1"/>
        <v>-0.64550770228412269</v>
      </c>
      <c r="X8710" s="2">
        <f ca="1"/>
        <v>63.367550077555649</v>
      </c>
      <c r="AG8710" s="2">
        <f ca="1"/>
        <v>0.9500269797768448</v>
      </c>
      <c r="AH8710" s="2" t="str">
        <f ca="1"/>
        <v>Bad</v>
      </c>
    </row>
    <row r="8711" spans="2:34" x14ac:dyDescent="0.2">
      <c r="B8711" s="2">
        <f ca="1"/>
        <v>0.42466471453856958</v>
      </c>
      <c r="O8711" s="2">
        <f ca="1"/>
        <v>1.883736049974913</v>
      </c>
      <c r="X8711" s="2">
        <f ca="1"/>
        <v>71.849306114492038</v>
      </c>
      <c r="AG8711" s="2">
        <f ca="1"/>
        <v>0.41530581330236238</v>
      </c>
      <c r="AH8711" s="2" t="str">
        <f ca="1"/>
        <v>Bad</v>
      </c>
    </row>
    <row r="8712" spans="2:34" x14ac:dyDescent="0.2">
      <c r="B8712" s="2">
        <f ca="1"/>
        <v>0.23773916686882313</v>
      </c>
      <c r="O8712" s="2">
        <f ca="1"/>
        <v>0.62679807551065425</v>
      </c>
      <c r="X8712" s="2">
        <f ca="1"/>
        <v>67.152940946683671</v>
      </c>
      <c r="AG8712" s="2">
        <f ca="1"/>
        <v>0.41032866210607799</v>
      </c>
      <c r="AH8712" s="2" t="str">
        <f ca="1"/>
        <v>Bad</v>
      </c>
    </row>
    <row r="8713" spans="2:34" x14ac:dyDescent="0.2">
      <c r="B8713" s="2">
        <f ca="1"/>
        <v>0.52073381397237117</v>
      </c>
      <c r="O8713" s="2">
        <f ca="1"/>
        <v>8.9250411312757849E-2</v>
      </c>
      <c r="X8713" s="2">
        <f ca="1"/>
        <v>50.495257256643988</v>
      </c>
      <c r="AG8713" s="2">
        <f ca="1"/>
        <v>7.2582939138074787E-2</v>
      </c>
      <c r="AH8713" s="2" t="str">
        <f ca="1"/>
        <v>OK</v>
      </c>
    </row>
    <row r="8714" spans="2:34" x14ac:dyDescent="0.2">
      <c r="B8714" s="2">
        <f ca="1"/>
        <v>0.43617797078788167</v>
      </c>
      <c r="O8714" s="2">
        <f ca="1"/>
        <v>-2.1518229557673578</v>
      </c>
      <c r="X8714" s="2">
        <f ca="1"/>
        <v>34.207927752007102</v>
      </c>
      <c r="AG8714" s="2">
        <f ca="1"/>
        <v>0.22910436796812794</v>
      </c>
      <c r="AH8714" s="2" t="str">
        <f ca="1"/>
        <v>OK</v>
      </c>
    </row>
    <row r="8715" spans="2:34" x14ac:dyDescent="0.2">
      <c r="B8715" s="2">
        <f ca="1"/>
        <v>0.56475588545395472</v>
      </c>
      <c r="O8715" s="2">
        <f ca="1"/>
        <v>-0.197855537397432</v>
      </c>
      <c r="X8715" s="2">
        <f ca="1"/>
        <v>48.957312206430984</v>
      </c>
      <c r="AG8715" s="2">
        <f ca="1"/>
        <v>0.36967153425512977</v>
      </c>
      <c r="AH8715" s="2" t="str">
        <f ca="1"/>
        <v>OK</v>
      </c>
    </row>
    <row r="8716" spans="2:34" x14ac:dyDescent="0.2">
      <c r="B8716" s="2">
        <f ca="1"/>
        <v>0.7518498620455849</v>
      </c>
      <c r="O8716" s="2">
        <f ca="1"/>
        <v>-0.100169835442306</v>
      </c>
      <c r="X8716" s="2">
        <f ca="1"/>
        <v>46.570505321720745</v>
      </c>
      <c r="AG8716" s="2">
        <f ca="1"/>
        <v>0.62706305331061118</v>
      </c>
      <c r="AH8716" s="2" t="str">
        <f ca="1"/>
        <v>Bad</v>
      </c>
    </row>
    <row r="8717" spans="2:34" x14ac:dyDescent="0.2">
      <c r="B8717" s="2">
        <f ca="1"/>
        <v>0.28303289478476401</v>
      </c>
      <c r="O8717" s="2">
        <f ca="1"/>
        <v>-2.4371482119511394</v>
      </c>
      <c r="X8717" s="2">
        <f ca="1"/>
        <v>65.998954044311773</v>
      </c>
      <c r="AG8717" s="2">
        <f ca="1"/>
        <v>0.84942023205338812</v>
      </c>
      <c r="AH8717" s="2" t="str">
        <f ca="1"/>
        <v>Bad</v>
      </c>
    </row>
    <row r="8718" spans="2:34" x14ac:dyDescent="0.2">
      <c r="B8718" s="2">
        <f ca="1"/>
        <v>0.43616443002487704</v>
      </c>
      <c r="O8718" s="2">
        <f ca="1"/>
        <v>-0.22151649070734172</v>
      </c>
      <c r="X8718" s="2">
        <f ca="1"/>
        <v>55.231100529673434</v>
      </c>
      <c r="AG8718" s="2">
        <f ca="1"/>
        <v>0.87202364023540468</v>
      </c>
      <c r="AH8718" s="2" t="str">
        <f ca="1"/>
        <v>Bad</v>
      </c>
    </row>
    <row r="8719" spans="2:34" x14ac:dyDescent="0.2">
      <c r="B8719" s="2">
        <f ca="1"/>
        <v>0.40325729186404113</v>
      </c>
      <c r="O8719" s="2">
        <f ca="1"/>
        <v>0.68602832726561203</v>
      </c>
      <c r="X8719" s="2">
        <f ca="1"/>
        <v>47.033171379743351</v>
      </c>
      <c r="AG8719" s="2">
        <f ca="1"/>
        <v>0.12132365394232281</v>
      </c>
      <c r="AH8719" s="2" t="str">
        <f ca="1"/>
        <v>OK</v>
      </c>
    </row>
    <row r="8720" spans="2:34" x14ac:dyDescent="0.2">
      <c r="B8720" s="2">
        <f ca="1"/>
        <v>0.19795733072179655</v>
      </c>
      <c r="O8720" s="2">
        <f ca="1"/>
        <v>-1.2558021130564412</v>
      </c>
      <c r="X8720" s="2">
        <f ca="1"/>
        <v>50.22437175699929</v>
      </c>
      <c r="AG8720" s="2">
        <f ca="1"/>
        <v>5.914356036038515E-2</v>
      </c>
      <c r="AH8720" s="2" t="str">
        <f ca="1"/>
        <v>OK</v>
      </c>
    </row>
    <row r="8721" spans="2:34" x14ac:dyDescent="0.2">
      <c r="B8721" s="2">
        <f ca="1"/>
        <v>0.13395902137902871</v>
      </c>
      <c r="O8721" s="2">
        <f ca="1"/>
        <v>0.78553648606900062</v>
      </c>
      <c r="X8721" s="2">
        <f ca="1"/>
        <v>48.238342387333589</v>
      </c>
      <c r="AG8721" s="2">
        <f ca="1"/>
        <v>0.78274937740293371</v>
      </c>
      <c r="AH8721" s="2" t="str">
        <f ca="1"/>
        <v>Bad</v>
      </c>
    </row>
    <row r="8722" spans="2:34" x14ac:dyDescent="0.2">
      <c r="B8722" s="2">
        <f ca="1"/>
        <v>0.32234599831766264</v>
      </c>
      <c r="O8722" s="2">
        <f ca="1"/>
        <v>0.57948823250489356</v>
      </c>
      <c r="X8722" s="2">
        <f ca="1"/>
        <v>35.172922320196335</v>
      </c>
      <c r="AG8722" s="2">
        <f ca="1"/>
        <v>0.87671260824665254</v>
      </c>
      <c r="AH8722" s="2" t="str">
        <f ca="1"/>
        <v>Bad</v>
      </c>
    </row>
    <row r="8723" spans="2:34" x14ac:dyDescent="0.2">
      <c r="B8723" s="2">
        <f ca="1"/>
        <v>0.67883892793840395</v>
      </c>
      <c r="O8723" s="2">
        <f ca="1"/>
        <v>0.78610514053888225</v>
      </c>
      <c r="X8723" s="2">
        <f ca="1"/>
        <v>32.435701717138635</v>
      </c>
      <c r="AG8723" s="2">
        <f ca="1"/>
        <v>0.56400611855765681</v>
      </c>
      <c r="AH8723" s="2" t="str">
        <f ca="1"/>
        <v>Bad</v>
      </c>
    </row>
    <row r="8724" spans="2:34" x14ac:dyDescent="0.2">
      <c r="B8724" s="2">
        <f ca="1"/>
        <v>6.0601032904462615E-2</v>
      </c>
      <c r="O8724" s="2">
        <f ca="1"/>
        <v>0.99216088417170212</v>
      </c>
      <c r="X8724" s="2">
        <f ca="1"/>
        <v>37.88128858030197</v>
      </c>
      <c r="AG8724" s="2">
        <f ca="1"/>
        <v>4.3297864963387056E-2</v>
      </c>
      <c r="AH8724" s="2" t="str">
        <f ca="1"/>
        <v>Good</v>
      </c>
    </row>
    <row r="8725" spans="2:34" x14ac:dyDescent="0.2">
      <c r="B8725" s="2">
        <f ca="1"/>
        <v>0.29720112950835498</v>
      </c>
      <c r="O8725" s="2">
        <f ca="1"/>
        <v>1.1732510005868233</v>
      </c>
      <c r="X8725" s="2">
        <f ca="1"/>
        <v>33.571809318154166</v>
      </c>
      <c r="AG8725" s="2">
        <f ca="1"/>
        <v>0.82434969633891875</v>
      </c>
      <c r="AH8725" s="2" t="str">
        <f ca="1"/>
        <v>Bad</v>
      </c>
    </row>
    <row r="8726" spans="2:34" x14ac:dyDescent="0.2">
      <c r="B8726" s="2">
        <f ca="1"/>
        <v>0.29957149811794137</v>
      </c>
      <c r="O8726" s="2">
        <f ca="1"/>
        <v>1.3990003459469622</v>
      </c>
      <c r="X8726" s="2">
        <f ca="1"/>
        <v>50.803260333347779</v>
      </c>
      <c r="AG8726" s="2">
        <f ca="1"/>
        <v>5.3714827820349642E-2</v>
      </c>
      <c r="AH8726" s="2" t="str">
        <f ca="1"/>
        <v>OK</v>
      </c>
    </row>
    <row r="8727" spans="2:34" x14ac:dyDescent="0.2">
      <c r="B8727" s="2">
        <f ca="1"/>
        <v>0.87488922608638786</v>
      </c>
      <c r="O8727" s="2">
        <f ca="1"/>
        <v>-0.70259166532573136</v>
      </c>
      <c r="X8727" s="2">
        <f ca="1"/>
        <v>43.583490134573857</v>
      </c>
      <c r="AG8727" s="2">
        <f ca="1"/>
        <v>0.78492227400501857</v>
      </c>
      <c r="AH8727" s="2" t="str">
        <f ca="1"/>
        <v>Bad</v>
      </c>
    </row>
    <row r="8728" spans="2:34" x14ac:dyDescent="0.2">
      <c r="B8728" s="2">
        <f ca="1"/>
        <v>0.78919071699183418</v>
      </c>
      <c r="O8728" s="2">
        <f ca="1"/>
        <v>2.0720452233501798</v>
      </c>
      <c r="X8728" s="2">
        <f ca="1"/>
        <v>56.601952581486316</v>
      </c>
      <c r="AG8728" s="2">
        <f ca="1"/>
        <v>0.57817639945437405</v>
      </c>
      <c r="AH8728" s="2" t="str">
        <f ca="1"/>
        <v>Bad</v>
      </c>
    </row>
    <row r="8729" spans="2:34" x14ac:dyDescent="0.2">
      <c r="B8729" s="2">
        <f ca="1"/>
        <v>0.4529109874197319</v>
      </c>
      <c r="O8729" s="2">
        <f ca="1"/>
        <v>-0.28295589350780442</v>
      </c>
      <c r="X8729" s="2">
        <f ca="1"/>
        <v>58.000691100076587</v>
      </c>
      <c r="AG8729" s="2">
        <f ca="1"/>
        <v>0.66341034347309202</v>
      </c>
      <c r="AH8729" s="2" t="str">
        <f ca="1"/>
        <v>Bad</v>
      </c>
    </row>
    <row r="8730" spans="2:34" x14ac:dyDescent="0.2">
      <c r="B8730" s="2">
        <f ca="1"/>
        <v>0.87562547838679294</v>
      </c>
      <c r="O8730" s="2">
        <f ca="1"/>
        <v>-0.78052581296282975</v>
      </c>
      <c r="X8730" s="2">
        <f ca="1"/>
        <v>26.902447328391268</v>
      </c>
      <c r="AG8730" s="2">
        <f ca="1"/>
        <v>0.82407890711875265</v>
      </c>
      <c r="AH8730" s="2" t="str">
        <f ca="1"/>
        <v>Bad</v>
      </c>
    </row>
    <row r="8731" spans="2:34" x14ac:dyDescent="0.2">
      <c r="B8731" s="2">
        <f ca="1"/>
        <v>5.7469343039418641E-2</v>
      </c>
      <c r="O8731" s="2">
        <f ca="1"/>
        <v>7.9086776378040527E-2</v>
      </c>
      <c r="X8731" s="2">
        <f ca="1"/>
        <v>63.530163770511763</v>
      </c>
      <c r="AG8731" s="2">
        <f ca="1"/>
        <v>7.5180381132485818E-2</v>
      </c>
      <c r="AH8731" s="2" t="str">
        <f ca="1"/>
        <v>OK</v>
      </c>
    </row>
    <row r="8732" spans="2:34" x14ac:dyDescent="0.2">
      <c r="B8732" s="2">
        <f ca="1"/>
        <v>0.40840642111970449</v>
      </c>
      <c r="O8732" s="2">
        <f ca="1"/>
        <v>-1.9607031001556183</v>
      </c>
      <c r="X8732" s="2">
        <f ca="1"/>
        <v>21.646248001739067</v>
      </c>
      <c r="AG8732" s="2">
        <f ca="1"/>
        <v>0.57757101698512248</v>
      </c>
      <c r="AH8732" s="2" t="str">
        <f ca="1"/>
        <v>Bad</v>
      </c>
    </row>
    <row r="8733" spans="2:34" x14ac:dyDescent="0.2">
      <c r="B8733" s="2">
        <f ca="1"/>
        <v>0.46853532002039744</v>
      </c>
      <c r="O8733" s="2">
        <f ca="1"/>
        <v>9.6078481730731066E-2</v>
      </c>
      <c r="X8733" s="2">
        <f ca="1"/>
        <v>72.644559512833965</v>
      </c>
      <c r="AG8733" s="2">
        <f ca="1"/>
        <v>0.30427947890348328</v>
      </c>
      <c r="AH8733" s="2" t="str">
        <f ca="1"/>
        <v>OK</v>
      </c>
    </row>
    <row r="8734" spans="2:34" x14ac:dyDescent="0.2">
      <c r="B8734" s="2">
        <f ca="1"/>
        <v>0.40384246591916195</v>
      </c>
      <c r="O8734" s="2">
        <f ca="1"/>
        <v>0.22419508917854114</v>
      </c>
      <c r="X8734" s="2">
        <f ca="1"/>
        <v>34.455648327191646</v>
      </c>
      <c r="AG8734" s="2">
        <f ca="1"/>
        <v>2.3904402634633115E-2</v>
      </c>
      <c r="AH8734" s="2" t="str">
        <f ca="1"/>
        <v>Good</v>
      </c>
    </row>
    <row r="8735" spans="2:34" x14ac:dyDescent="0.2">
      <c r="B8735" s="2">
        <f ca="1"/>
        <v>0.70652454071362891</v>
      </c>
      <c r="O8735" s="2">
        <f ca="1"/>
        <v>-1.4118904123590987</v>
      </c>
      <c r="X8735" s="2">
        <f ca="1"/>
        <v>51.81437797310052</v>
      </c>
      <c r="AG8735" s="2">
        <f ca="1"/>
        <v>0.82848861718061295</v>
      </c>
      <c r="AH8735" s="2" t="str">
        <f ca="1"/>
        <v>Bad</v>
      </c>
    </row>
    <row r="8736" spans="2:34" x14ac:dyDescent="0.2">
      <c r="B8736" s="2">
        <f ca="1"/>
        <v>0.62277155177378418</v>
      </c>
      <c r="O8736" s="2">
        <f ca="1"/>
        <v>-2.6653188887444598E-2</v>
      </c>
      <c r="X8736" s="2">
        <f ca="1"/>
        <v>67.771225289770285</v>
      </c>
      <c r="AG8736" s="2">
        <f ca="1"/>
        <v>2.8740986331461826E-2</v>
      </c>
      <c r="AH8736" s="2" t="str">
        <f ca="1"/>
        <v>Good</v>
      </c>
    </row>
    <row r="8737" spans="2:34" x14ac:dyDescent="0.2">
      <c r="B8737" s="2">
        <f ca="1"/>
        <v>0.52892359324365468</v>
      </c>
      <c r="O8737" s="2">
        <f ca="1"/>
        <v>1.0199339969500505</v>
      </c>
      <c r="X8737" s="2">
        <f ca="1"/>
        <v>51.967104198453306</v>
      </c>
      <c r="AG8737" s="2">
        <f ca="1"/>
        <v>0.56565627391135287</v>
      </c>
      <c r="AH8737" s="2" t="str">
        <f ca="1"/>
        <v>Bad</v>
      </c>
    </row>
    <row r="8738" spans="2:34" x14ac:dyDescent="0.2">
      <c r="B8738" s="2">
        <f ca="1"/>
        <v>0.19927511443919999</v>
      </c>
      <c r="O8738" s="2">
        <f ca="1"/>
        <v>1.261605148337581</v>
      </c>
      <c r="X8738" s="2">
        <f ca="1"/>
        <v>64.541860555179426</v>
      </c>
      <c r="AG8738" s="2">
        <f ca="1"/>
        <v>0.27743892178569562</v>
      </c>
      <c r="AH8738" s="2" t="str">
        <f ca="1"/>
        <v>OK</v>
      </c>
    </row>
    <row r="8739" spans="2:34" x14ac:dyDescent="0.2">
      <c r="B8739" s="2">
        <f ca="1"/>
        <v>0.78197676074616695</v>
      </c>
      <c r="O8739" s="2">
        <f ca="1"/>
        <v>-0.96854339810966439</v>
      </c>
      <c r="X8739" s="2">
        <f ca="1"/>
        <v>36.662123140518759</v>
      </c>
      <c r="AG8739" s="2">
        <f ca="1"/>
        <v>0.89473701700862973</v>
      </c>
      <c r="AH8739" s="2" t="str">
        <f ca="1"/>
        <v>Bad</v>
      </c>
    </row>
    <row r="8740" spans="2:34" x14ac:dyDescent="0.2">
      <c r="B8740" s="2">
        <f ca="1"/>
        <v>0.37335233994045836</v>
      </c>
      <c r="O8740" s="2">
        <f ca="1"/>
        <v>1.0546972730070694</v>
      </c>
      <c r="X8740" s="2">
        <f ca="1"/>
        <v>50.52188792014654</v>
      </c>
      <c r="AG8740" s="2">
        <f ca="1"/>
        <v>0.14847333020216635</v>
      </c>
      <c r="AH8740" s="2" t="str">
        <f ca="1"/>
        <v>OK</v>
      </c>
    </row>
    <row r="8741" spans="2:34" x14ac:dyDescent="0.2">
      <c r="B8741" s="2">
        <f ca="1"/>
        <v>0.16271388522436037</v>
      </c>
      <c r="O8741" s="2">
        <f ca="1"/>
        <v>0.50492722089156739</v>
      </c>
      <c r="X8741" s="2">
        <f ca="1"/>
        <v>83.963063772096717</v>
      </c>
      <c r="AG8741" s="2">
        <f ca="1"/>
        <v>0.15272649510267922</v>
      </c>
      <c r="AH8741" s="2" t="str">
        <f ca="1"/>
        <v>OK</v>
      </c>
    </row>
    <row r="8742" spans="2:34" x14ac:dyDescent="0.2">
      <c r="B8742" s="2">
        <f ca="1"/>
        <v>6.7381968346299059E-2</v>
      </c>
      <c r="O8742" s="2">
        <f ca="1"/>
        <v>0.65203635217547407</v>
      </c>
      <c r="X8742" s="2">
        <f ca="1"/>
        <v>53.868711307339041</v>
      </c>
      <c r="AG8742" s="2">
        <f ca="1"/>
        <v>0.59257329203300002</v>
      </c>
      <c r="AH8742" s="2" t="str">
        <f ca="1"/>
        <v>Bad</v>
      </c>
    </row>
    <row r="8743" spans="2:34" x14ac:dyDescent="0.2">
      <c r="B8743" s="2">
        <f ca="1"/>
        <v>0.58157223269142455</v>
      </c>
      <c r="O8743" s="2">
        <f ca="1"/>
        <v>0.53467888532072427</v>
      </c>
      <c r="X8743" s="2">
        <f ca="1"/>
        <v>70.451204913336781</v>
      </c>
      <c r="AG8743" s="2">
        <f ca="1"/>
        <v>0.25151529158139363</v>
      </c>
      <c r="AH8743" s="2" t="str">
        <f ca="1"/>
        <v>OK</v>
      </c>
    </row>
    <row r="8744" spans="2:34" x14ac:dyDescent="0.2">
      <c r="B8744" s="2">
        <f ca="1"/>
        <v>0.95334121045794529</v>
      </c>
      <c r="O8744" s="2">
        <f ca="1"/>
        <v>-1.210695317007553</v>
      </c>
      <c r="X8744" s="2">
        <f ca="1"/>
        <v>43.198767908731817</v>
      </c>
      <c r="AG8744" s="2">
        <f ca="1"/>
        <v>0.1450534791236735</v>
      </c>
      <c r="AH8744" s="2" t="str">
        <f ca="1"/>
        <v>OK</v>
      </c>
    </row>
    <row r="8745" spans="2:34" x14ac:dyDescent="0.2">
      <c r="B8745" s="2">
        <f ca="1"/>
        <v>0.65440633259312309</v>
      </c>
      <c r="O8745" s="2">
        <f ca="1"/>
        <v>1.7613299470963215</v>
      </c>
      <c r="X8745" s="2">
        <f ca="1"/>
        <v>77.908720694383248</v>
      </c>
      <c r="AG8745" s="2">
        <f ca="1"/>
        <v>0.75134665503177978</v>
      </c>
      <c r="AH8745" s="2" t="str">
        <f ca="1"/>
        <v>Bad</v>
      </c>
    </row>
    <row r="8746" spans="2:34" x14ac:dyDescent="0.2">
      <c r="B8746" s="2">
        <f ca="1"/>
        <v>0.67304087012424518</v>
      </c>
      <c r="O8746" s="2">
        <f ca="1"/>
        <v>-0.12175678352078452</v>
      </c>
      <c r="X8746" s="2">
        <f ca="1"/>
        <v>25.88222329239354</v>
      </c>
      <c r="AG8746" s="2">
        <f ca="1"/>
        <v>0.90178045178666433</v>
      </c>
      <c r="AH8746" s="2" t="str">
        <f ca="1"/>
        <v>Bad</v>
      </c>
    </row>
    <row r="8747" spans="2:34" x14ac:dyDescent="0.2">
      <c r="B8747" s="2">
        <f ca="1"/>
        <v>0.76875082040992293</v>
      </c>
      <c r="O8747" s="2">
        <f ca="1"/>
        <v>0.72958087799265847</v>
      </c>
      <c r="X8747" s="2">
        <f ca="1"/>
        <v>78.799022827027201</v>
      </c>
      <c r="AG8747" s="2">
        <f ca="1"/>
        <v>0.19520574251877565</v>
      </c>
      <c r="AH8747" s="2" t="str">
        <f ca="1"/>
        <v>OK</v>
      </c>
    </row>
    <row r="8748" spans="2:34" x14ac:dyDescent="0.2">
      <c r="B8748" s="2">
        <f ca="1"/>
        <v>0.26255647072098731</v>
      </c>
      <c r="O8748" s="2">
        <f ca="1"/>
        <v>0.61699188091991697</v>
      </c>
      <c r="X8748" s="2">
        <f ca="1"/>
        <v>58.629881644368027</v>
      </c>
      <c r="AG8748" s="2">
        <f ca="1"/>
        <v>0.31413226310451314</v>
      </c>
      <c r="AH8748" s="2" t="str">
        <f ca="1"/>
        <v>OK</v>
      </c>
    </row>
    <row r="8749" spans="2:34" x14ac:dyDescent="0.2">
      <c r="B8749" s="2">
        <f ca="1"/>
        <v>0.62897696219230026</v>
      </c>
      <c r="O8749" s="2">
        <f ca="1"/>
        <v>-0.65981455433223257</v>
      </c>
      <c r="X8749" s="2">
        <f ca="1"/>
        <v>44.030004642945393</v>
      </c>
      <c r="AG8749" s="2">
        <f ca="1"/>
        <v>0.38113422801092423</v>
      </c>
      <c r="AH8749" s="2" t="str">
        <f ca="1"/>
        <v>OK</v>
      </c>
    </row>
    <row r="8750" spans="2:34" x14ac:dyDescent="0.2">
      <c r="B8750" s="2">
        <f ca="1"/>
        <v>0.74937979806904487</v>
      </c>
      <c r="O8750" s="2">
        <f ca="1"/>
        <v>0.43801736780056855</v>
      </c>
      <c r="X8750" s="2">
        <f ca="1"/>
        <v>38.590829775289116</v>
      </c>
      <c r="AG8750" s="2">
        <f ca="1"/>
        <v>0.89220847054749441</v>
      </c>
      <c r="AH8750" s="2" t="str">
        <f ca="1"/>
        <v>Bad</v>
      </c>
    </row>
    <row r="8751" spans="2:34" x14ac:dyDescent="0.2">
      <c r="B8751" s="2">
        <f ca="1"/>
        <v>0.8099722475530271</v>
      </c>
      <c r="O8751" s="2">
        <f ca="1"/>
        <v>0.85715565829810458</v>
      </c>
      <c r="X8751" s="2">
        <f ca="1"/>
        <v>31.253732270829406</v>
      </c>
      <c r="AG8751" s="2">
        <f ca="1"/>
        <v>0.84490689968586441</v>
      </c>
      <c r="AH8751" s="2" t="str">
        <f ca="1"/>
        <v>Bad</v>
      </c>
    </row>
    <row r="8752" spans="2:34" x14ac:dyDescent="0.2">
      <c r="B8752" s="2">
        <f ca="1"/>
        <v>0.81519653889633603</v>
      </c>
      <c r="O8752" s="2">
        <f ca="1"/>
        <v>1.0351357642017445</v>
      </c>
      <c r="X8752" s="2">
        <f ca="1"/>
        <v>55.618968590984743</v>
      </c>
      <c r="AG8752" s="2">
        <f ca="1"/>
        <v>0.25428862143910691</v>
      </c>
      <c r="AH8752" s="2" t="str">
        <f ca="1"/>
        <v>OK</v>
      </c>
    </row>
    <row r="8753" spans="2:34" x14ac:dyDescent="0.2">
      <c r="B8753" s="2">
        <f ca="1"/>
        <v>0.47234917680369359</v>
      </c>
      <c r="O8753" s="2">
        <f ca="1"/>
        <v>-0.94940470083107853</v>
      </c>
      <c r="X8753" s="2">
        <f ca="1"/>
        <v>47.402060063198078</v>
      </c>
      <c r="AG8753" s="2">
        <f ca="1"/>
        <v>0.80028962402142745</v>
      </c>
      <c r="AH8753" s="2" t="str">
        <f ca="1"/>
        <v>Bad</v>
      </c>
    </row>
    <row r="8754" spans="2:34" x14ac:dyDescent="0.2">
      <c r="B8754" s="2">
        <f ca="1"/>
        <v>2.4318509580776082E-2</v>
      </c>
      <c r="O8754" s="2">
        <f ca="1"/>
        <v>-8.6540579014040397E-3</v>
      </c>
      <c r="X8754" s="2">
        <f ca="1"/>
        <v>58.396936199468932</v>
      </c>
      <c r="AG8754" s="2">
        <f ca="1"/>
        <v>0.10888822682604027</v>
      </c>
      <c r="AH8754" s="2" t="str">
        <f ca="1"/>
        <v>OK</v>
      </c>
    </row>
    <row r="8755" spans="2:34" x14ac:dyDescent="0.2">
      <c r="B8755" s="2">
        <f ca="1"/>
        <v>0.1953596639395736</v>
      </c>
      <c r="O8755" s="2">
        <f ca="1"/>
        <v>-0.22300084194062708</v>
      </c>
      <c r="X8755" s="2">
        <f ca="1"/>
        <v>64.816906513535486</v>
      </c>
      <c r="AG8755" s="2">
        <f ca="1"/>
        <v>0.11218822673093154</v>
      </c>
      <c r="AH8755" s="2" t="str">
        <f ca="1"/>
        <v>OK</v>
      </c>
    </row>
    <row r="8756" spans="2:34" x14ac:dyDescent="0.2">
      <c r="B8756" s="2">
        <f ca="1"/>
        <v>0.49086685220033077</v>
      </c>
      <c r="O8756" s="2">
        <f ca="1"/>
        <v>-1.8504226637690941</v>
      </c>
      <c r="X8756" s="2">
        <f ca="1"/>
        <v>49.09354198997778</v>
      </c>
      <c r="AG8756" s="2">
        <f ca="1"/>
        <v>2.6131384298644145E-2</v>
      </c>
      <c r="AH8756" s="2" t="str">
        <f ca="1"/>
        <v>Good</v>
      </c>
    </row>
    <row r="8757" spans="2:34" x14ac:dyDescent="0.2">
      <c r="B8757" s="2">
        <f ca="1"/>
        <v>2.7307905555676193E-2</v>
      </c>
      <c r="O8757" s="2">
        <f ca="1"/>
        <v>0.83313364358949171</v>
      </c>
      <c r="X8757" s="2">
        <f ca="1"/>
        <v>43.451981835555252</v>
      </c>
      <c r="AG8757" s="2">
        <f ca="1"/>
        <v>0.64808302797732664</v>
      </c>
      <c r="AH8757" s="2" t="str">
        <f ca="1"/>
        <v>Bad</v>
      </c>
    </row>
    <row r="8758" spans="2:34" x14ac:dyDescent="0.2">
      <c r="B8758" s="2">
        <f ca="1"/>
        <v>0.16213757967713849</v>
      </c>
      <c r="O8758" s="2">
        <f ca="1"/>
        <v>-0.85896831547411134</v>
      </c>
      <c r="X8758" s="2">
        <f ca="1"/>
        <v>47.373853603293632</v>
      </c>
      <c r="AG8758" s="2">
        <f ca="1"/>
        <v>0.93939049749200665</v>
      </c>
      <c r="AH8758" s="2" t="str">
        <f ca="1"/>
        <v>Bad</v>
      </c>
    </row>
    <row r="8759" spans="2:34" x14ac:dyDescent="0.2">
      <c r="B8759" s="2">
        <f ca="1"/>
        <v>0.94667064345688101</v>
      </c>
      <c r="O8759" s="2">
        <f ca="1"/>
        <v>0.95899670251596403</v>
      </c>
      <c r="X8759" s="2">
        <f ca="1"/>
        <v>66.007894356652173</v>
      </c>
      <c r="AG8759" s="2">
        <f ca="1"/>
        <v>0.28410345190607256</v>
      </c>
      <c r="AH8759" s="2" t="str">
        <f ca="1"/>
        <v>OK</v>
      </c>
    </row>
    <row r="8760" spans="2:34" x14ac:dyDescent="0.2">
      <c r="B8760" s="2">
        <f ca="1"/>
        <v>0.32122107132227096</v>
      </c>
      <c r="O8760" s="2">
        <f ca="1"/>
        <v>-0.50789320832691764</v>
      </c>
      <c r="X8760" s="2">
        <f ca="1"/>
        <v>55.059366834467653</v>
      </c>
      <c r="AG8760" s="2">
        <f ca="1"/>
        <v>0.81102979577403933</v>
      </c>
      <c r="AH8760" s="2" t="str">
        <f ca="1"/>
        <v>Bad</v>
      </c>
    </row>
    <row r="8761" spans="2:34" x14ac:dyDescent="0.2">
      <c r="B8761" s="2">
        <f ca="1"/>
        <v>0.36880531542177275</v>
      </c>
      <c r="O8761" s="2">
        <f ca="1"/>
        <v>0.85060105103517425</v>
      </c>
      <c r="X8761" s="2">
        <f ca="1"/>
        <v>66.00557592407624</v>
      </c>
      <c r="AG8761" s="2">
        <f ca="1"/>
        <v>0.42767135908126064</v>
      </c>
      <c r="AH8761" s="2" t="str">
        <f ca="1"/>
        <v>Bad</v>
      </c>
    </row>
    <row r="8762" spans="2:34" x14ac:dyDescent="0.2">
      <c r="B8762" s="2">
        <f ca="1"/>
        <v>0.85849975418242974</v>
      </c>
      <c r="O8762" s="2">
        <f ca="1"/>
        <v>-0.89664840162592596</v>
      </c>
      <c r="X8762" s="2">
        <f ca="1"/>
        <v>58.709817157427516</v>
      </c>
      <c r="AG8762" s="2">
        <f ca="1"/>
        <v>0.33275303157575786</v>
      </c>
      <c r="AH8762" s="2" t="str">
        <f ca="1"/>
        <v>OK</v>
      </c>
    </row>
    <row r="8763" spans="2:34" x14ac:dyDescent="0.2">
      <c r="B8763" s="2">
        <f ca="1"/>
        <v>0.87741679590831989</v>
      </c>
      <c r="O8763" s="2">
        <f ca="1"/>
        <v>-0.22098764450507863</v>
      </c>
      <c r="X8763" s="2">
        <f ca="1"/>
        <v>37.671969641889483</v>
      </c>
      <c r="AG8763" s="2">
        <f ca="1"/>
        <v>2.1413819110345012E-2</v>
      </c>
      <c r="AH8763" s="2" t="str">
        <f ca="1"/>
        <v>Good</v>
      </c>
    </row>
    <row r="8764" spans="2:34" x14ac:dyDescent="0.2">
      <c r="B8764" s="2">
        <f ca="1"/>
        <v>0.25768477480000906</v>
      </c>
      <c r="O8764" s="2">
        <f ca="1"/>
        <v>0.11135967779957835</v>
      </c>
      <c r="X8764" s="2">
        <f ca="1"/>
        <v>89.06638065663229</v>
      </c>
      <c r="AG8764" s="2">
        <f ca="1"/>
        <v>0.31696800275132553</v>
      </c>
      <c r="AH8764" s="2" t="str">
        <f ca="1"/>
        <v>OK</v>
      </c>
    </row>
    <row r="8765" spans="2:34" x14ac:dyDescent="0.2">
      <c r="B8765" s="2">
        <f ca="1"/>
        <v>0.39205377660764507</v>
      </c>
      <c r="O8765" s="2">
        <f ca="1"/>
        <v>7.469142767805155E-2</v>
      </c>
      <c r="X8765" s="2">
        <f ca="1"/>
        <v>36.853256047900032</v>
      </c>
      <c r="AG8765" s="2">
        <f ca="1"/>
        <v>0.97280448954254628</v>
      </c>
      <c r="AH8765" s="2" t="str">
        <f ca="1"/>
        <v>Bad</v>
      </c>
    </row>
    <row r="8766" spans="2:34" x14ac:dyDescent="0.2">
      <c r="B8766" s="2">
        <f ca="1"/>
        <v>0.95637405210740734</v>
      </c>
      <c r="O8766" s="2">
        <f ca="1"/>
        <v>-1.9392295406038409</v>
      </c>
      <c r="X8766" s="2">
        <f ca="1"/>
        <v>31.373517449077681</v>
      </c>
      <c r="AG8766" s="2">
        <f ca="1"/>
        <v>0.25421368731752825</v>
      </c>
      <c r="AH8766" s="2" t="str">
        <f ca="1"/>
        <v>OK</v>
      </c>
    </row>
    <row r="8767" spans="2:34" x14ac:dyDescent="0.2">
      <c r="B8767" s="2">
        <f ca="1"/>
        <v>0.39007902630536972</v>
      </c>
      <c r="O8767" s="2">
        <f ca="1"/>
        <v>0.25869198186663406</v>
      </c>
      <c r="X8767" s="2">
        <f ca="1"/>
        <v>83.935952483842811</v>
      </c>
      <c r="AG8767" s="2">
        <f ca="1"/>
        <v>0.48501081300000304</v>
      </c>
      <c r="AH8767" s="2" t="str">
        <f ca="1"/>
        <v>Bad</v>
      </c>
    </row>
    <row r="8768" spans="2:34" x14ac:dyDescent="0.2">
      <c r="B8768" s="2">
        <f ca="1"/>
        <v>0.69124594656434746</v>
      </c>
      <c r="O8768" s="2">
        <f ca="1"/>
        <v>2.1134467754419695</v>
      </c>
      <c r="X8768" s="2">
        <f ca="1"/>
        <v>39.936145797991152</v>
      </c>
      <c r="AG8768" s="2">
        <f ca="1"/>
        <v>0.48038925535859311</v>
      </c>
      <c r="AH8768" s="2" t="str">
        <f ca="1"/>
        <v>Bad</v>
      </c>
    </row>
    <row r="8769" spans="2:34" x14ac:dyDescent="0.2">
      <c r="B8769" s="2">
        <f ca="1"/>
        <v>0.9772445907305507</v>
      </c>
      <c r="O8769" s="2">
        <f ca="1"/>
        <v>0.12064198983309631</v>
      </c>
      <c r="X8769" s="2">
        <f ca="1"/>
        <v>63.367646393360168</v>
      </c>
      <c r="AG8769" s="2">
        <f ca="1"/>
        <v>0.19784994961172653</v>
      </c>
      <c r="AH8769" s="2" t="str">
        <f ca="1"/>
        <v>OK</v>
      </c>
    </row>
    <row r="8770" spans="2:34" x14ac:dyDescent="0.2">
      <c r="B8770" s="2">
        <f ca="1"/>
        <v>0.9653577588136748</v>
      </c>
      <c r="O8770" s="2">
        <f ca="1"/>
        <v>2.5920153502646031</v>
      </c>
      <c r="X8770" s="2">
        <f ca="1"/>
        <v>41.766665220386585</v>
      </c>
      <c r="AG8770" s="2">
        <f ca="1"/>
        <v>6.9562648073996369E-2</v>
      </c>
      <c r="AH8770" s="2" t="str">
        <f ca="1"/>
        <v>OK</v>
      </c>
    </row>
    <row r="8771" spans="2:34" x14ac:dyDescent="0.2">
      <c r="B8771" s="2">
        <f ca="1"/>
        <v>0.5142131939784087</v>
      </c>
      <c r="O8771" s="2">
        <f ca="1"/>
        <v>0.46845845833688826</v>
      </c>
      <c r="X8771" s="2">
        <f ca="1"/>
        <v>54.591695661362621</v>
      </c>
      <c r="AG8771" s="2">
        <f ca="1"/>
        <v>0.3125687021793413</v>
      </c>
      <c r="AH8771" s="2" t="str">
        <f ca="1"/>
        <v>OK</v>
      </c>
    </row>
    <row r="8772" spans="2:34" x14ac:dyDescent="0.2">
      <c r="B8772" s="2">
        <f ca="1"/>
        <v>0.23026789414660032</v>
      </c>
      <c r="O8772" s="2">
        <f ca="1"/>
        <v>-1.7140550117717221</v>
      </c>
      <c r="X8772" s="2">
        <f ca="1"/>
        <v>39.704814884871162</v>
      </c>
      <c r="AG8772" s="2">
        <f ca="1"/>
        <v>0.41447672247730405</v>
      </c>
      <c r="AH8772" s="2" t="str">
        <f ca="1"/>
        <v>Bad</v>
      </c>
    </row>
    <row r="8773" spans="2:34" x14ac:dyDescent="0.2">
      <c r="B8773" s="2">
        <f ca="1"/>
        <v>0.65770595323286019</v>
      </c>
      <c r="O8773" s="2">
        <f ca="1"/>
        <v>1.5936178666394676</v>
      </c>
      <c r="X8773" s="2">
        <f ca="1"/>
        <v>43.054314062027601</v>
      </c>
      <c r="AG8773" s="2">
        <f ca="1"/>
        <v>7.8951454507367069E-2</v>
      </c>
      <c r="AH8773" s="2" t="str">
        <f ca="1"/>
        <v>OK</v>
      </c>
    </row>
    <row r="8774" spans="2:34" x14ac:dyDescent="0.2">
      <c r="B8774" s="2">
        <f ca="1"/>
        <v>0.70622490284972717</v>
      </c>
      <c r="O8774" s="2">
        <f ca="1"/>
        <v>1.2792293072434502</v>
      </c>
      <c r="X8774" s="2">
        <f ca="1"/>
        <v>60.271385446148678</v>
      </c>
      <c r="AG8774" s="2">
        <f ca="1"/>
        <v>0.25954509411016513</v>
      </c>
      <c r="AH8774" s="2" t="str">
        <f ca="1"/>
        <v>OK</v>
      </c>
    </row>
    <row r="8775" spans="2:34" x14ac:dyDescent="0.2">
      <c r="B8775" s="2">
        <f ca="1"/>
        <v>0.2570194571636053</v>
      </c>
      <c r="O8775" s="2">
        <f ca="1"/>
        <v>-1.48303707621278</v>
      </c>
      <c r="X8775" s="2">
        <f ca="1"/>
        <v>30.784869358657101</v>
      </c>
      <c r="AG8775" s="2">
        <f ca="1"/>
        <v>0.89459725593155448</v>
      </c>
      <c r="AH8775" s="2" t="str">
        <f ca="1"/>
        <v>Bad</v>
      </c>
    </row>
    <row r="8776" spans="2:34" x14ac:dyDescent="0.2">
      <c r="B8776" s="2">
        <f ca="1"/>
        <v>0.18672438156856175</v>
      </c>
      <c r="O8776" s="2">
        <f ca="1"/>
        <v>-0.40671312031605955</v>
      </c>
      <c r="X8776" s="2">
        <f ca="1"/>
        <v>33.070571510557471</v>
      </c>
      <c r="AG8776" s="2">
        <f ca="1"/>
        <v>0.62970944026228781</v>
      </c>
      <c r="AH8776" s="2" t="str">
        <f ca="1"/>
        <v>Bad</v>
      </c>
    </row>
    <row r="8777" spans="2:34" x14ac:dyDescent="0.2">
      <c r="B8777" s="2">
        <f ca="1"/>
        <v>0.25653476545893339</v>
      </c>
      <c r="O8777" s="2">
        <f ca="1"/>
        <v>-0.59535653474207562</v>
      </c>
      <c r="X8777" s="2">
        <f ca="1"/>
        <v>55.346943055260269</v>
      </c>
      <c r="AG8777" s="2">
        <f ca="1"/>
        <v>0.47777802903391997</v>
      </c>
      <c r="AH8777" s="2" t="str">
        <f ca="1"/>
        <v>Bad</v>
      </c>
    </row>
    <row r="8778" spans="2:34" x14ac:dyDescent="0.2">
      <c r="B8778" s="2">
        <f ca="1"/>
        <v>0.53979174050182044</v>
      </c>
      <c r="O8778" s="2">
        <f ca="1"/>
        <v>-0.95307084027567346</v>
      </c>
      <c r="X8778" s="2">
        <f ca="1"/>
        <v>71.026619133676661</v>
      </c>
      <c r="AG8778" s="2">
        <f ca="1"/>
        <v>0.11904029131928318</v>
      </c>
      <c r="AH8778" s="2" t="str">
        <f ca="1"/>
        <v>OK</v>
      </c>
    </row>
    <row r="8779" spans="2:34" x14ac:dyDescent="0.2">
      <c r="B8779" s="2">
        <f ca="1"/>
        <v>0.82928526864471985</v>
      </c>
      <c r="O8779" s="2">
        <f ca="1"/>
        <v>-0.44266762823399147</v>
      </c>
      <c r="X8779" s="2">
        <f ca="1"/>
        <v>48.208442959323051</v>
      </c>
      <c r="AG8779" s="2">
        <f ca="1"/>
        <v>0.31366648005985454</v>
      </c>
      <c r="AH8779" s="2" t="str">
        <f ca="1"/>
        <v>OK</v>
      </c>
    </row>
    <row r="8780" spans="2:34" x14ac:dyDescent="0.2">
      <c r="B8780" s="2">
        <f ca="1"/>
        <v>0.82028407814193782</v>
      </c>
      <c r="O8780" s="2">
        <f ca="1"/>
        <v>5.5962700886169052E-2</v>
      </c>
      <c r="X8780" s="2">
        <f ca="1"/>
        <v>61.345959181740817</v>
      </c>
      <c r="AG8780" s="2">
        <f ca="1"/>
        <v>0.4345313343828614</v>
      </c>
      <c r="AH8780" s="2" t="str">
        <f ca="1"/>
        <v>Bad</v>
      </c>
    </row>
    <row r="8781" spans="2:34" x14ac:dyDescent="0.2">
      <c r="B8781" s="2">
        <f ca="1"/>
        <v>0.88683737350038649</v>
      </c>
      <c r="O8781" s="2">
        <f ca="1"/>
        <v>0.86589624049717617</v>
      </c>
      <c r="X8781" s="2">
        <f ca="1"/>
        <v>54.053726520913877</v>
      </c>
      <c r="AG8781" s="2">
        <f ca="1"/>
        <v>5.4741839743553511E-2</v>
      </c>
      <c r="AH8781" s="2" t="str">
        <f ca="1"/>
        <v>OK</v>
      </c>
    </row>
    <row r="8782" spans="2:34" x14ac:dyDescent="0.2">
      <c r="B8782" s="2">
        <f ca="1"/>
        <v>0.68105411615836275</v>
      </c>
      <c r="O8782" s="2">
        <f ca="1"/>
        <v>-1.1786346080848535</v>
      </c>
      <c r="X8782" s="2">
        <f ca="1"/>
        <v>48.893911911202522</v>
      </c>
      <c r="AG8782" s="2">
        <f ca="1"/>
        <v>0.50993382662748821</v>
      </c>
      <c r="AH8782" s="2" t="str">
        <f ca="1"/>
        <v>Bad</v>
      </c>
    </row>
    <row r="8783" spans="2:34" x14ac:dyDescent="0.2">
      <c r="B8783" s="2">
        <f ca="1"/>
        <v>0.33598176772182087</v>
      </c>
      <c r="O8783" s="2">
        <f ca="1"/>
        <v>0.50823099612841371</v>
      </c>
      <c r="X8783" s="2">
        <f ca="1"/>
        <v>36.204492758021374</v>
      </c>
      <c r="AG8783" s="2">
        <f ca="1"/>
        <v>0.58025000466860099</v>
      </c>
      <c r="AH8783" s="2" t="str">
        <f ca="1"/>
        <v>Bad</v>
      </c>
    </row>
    <row r="8784" spans="2:34" x14ac:dyDescent="0.2">
      <c r="B8784" s="2">
        <f ca="1"/>
        <v>0.38780640860763071</v>
      </c>
      <c r="O8784" s="2">
        <f ca="1"/>
        <v>0.1377140629708796</v>
      </c>
      <c r="X8784" s="2">
        <f ca="1"/>
        <v>33.085622975445673</v>
      </c>
      <c r="AG8784" s="2">
        <f ca="1"/>
        <v>0.18554101544691548</v>
      </c>
      <c r="AH8784" s="2" t="str">
        <f ca="1"/>
        <v>OK</v>
      </c>
    </row>
    <row r="8785" spans="2:34" x14ac:dyDescent="0.2">
      <c r="B8785" s="2">
        <f ca="1"/>
        <v>0.6151964160852077</v>
      </c>
      <c r="O8785" s="2">
        <f ca="1"/>
        <v>-0.40215913643581408</v>
      </c>
      <c r="X8785" s="2">
        <f ca="1"/>
        <v>23.973757367805021</v>
      </c>
      <c r="AG8785" s="2">
        <f ca="1"/>
        <v>0.67918074767609937</v>
      </c>
      <c r="AH8785" s="2" t="str">
        <f ca="1"/>
        <v>Bad</v>
      </c>
    </row>
    <row r="8786" spans="2:34" x14ac:dyDescent="0.2">
      <c r="B8786" s="2">
        <f ca="1"/>
        <v>0.3498232597687827</v>
      </c>
      <c r="O8786" s="2">
        <f ca="1"/>
        <v>-0.16456885975311503</v>
      </c>
      <c r="X8786" s="2">
        <f ca="1"/>
        <v>50.354550196211562</v>
      </c>
      <c r="AG8786" s="2">
        <f ca="1"/>
        <v>0.53492150200426059</v>
      </c>
      <c r="AH8786" s="2" t="str">
        <f ca="1"/>
        <v>Bad</v>
      </c>
    </row>
    <row r="8787" spans="2:34" x14ac:dyDescent="0.2">
      <c r="B8787" s="2">
        <f ca="1"/>
        <v>0.16633847126776202</v>
      </c>
      <c r="O8787" s="2">
        <f ca="1"/>
        <v>-1.3882127867831995</v>
      </c>
      <c r="X8787" s="2">
        <f ca="1"/>
        <v>43.769914417668986</v>
      </c>
      <c r="AG8787" s="2">
        <f ca="1"/>
        <v>0.90692719780647768</v>
      </c>
      <c r="AH8787" s="2" t="str">
        <f ca="1"/>
        <v>Bad</v>
      </c>
    </row>
    <row r="8788" spans="2:34" x14ac:dyDescent="0.2">
      <c r="B8788" s="2">
        <f ca="1"/>
        <v>0.99205756521738042</v>
      </c>
      <c r="O8788" s="2">
        <f ca="1"/>
        <v>-1.9776530608466529</v>
      </c>
      <c r="X8788" s="2">
        <f ca="1"/>
        <v>58.617735338932647</v>
      </c>
      <c r="AG8788" s="2">
        <f ca="1"/>
        <v>0.27148322763638277</v>
      </c>
      <c r="AH8788" s="2" t="str">
        <f ca="1"/>
        <v>OK</v>
      </c>
    </row>
    <row r="8789" spans="2:34" x14ac:dyDescent="0.2">
      <c r="B8789" s="2">
        <f ca="1"/>
        <v>0.56104749228775863</v>
      </c>
      <c r="O8789" s="2">
        <f ca="1"/>
        <v>-4.5519699340101612E-3</v>
      </c>
      <c r="X8789" s="2">
        <f ca="1"/>
        <v>53.047724998015433</v>
      </c>
      <c r="AG8789" s="2">
        <f ca="1"/>
        <v>8.6591809838075129E-2</v>
      </c>
      <c r="AH8789" s="2" t="str">
        <f ca="1"/>
        <v>OK</v>
      </c>
    </row>
    <row r="8790" spans="2:34" x14ac:dyDescent="0.2">
      <c r="B8790" s="2">
        <f ca="1"/>
        <v>0.71060010420582564</v>
      </c>
      <c r="O8790" s="2">
        <f ca="1"/>
        <v>-0.80418556732270463</v>
      </c>
      <c r="X8790" s="2">
        <f ca="1"/>
        <v>70.586715243998512</v>
      </c>
      <c r="AG8790" s="2">
        <f ca="1"/>
        <v>0.77079077971180743</v>
      </c>
      <c r="AH8790" s="2" t="str">
        <f ca="1"/>
        <v>Bad</v>
      </c>
    </row>
    <row r="8791" spans="2:34" x14ac:dyDescent="0.2">
      <c r="B8791" s="2">
        <f ca="1"/>
        <v>0.14852583285312981</v>
      </c>
      <c r="O8791" s="2">
        <f ca="1"/>
        <v>-1.4131297798552804</v>
      </c>
      <c r="X8791" s="2">
        <f ca="1"/>
        <v>39.185300792463728</v>
      </c>
      <c r="AG8791" s="2">
        <f ca="1"/>
        <v>0.94297849292292346</v>
      </c>
      <c r="AH8791" s="2" t="str">
        <f ca="1"/>
        <v>Bad</v>
      </c>
    </row>
    <row r="8792" spans="2:34" x14ac:dyDescent="0.2">
      <c r="B8792" s="2">
        <f ca="1"/>
        <v>0.46389251917106411</v>
      </c>
      <c r="O8792" s="2">
        <f ca="1"/>
        <v>0.9054776466494352</v>
      </c>
      <c r="X8792" s="2">
        <f ca="1"/>
        <v>40.325528138785216</v>
      </c>
      <c r="AG8792" s="2">
        <f ca="1"/>
        <v>0.67202988057944824</v>
      </c>
      <c r="AH8792" s="2" t="str">
        <f ca="1"/>
        <v>Bad</v>
      </c>
    </row>
    <row r="8793" spans="2:34" x14ac:dyDescent="0.2">
      <c r="B8793" s="2">
        <f ca="1"/>
        <v>0.7861693159065688</v>
      </c>
      <c r="O8793" s="2">
        <f ca="1"/>
        <v>-1.1673998989407341</v>
      </c>
      <c r="X8793" s="2">
        <f ca="1"/>
        <v>57.327280815744402</v>
      </c>
      <c r="AG8793" s="2">
        <f ca="1"/>
        <v>0.86761538989379217</v>
      </c>
      <c r="AH8793" s="2" t="str">
        <f ca="1"/>
        <v>Bad</v>
      </c>
    </row>
    <row r="8794" spans="2:34" x14ac:dyDescent="0.2">
      <c r="B8794" s="2">
        <f ca="1"/>
        <v>0.89488943929424569</v>
      </c>
      <c r="O8794" s="2">
        <f ca="1"/>
        <v>-0.38304337932841598</v>
      </c>
      <c r="X8794" s="2">
        <f ca="1"/>
        <v>50.728020236683292</v>
      </c>
      <c r="AG8794" s="2">
        <f ca="1"/>
        <v>0.6335313797248987</v>
      </c>
      <c r="AH8794" s="2" t="str">
        <f ca="1"/>
        <v>Bad</v>
      </c>
    </row>
    <row r="8795" spans="2:34" x14ac:dyDescent="0.2">
      <c r="B8795" s="2">
        <f ca="1"/>
        <v>6.232698480508625E-2</v>
      </c>
      <c r="O8795" s="2">
        <f ca="1"/>
        <v>-0.53730776454781681</v>
      </c>
      <c r="X8795" s="2">
        <f ca="1"/>
        <v>33.980208762656375</v>
      </c>
      <c r="AG8795" s="2">
        <f ca="1"/>
        <v>0.53855564494703922</v>
      </c>
      <c r="AH8795" s="2" t="str">
        <f ca="1"/>
        <v>Bad</v>
      </c>
    </row>
    <row r="8796" spans="2:34" x14ac:dyDescent="0.2">
      <c r="B8796" s="2">
        <f ca="1"/>
        <v>0.51995565113196318</v>
      </c>
      <c r="O8796" s="2">
        <f ca="1"/>
        <v>-0.21806713902151748</v>
      </c>
      <c r="X8796" s="2">
        <f ca="1"/>
        <v>41.690796783088338</v>
      </c>
      <c r="AG8796" s="2">
        <f ca="1"/>
        <v>0.87113425056471971</v>
      </c>
      <c r="AH8796" s="2" t="str">
        <f ca="1"/>
        <v>Bad</v>
      </c>
    </row>
    <row r="8797" spans="2:34" x14ac:dyDescent="0.2">
      <c r="B8797" s="2">
        <f ca="1"/>
        <v>0.26948890012179683</v>
      </c>
      <c r="O8797" s="2">
        <f ca="1"/>
        <v>-0.59487164951156901</v>
      </c>
      <c r="X8797" s="2">
        <f ca="1"/>
        <v>54.078653617733764</v>
      </c>
      <c r="AG8797" s="2">
        <f ca="1"/>
        <v>0.2562494365793786</v>
      </c>
      <c r="AH8797" s="2" t="str">
        <f ca="1"/>
        <v>OK</v>
      </c>
    </row>
    <row r="8798" spans="2:34" x14ac:dyDescent="0.2">
      <c r="B8798" s="2">
        <f ca="1"/>
        <v>0.38545441301157646</v>
      </c>
      <c r="O8798" s="2">
        <f ca="1"/>
        <v>0.27889853108786089</v>
      </c>
      <c r="X8798" s="2">
        <f ca="1"/>
        <v>69.558047525569563</v>
      </c>
      <c r="AG8798" s="2">
        <f ca="1"/>
        <v>0.86527535700033442</v>
      </c>
      <c r="AH8798" s="2" t="str">
        <f ca="1"/>
        <v>Bad</v>
      </c>
    </row>
    <row r="8799" spans="2:34" x14ac:dyDescent="0.2">
      <c r="B8799" s="2">
        <f ca="1"/>
        <v>0.30327482936031336</v>
      </c>
      <c r="O8799" s="2">
        <f ca="1"/>
        <v>-1.1061423543592637</v>
      </c>
      <c r="X8799" s="2">
        <f ca="1"/>
        <v>21.507886941382072</v>
      </c>
      <c r="AG8799" s="2">
        <f ca="1"/>
        <v>5.6777146011890434E-3</v>
      </c>
      <c r="AH8799" s="2" t="str">
        <f ca="1"/>
        <v>Good</v>
      </c>
    </row>
    <row r="8800" spans="2:34" x14ac:dyDescent="0.2">
      <c r="B8800" s="2">
        <f ca="1"/>
        <v>0.26978873693531913</v>
      </c>
      <c r="O8800" s="2">
        <f ca="1"/>
        <v>0.67065621515795582</v>
      </c>
      <c r="X8800" s="2">
        <f ca="1"/>
        <v>56.113278651426619</v>
      </c>
      <c r="AG8800" s="2">
        <f ca="1"/>
        <v>0.27363662729991267</v>
      </c>
      <c r="AH8800" s="2" t="str">
        <f ca="1"/>
        <v>OK</v>
      </c>
    </row>
    <row r="8801" spans="2:34" x14ac:dyDescent="0.2">
      <c r="B8801" s="2">
        <f ca="1"/>
        <v>0.3792440468795828</v>
      </c>
      <c r="O8801" s="2">
        <f ca="1"/>
        <v>0.2672354555310949</v>
      </c>
      <c r="X8801" s="2">
        <f ca="1"/>
        <v>47.771439567926748</v>
      </c>
      <c r="AG8801" s="2">
        <f ca="1"/>
        <v>0.94949108409872029</v>
      </c>
      <c r="AH8801" s="2" t="str">
        <f ca="1"/>
        <v>Bad</v>
      </c>
    </row>
    <row r="8802" spans="2:34" x14ac:dyDescent="0.2">
      <c r="B8802" s="2">
        <f ca="1"/>
        <v>4.398920239155224E-3</v>
      </c>
      <c r="O8802" s="2">
        <f ca="1"/>
        <v>1.1736709617315935</v>
      </c>
      <c r="X8802" s="2">
        <f ca="1"/>
        <v>68.07560143050226</v>
      </c>
      <c r="AG8802" s="2">
        <f ca="1"/>
        <v>0.67254283858587338</v>
      </c>
      <c r="AH8802" s="2" t="str">
        <f ca="1"/>
        <v>Bad</v>
      </c>
    </row>
    <row r="8803" spans="2:34" x14ac:dyDescent="0.2">
      <c r="B8803" s="2">
        <f ca="1"/>
        <v>7.7462129367022126E-2</v>
      </c>
      <c r="O8803" s="2">
        <f ca="1"/>
        <v>-1.7693641119338805</v>
      </c>
      <c r="X8803" s="2">
        <f ca="1"/>
        <v>48.64691047984833</v>
      </c>
      <c r="AG8803" s="2">
        <f ca="1"/>
        <v>0.47056092848124798</v>
      </c>
      <c r="AH8803" s="2" t="str">
        <f ca="1"/>
        <v>Bad</v>
      </c>
    </row>
    <row r="8804" spans="2:34" x14ac:dyDescent="0.2">
      <c r="B8804" s="2">
        <f ca="1"/>
        <v>0.36531727227372213</v>
      </c>
      <c r="O8804" s="2">
        <f ca="1"/>
        <v>5.2178093158078663E-2</v>
      </c>
      <c r="X8804" s="2">
        <f ca="1"/>
        <v>49.261944982732174</v>
      </c>
      <c r="AG8804" s="2">
        <f ca="1"/>
        <v>0.58440299555485664</v>
      </c>
      <c r="AH8804" s="2" t="str">
        <f ca="1"/>
        <v>Bad</v>
      </c>
    </row>
    <row r="8805" spans="2:34" x14ac:dyDescent="0.2">
      <c r="B8805" s="2">
        <f ca="1"/>
        <v>0.72115233797143241</v>
      </c>
      <c r="O8805" s="2">
        <f ca="1"/>
        <v>1.6372930615726475</v>
      </c>
      <c r="X8805" s="2">
        <f ca="1"/>
        <v>39.209653584472321</v>
      </c>
      <c r="AG8805" s="2">
        <f ca="1"/>
        <v>0.5074800003137252</v>
      </c>
      <c r="AH8805" s="2" t="str">
        <f ca="1"/>
        <v>Bad</v>
      </c>
    </row>
    <row r="8806" spans="2:34" x14ac:dyDescent="0.2">
      <c r="B8806" s="2">
        <f ca="1"/>
        <v>0.85732810913741941</v>
      </c>
      <c r="O8806" s="2">
        <f ca="1"/>
        <v>0.88992039918881694</v>
      </c>
      <c r="X8806" s="2">
        <f ca="1"/>
        <v>30.26604382173883</v>
      </c>
      <c r="AG8806" s="2">
        <f ca="1"/>
        <v>0.75873292980092932</v>
      </c>
      <c r="AH8806" s="2" t="str">
        <f ca="1"/>
        <v>Bad</v>
      </c>
    </row>
    <row r="8807" spans="2:34" x14ac:dyDescent="0.2">
      <c r="B8807" s="2">
        <f ca="1"/>
        <v>0.81130127100168803</v>
      </c>
      <c r="O8807" s="2">
        <f ca="1"/>
        <v>-0.3582231115361893</v>
      </c>
      <c r="X8807" s="2">
        <f ca="1"/>
        <v>105.72563903137494</v>
      </c>
      <c r="AG8807" s="2">
        <f ca="1"/>
        <v>0.8564595314037553</v>
      </c>
      <c r="AH8807" s="2" t="str">
        <f ca="1"/>
        <v>Bad</v>
      </c>
    </row>
    <row r="8808" spans="2:34" x14ac:dyDescent="0.2">
      <c r="B8808" s="2">
        <f ca="1"/>
        <v>0.82550601255673484</v>
      </c>
      <c r="O8808" s="2">
        <f ca="1"/>
        <v>-0.99664961086520709</v>
      </c>
      <c r="X8808" s="2">
        <f ca="1"/>
        <v>39.981722535827849</v>
      </c>
      <c r="AG8808" s="2">
        <f ca="1"/>
        <v>0.42451456215203831</v>
      </c>
      <c r="AH8808" s="2" t="str">
        <f ca="1"/>
        <v>Bad</v>
      </c>
    </row>
    <row r="8809" spans="2:34" x14ac:dyDescent="0.2">
      <c r="B8809" s="2">
        <f ca="1"/>
        <v>0.68959519770259647</v>
      </c>
      <c r="O8809" s="2">
        <f ca="1"/>
        <v>-1.6307082359324694</v>
      </c>
      <c r="X8809" s="2">
        <f ca="1"/>
        <v>57.616582689423986</v>
      </c>
      <c r="AG8809" s="2">
        <f ca="1"/>
        <v>9.1785162671305098E-3</v>
      </c>
      <c r="AH8809" s="2" t="str">
        <f ca="1"/>
        <v>Good</v>
      </c>
    </row>
    <row r="8810" spans="2:34" x14ac:dyDescent="0.2">
      <c r="B8810" s="2">
        <f ca="1"/>
        <v>0.10591489457486403</v>
      </c>
      <c r="O8810" s="2">
        <f ca="1"/>
        <v>-0.80397846867721035</v>
      </c>
      <c r="X8810" s="2">
        <f ca="1"/>
        <v>62.32706350453293</v>
      </c>
      <c r="AG8810" s="2">
        <f ca="1"/>
        <v>0.68286464898802013</v>
      </c>
      <c r="AH8810" s="2" t="str">
        <f ca="1"/>
        <v>Bad</v>
      </c>
    </row>
    <row r="8811" spans="2:34" x14ac:dyDescent="0.2">
      <c r="B8811" s="2">
        <f ca="1"/>
        <v>0.68459559934506853</v>
      </c>
      <c r="O8811" s="2">
        <f ca="1"/>
        <v>1.8204418986677078</v>
      </c>
      <c r="X8811" s="2">
        <f ca="1"/>
        <v>40.754325171713745</v>
      </c>
      <c r="AG8811" s="2">
        <f ca="1"/>
        <v>1.5000469230000535E-2</v>
      </c>
      <c r="AH8811" s="2" t="str">
        <f ca="1"/>
        <v>Good</v>
      </c>
    </row>
    <row r="8812" spans="2:34" x14ac:dyDescent="0.2">
      <c r="B8812" s="2">
        <f ca="1"/>
        <v>0.25395699758583201</v>
      </c>
      <c r="O8812" s="2">
        <f ca="1"/>
        <v>-1.3838160515442079</v>
      </c>
      <c r="X8812" s="2">
        <f ca="1"/>
        <v>52.571807718227745</v>
      </c>
      <c r="AG8812" s="2">
        <f ca="1"/>
        <v>0.43836696896956018</v>
      </c>
      <c r="AH8812" s="2" t="str">
        <f ca="1"/>
        <v>Bad</v>
      </c>
    </row>
    <row r="8813" spans="2:34" x14ac:dyDescent="0.2">
      <c r="B8813" s="2">
        <f ca="1"/>
        <v>0.56441339974159832</v>
      </c>
      <c r="O8813" s="2">
        <f ca="1"/>
        <v>0.16072530275109351</v>
      </c>
      <c r="X8813" s="2">
        <f ca="1"/>
        <v>45.165177584806983</v>
      </c>
      <c r="AG8813" s="2">
        <f ca="1"/>
        <v>0.52899297232090192</v>
      </c>
      <c r="AH8813" s="2" t="str">
        <f ca="1"/>
        <v>Bad</v>
      </c>
    </row>
    <row r="8814" spans="2:34" x14ac:dyDescent="0.2">
      <c r="B8814" s="2">
        <f ca="1"/>
        <v>0.26137047641349742</v>
      </c>
      <c r="O8814" s="2">
        <f ca="1"/>
        <v>0.90882515507022077</v>
      </c>
      <c r="X8814" s="2">
        <f ca="1"/>
        <v>59.058571196124497</v>
      </c>
      <c r="AG8814" s="2">
        <f ca="1"/>
        <v>0.74948690379704752</v>
      </c>
      <c r="AH8814" s="2" t="str">
        <f ca="1"/>
        <v>Bad</v>
      </c>
    </row>
    <row r="8815" spans="2:34" x14ac:dyDescent="0.2">
      <c r="B8815" s="2">
        <f ca="1"/>
        <v>0.56195589025585213</v>
      </c>
      <c r="O8815" s="2">
        <f ca="1"/>
        <v>0.39009466247835639</v>
      </c>
      <c r="X8815" s="2">
        <f ca="1"/>
        <v>52.267963941753095</v>
      </c>
      <c r="AG8815" s="2">
        <f ca="1"/>
        <v>0.96507224535748803</v>
      </c>
      <c r="AH8815" s="2" t="str">
        <f ca="1"/>
        <v>Bad</v>
      </c>
    </row>
    <row r="8816" spans="2:34" x14ac:dyDescent="0.2">
      <c r="B8816" s="2">
        <f ca="1"/>
        <v>0.59626422205200402</v>
      </c>
      <c r="O8816" s="2">
        <f ca="1"/>
        <v>0.41024521617261422</v>
      </c>
      <c r="X8816" s="2">
        <f ca="1"/>
        <v>63.870644779147312</v>
      </c>
      <c r="AG8816" s="2">
        <f ca="1"/>
        <v>0.58764832333046835</v>
      </c>
      <c r="AH8816" s="2" t="str">
        <f ca="1"/>
        <v>Bad</v>
      </c>
    </row>
    <row r="8817" spans="2:34" x14ac:dyDescent="0.2">
      <c r="B8817" s="2">
        <f ca="1"/>
        <v>0.31618654100043497</v>
      </c>
      <c r="O8817" s="2">
        <f ca="1"/>
        <v>7.9820181855512777E-4</v>
      </c>
      <c r="X8817" s="2">
        <f ca="1"/>
        <v>45.552076357017043</v>
      </c>
      <c r="AG8817" s="2">
        <f ca="1"/>
        <v>0.77466103389603891</v>
      </c>
      <c r="AH8817" s="2" t="str">
        <f ca="1"/>
        <v>Bad</v>
      </c>
    </row>
    <row r="8818" spans="2:34" x14ac:dyDescent="0.2">
      <c r="B8818" s="2">
        <f ca="1"/>
        <v>0.32999669787172015</v>
      </c>
      <c r="O8818" s="2">
        <f ca="1"/>
        <v>1.1128906781850165</v>
      </c>
      <c r="X8818" s="2">
        <f ca="1"/>
        <v>75.747019457588976</v>
      </c>
      <c r="AG8818" s="2">
        <f ca="1"/>
        <v>0.43098775650374077</v>
      </c>
      <c r="AH8818" s="2" t="str">
        <f ca="1"/>
        <v>Bad</v>
      </c>
    </row>
    <row r="8819" spans="2:34" x14ac:dyDescent="0.2">
      <c r="B8819" s="2">
        <f ca="1"/>
        <v>0.22069097974145468</v>
      </c>
      <c r="O8819" s="2">
        <f ca="1"/>
        <v>-0.27125918751649003</v>
      </c>
      <c r="X8819" s="2">
        <f ca="1"/>
        <v>55.319707117661991</v>
      </c>
      <c r="AG8819" s="2">
        <f ca="1"/>
        <v>0.55690028889340204</v>
      </c>
      <c r="AH8819" s="2" t="str">
        <f ca="1"/>
        <v>Bad</v>
      </c>
    </row>
    <row r="8820" spans="2:34" x14ac:dyDescent="0.2">
      <c r="B8820" s="2">
        <f ca="1"/>
        <v>0.54111099645633054</v>
      </c>
      <c r="O8820" s="2">
        <f ca="1"/>
        <v>0.90597910570574214</v>
      </c>
      <c r="X8820" s="2">
        <f ca="1"/>
        <v>37.12681389319706</v>
      </c>
      <c r="AG8820" s="2">
        <f ca="1"/>
        <v>0.11287410845902102</v>
      </c>
      <c r="AH8820" s="2" t="str">
        <f ca="1"/>
        <v>OK</v>
      </c>
    </row>
    <row r="8821" spans="2:34" x14ac:dyDescent="0.2">
      <c r="B8821" s="2">
        <f ca="1"/>
        <v>0.88118372337640105</v>
      </c>
      <c r="O8821" s="2">
        <f ca="1"/>
        <v>1.1974672671866062</v>
      </c>
      <c r="X8821" s="2">
        <f ca="1"/>
        <v>61.643259286479619</v>
      </c>
      <c r="AG8821" s="2">
        <f ca="1"/>
        <v>0.54528719314938101</v>
      </c>
      <c r="AH8821" s="2" t="str">
        <f ca="1"/>
        <v>Bad</v>
      </c>
    </row>
    <row r="8822" spans="2:34" x14ac:dyDescent="0.2">
      <c r="B8822" s="2">
        <f ca="1"/>
        <v>0.28995610639221647</v>
      </c>
      <c r="O8822" s="2">
        <f ca="1"/>
        <v>0.6499018497457536</v>
      </c>
      <c r="X8822" s="2">
        <f ca="1"/>
        <v>64.701271310084351</v>
      </c>
      <c r="AG8822" s="2">
        <f ca="1"/>
        <v>0.10248321249701897</v>
      </c>
      <c r="AH8822" s="2" t="str">
        <f ca="1"/>
        <v>OK</v>
      </c>
    </row>
    <row r="8823" spans="2:34" x14ac:dyDescent="0.2">
      <c r="B8823" s="2">
        <f ca="1"/>
        <v>5.6235152851592973E-2</v>
      </c>
      <c r="O8823" s="2">
        <f ca="1"/>
        <v>1.1503225859149582</v>
      </c>
      <c r="X8823" s="2">
        <f ca="1"/>
        <v>58.625882283648103</v>
      </c>
      <c r="AG8823" s="2">
        <f ca="1"/>
        <v>0.11001635252417352</v>
      </c>
      <c r="AH8823" s="2" t="str">
        <f ca="1"/>
        <v>OK</v>
      </c>
    </row>
    <row r="8824" spans="2:34" x14ac:dyDescent="0.2">
      <c r="B8824" s="2">
        <f ca="1"/>
        <v>0.94452041772276552</v>
      </c>
      <c r="O8824" s="2">
        <f ca="1"/>
        <v>9.5067409010754722E-2</v>
      </c>
      <c r="X8824" s="2">
        <f ca="1"/>
        <v>61.75608454399363</v>
      </c>
      <c r="AG8824" s="2">
        <f ca="1"/>
        <v>6.7535303915357225E-2</v>
      </c>
      <c r="AH8824" s="2" t="str">
        <f ca="1"/>
        <v>OK</v>
      </c>
    </row>
    <row r="8825" spans="2:34" x14ac:dyDescent="0.2">
      <c r="B8825" s="2">
        <f ca="1"/>
        <v>0.39564424902062445</v>
      </c>
      <c r="O8825" s="2">
        <f ca="1"/>
        <v>-0.30773109538968735</v>
      </c>
      <c r="X8825" s="2">
        <f ca="1"/>
        <v>40.982418832477549</v>
      </c>
      <c r="AG8825" s="2">
        <f ca="1"/>
        <v>0.66342166181248485</v>
      </c>
      <c r="AH8825" s="2" t="str">
        <f ca="1"/>
        <v>Bad</v>
      </c>
    </row>
    <row r="8826" spans="2:34" x14ac:dyDescent="0.2">
      <c r="B8826" s="2">
        <f ca="1"/>
        <v>0.27815690126478154</v>
      </c>
      <c r="O8826" s="2">
        <f ca="1"/>
        <v>-0.51917382391622668</v>
      </c>
      <c r="X8826" s="2">
        <f ca="1"/>
        <v>67.445767962011601</v>
      </c>
      <c r="AG8826" s="2">
        <f ca="1"/>
        <v>0.86028529883823568</v>
      </c>
      <c r="AH8826" s="2" t="str">
        <f ca="1"/>
        <v>Bad</v>
      </c>
    </row>
    <row r="8827" spans="2:34" x14ac:dyDescent="0.2">
      <c r="B8827" s="2">
        <f ca="1"/>
        <v>5.9739731115853623E-2</v>
      </c>
      <c r="O8827" s="2">
        <f ca="1"/>
        <v>0.82013942375213034</v>
      </c>
      <c r="X8827" s="2">
        <f ca="1"/>
        <v>48.648102845420631</v>
      </c>
      <c r="AG8827" s="2">
        <f ca="1"/>
        <v>0.2384043399005904</v>
      </c>
      <c r="AH8827" s="2" t="str">
        <f ca="1"/>
        <v>OK</v>
      </c>
    </row>
    <row r="8828" spans="2:34" x14ac:dyDescent="0.2">
      <c r="B8828" s="2">
        <f ca="1"/>
        <v>0.74292654024827232</v>
      </c>
      <c r="O8828" s="2">
        <f ca="1"/>
        <v>0.60875070084476479</v>
      </c>
      <c r="X8828" s="2">
        <f ca="1"/>
        <v>20.902222117516473</v>
      </c>
      <c r="AG8828" s="2">
        <f ca="1"/>
        <v>0.2234126664401388</v>
      </c>
      <c r="AH8828" s="2" t="str">
        <f ca="1"/>
        <v>OK</v>
      </c>
    </row>
    <row r="8829" spans="2:34" x14ac:dyDescent="0.2">
      <c r="B8829" s="2">
        <f ca="1"/>
        <v>0.98556544299925575</v>
      </c>
      <c r="O8829" s="2">
        <f ca="1"/>
        <v>-1.552751721673677</v>
      </c>
      <c r="X8829" s="2">
        <f ca="1"/>
        <v>33.051408235801802</v>
      </c>
      <c r="AG8829" s="2">
        <f ca="1"/>
        <v>0.42201347650878684</v>
      </c>
      <c r="AH8829" s="2" t="str">
        <f ca="1"/>
        <v>Bad</v>
      </c>
    </row>
    <row r="8830" spans="2:34" x14ac:dyDescent="0.2">
      <c r="B8830" s="2">
        <f ca="1"/>
        <v>0.42009027618530159</v>
      </c>
      <c r="O8830" s="2">
        <f ca="1"/>
        <v>2.8022902344781171</v>
      </c>
      <c r="X8830" s="2">
        <f ca="1"/>
        <v>29.084399631347338</v>
      </c>
      <c r="AG8830" s="2">
        <f ca="1"/>
        <v>0.65082519430025032</v>
      </c>
      <c r="AH8830" s="2" t="str">
        <f ca="1"/>
        <v>Bad</v>
      </c>
    </row>
    <row r="8831" spans="2:34" x14ac:dyDescent="0.2">
      <c r="B8831" s="2">
        <f ca="1"/>
        <v>0.41321036827600643</v>
      </c>
      <c r="O8831" s="2">
        <f ca="1"/>
        <v>0.85093331459946553</v>
      </c>
      <c r="X8831" s="2">
        <f ca="1"/>
        <v>39.648498805560905</v>
      </c>
      <c r="AG8831" s="2">
        <f ca="1"/>
        <v>0.30239990009375428</v>
      </c>
      <c r="AH8831" s="2" t="str">
        <f ca="1"/>
        <v>OK</v>
      </c>
    </row>
    <row r="8832" spans="2:34" x14ac:dyDescent="0.2">
      <c r="B8832" s="2">
        <f ca="1"/>
        <v>0.52985992259131875</v>
      </c>
      <c r="O8832" s="2">
        <f ca="1"/>
        <v>0.87073697749296797</v>
      </c>
      <c r="X8832" s="2">
        <f ca="1"/>
        <v>43.939824942448844</v>
      </c>
      <c r="AG8832" s="2">
        <f ca="1"/>
        <v>0.57475906515169806</v>
      </c>
      <c r="AH8832" s="2" t="str">
        <f ca="1"/>
        <v>Bad</v>
      </c>
    </row>
    <row r="8833" spans="2:34" x14ac:dyDescent="0.2">
      <c r="B8833" s="2">
        <f ca="1"/>
        <v>0.2389088744962875</v>
      </c>
      <c r="O8833" s="2">
        <f ca="1"/>
        <v>0.15638202495035314</v>
      </c>
      <c r="X8833" s="2">
        <f ca="1"/>
        <v>60.011822994257678</v>
      </c>
      <c r="AG8833" s="2">
        <f ca="1"/>
        <v>0.65042142638813427</v>
      </c>
      <c r="AH8833" s="2" t="str">
        <f ca="1"/>
        <v>Bad</v>
      </c>
    </row>
    <row r="8834" spans="2:34" x14ac:dyDescent="0.2">
      <c r="B8834" s="2">
        <f ca="1"/>
        <v>0.80663060024161437</v>
      </c>
      <c r="O8834" s="2">
        <f ca="1"/>
        <v>1.0270746866127498</v>
      </c>
      <c r="X8834" s="2">
        <f ca="1"/>
        <v>47.260082540593224</v>
      </c>
      <c r="AG8834" s="2">
        <f ca="1"/>
        <v>7.9120593190455057E-2</v>
      </c>
      <c r="AH8834" s="2" t="str">
        <f ca="1"/>
        <v>OK</v>
      </c>
    </row>
    <row r="8835" spans="2:34" x14ac:dyDescent="0.2">
      <c r="B8835" s="2">
        <f ca="1"/>
        <v>0.93683055048106434</v>
      </c>
      <c r="O8835" s="2">
        <f ca="1"/>
        <v>0.11290482758523447</v>
      </c>
      <c r="X8835" s="2">
        <f ca="1"/>
        <v>36.577734864080512</v>
      </c>
      <c r="AG8835" s="2">
        <f ca="1"/>
        <v>0.98509550286908509</v>
      </c>
      <c r="AH8835" s="2" t="str">
        <f ca="1"/>
        <v>Bad</v>
      </c>
    </row>
    <row r="8836" spans="2:34" x14ac:dyDescent="0.2">
      <c r="B8836" s="2">
        <f ca="1"/>
        <v>0.56075212422011433</v>
      </c>
      <c r="O8836" s="2">
        <f ca="1"/>
        <v>0.11501883746577536</v>
      </c>
      <c r="X8836" s="2">
        <f ca="1"/>
        <v>30.556282177958316</v>
      </c>
      <c r="AG8836" s="2">
        <f ca="1"/>
        <v>0.65360882269166742</v>
      </c>
      <c r="AH8836" s="2" t="str">
        <f ca="1"/>
        <v>Bad</v>
      </c>
    </row>
    <row r="8837" spans="2:34" x14ac:dyDescent="0.2">
      <c r="B8837" s="2">
        <f ca="1"/>
        <v>8.1092665150195309E-2</v>
      </c>
      <c r="O8837" s="2">
        <f ca="1"/>
        <v>6.0345866606319118E-2</v>
      </c>
      <c r="X8837" s="2">
        <f ca="1"/>
        <v>30.251545394228152</v>
      </c>
      <c r="AG8837" s="2">
        <f ca="1"/>
        <v>7.5318803095897335E-2</v>
      </c>
      <c r="AH8837" s="2" t="str">
        <f ca="1"/>
        <v>OK</v>
      </c>
    </row>
    <row r="8838" spans="2:34" x14ac:dyDescent="0.2">
      <c r="B8838" s="2">
        <f ca="1"/>
        <v>0.65451866681420978</v>
      </c>
      <c r="O8838" s="2">
        <f ca="1"/>
        <v>1.4985171499167718</v>
      </c>
      <c r="X8838" s="2">
        <f ca="1"/>
        <v>84.758676485222949</v>
      </c>
      <c r="AG8838" s="2">
        <f ca="1"/>
        <v>0.93627093188624944</v>
      </c>
      <c r="AH8838" s="2" t="str">
        <f ca="1"/>
        <v>Bad</v>
      </c>
    </row>
    <row r="8839" spans="2:34" x14ac:dyDescent="0.2">
      <c r="B8839" s="2">
        <f ca="1"/>
        <v>0.89111440620831361</v>
      </c>
      <c r="O8839" s="2">
        <f ca="1"/>
        <v>0.99828256969013751</v>
      </c>
      <c r="X8839" s="2">
        <f ca="1"/>
        <v>58.138073716968677</v>
      </c>
      <c r="AG8839" s="2">
        <f ca="1"/>
        <v>0.23344703881244078</v>
      </c>
      <c r="AH8839" s="2" t="str">
        <f ca="1"/>
        <v>OK</v>
      </c>
    </row>
    <row r="8840" spans="2:34" x14ac:dyDescent="0.2">
      <c r="B8840" s="2">
        <f ca="1"/>
        <v>0.76029547597416824</v>
      </c>
      <c r="O8840" s="2">
        <f ca="1"/>
        <v>-0.63539726284694953</v>
      </c>
      <c r="X8840" s="2">
        <f ca="1"/>
        <v>50.113804791930619</v>
      </c>
      <c r="AG8840" s="2">
        <f ca="1"/>
        <v>0.8413834473139854</v>
      </c>
      <c r="AH8840" s="2" t="str">
        <f ca="1"/>
        <v>Bad</v>
      </c>
    </row>
    <row r="8841" spans="2:34" x14ac:dyDescent="0.2">
      <c r="B8841" s="2">
        <f ca="1"/>
        <v>0.69646132119378912</v>
      </c>
      <c r="O8841" s="2">
        <f ca="1"/>
        <v>0.52079707697967004</v>
      </c>
      <c r="X8841" s="2">
        <f ca="1"/>
        <v>51.951565789322345</v>
      </c>
      <c r="AG8841" s="2">
        <f ca="1"/>
        <v>0.56490620462343055</v>
      </c>
      <c r="AH8841" s="2" t="str">
        <f ca="1"/>
        <v>Bad</v>
      </c>
    </row>
    <row r="8842" spans="2:34" x14ac:dyDescent="0.2">
      <c r="B8842" s="2">
        <f ca="1"/>
        <v>0.75638343178991008</v>
      </c>
      <c r="O8842" s="2">
        <f ca="1"/>
        <v>1.2203039588343114E-2</v>
      </c>
      <c r="X8842" s="2">
        <f ca="1"/>
        <v>29.689027799602744</v>
      </c>
      <c r="AG8842" s="2">
        <f ca="1"/>
        <v>0.49046729740431383</v>
      </c>
      <c r="AH8842" s="2" t="str">
        <f ca="1"/>
        <v>Bad</v>
      </c>
    </row>
    <row r="8843" spans="2:34" x14ac:dyDescent="0.2">
      <c r="B8843" s="2">
        <f ca="1"/>
        <v>0.62912724973256373</v>
      </c>
      <c r="O8843" s="2">
        <f ca="1"/>
        <v>1.5128971859132998</v>
      </c>
      <c r="X8843" s="2">
        <f ca="1"/>
        <v>45.570469668335903</v>
      </c>
      <c r="AG8843" s="2">
        <f ca="1"/>
        <v>0.31893439686881386</v>
      </c>
      <c r="AH8843" s="2" t="str">
        <f ca="1"/>
        <v>OK</v>
      </c>
    </row>
    <row r="8844" spans="2:34" x14ac:dyDescent="0.2">
      <c r="B8844" s="2">
        <f ca="1"/>
        <v>0.77265269089138133</v>
      </c>
      <c r="O8844" s="2">
        <f ca="1"/>
        <v>0.57766385397125786</v>
      </c>
      <c r="X8844" s="2">
        <f ca="1"/>
        <v>41.431378227097333</v>
      </c>
      <c r="AG8844" s="2">
        <f ca="1"/>
        <v>0.60000734712449733</v>
      </c>
      <c r="AH8844" s="2" t="str">
        <f ca="1"/>
        <v>Bad</v>
      </c>
    </row>
    <row r="8845" spans="2:34" x14ac:dyDescent="0.2">
      <c r="B8845" s="2">
        <f ca="1"/>
        <v>0.53955533824126678</v>
      </c>
      <c r="O8845" s="2">
        <f ca="1"/>
        <v>0.84727474807787018</v>
      </c>
      <c r="X8845" s="2">
        <f ca="1"/>
        <v>23.727128522379456</v>
      </c>
      <c r="AG8845" s="2">
        <f ca="1"/>
        <v>0.25357384335499544</v>
      </c>
      <c r="AH8845" s="2" t="str">
        <f ca="1"/>
        <v>OK</v>
      </c>
    </row>
    <row r="8846" spans="2:34" x14ac:dyDescent="0.2">
      <c r="B8846" s="2">
        <f ca="1"/>
        <v>7.5179971015671976E-2</v>
      </c>
      <c r="O8846" s="2">
        <f ca="1"/>
        <v>0.34693562291793761</v>
      </c>
      <c r="X8846" s="2">
        <f ca="1"/>
        <v>48.810360765084909</v>
      </c>
      <c r="AG8846" s="2">
        <f ca="1"/>
        <v>0.91582940692703008</v>
      </c>
      <c r="AH8846" s="2" t="str">
        <f ca="1"/>
        <v>Bad</v>
      </c>
    </row>
    <row r="8847" spans="2:34" x14ac:dyDescent="0.2">
      <c r="B8847" s="2">
        <f ca="1"/>
        <v>9.4301712724016884E-2</v>
      </c>
      <c r="O8847" s="2">
        <f ca="1"/>
        <v>-0.36390736813577568</v>
      </c>
      <c r="X8847" s="2">
        <f ca="1"/>
        <v>68.872661010356481</v>
      </c>
      <c r="AG8847" s="2">
        <f ca="1"/>
        <v>0.80010574242055688</v>
      </c>
      <c r="AH8847" s="2" t="str">
        <f ca="1"/>
        <v>Bad</v>
      </c>
    </row>
    <row r="8848" spans="2:34" x14ac:dyDescent="0.2">
      <c r="B8848" s="2">
        <f ca="1"/>
        <v>0.92735689743790162</v>
      </c>
      <c r="O8848" s="2">
        <f ca="1"/>
        <v>1.8308030129878339</v>
      </c>
      <c r="X8848" s="2">
        <f ca="1"/>
        <v>44.843061531155442</v>
      </c>
      <c r="AG8848" s="2">
        <f ca="1"/>
        <v>0.22769321203851223</v>
      </c>
      <c r="AH8848" s="2" t="str">
        <f ca="1"/>
        <v>OK</v>
      </c>
    </row>
    <row r="8849" spans="2:34" x14ac:dyDescent="0.2">
      <c r="B8849" s="2">
        <f ca="1"/>
        <v>0.87563222746862257</v>
      </c>
      <c r="O8849" s="2">
        <f ca="1"/>
        <v>0.26766525470973895</v>
      </c>
      <c r="X8849" s="2">
        <f ca="1"/>
        <v>63.21304422147616</v>
      </c>
      <c r="AG8849" s="2">
        <f ca="1"/>
        <v>0.93299784483520032</v>
      </c>
      <c r="AH8849" s="2" t="str">
        <f ca="1"/>
        <v>Bad</v>
      </c>
    </row>
    <row r="8850" spans="2:34" x14ac:dyDescent="0.2">
      <c r="B8850" s="2">
        <f ca="1"/>
        <v>0.63392205470103269</v>
      </c>
      <c r="O8850" s="2">
        <f ca="1"/>
        <v>1.6819579926253081</v>
      </c>
      <c r="X8850" s="2">
        <f ca="1"/>
        <v>81.4479213545617</v>
      </c>
      <c r="AG8850" s="2">
        <f ca="1"/>
        <v>0.34923737957418566</v>
      </c>
      <c r="AH8850" s="2" t="str">
        <f ca="1"/>
        <v>OK</v>
      </c>
    </row>
    <row r="8851" spans="2:34" x14ac:dyDescent="0.2">
      <c r="B8851" s="2">
        <f ca="1"/>
        <v>0.15084438923774957</v>
      </c>
      <c r="O8851" s="2">
        <f ca="1"/>
        <v>-1.0158873082212228</v>
      </c>
      <c r="X8851" s="2">
        <f ca="1"/>
        <v>55.222084859288223</v>
      </c>
      <c r="AG8851" s="2">
        <f ca="1"/>
        <v>0.63993092880466751</v>
      </c>
      <c r="AH8851" s="2" t="str">
        <f ca="1"/>
        <v>Bad</v>
      </c>
    </row>
    <row r="8852" spans="2:34" x14ac:dyDescent="0.2">
      <c r="B8852" s="2">
        <f ca="1"/>
        <v>0.55830723569513063</v>
      </c>
      <c r="O8852" s="2">
        <f ca="1"/>
        <v>-0.42246406651876395</v>
      </c>
      <c r="X8852" s="2">
        <f ca="1"/>
        <v>44.537673349940931</v>
      </c>
      <c r="AG8852" s="2">
        <f ca="1"/>
        <v>0.69860798277915914</v>
      </c>
      <c r="AH8852" s="2" t="str">
        <f ca="1"/>
        <v>Bad</v>
      </c>
    </row>
    <row r="8853" spans="2:34" x14ac:dyDescent="0.2">
      <c r="B8853" s="2">
        <f ca="1"/>
        <v>0.57396579308211182</v>
      </c>
      <c r="O8853" s="2">
        <f ca="1"/>
        <v>0.97936662682380704</v>
      </c>
      <c r="X8853" s="2">
        <f ca="1"/>
        <v>52.218625201803505</v>
      </c>
      <c r="AG8853" s="2">
        <f ca="1"/>
        <v>0.69277882936202828</v>
      </c>
      <c r="AH8853" s="2" t="str">
        <f ca="1"/>
        <v>Bad</v>
      </c>
    </row>
    <row r="8854" spans="2:34" x14ac:dyDescent="0.2">
      <c r="B8854" s="2">
        <f ca="1"/>
        <v>3.8703286224968103E-3</v>
      </c>
      <c r="O8854" s="2">
        <f ca="1"/>
        <v>0.18029523278305848</v>
      </c>
      <c r="X8854" s="2">
        <f ca="1"/>
        <v>55.398637525649555</v>
      </c>
      <c r="AG8854" s="2">
        <f ca="1"/>
        <v>0.56410999798460915</v>
      </c>
      <c r="AH8854" s="2" t="str">
        <f ca="1"/>
        <v>Bad</v>
      </c>
    </row>
    <row r="8855" spans="2:34" x14ac:dyDescent="0.2">
      <c r="B8855" s="2">
        <f ca="1"/>
        <v>0.3531490933887993</v>
      </c>
      <c r="O8855" s="2">
        <f ca="1"/>
        <v>-0.12976152241165095</v>
      </c>
      <c r="X8855" s="2">
        <f ca="1"/>
        <v>70.078113068920302</v>
      </c>
      <c r="AG8855" s="2">
        <f ca="1"/>
        <v>0.5688321063681363</v>
      </c>
      <c r="AH8855" s="2" t="str">
        <f ca="1"/>
        <v>Bad</v>
      </c>
    </row>
    <row r="8856" spans="2:34" x14ac:dyDescent="0.2">
      <c r="B8856" s="2">
        <f ca="1"/>
        <v>0.48055503748047568</v>
      </c>
      <c r="O8856" s="2">
        <f ca="1"/>
        <v>1.1160200243800558</v>
      </c>
      <c r="X8856" s="2">
        <f ca="1"/>
        <v>51.752193331552277</v>
      </c>
      <c r="AG8856" s="2">
        <f ca="1"/>
        <v>7.506707189382622E-3</v>
      </c>
      <c r="AH8856" s="2" t="str">
        <f ca="1"/>
        <v>Good</v>
      </c>
    </row>
    <row r="8857" spans="2:34" x14ac:dyDescent="0.2">
      <c r="B8857" s="2">
        <f ca="1"/>
        <v>0.44824855585529888</v>
      </c>
      <c r="O8857" s="2">
        <f ca="1"/>
        <v>0.43580100417682871</v>
      </c>
      <c r="X8857" s="2">
        <f ca="1"/>
        <v>38.603806485772601</v>
      </c>
      <c r="AG8857" s="2">
        <f ca="1"/>
        <v>0.34962822383011494</v>
      </c>
      <c r="AH8857" s="2" t="str">
        <f ca="1"/>
        <v>OK</v>
      </c>
    </row>
    <row r="8858" spans="2:34" x14ac:dyDescent="0.2">
      <c r="B8858" s="2">
        <f ca="1"/>
        <v>0.76556271591618152</v>
      </c>
      <c r="O8858" s="2">
        <f ca="1"/>
        <v>-1.6338698103389473</v>
      </c>
      <c r="X8858" s="2">
        <f ca="1"/>
        <v>28.320273998847398</v>
      </c>
      <c r="AG8858" s="2">
        <f ca="1"/>
        <v>0.25487807125059136</v>
      </c>
      <c r="AH8858" s="2" t="str">
        <f ca="1"/>
        <v>OK</v>
      </c>
    </row>
    <row r="8859" spans="2:34" x14ac:dyDescent="0.2">
      <c r="B8859" s="2">
        <f ca="1"/>
        <v>0.89891649548475439</v>
      </c>
      <c r="O8859" s="2">
        <f ca="1"/>
        <v>-0.12064975799697795</v>
      </c>
      <c r="X8859" s="2">
        <f ca="1"/>
        <v>62.237750513451871</v>
      </c>
      <c r="AG8859" s="2">
        <f ca="1"/>
        <v>0.31881230520309312</v>
      </c>
      <c r="AH8859" s="2" t="str">
        <f ca="1"/>
        <v>OK</v>
      </c>
    </row>
    <row r="8860" spans="2:34" x14ac:dyDescent="0.2">
      <c r="B8860" s="2">
        <f ca="1"/>
        <v>0.29706398768672115</v>
      </c>
      <c r="O8860" s="2">
        <f ca="1"/>
        <v>0.27584924005665074</v>
      </c>
      <c r="X8860" s="2">
        <f ca="1"/>
        <v>38.082990398433118</v>
      </c>
      <c r="AG8860" s="2">
        <f ca="1"/>
        <v>0.50022982345823386</v>
      </c>
      <c r="AH8860" s="2" t="str">
        <f ca="1"/>
        <v>Bad</v>
      </c>
    </row>
    <row r="8861" spans="2:34" x14ac:dyDescent="0.2">
      <c r="B8861" s="2">
        <f ca="1"/>
        <v>4.3396504412569037E-2</v>
      </c>
      <c r="O8861" s="2">
        <f ca="1"/>
        <v>0.62737181189879077</v>
      </c>
      <c r="X8861" s="2">
        <f ca="1"/>
        <v>52.994410059633864</v>
      </c>
      <c r="AG8861" s="2">
        <f ca="1"/>
        <v>0.33201459313414006</v>
      </c>
      <c r="AH8861" s="2" t="str">
        <f ca="1"/>
        <v>OK</v>
      </c>
    </row>
    <row r="8862" spans="2:34" x14ac:dyDescent="0.2">
      <c r="B8862" s="2">
        <f ca="1"/>
        <v>0.5839280586461757</v>
      </c>
      <c r="O8862" s="2">
        <f ca="1"/>
        <v>-0.83007830824270101</v>
      </c>
      <c r="X8862" s="2">
        <f ca="1"/>
        <v>43.139628883645443</v>
      </c>
      <c r="AG8862" s="2">
        <f ca="1"/>
        <v>0.42918306410244234</v>
      </c>
      <c r="AH8862" s="2" t="str">
        <f ca="1"/>
        <v>Bad</v>
      </c>
    </row>
    <row r="8863" spans="2:34" x14ac:dyDescent="0.2">
      <c r="B8863" s="2">
        <f ca="1"/>
        <v>0.35156135116365417</v>
      </c>
      <c r="O8863" s="2">
        <f ca="1"/>
        <v>0.17654917138109535</v>
      </c>
      <c r="X8863" s="2">
        <f ca="1"/>
        <v>71.916968953836303</v>
      </c>
      <c r="AG8863" s="2">
        <f ca="1"/>
        <v>0.61511806627544319</v>
      </c>
      <c r="AH8863" s="2" t="str">
        <f ca="1"/>
        <v>Bad</v>
      </c>
    </row>
    <row r="8864" spans="2:34" x14ac:dyDescent="0.2">
      <c r="B8864" s="2">
        <f ca="1"/>
        <v>4.0259369815121904E-2</v>
      </c>
      <c r="O8864" s="2">
        <f ca="1"/>
        <v>1.587207463962526</v>
      </c>
      <c r="X8864" s="2">
        <f ca="1"/>
        <v>52.860048051085485</v>
      </c>
      <c r="AG8864" s="2">
        <f ca="1"/>
        <v>0.68068849305877488</v>
      </c>
      <c r="AH8864" s="2" t="str">
        <f ca="1"/>
        <v>Bad</v>
      </c>
    </row>
    <row r="8865" spans="2:34" x14ac:dyDescent="0.2">
      <c r="B8865" s="2">
        <f ca="1"/>
        <v>0.61533674617666212</v>
      </c>
      <c r="O8865" s="2">
        <f ca="1"/>
        <v>1.4695265973079641</v>
      </c>
      <c r="X8865" s="2">
        <f ca="1"/>
        <v>57.882171351726875</v>
      </c>
      <c r="AG8865" s="2">
        <f ca="1"/>
        <v>0.56829969945157943</v>
      </c>
      <c r="AH8865" s="2" t="str">
        <f ca="1"/>
        <v>Bad</v>
      </c>
    </row>
    <row r="8866" spans="2:34" x14ac:dyDescent="0.2">
      <c r="B8866" s="2">
        <f ca="1"/>
        <v>0.99924166756366328</v>
      </c>
      <c r="O8866" s="2">
        <f ca="1"/>
        <v>-1.3351218490253187</v>
      </c>
      <c r="X8866" s="2">
        <f ca="1"/>
        <v>61.733521164564145</v>
      </c>
      <c r="AG8866" s="2">
        <f ca="1"/>
        <v>0.30607028264577552</v>
      </c>
      <c r="AH8866" s="2" t="str">
        <f ca="1"/>
        <v>OK</v>
      </c>
    </row>
    <row r="8867" spans="2:34" x14ac:dyDescent="0.2">
      <c r="B8867" s="2">
        <f ca="1"/>
        <v>0.45768642713923979</v>
      </c>
      <c r="O8867" s="2">
        <f ca="1"/>
        <v>0.18046923704703849</v>
      </c>
      <c r="X8867" s="2">
        <f ca="1"/>
        <v>33.249702597365939</v>
      </c>
      <c r="AG8867" s="2">
        <f ca="1"/>
        <v>0.54851847171286017</v>
      </c>
      <c r="AH8867" s="2" t="str">
        <f ca="1"/>
        <v>Bad</v>
      </c>
    </row>
    <row r="8868" spans="2:34" x14ac:dyDescent="0.2">
      <c r="B8868" s="2">
        <f ca="1"/>
        <v>0.40016062901632354</v>
      </c>
      <c r="O8868" s="2">
        <f ca="1"/>
        <v>1.7309878616845276</v>
      </c>
      <c r="X8868" s="2">
        <f ca="1"/>
        <v>52.656388821008363</v>
      </c>
      <c r="AG8868" s="2">
        <f ca="1"/>
        <v>0.79508096686751606</v>
      </c>
      <c r="AH8868" s="2" t="str">
        <f ca="1"/>
        <v>Bad</v>
      </c>
    </row>
    <row r="8869" spans="2:34" x14ac:dyDescent="0.2">
      <c r="B8869" s="2">
        <f ca="1"/>
        <v>0.63661108706026326</v>
      </c>
      <c r="O8869" s="2">
        <f ca="1"/>
        <v>-1.0923179339078957</v>
      </c>
      <c r="X8869" s="2">
        <f ca="1"/>
        <v>73.029411157912918</v>
      </c>
      <c r="AG8869" s="2">
        <f ca="1"/>
        <v>0.85670695975605993</v>
      </c>
      <c r="AH8869" s="2" t="str">
        <f ca="1"/>
        <v>Bad</v>
      </c>
    </row>
    <row r="8870" spans="2:34" x14ac:dyDescent="0.2">
      <c r="B8870" s="2">
        <f ca="1"/>
        <v>0.53776954807403143</v>
      </c>
      <c r="O8870" s="2">
        <f ca="1"/>
        <v>-1.4977027328276435</v>
      </c>
      <c r="X8870" s="2">
        <f ca="1"/>
        <v>59.492924085340029</v>
      </c>
      <c r="AG8870" s="2">
        <f ca="1"/>
        <v>0.32123050270631381</v>
      </c>
      <c r="AH8870" s="2" t="str">
        <f ca="1"/>
        <v>OK</v>
      </c>
    </row>
    <row r="8871" spans="2:34" x14ac:dyDescent="0.2">
      <c r="B8871" s="2">
        <f ca="1"/>
        <v>0.34915404455903931</v>
      </c>
      <c r="O8871" s="2">
        <f ca="1"/>
        <v>2.2166882366234044</v>
      </c>
      <c r="X8871" s="2">
        <f ca="1"/>
        <v>74.928847251766641</v>
      </c>
      <c r="AG8871" s="2">
        <f ca="1"/>
        <v>0.22317650625719332</v>
      </c>
      <c r="AH8871" s="2" t="str">
        <f ca="1"/>
        <v>OK</v>
      </c>
    </row>
    <row r="8872" spans="2:34" x14ac:dyDescent="0.2">
      <c r="B8872" s="2">
        <f ca="1"/>
        <v>0.27496914328990862</v>
      </c>
      <c r="O8872" s="2">
        <f ca="1"/>
        <v>2.6995427544513806</v>
      </c>
      <c r="X8872" s="2">
        <f ca="1"/>
        <v>59.67771802463912</v>
      </c>
      <c r="AG8872" s="2">
        <f ca="1"/>
        <v>0.19336064712733392</v>
      </c>
      <c r="AH8872" s="2" t="str">
        <f ca="1"/>
        <v>OK</v>
      </c>
    </row>
    <row r="8873" spans="2:34" x14ac:dyDescent="0.2">
      <c r="B8873" s="2">
        <f ca="1"/>
        <v>0.185234286749691</v>
      </c>
      <c r="O8873" s="2">
        <f ca="1"/>
        <v>-0.77408111126782864</v>
      </c>
      <c r="X8873" s="2">
        <f ca="1"/>
        <v>37.482636020898241</v>
      </c>
      <c r="AG8873" s="2">
        <f ca="1"/>
        <v>0.44892518859595953</v>
      </c>
      <c r="AH8873" s="2" t="str">
        <f ca="1"/>
        <v>Bad</v>
      </c>
    </row>
    <row r="8874" spans="2:34" x14ac:dyDescent="0.2">
      <c r="B8874" s="2">
        <f ca="1"/>
        <v>0.36818323285010734</v>
      </c>
      <c r="O8874" s="2">
        <f ca="1"/>
        <v>-0.96393409880981029</v>
      </c>
      <c r="X8874" s="2">
        <f ca="1"/>
        <v>40.56261101067485</v>
      </c>
      <c r="AG8874" s="2">
        <f ca="1"/>
        <v>0.73321457577028748</v>
      </c>
      <c r="AH8874" s="2" t="str">
        <f ca="1"/>
        <v>Bad</v>
      </c>
    </row>
    <row r="8875" spans="2:34" x14ac:dyDescent="0.2">
      <c r="B8875" s="2">
        <f ca="1"/>
        <v>0.15955283350199112</v>
      </c>
      <c r="O8875" s="2">
        <f ca="1"/>
        <v>0.39925145711429422</v>
      </c>
      <c r="X8875" s="2">
        <f ca="1"/>
        <v>40.678414870892638</v>
      </c>
      <c r="AG8875" s="2">
        <f ca="1"/>
        <v>0.24902359708916055</v>
      </c>
      <c r="AH8875" s="2" t="str">
        <f ca="1"/>
        <v>OK</v>
      </c>
    </row>
    <row r="8876" spans="2:34" x14ac:dyDescent="0.2">
      <c r="B8876" s="2">
        <f ca="1"/>
        <v>0.7253596814159351</v>
      </c>
      <c r="O8876" s="2">
        <f ca="1"/>
        <v>-1.0753388508247613E-2</v>
      </c>
      <c r="X8876" s="2">
        <f ca="1"/>
        <v>32.355154464586178</v>
      </c>
      <c r="AG8876" s="2">
        <f ca="1"/>
        <v>0.63287213288767052</v>
      </c>
      <c r="AH8876" s="2" t="str">
        <f ca="1"/>
        <v>Bad</v>
      </c>
    </row>
    <row r="8877" spans="2:34" x14ac:dyDescent="0.2">
      <c r="B8877" s="2">
        <f ca="1"/>
        <v>8.3646586752594843E-3</v>
      </c>
      <c r="O8877" s="2">
        <f ca="1"/>
        <v>-0.46508617160397864</v>
      </c>
      <c r="X8877" s="2">
        <f ca="1"/>
        <v>44.682854405289731</v>
      </c>
      <c r="AG8877" s="2">
        <f ca="1"/>
        <v>0.23018255187209058</v>
      </c>
      <c r="AH8877" s="2" t="str">
        <f ca="1"/>
        <v>OK</v>
      </c>
    </row>
    <row r="8878" spans="2:34" x14ac:dyDescent="0.2">
      <c r="B8878" s="2">
        <f ca="1"/>
        <v>0.34477733046815584</v>
      </c>
      <c r="O8878" s="2">
        <f ca="1"/>
        <v>-0.59622448163191399</v>
      </c>
      <c r="X8878" s="2">
        <f ca="1"/>
        <v>64.082022658399396</v>
      </c>
      <c r="AG8878" s="2">
        <f ca="1"/>
        <v>0.19663453634609596</v>
      </c>
      <c r="AH8878" s="2" t="str">
        <f ca="1"/>
        <v>OK</v>
      </c>
    </row>
    <row r="8879" spans="2:34" x14ac:dyDescent="0.2">
      <c r="B8879" s="2">
        <f ca="1"/>
        <v>0.92510877671601999</v>
      </c>
      <c r="O8879" s="2">
        <f ca="1"/>
        <v>0.41588683040538821</v>
      </c>
      <c r="X8879" s="2">
        <f ca="1"/>
        <v>38.103303485109336</v>
      </c>
      <c r="AG8879" s="2">
        <f ca="1"/>
        <v>0.73343319900326187</v>
      </c>
      <c r="AH8879" s="2" t="str">
        <f ca="1"/>
        <v>Bad</v>
      </c>
    </row>
    <row r="8880" spans="2:34" x14ac:dyDescent="0.2">
      <c r="B8880" s="2">
        <f ca="1"/>
        <v>0.43575772303835025</v>
      </c>
      <c r="O8880" s="2">
        <f ca="1"/>
        <v>1.5042287170673228</v>
      </c>
      <c r="X8880" s="2">
        <f ca="1"/>
        <v>44.629244028416785</v>
      </c>
      <c r="AG8880" s="2">
        <f ca="1"/>
        <v>0.47613815556002215</v>
      </c>
      <c r="AH8880" s="2" t="str">
        <f ca="1"/>
        <v>Bad</v>
      </c>
    </row>
    <row r="8881" spans="2:34" x14ac:dyDescent="0.2">
      <c r="B8881" s="2">
        <f ca="1"/>
        <v>0.74229878611859057</v>
      </c>
      <c r="O8881" s="2">
        <f ca="1"/>
        <v>-1.8973028521460349</v>
      </c>
      <c r="X8881" s="2">
        <f ca="1"/>
        <v>26.389041694028776</v>
      </c>
      <c r="AG8881" s="2">
        <f ca="1"/>
        <v>4.1091241709573678E-2</v>
      </c>
      <c r="AH8881" s="2" t="str">
        <f ca="1"/>
        <v>Good</v>
      </c>
    </row>
    <row r="8882" spans="2:34" x14ac:dyDescent="0.2">
      <c r="B8882" s="2">
        <f ca="1"/>
        <v>0.91688343490589874</v>
      </c>
      <c r="O8882" s="2">
        <f ca="1"/>
        <v>-0.83212142984599857</v>
      </c>
      <c r="X8882" s="2">
        <f ca="1"/>
        <v>82.055263876100909</v>
      </c>
      <c r="AG8882" s="2">
        <f ca="1"/>
        <v>0.26961177072035025</v>
      </c>
      <c r="AH8882" s="2" t="str">
        <f ca="1"/>
        <v>OK</v>
      </c>
    </row>
    <row r="8883" spans="2:34" x14ac:dyDescent="0.2">
      <c r="B8883" s="2">
        <f ca="1"/>
        <v>4.342906537703084E-2</v>
      </c>
      <c r="O8883" s="2">
        <f ca="1"/>
        <v>0.21421072413190645</v>
      </c>
      <c r="X8883" s="2">
        <f ca="1"/>
        <v>60.640219207127323</v>
      </c>
      <c r="AG8883" s="2">
        <f ca="1"/>
        <v>0.37655899770124535</v>
      </c>
      <c r="AH8883" s="2" t="str">
        <f ca="1"/>
        <v>OK</v>
      </c>
    </row>
    <row r="8884" spans="2:34" x14ac:dyDescent="0.2">
      <c r="B8884" s="2">
        <f ca="1"/>
        <v>0.6128850533225263</v>
      </c>
      <c r="O8884" s="2">
        <f ca="1"/>
        <v>-3.0345890330439342</v>
      </c>
      <c r="X8884" s="2">
        <f ca="1"/>
        <v>64.520852643902415</v>
      </c>
      <c r="AG8884" s="2">
        <f ca="1"/>
        <v>0.8252645803688341</v>
      </c>
      <c r="AH8884" s="2" t="str">
        <f ca="1"/>
        <v>Bad</v>
      </c>
    </row>
    <row r="8885" spans="2:34" x14ac:dyDescent="0.2">
      <c r="B8885" s="2">
        <f ca="1"/>
        <v>0.14452086730459501</v>
      </c>
      <c r="O8885" s="2">
        <f ca="1"/>
        <v>-0.18852147443775191</v>
      </c>
      <c r="X8885" s="2">
        <f ca="1"/>
        <v>41.599831457921539</v>
      </c>
      <c r="AG8885" s="2">
        <f ca="1"/>
        <v>2.8041470052853068E-2</v>
      </c>
      <c r="AH8885" s="2" t="str">
        <f ca="1"/>
        <v>Good</v>
      </c>
    </row>
    <row r="8886" spans="2:34" x14ac:dyDescent="0.2">
      <c r="B8886" s="2">
        <f ca="1"/>
        <v>9.0991888845476376E-2</v>
      </c>
      <c r="O8886" s="2">
        <f ca="1"/>
        <v>-0.14233717829483841</v>
      </c>
      <c r="X8886" s="2">
        <f ca="1"/>
        <v>74.118682136792955</v>
      </c>
      <c r="AG8886" s="2">
        <f ca="1"/>
        <v>2.0525052039477742E-2</v>
      </c>
      <c r="AH8886" s="2" t="str">
        <f ca="1"/>
        <v>Good</v>
      </c>
    </row>
    <row r="8887" spans="2:34" x14ac:dyDescent="0.2">
      <c r="B8887" s="2">
        <f ca="1"/>
        <v>0.9581659114494494</v>
      </c>
      <c r="O8887" s="2">
        <f ca="1"/>
        <v>-0.9116428485495871</v>
      </c>
      <c r="X8887" s="2">
        <f ca="1"/>
        <v>37.316296072927983</v>
      </c>
      <c r="AG8887" s="2">
        <f ca="1"/>
        <v>0.45742446164063777</v>
      </c>
      <c r="AH8887" s="2" t="str">
        <f ca="1"/>
        <v>Bad</v>
      </c>
    </row>
    <row r="8888" spans="2:34" x14ac:dyDescent="0.2">
      <c r="B8888" s="2">
        <f ca="1"/>
        <v>0.84294021946841746</v>
      </c>
      <c r="O8888" s="2">
        <f ca="1"/>
        <v>-0.93324355635418077</v>
      </c>
      <c r="X8888" s="2">
        <f ca="1"/>
        <v>71.48590731318221</v>
      </c>
      <c r="AG8888" s="2">
        <f ca="1"/>
        <v>0.60736762063910343</v>
      </c>
      <c r="AH8888" s="2" t="str">
        <f ca="1"/>
        <v>Bad</v>
      </c>
    </row>
    <row r="8889" spans="2:34" x14ac:dyDescent="0.2">
      <c r="B8889" s="2">
        <f ca="1"/>
        <v>0.34959599934510943</v>
      </c>
      <c r="O8889" s="2">
        <f ca="1"/>
        <v>-0.77887845835890424</v>
      </c>
      <c r="X8889" s="2">
        <f ca="1"/>
        <v>72.959361568294383</v>
      </c>
      <c r="AG8889" s="2">
        <f ca="1"/>
        <v>0.46402400431464352</v>
      </c>
      <c r="AH8889" s="2" t="str">
        <f ca="1"/>
        <v>Bad</v>
      </c>
    </row>
    <row r="8890" spans="2:34" x14ac:dyDescent="0.2">
      <c r="B8890" s="2">
        <f ca="1"/>
        <v>0.51938367677352737</v>
      </c>
      <c r="O8890" s="2">
        <f ca="1"/>
        <v>1.0022438459488301</v>
      </c>
      <c r="X8890" s="2">
        <f ca="1"/>
        <v>57.057591819944619</v>
      </c>
      <c r="AG8890" s="2">
        <f ca="1"/>
        <v>0.35741837616705907</v>
      </c>
      <c r="AH8890" s="2" t="str">
        <f ca="1"/>
        <v>OK</v>
      </c>
    </row>
    <row r="8891" spans="2:34" x14ac:dyDescent="0.2">
      <c r="B8891" s="2">
        <f ca="1"/>
        <v>0.12681703551067924</v>
      </c>
      <c r="O8891" s="2">
        <f ca="1"/>
        <v>-1.2088525736242592</v>
      </c>
      <c r="X8891" s="2">
        <f ca="1"/>
        <v>59.196683071859482</v>
      </c>
      <c r="AG8891" s="2">
        <f ca="1"/>
        <v>0.16621344741896915</v>
      </c>
      <c r="AH8891" s="2" t="str">
        <f ca="1"/>
        <v>OK</v>
      </c>
    </row>
    <row r="8892" spans="2:34" x14ac:dyDescent="0.2">
      <c r="B8892" s="2">
        <f ca="1"/>
        <v>0.89849845749463353</v>
      </c>
      <c r="O8892" s="2">
        <f ca="1"/>
        <v>0.82312803163559944</v>
      </c>
      <c r="X8892" s="2">
        <f ca="1"/>
        <v>64.313628416655945</v>
      </c>
      <c r="AG8892" s="2">
        <f ca="1"/>
        <v>0.26227105870669165</v>
      </c>
      <c r="AH8892" s="2" t="str">
        <f ca="1"/>
        <v>OK</v>
      </c>
    </row>
    <row r="8893" spans="2:34" x14ac:dyDescent="0.2">
      <c r="B8893" s="2">
        <f ca="1"/>
        <v>0.71750591483305759</v>
      </c>
      <c r="O8893" s="2">
        <f ca="1"/>
        <v>-1.1727863749258047</v>
      </c>
      <c r="X8893" s="2">
        <f ca="1"/>
        <v>30.277962145604093</v>
      </c>
      <c r="AG8893" s="2">
        <f ca="1"/>
        <v>5.2639906410969939E-2</v>
      </c>
      <c r="AH8893" s="2" t="str">
        <f ca="1"/>
        <v>OK</v>
      </c>
    </row>
    <row r="8894" spans="2:34" x14ac:dyDescent="0.2">
      <c r="B8894" s="2">
        <f ca="1"/>
        <v>0.68185924899785788</v>
      </c>
      <c r="O8894" s="2">
        <f ca="1"/>
        <v>2.0588248108780376</v>
      </c>
      <c r="X8894" s="2">
        <f ca="1"/>
        <v>57.26164880297538</v>
      </c>
      <c r="AG8894" s="2">
        <f ca="1"/>
        <v>0.9239676870402862</v>
      </c>
      <c r="AH8894" s="2" t="str">
        <f ca="1"/>
        <v>Bad</v>
      </c>
    </row>
    <row r="8895" spans="2:34" x14ac:dyDescent="0.2">
      <c r="B8895" s="2">
        <f ca="1"/>
        <v>0.92150001696762374</v>
      </c>
      <c r="O8895" s="2">
        <f ca="1"/>
        <v>-1.9841412481627803</v>
      </c>
      <c r="X8895" s="2">
        <f ca="1"/>
        <v>43.647159344589561</v>
      </c>
      <c r="AG8895" s="2">
        <f ca="1"/>
        <v>3.4868046649267681E-2</v>
      </c>
      <c r="AH8895" s="2" t="str">
        <f ca="1"/>
        <v>Good</v>
      </c>
    </row>
    <row r="8896" spans="2:34" x14ac:dyDescent="0.2">
      <c r="B8896" s="2">
        <f ca="1"/>
        <v>0.77243851315776224</v>
      </c>
      <c r="O8896" s="2">
        <f ca="1"/>
        <v>-0.81870152427895448</v>
      </c>
      <c r="X8896" s="2">
        <f ca="1"/>
        <v>47.453382903028341</v>
      </c>
      <c r="AG8896" s="2">
        <f ca="1"/>
        <v>0.37468468430364665</v>
      </c>
      <c r="AH8896" s="2" t="str">
        <f ca="1"/>
        <v>OK</v>
      </c>
    </row>
    <row r="8897" spans="2:34" x14ac:dyDescent="0.2">
      <c r="B8897" s="2">
        <f ca="1"/>
        <v>0.51991800409826694</v>
      </c>
      <c r="O8897" s="2">
        <f ca="1"/>
        <v>1.3641118108779951E-2</v>
      </c>
      <c r="X8897" s="2">
        <f ca="1"/>
        <v>53.235299092641711</v>
      </c>
      <c r="AG8897" s="2">
        <f ca="1"/>
        <v>0.68114126109977535</v>
      </c>
      <c r="AH8897" s="2" t="str">
        <f ca="1"/>
        <v>Bad</v>
      </c>
    </row>
    <row r="8898" spans="2:34" x14ac:dyDescent="0.2">
      <c r="B8898" s="2">
        <f ca="1"/>
        <v>0.33701021669731768</v>
      </c>
      <c r="O8898" s="2">
        <f ca="1"/>
        <v>1.2036667592037786</v>
      </c>
      <c r="X8898" s="2">
        <f ca="1"/>
        <v>60.656972638534498</v>
      </c>
      <c r="AG8898" s="2">
        <f ca="1"/>
        <v>0.34146895366720376</v>
      </c>
      <c r="AH8898" s="2" t="str">
        <f ca="1"/>
        <v>OK</v>
      </c>
    </row>
    <row r="8899" spans="2:34" x14ac:dyDescent="0.2">
      <c r="B8899" s="2">
        <f ca="1"/>
        <v>0.95640109561583486</v>
      </c>
      <c r="O8899" s="2">
        <f ca="1"/>
        <v>1.1596735390796158</v>
      </c>
      <c r="X8899" s="2">
        <f ca="1"/>
        <v>37.876520224292975</v>
      </c>
      <c r="AG8899" s="2">
        <f ca="1"/>
        <v>0.37177313670289625</v>
      </c>
      <c r="AH8899" s="2" t="str">
        <f ca="1"/>
        <v>OK</v>
      </c>
    </row>
    <row r="8900" spans="2:34" x14ac:dyDescent="0.2">
      <c r="B8900" s="2">
        <f ca="1"/>
        <v>0.31529012829876746</v>
      </c>
      <c r="O8900" s="2">
        <f ca="1"/>
        <v>0.64470324506809473</v>
      </c>
      <c r="X8900" s="2">
        <f ca="1"/>
        <v>49.584840306284129</v>
      </c>
      <c r="AG8900" s="2">
        <f ca="1"/>
        <v>0.54663773382648162</v>
      </c>
      <c r="AH8900" s="2" t="str">
        <f ca="1"/>
        <v>Bad</v>
      </c>
    </row>
    <row r="8901" spans="2:34" x14ac:dyDescent="0.2">
      <c r="B8901" s="2">
        <f ca="1"/>
        <v>0.55286203839603099</v>
      </c>
      <c r="O8901" s="2">
        <f ca="1"/>
        <v>-7.8076271320171906E-2</v>
      </c>
      <c r="X8901" s="2">
        <f ca="1"/>
        <v>50.521271516913018</v>
      </c>
      <c r="AG8901" s="2">
        <f ca="1"/>
        <v>5.4316600092310319E-2</v>
      </c>
      <c r="AH8901" s="2" t="str">
        <f ca="1"/>
        <v>OK</v>
      </c>
    </row>
    <row r="8902" spans="2:34" x14ac:dyDescent="0.2">
      <c r="B8902" s="2">
        <f ca="1"/>
        <v>0.47740072026459068</v>
      </c>
      <c r="O8902" s="2">
        <f ca="1"/>
        <v>-1.4206217947018152</v>
      </c>
      <c r="X8902" s="2">
        <f ca="1"/>
        <v>32.005205166938232</v>
      </c>
      <c r="AG8902" s="2">
        <f ca="1"/>
        <v>0.13022452137427565</v>
      </c>
      <c r="AH8902" s="2" t="str">
        <f ca="1"/>
        <v>OK</v>
      </c>
    </row>
    <row r="8903" spans="2:34" x14ac:dyDescent="0.2">
      <c r="B8903" s="2">
        <f ca="1"/>
        <v>0.40917752513339511</v>
      </c>
      <c r="O8903" s="2">
        <f ca="1"/>
        <v>-1.4631527115599114</v>
      </c>
      <c r="X8903" s="2">
        <f ca="1"/>
        <v>30.645199449569493</v>
      </c>
      <c r="AG8903" s="2">
        <f ca="1"/>
        <v>0.46046700341389357</v>
      </c>
      <c r="AH8903" s="2" t="str">
        <f ca="1"/>
        <v>Bad</v>
      </c>
    </row>
    <row r="8904" spans="2:34" x14ac:dyDescent="0.2">
      <c r="B8904" s="2">
        <f ca="1"/>
        <v>0.96194295592794199</v>
      </c>
      <c r="O8904" s="2">
        <f ca="1"/>
        <v>-0.20272894904365768</v>
      </c>
      <c r="X8904" s="2">
        <f ca="1"/>
        <v>45.282325139620596</v>
      </c>
      <c r="AG8904" s="2">
        <f ca="1"/>
        <v>0.23808305849619593</v>
      </c>
      <c r="AH8904" s="2" t="str">
        <f ca="1"/>
        <v>OK</v>
      </c>
    </row>
    <row r="8905" spans="2:34" x14ac:dyDescent="0.2">
      <c r="B8905" s="2">
        <f ca="1"/>
        <v>0.23345416454849421</v>
      </c>
      <c r="O8905" s="2">
        <f ca="1"/>
        <v>1.1564187906111283</v>
      </c>
      <c r="X8905" s="2">
        <f ca="1"/>
        <v>75.386608687566721</v>
      </c>
      <c r="AG8905" s="2">
        <f ca="1"/>
        <v>0.1122507880129715</v>
      </c>
      <c r="AH8905" s="2" t="str">
        <f ca="1"/>
        <v>OK</v>
      </c>
    </row>
    <row r="8906" spans="2:34" x14ac:dyDescent="0.2">
      <c r="B8906" s="2">
        <f ca="1"/>
        <v>0.25313473042846057</v>
      </c>
      <c r="O8906" s="2">
        <f ca="1"/>
        <v>0.23876456316401432</v>
      </c>
      <c r="X8906" s="2">
        <f ca="1"/>
        <v>30.839110465123021</v>
      </c>
      <c r="AG8906" s="2">
        <f ca="1"/>
        <v>0.23029156964325415</v>
      </c>
      <c r="AH8906" s="2" t="str">
        <f ca="1"/>
        <v>OK</v>
      </c>
    </row>
    <row r="8907" spans="2:34" x14ac:dyDescent="0.2">
      <c r="B8907" s="2">
        <f ca="1"/>
        <v>0.57600668121294984</v>
      </c>
      <c r="O8907" s="2">
        <f ca="1"/>
        <v>0.14256382902241291</v>
      </c>
      <c r="X8907" s="2">
        <f ca="1"/>
        <v>41.158081810252689</v>
      </c>
      <c r="AG8907" s="2">
        <f ca="1"/>
        <v>0.12778362459403825</v>
      </c>
      <c r="AH8907" s="2" t="str">
        <f ca="1"/>
        <v>OK</v>
      </c>
    </row>
    <row r="8908" spans="2:34" x14ac:dyDescent="0.2">
      <c r="B8908" s="2">
        <f ca="1"/>
        <v>0.39224297110289985</v>
      </c>
      <c r="O8908" s="2">
        <f ca="1"/>
        <v>-0.15855797804955529</v>
      </c>
      <c r="X8908" s="2">
        <f ca="1"/>
        <v>44.14393661974546</v>
      </c>
      <c r="AG8908" s="2">
        <f ca="1"/>
        <v>0.62547941021600417</v>
      </c>
      <c r="AH8908" s="2" t="str">
        <f ca="1"/>
        <v>Bad</v>
      </c>
    </row>
    <row r="8909" spans="2:34" x14ac:dyDescent="0.2">
      <c r="B8909" s="2">
        <f ca="1"/>
        <v>0.41268303657480154</v>
      </c>
      <c r="O8909" s="2">
        <f ca="1"/>
        <v>-0.771665284576044</v>
      </c>
      <c r="X8909" s="2">
        <f ca="1"/>
        <v>59.69413474893625</v>
      </c>
      <c r="AG8909" s="2">
        <f ca="1"/>
        <v>0.64329174824931346</v>
      </c>
      <c r="AH8909" s="2" t="str">
        <f ca="1"/>
        <v>Bad</v>
      </c>
    </row>
    <row r="8910" spans="2:34" x14ac:dyDescent="0.2">
      <c r="B8910" s="2">
        <f ca="1"/>
        <v>3.5717375780161431E-2</v>
      </c>
      <c r="O8910" s="2">
        <f ca="1"/>
        <v>-2.4604074434156002</v>
      </c>
      <c r="X8910" s="2">
        <f ca="1"/>
        <v>74.845741432097924</v>
      </c>
      <c r="AG8910" s="2">
        <f ca="1"/>
        <v>0.17188227748978746</v>
      </c>
      <c r="AH8910" s="2" t="str">
        <f ca="1"/>
        <v>OK</v>
      </c>
    </row>
    <row r="8911" spans="2:34" x14ac:dyDescent="0.2">
      <c r="B8911" s="2">
        <f ca="1"/>
        <v>0.98475468588607451</v>
      </c>
      <c r="O8911" s="2">
        <f ca="1"/>
        <v>-0.67898475703424854</v>
      </c>
      <c r="X8911" s="2">
        <f ca="1"/>
        <v>42.915836155231673</v>
      </c>
      <c r="AG8911" s="2">
        <f ca="1"/>
        <v>0.19428123531883257</v>
      </c>
      <c r="AH8911" s="2" t="str">
        <f ca="1"/>
        <v>OK</v>
      </c>
    </row>
    <row r="8912" spans="2:34" x14ac:dyDescent="0.2">
      <c r="B8912" s="2">
        <f ca="1"/>
        <v>0.8595504288271143</v>
      </c>
      <c r="O8912" s="2">
        <f ca="1"/>
        <v>-2.4055077528775164</v>
      </c>
      <c r="X8912" s="2">
        <f ca="1"/>
        <v>51.709514333204865</v>
      </c>
      <c r="AG8912" s="2">
        <f ca="1"/>
        <v>0.70665063470361256</v>
      </c>
      <c r="AH8912" s="2" t="str">
        <f ca="1"/>
        <v>Bad</v>
      </c>
    </row>
    <row r="8913" spans="2:34" x14ac:dyDescent="0.2">
      <c r="B8913" s="2">
        <f ca="1"/>
        <v>0.53420701702690998</v>
      </c>
      <c r="O8913" s="2">
        <f ca="1"/>
        <v>0.20543907037790834</v>
      </c>
      <c r="X8913" s="2">
        <f ca="1"/>
        <v>60.071154359641888</v>
      </c>
      <c r="AG8913" s="2">
        <f ca="1"/>
        <v>0.45704932966907252</v>
      </c>
      <c r="AH8913" s="2" t="str">
        <f ca="1"/>
        <v>Bad</v>
      </c>
    </row>
    <row r="8914" spans="2:34" x14ac:dyDescent="0.2">
      <c r="B8914" s="2">
        <f ca="1"/>
        <v>0.71977092202246706</v>
      </c>
      <c r="O8914" s="2">
        <f ca="1"/>
        <v>-0.83832915670422214</v>
      </c>
      <c r="X8914" s="2">
        <f ca="1"/>
        <v>26.002292736236924</v>
      </c>
      <c r="AG8914" s="2">
        <f ca="1"/>
        <v>0.52748251757830289</v>
      </c>
      <c r="AH8914" s="2" t="str">
        <f ca="1"/>
        <v>Bad</v>
      </c>
    </row>
    <row r="8915" spans="2:34" x14ac:dyDescent="0.2">
      <c r="B8915" s="2">
        <f ca="1"/>
        <v>0.77205171686938256</v>
      </c>
      <c r="O8915" s="2">
        <f ca="1"/>
        <v>-0.50598238601566736</v>
      </c>
      <c r="X8915" s="2">
        <f ca="1"/>
        <v>46.355383601413855</v>
      </c>
      <c r="AG8915" s="2">
        <f ca="1"/>
        <v>0.37422302932461204</v>
      </c>
      <c r="AH8915" s="2" t="str">
        <f ca="1"/>
        <v>OK</v>
      </c>
    </row>
    <row r="8916" spans="2:34" x14ac:dyDescent="0.2">
      <c r="B8916" s="2">
        <f ca="1"/>
        <v>0.68022907431160573</v>
      </c>
      <c r="O8916" s="2">
        <f ca="1"/>
        <v>0.23032848428603958</v>
      </c>
      <c r="X8916" s="2">
        <f ca="1"/>
        <v>24.668640364449193</v>
      </c>
      <c r="AG8916" s="2">
        <f ca="1"/>
        <v>2.471692343184162E-2</v>
      </c>
      <c r="AH8916" s="2" t="str">
        <f ca="1"/>
        <v>Good</v>
      </c>
    </row>
    <row r="8917" spans="2:34" x14ac:dyDescent="0.2">
      <c r="B8917" s="2">
        <f ca="1"/>
        <v>0.27405578354421722</v>
      </c>
      <c r="O8917" s="2">
        <f ca="1"/>
        <v>-0.42120304669822972</v>
      </c>
      <c r="X8917" s="2">
        <f ca="1"/>
        <v>39.260273007039707</v>
      </c>
      <c r="AG8917" s="2">
        <f ca="1"/>
        <v>0.20605126246080707</v>
      </c>
      <c r="AH8917" s="2" t="str">
        <f ca="1"/>
        <v>OK</v>
      </c>
    </row>
    <row r="8918" spans="2:34" x14ac:dyDescent="0.2">
      <c r="B8918" s="2">
        <f ca="1"/>
        <v>0.77334748221727478</v>
      </c>
      <c r="O8918" s="2">
        <f ca="1"/>
        <v>-0.39915656226260776</v>
      </c>
      <c r="X8918" s="2">
        <f ca="1"/>
        <v>58.557192636368647</v>
      </c>
      <c r="AG8918" s="2">
        <f ca="1"/>
        <v>0.23014895742076535</v>
      </c>
      <c r="AH8918" s="2" t="str">
        <f ca="1"/>
        <v>OK</v>
      </c>
    </row>
    <row r="8919" spans="2:34" x14ac:dyDescent="0.2">
      <c r="B8919" s="2">
        <f ca="1"/>
        <v>0.27937932671913535</v>
      </c>
      <c r="O8919" s="2">
        <f ca="1"/>
        <v>0.19641423037660816</v>
      </c>
      <c r="X8919" s="2">
        <f ca="1"/>
        <v>76.160714577236703</v>
      </c>
      <c r="AG8919" s="2">
        <f ca="1"/>
        <v>0.18856135340370295</v>
      </c>
      <c r="AH8919" s="2" t="str">
        <f ca="1"/>
        <v>OK</v>
      </c>
    </row>
    <row r="8920" spans="2:34" x14ac:dyDescent="0.2">
      <c r="B8920" s="2">
        <f ca="1"/>
        <v>0.45577908812655354</v>
      </c>
      <c r="O8920" s="2">
        <f ca="1"/>
        <v>0.22951494530715741</v>
      </c>
      <c r="X8920" s="2">
        <f ca="1"/>
        <v>22.243322127354446</v>
      </c>
      <c r="AG8920" s="2">
        <f ca="1"/>
        <v>9.3041155171289747E-2</v>
      </c>
      <c r="AH8920" s="2" t="str">
        <f ca="1"/>
        <v>OK</v>
      </c>
    </row>
    <row r="8921" spans="2:34" x14ac:dyDescent="0.2">
      <c r="B8921" s="2">
        <f ca="1"/>
        <v>0.61711785552910814</v>
      </c>
      <c r="O8921" s="2">
        <f ca="1"/>
        <v>-1.3206009933571707</v>
      </c>
      <c r="X8921" s="2">
        <f ca="1"/>
        <v>28.385907275763191</v>
      </c>
      <c r="AG8921" s="2">
        <f ca="1"/>
        <v>0.17290122825105314</v>
      </c>
      <c r="AH8921" s="2" t="str">
        <f ca="1"/>
        <v>OK</v>
      </c>
    </row>
    <row r="8922" spans="2:34" x14ac:dyDescent="0.2">
      <c r="B8922" s="2">
        <f ca="1"/>
        <v>0.2957072421411453</v>
      </c>
      <c r="O8922" s="2">
        <f ca="1"/>
        <v>0.15926999727074903</v>
      </c>
      <c r="X8922" s="2">
        <f ca="1"/>
        <v>38.839819481800347</v>
      </c>
      <c r="AG8922" s="2">
        <f ca="1"/>
        <v>0.80187129499320187</v>
      </c>
      <c r="AH8922" s="2" t="str">
        <f ca="1"/>
        <v>Bad</v>
      </c>
    </row>
    <row r="8923" spans="2:34" x14ac:dyDescent="0.2">
      <c r="B8923" s="2">
        <f ca="1"/>
        <v>8.1470197053873372E-2</v>
      </c>
      <c r="O8923" s="2">
        <f ca="1"/>
        <v>-0.75917655236237302</v>
      </c>
      <c r="X8923" s="2">
        <f ca="1"/>
        <v>61.589240531206983</v>
      </c>
      <c r="AG8923" s="2">
        <f ca="1"/>
        <v>0.55715671104602227</v>
      </c>
      <c r="AH8923" s="2" t="str">
        <f ca="1"/>
        <v>Bad</v>
      </c>
    </row>
    <row r="8924" spans="2:34" x14ac:dyDescent="0.2">
      <c r="B8924" s="2">
        <f ca="1"/>
        <v>0.26348382590470343</v>
      </c>
      <c r="O8924" s="2">
        <f ca="1"/>
        <v>-0.17352726615863692</v>
      </c>
      <c r="X8924" s="2">
        <f ca="1"/>
        <v>38.652143015706059</v>
      </c>
      <c r="AG8924" s="2">
        <f ca="1"/>
        <v>0.55361888296372053</v>
      </c>
      <c r="AH8924" s="2" t="str">
        <f ca="1"/>
        <v>Bad</v>
      </c>
    </row>
    <row r="8925" spans="2:34" x14ac:dyDescent="0.2">
      <c r="B8925" s="2">
        <f ca="1"/>
        <v>0.68112012583552262</v>
      </c>
      <c r="O8925" s="2">
        <f ca="1"/>
        <v>5.6290393040977979E-2</v>
      </c>
      <c r="X8925" s="2">
        <f ca="1"/>
        <v>43.660435672583347</v>
      </c>
      <c r="AG8925" s="2">
        <f ca="1"/>
        <v>2.1953414536892479E-2</v>
      </c>
      <c r="AH8925" s="2" t="str">
        <f ca="1"/>
        <v>Good</v>
      </c>
    </row>
    <row r="8926" spans="2:34" x14ac:dyDescent="0.2">
      <c r="B8926" s="2">
        <f ca="1"/>
        <v>6.2043329923245905E-2</v>
      </c>
      <c r="O8926" s="2">
        <f ca="1"/>
        <v>0.54705057951375968</v>
      </c>
      <c r="X8926" s="2">
        <f ca="1"/>
        <v>41.806929358618099</v>
      </c>
      <c r="AG8926" s="2">
        <f ca="1"/>
        <v>0.65239632805483727</v>
      </c>
      <c r="AH8926" s="2" t="str">
        <f ca="1"/>
        <v>Bad</v>
      </c>
    </row>
    <row r="8927" spans="2:34" x14ac:dyDescent="0.2">
      <c r="B8927" s="2">
        <f ca="1"/>
        <v>0.74968368944815333</v>
      </c>
      <c r="O8927" s="2">
        <f ca="1"/>
        <v>-0.83994714420053429</v>
      </c>
      <c r="X8927" s="2">
        <f ca="1"/>
        <v>67.140497844954666</v>
      </c>
      <c r="AG8927" s="2">
        <f ca="1"/>
        <v>5.6916905067306622E-2</v>
      </c>
      <c r="AH8927" s="2" t="str">
        <f ca="1"/>
        <v>OK</v>
      </c>
    </row>
    <row r="8928" spans="2:34" x14ac:dyDescent="0.2">
      <c r="B8928" s="2">
        <f ca="1"/>
        <v>0.47850643197805609</v>
      </c>
      <c r="O8928" s="2">
        <f ca="1"/>
        <v>2.049166634743786</v>
      </c>
      <c r="X8928" s="2">
        <f ca="1"/>
        <v>46.814185432158126</v>
      </c>
      <c r="AG8928" s="2">
        <f ca="1"/>
        <v>0.78293776648895275</v>
      </c>
      <c r="AH8928" s="2" t="str">
        <f ca="1"/>
        <v>Bad</v>
      </c>
    </row>
    <row r="8929" spans="2:34" x14ac:dyDescent="0.2">
      <c r="B8929" s="2">
        <f ca="1"/>
        <v>0.68431149968786675</v>
      </c>
      <c r="O8929" s="2">
        <f ca="1"/>
        <v>-0.12890304089180388</v>
      </c>
      <c r="X8929" s="2">
        <f ca="1"/>
        <v>64.585299483278163</v>
      </c>
      <c r="AG8929" s="2">
        <f ca="1"/>
        <v>0.29289960137262128</v>
      </c>
      <c r="AH8929" s="2" t="str">
        <f ca="1"/>
        <v>OK</v>
      </c>
    </row>
    <row r="8930" spans="2:34" x14ac:dyDescent="0.2">
      <c r="B8930" s="2">
        <f ca="1"/>
        <v>0.21523954392512179</v>
      </c>
      <c r="O8930" s="2">
        <f ca="1"/>
        <v>-0.1827755140105084</v>
      </c>
      <c r="X8930" s="2">
        <f ca="1"/>
        <v>48.684923519770244</v>
      </c>
      <c r="AG8930" s="2">
        <f ca="1"/>
        <v>0.25994559975721576</v>
      </c>
      <c r="AH8930" s="2" t="str">
        <f ca="1"/>
        <v>OK</v>
      </c>
    </row>
    <row r="8931" spans="2:34" x14ac:dyDescent="0.2">
      <c r="B8931" s="2">
        <f ca="1"/>
        <v>0.43061663187432964</v>
      </c>
      <c r="O8931" s="2">
        <f ca="1"/>
        <v>3.4604576904429716</v>
      </c>
      <c r="X8931" s="2">
        <f ca="1"/>
        <v>57.683652452867321</v>
      </c>
      <c r="AG8931" s="2">
        <f ca="1"/>
        <v>2.6205520548493899E-2</v>
      </c>
      <c r="AH8931" s="2" t="str">
        <f ca="1"/>
        <v>Good</v>
      </c>
    </row>
    <row r="8932" spans="2:34" x14ac:dyDescent="0.2">
      <c r="B8932" s="2">
        <f ca="1"/>
        <v>0.40333667233388626</v>
      </c>
      <c r="O8932" s="2">
        <f ca="1"/>
        <v>-0.64652844778636276</v>
      </c>
      <c r="X8932" s="2">
        <f ca="1"/>
        <v>49.696588454204004</v>
      </c>
      <c r="AG8932" s="2">
        <f ca="1"/>
        <v>5.0972235411962608E-2</v>
      </c>
      <c r="AH8932" s="2" t="str">
        <f ca="1"/>
        <v>OK</v>
      </c>
    </row>
    <row r="8933" spans="2:34" x14ac:dyDescent="0.2">
      <c r="B8933" s="2">
        <f ca="1"/>
        <v>0.56344002834419138</v>
      </c>
      <c r="O8933" s="2">
        <f ca="1"/>
        <v>-0.86814483972580869</v>
      </c>
      <c r="X8933" s="2">
        <f ca="1"/>
        <v>81.399155612406759</v>
      </c>
      <c r="AG8933" s="2">
        <f ca="1"/>
        <v>0.87314505103676043</v>
      </c>
      <c r="AH8933" s="2" t="str">
        <f ca="1"/>
        <v>Bad</v>
      </c>
    </row>
    <row r="8934" spans="2:34" x14ac:dyDescent="0.2">
      <c r="B8934" s="2">
        <f ca="1"/>
        <v>0.44291246847769972</v>
      </c>
      <c r="O8934" s="2">
        <f ca="1"/>
        <v>1.0521493395403203</v>
      </c>
      <c r="X8934" s="2">
        <f ca="1"/>
        <v>45.477043113117652</v>
      </c>
      <c r="AG8934" s="2">
        <f ca="1"/>
        <v>6.7223598105592419E-3</v>
      </c>
      <c r="AH8934" s="2" t="str">
        <f ca="1"/>
        <v>Good</v>
      </c>
    </row>
    <row r="8935" spans="2:34" x14ac:dyDescent="0.2">
      <c r="B8935" s="2">
        <f ca="1"/>
        <v>0.57749857458636522</v>
      </c>
      <c r="O8935" s="2">
        <f ca="1"/>
        <v>0.30994836864642972</v>
      </c>
      <c r="X8935" s="2">
        <f ca="1"/>
        <v>42.090123591867169</v>
      </c>
      <c r="AG8935" s="2">
        <f ca="1"/>
        <v>0.93682036465280349</v>
      </c>
      <c r="AH8935" s="2" t="str">
        <f ca="1"/>
        <v>Bad</v>
      </c>
    </row>
    <row r="8936" spans="2:34" x14ac:dyDescent="0.2">
      <c r="B8936" s="2">
        <f ca="1"/>
        <v>0.64424955345475521</v>
      </c>
      <c r="O8936" s="2">
        <f ca="1"/>
        <v>1.6589845231102873</v>
      </c>
      <c r="X8936" s="2">
        <f ca="1"/>
        <v>58.275860884635875</v>
      </c>
      <c r="AG8936" s="2">
        <f ca="1"/>
        <v>0.45676115820117635</v>
      </c>
      <c r="AH8936" s="2" t="str">
        <f ca="1"/>
        <v>Bad</v>
      </c>
    </row>
    <row r="8937" spans="2:34" x14ac:dyDescent="0.2">
      <c r="B8937" s="2">
        <f ca="1"/>
        <v>0.29501158475087541</v>
      </c>
      <c r="O8937" s="2">
        <f ca="1"/>
        <v>0.23357776820373355</v>
      </c>
      <c r="X8937" s="2">
        <f ca="1"/>
        <v>60.582312994374909</v>
      </c>
      <c r="AG8937" s="2">
        <f ca="1"/>
        <v>0.99526512227333308</v>
      </c>
      <c r="AH8937" s="2" t="str">
        <f ca="1"/>
        <v>Bad</v>
      </c>
    </row>
    <row r="8938" spans="2:34" x14ac:dyDescent="0.2">
      <c r="B8938" s="2">
        <f ca="1"/>
        <v>0.10660538165047773</v>
      </c>
      <c r="O8938" s="2">
        <f ca="1"/>
        <v>0.97715659170277691</v>
      </c>
      <c r="X8938" s="2">
        <f ca="1"/>
        <v>43.068494680860539</v>
      </c>
      <c r="AG8938" s="2">
        <f ca="1"/>
        <v>0.77355361943965817</v>
      </c>
      <c r="AH8938" s="2" t="str">
        <f ca="1"/>
        <v>Bad</v>
      </c>
    </row>
    <row r="8939" spans="2:34" x14ac:dyDescent="0.2">
      <c r="B8939" s="2">
        <f ca="1"/>
        <v>0.87233608504881111</v>
      </c>
      <c r="O8939" s="2">
        <f ca="1"/>
        <v>-5.7071671124311503E-2</v>
      </c>
      <c r="X8939" s="2">
        <f ca="1"/>
        <v>32.315383488596112</v>
      </c>
      <c r="AG8939" s="2">
        <f ca="1"/>
        <v>0.17224981077433088</v>
      </c>
      <c r="AH8939" s="2" t="str">
        <f ca="1"/>
        <v>OK</v>
      </c>
    </row>
    <row r="8940" spans="2:34" x14ac:dyDescent="0.2">
      <c r="B8940" s="2">
        <f ca="1"/>
        <v>0.54315649589756343</v>
      </c>
      <c r="O8940" s="2">
        <f ca="1"/>
        <v>0.20149166073749022</v>
      </c>
      <c r="X8940" s="2">
        <f ca="1"/>
        <v>54.548770159993538</v>
      </c>
      <c r="AG8940" s="2">
        <f ca="1"/>
        <v>0.74556997091642874</v>
      </c>
      <c r="AH8940" s="2" t="str">
        <f ca="1"/>
        <v>Bad</v>
      </c>
    </row>
    <row r="8941" spans="2:34" x14ac:dyDescent="0.2">
      <c r="B8941" s="2">
        <f ca="1"/>
        <v>0.69563836546974578</v>
      </c>
      <c r="O8941" s="2">
        <f ca="1"/>
        <v>-0.50504888245623436</v>
      </c>
      <c r="X8941" s="2">
        <f ca="1"/>
        <v>45.694634064804958</v>
      </c>
      <c r="AG8941" s="2">
        <f ca="1"/>
        <v>8.352768908838959E-3</v>
      </c>
      <c r="AH8941" s="2" t="str">
        <f ca="1"/>
        <v>Good</v>
      </c>
    </row>
    <row r="8942" spans="2:34" x14ac:dyDescent="0.2">
      <c r="B8942" s="2">
        <f ca="1"/>
        <v>0.23038400528243574</v>
      </c>
      <c r="O8942" s="2">
        <f ca="1"/>
        <v>0.70468393084016445</v>
      </c>
      <c r="X8942" s="2">
        <f ca="1"/>
        <v>55.029938473798595</v>
      </c>
      <c r="AG8942" s="2">
        <f ca="1"/>
        <v>0.95834755578855879</v>
      </c>
      <c r="AH8942" s="2" t="str">
        <f ca="1"/>
        <v>Bad</v>
      </c>
    </row>
    <row r="8943" spans="2:34" x14ac:dyDescent="0.2">
      <c r="B8943" s="2">
        <f ca="1"/>
        <v>0.67523607363877902</v>
      </c>
      <c r="O8943" s="2">
        <f ca="1"/>
        <v>-2.0145426336144858</v>
      </c>
      <c r="X8943" s="2">
        <f ca="1"/>
        <v>42.55075235868496</v>
      </c>
      <c r="AG8943" s="2">
        <f ca="1"/>
        <v>0.91402434403529309</v>
      </c>
      <c r="AH8943" s="2" t="str">
        <f ca="1"/>
        <v>Bad</v>
      </c>
    </row>
    <row r="8944" spans="2:34" x14ac:dyDescent="0.2">
      <c r="B8944" s="2">
        <f ca="1"/>
        <v>0.39017148096174314</v>
      </c>
      <c r="O8944" s="2">
        <f ca="1"/>
        <v>0.99507959838970905</v>
      </c>
      <c r="X8944" s="2">
        <f ca="1"/>
        <v>42.501385804331512</v>
      </c>
      <c r="AG8944" s="2">
        <f ca="1"/>
        <v>2.8720366529469077E-2</v>
      </c>
      <c r="AH8944" s="2" t="str">
        <f ca="1"/>
        <v>Good</v>
      </c>
    </row>
    <row r="8945" spans="2:34" x14ac:dyDescent="0.2">
      <c r="B8945" s="2">
        <f ca="1"/>
        <v>0.68626473463978743</v>
      </c>
      <c r="O8945" s="2">
        <f ca="1"/>
        <v>-0.73955726396454824</v>
      </c>
      <c r="X8945" s="2">
        <f ca="1"/>
        <v>47.160254145741362</v>
      </c>
      <c r="AG8945" s="2">
        <f ca="1"/>
        <v>0.68723101773885231</v>
      </c>
      <c r="AH8945" s="2" t="str">
        <f ca="1"/>
        <v>Bad</v>
      </c>
    </row>
    <row r="8946" spans="2:34" x14ac:dyDescent="0.2">
      <c r="B8946" s="2">
        <f ca="1"/>
        <v>0.9095209026529798</v>
      </c>
      <c r="O8946" s="2">
        <f ca="1"/>
        <v>-0.93316371325624436</v>
      </c>
      <c r="X8946" s="2">
        <f ca="1"/>
        <v>50.533941497887859</v>
      </c>
      <c r="AG8946" s="2">
        <f ca="1"/>
        <v>8.1355757518594585E-2</v>
      </c>
      <c r="AH8946" s="2" t="str">
        <f ca="1"/>
        <v>OK</v>
      </c>
    </row>
    <row r="8947" spans="2:34" x14ac:dyDescent="0.2">
      <c r="B8947" s="2">
        <f ca="1"/>
        <v>0.40993293753904347</v>
      </c>
      <c r="O8947" s="2">
        <f ca="1"/>
        <v>-0.98219143825515187</v>
      </c>
      <c r="X8947" s="2">
        <f ca="1"/>
        <v>62.532212403567407</v>
      </c>
      <c r="AG8947" s="2">
        <f ca="1"/>
        <v>0.49633344682971781</v>
      </c>
      <c r="AH8947" s="2" t="str">
        <f ca="1"/>
        <v>Bad</v>
      </c>
    </row>
    <row r="8948" spans="2:34" x14ac:dyDescent="0.2">
      <c r="B8948" s="2">
        <f ca="1"/>
        <v>0.81514857369042271</v>
      </c>
      <c r="O8948" s="2">
        <f ca="1"/>
        <v>0.32923850701155333</v>
      </c>
      <c r="X8948" s="2">
        <f ca="1"/>
        <v>35.030386986993904</v>
      </c>
      <c r="AG8948" s="2">
        <f ca="1"/>
        <v>0.72017983679328879</v>
      </c>
      <c r="AH8948" s="2" t="str">
        <f ca="1"/>
        <v>Bad</v>
      </c>
    </row>
    <row r="8949" spans="2:34" x14ac:dyDescent="0.2">
      <c r="B8949" s="2">
        <f ca="1"/>
        <v>0.83009551939426385</v>
      </c>
      <c r="O8949" s="2">
        <f ca="1"/>
        <v>0.30200733055018242</v>
      </c>
      <c r="X8949" s="2">
        <f ca="1"/>
        <v>68.618785143125308</v>
      </c>
      <c r="AG8949" s="2">
        <f ca="1"/>
        <v>0.89710637924861669</v>
      </c>
      <c r="AH8949" s="2" t="str">
        <f ca="1"/>
        <v>Bad</v>
      </c>
    </row>
    <row r="8950" spans="2:34" x14ac:dyDescent="0.2">
      <c r="B8950" s="2">
        <f ca="1"/>
        <v>0.91427576525402876</v>
      </c>
      <c r="O8950" s="2">
        <f ca="1"/>
        <v>-0.10054367446387809</v>
      </c>
      <c r="X8950" s="2">
        <f ca="1"/>
        <v>51.104514968544727</v>
      </c>
      <c r="AG8950" s="2">
        <f ca="1"/>
        <v>3.1440696768739729E-2</v>
      </c>
      <c r="AH8950" s="2" t="str">
        <f ca="1"/>
        <v>Good</v>
      </c>
    </row>
    <row r="8951" spans="2:34" x14ac:dyDescent="0.2">
      <c r="B8951" s="2">
        <f ca="1"/>
        <v>0.25050845067564698</v>
      </c>
      <c r="O8951" s="2">
        <f ca="1"/>
        <v>-1.1008882232695432</v>
      </c>
      <c r="X8951" s="2">
        <f ca="1"/>
        <v>51.528518204140553</v>
      </c>
      <c r="AG8951" s="2">
        <f ca="1"/>
        <v>0.92206165287608033</v>
      </c>
      <c r="AH8951" s="2" t="str">
        <f ca="1"/>
        <v>Bad</v>
      </c>
    </row>
    <row r="8952" spans="2:34" x14ac:dyDescent="0.2">
      <c r="B8952" s="2">
        <f ca="1"/>
        <v>0.19925711850332828</v>
      </c>
      <c r="O8952" s="2">
        <f ca="1"/>
        <v>-1.1796955846816315</v>
      </c>
      <c r="X8952" s="2">
        <f ca="1"/>
        <v>26.387683509481718</v>
      </c>
      <c r="AG8952" s="2">
        <f ca="1"/>
        <v>0.77740122134979961</v>
      </c>
      <c r="AH8952" s="2" t="str">
        <f ca="1"/>
        <v>Bad</v>
      </c>
    </row>
    <row r="8953" spans="2:34" x14ac:dyDescent="0.2">
      <c r="B8953" s="2">
        <f ca="1"/>
        <v>0.2552241563496207</v>
      </c>
      <c r="O8953" s="2">
        <f ca="1"/>
        <v>1.0001450285971794</v>
      </c>
      <c r="X8953" s="2">
        <f ca="1"/>
        <v>68.553344671591788</v>
      </c>
      <c r="AG8953" s="2">
        <f ca="1"/>
        <v>0.8533646750723558</v>
      </c>
      <c r="AH8953" s="2" t="str">
        <f ca="1"/>
        <v>Bad</v>
      </c>
    </row>
    <row r="8954" spans="2:34" x14ac:dyDescent="0.2">
      <c r="B8954" s="2">
        <f ca="1"/>
        <v>9.7593492440727347E-2</v>
      </c>
      <c r="O8954" s="2">
        <f ca="1"/>
        <v>0.38901662444128327</v>
      </c>
      <c r="X8954" s="2">
        <f ca="1"/>
        <v>45.521223201859641</v>
      </c>
      <c r="AG8954" s="2">
        <f ca="1"/>
        <v>0.74753224532946683</v>
      </c>
      <c r="AH8954" s="2" t="str">
        <f ca="1"/>
        <v>Bad</v>
      </c>
    </row>
    <row r="8955" spans="2:34" x14ac:dyDescent="0.2">
      <c r="B8955" s="2">
        <f ca="1"/>
        <v>0.42895206735824587</v>
      </c>
      <c r="O8955" s="2">
        <f ca="1"/>
        <v>-0.38744492973916161</v>
      </c>
      <c r="X8955" s="2">
        <f ca="1"/>
        <v>35.755917170676234</v>
      </c>
      <c r="AG8955" s="2">
        <f ca="1"/>
        <v>0.39679146460836923</v>
      </c>
      <c r="AH8955" s="2" t="str">
        <f ca="1"/>
        <v>OK</v>
      </c>
    </row>
    <row r="8956" spans="2:34" x14ac:dyDescent="0.2">
      <c r="B8956" s="2">
        <f ca="1"/>
        <v>0.53183016825506901</v>
      </c>
      <c r="O8956" s="2">
        <f ca="1"/>
        <v>-0.3247596834315688</v>
      </c>
      <c r="X8956" s="2">
        <f ca="1"/>
        <v>41.570775359235633</v>
      </c>
      <c r="AG8956" s="2">
        <f ca="1"/>
        <v>0.39202021335549309</v>
      </c>
      <c r="AH8956" s="2" t="str">
        <f ca="1"/>
        <v>OK</v>
      </c>
    </row>
    <row r="8957" spans="2:34" x14ac:dyDescent="0.2">
      <c r="B8957" s="2">
        <f ca="1"/>
        <v>9.8872519700700101E-2</v>
      </c>
      <c r="O8957" s="2">
        <f ca="1"/>
        <v>-0.83742779340594586</v>
      </c>
      <c r="X8957" s="2">
        <f ca="1"/>
        <v>47.711899869051983</v>
      </c>
      <c r="AG8957" s="2">
        <f ca="1"/>
        <v>0.5791969646989803</v>
      </c>
      <c r="AH8957" s="2" t="str">
        <f ca="1"/>
        <v>Bad</v>
      </c>
    </row>
    <row r="8958" spans="2:34" x14ac:dyDescent="0.2">
      <c r="B8958" s="2">
        <f ca="1"/>
        <v>0.17161848941613522</v>
      </c>
      <c r="O8958" s="2">
        <f ca="1"/>
        <v>0.73616998429035851</v>
      </c>
      <c r="X8958" s="2">
        <f ca="1"/>
        <v>64.252750969988853</v>
      </c>
      <c r="AG8958" s="2">
        <f ca="1"/>
        <v>0.37878682957956733</v>
      </c>
      <c r="AH8958" s="2" t="str">
        <f ca="1"/>
        <v>OK</v>
      </c>
    </row>
    <row r="8959" spans="2:34" x14ac:dyDescent="0.2">
      <c r="B8959" s="2">
        <f ca="1"/>
        <v>0.74688307057173842</v>
      </c>
      <c r="O8959" s="2">
        <f ca="1"/>
        <v>1.8639064441190749</v>
      </c>
      <c r="X8959" s="2">
        <f ca="1"/>
        <v>60.86488715182896</v>
      </c>
      <c r="AG8959" s="2">
        <f ca="1"/>
        <v>0.42321637128718237</v>
      </c>
      <c r="AH8959" s="2" t="str">
        <f ca="1"/>
        <v>Bad</v>
      </c>
    </row>
    <row r="8960" spans="2:34" x14ac:dyDescent="0.2">
      <c r="B8960" s="2">
        <f ca="1"/>
        <v>0.53527720590135752</v>
      </c>
      <c r="O8960" s="2">
        <f ca="1"/>
        <v>2.1808315072105975</v>
      </c>
      <c r="X8960" s="2">
        <f ca="1"/>
        <v>52.928593966479774</v>
      </c>
      <c r="AG8960" s="2">
        <f ca="1"/>
        <v>0.52859460728295304</v>
      </c>
      <c r="AH8960" s="2" t="str">
        <f ca="1"/>
        <v>Bad</v>
      </c>
    </row>
    <row r="8961" spans="2:34" x14ac:dyDescent="0.2">
      <c r="B8961" s="2">
        <f ca="1"/>
        <v>0.33029373511827509</v>
      </c>
      <c r="O8961" s="2">
        <f ca="1"/>
        <v>-0.37530114433476314</v>
      </c>
      <c r="X8961" s="2">
        <f ca="1"/>
        <v>27.771128273396428</v>
      </c>
      <c r="AG8961" s="2">
        <f ca="1"/>
        <v>0.62909324399430666</v>
      </c>
      <c r="AH8961" s="2" t="str">
        <f ca="1"/>
        <v>Bad</v>
      </c>
    </row>
    <row r="8962" spans="2:34" x14ac:dyDescent="0.2">
      <c r="B8962" s="2">
        <f ca="1"/>
        <v>0.4902591806133394</v>
      </c>
      <c r="O8962" s="2">
        <f ca="1"/>
        <v>-0.14522980660674273</v>
      </c>
      <c r="X8962" s="2">
        <f ca="1"/>
        <v>61.37330024760837</v>
      </c>
      <c r="AG8962" s="2">
        <f ca="1"/>
        <v>0.49631390753911897</v>
      </c>
      <c r="AH8962" s="2" t="str">
        <f ca="1"/>
        <v>Bad</v>
      </c>
    </row>
    <row r="8963" spans="2:34" x14ac:dyDescent="0.2">
      <c r="B8963" s="2">
        <f ca="1"/>
        <v>0.39624929214717297</v>
      </c>
      <c r="O8963" s="2">
        <f ca="1"/>
        <v>1.41177933413608</v>
      </c>
      <c r="X8963" s="2">
        <f ca="1"/>
        <v>59.318954438688316</v>
      </c>
      <c r="AG8963" s="2">
        <f ca="1"/>
        <v>0.17940654963295111</v>
      </c>
      <c r="AH8963" s="2" t="str">
        <f ca="1"/>
        <v>OK</v>
      </c>
    </row>
    <row r="8964" spans="2:34" x14ac:dyDescent="0.2">
      <c r="B8964" s="2">
        <f ca="1"/>
        <v>0.95526574273933917</v>
      </c>
      <c r="O8964" s="2">
        <f ca="1"/>
        <v>-2.0353905547793549</v>
      </c>
      <c r="X8964" s="2">
        <f ca="1"/>
        <v>55.205770755501192</v>
      </c>
      <c r="AG8964" s="2">
        <f ca="1"/>
        <v>0.39494990240325678</v>
      </c>
      <c r="AH8964" s="2" t="str">
        <f ca="1"/>
        <v>OK</v>
      </c>
    </row>
    <row r="8965" spans="2:34" x14ac:dyDescent="0.2">
      <c r="B8965" s="2">
        <f ca="1"/>
        <v>0.45870750782666248</v>
      </c>
      <c r="O8965" s="2">
        <f ca="1"/>
        <v>1.192062797802391</v>
      </c>
      <c r="X8965" s="2">
        <f ca="1"/>
        <v>38.242011042853171</v>
      </c>
      <c r="AG8965" s="2">
        <f ca="1"/>
        <v>0.88209859031613558</v>
      </c>
      <c r="AH8965" s="2" t="str">
        <f ca="1"/>
        <v>Bad</v>
      </c>
    </row>
    <row r="8966" spans="2:34" x14ac:dyDescent="0.2">
      <c r="B8966" s="2">
        <f ca="1"/>
        <v>0.1148394380423543</v>
      </c>
      <c r="O8966" s="2">
        <f ca="1"/>
        <v>1.0029476135479354</v>
      </c>
      <c r="X8966" s="2">
        <f ca="1"/>
        <v>47.774884202595054</v>
      </c>
      <c r="AG8966" s="2">
        <f ca="1"/>
        <v>0.93795219371723326</v>
      </c>
      <c r="AH8966" s="2" t="str">
        <f ca="1"/>
        <v>Bad</v>
      </c>
    </row>
    <row r="8967" spans="2:34" x14ac:dyDescent="0.2">
      <c r="B8967" s="2">
        <f ca="1"/>
        <v>4.9513367370478401E-2</v>
      </c>
      <c r="O8967" s="2">
        <f ca="1"/>
        <v>-0.13534828764235263</v>
      </c>
      <c r="X8967" s="2">
        <f ca="1"/>
        <v>74.204707793439781</v>
      </c>
      <c r="AG8967" s="2">
        <f ca="1"/>
        <v>0.20977922064667953</v>
      </c>
      <c r="AH8967" s="2" t="str">
        <f ca="1"/>
        <v>OK</v>
      </c>
    </row>
    <row r="8968" spans="2:34" x14ac:dyDescent="0.2">
      <c r="B8968" s="2">
        <f ca="1"/>
        <v>0.72803374771954199</v>
      </c>
      <c r="O8968" s="2">
        <f ca="1"/>
        <v>1.9344154397189</v>
      </c>
      <c r="X8968" s="2">
        <f ca="1"/>
        <v>45.74433156792729</v>
      </c>
      <c r="AG8968" s="2">
        <f ca="1"/>
        <v>0.75713590147918119</v>
      </c>
      <c r="AH8968" s="2" t="str">
        <f ca="1"/>
        <v>Bad</v>
      </c>
    </row>
    <row r="8969" spans="2:34" x14ac:dyDescent="0.2">
      <c r="B8969" s="2">
        <f ca="1"/>
        <v>0.35054863228551536</v>
      </c>
      <c r="O8969" s="2">
        <f ca="1"/>
        <v>-0.65342640404395846</v>
      </c>
      <c r="X8969" s="2">
        <f ca="1"/>
        <v>19.55830240567126</v>
      </c>
      <c r="AG8969" s="2">
        <f ca="1"/>
        <v>0.68982448768156046</v>
      </c>
      <c r="AH8969" s="2" t="str">
        <f ca="1"/>
        <v>Bad</v>
      </c>
    </row>
    <row r="8970" spans="2:34" x14ac:dyDescent="0.2">
      <c r="B8970" s="2">
        <f ca="1"/>
        <v>0.49482640765622632</v>
      </c>
      <c r="O8970" s="2">
        <f ca="1"/>
        <v>-0.29151753920012807</v>
      </c>
      <c r="X8970" s="2">
        <f ca="1"/>
        <v>48.316564192747691</v>
      </c>
      <c r="AG8970" s="2">
        <f ca="1"/>
        <v>0.53120843291241271</v>
      </c>
      <c r="AH8970" s="2" t="str">
        <f ca="1"/>
        <v>Bad</v>
      </c>
    </row>
    <row r="8971" spans="2:34" x14ac:dyDescent="0.2">
      <c r="B8971" s="2">
        <f ca="1"/>
        <v>1.9775499480736203E-2</v>
      </c>
      <c r="O8971" s="2">
        <f ca="1"/>
        <v>1.8833927700704693</v>
      </c>
      <c r="X8971" s="2">
        <f ca="1"/>
        <v>80.81290791270365</v>
      </c>
      <c r="AG8971" s="2">
        <f ca="1"/>
        <v>0.67874254888076568</v>
      </c>
      <c r="AH8971" s="2" t="str">
        <f ca="1"/>
        <v>Bad</v>
      </c>
    </row>
    <row r="8972" spans="2:34" x14ac:dyDescent="0.2">
      <c r="B8972" s="2">
        <f ca="1"/>
        <v>2.3377972472496511E-2</v>
      </c>
      <c r="O8972" s="2">
        <f ca="1"/>
        <v>2.0953414785344529</v>
      </c>
      <c r="X8972" s="2">
        <f ca="1"/>
        <v>77.212756716569601</v>
      </c>
      <c r="AG8972" s="2">
        <f ca="1"/>
        <v>0.41023980995429121</v>
      </c>
      <c r="AH8972" s="2" t="str">
        <f ca="1"/>
        <v>Bad</v>
      </c>
    </row>
    <row r="8973" spans="2:34" x14ac:dyDescent="0.2">
      <c r="B8973" s="2">
        <f ca="1"/>
        <v>0.77683170439920524</v>
      </c>
      <c r="O8973" s="2">
        <f ca="1"/>
        <v>1.6714743689175131</v>
      </c>
      <c r="X8973" s="2">
        <f ca="1"/>
        <v>51.754616209574998</v>
      </c>
      <c r="AG8973" s="2">
        <f ca="1"/>
        <v>4.9988655962551753E-3</v>
      </c>
      <c r="AH8973" s="2" t="str">
        <f ca="1"/>
        <v>Good</v>
      </c>
    </row>
    <row r="8974" spans="2:34" x14ac:dyDescent="0.2">
      <c r="B8974" s="2">
        <f ca="1"/>
        <v>0.9495025802391639</v>
      </c>
      <c r="O8974" s="2">
        <f ca="1"/>
        <v>-0.43239221697883756</v>
      </c>
      <c r="X8974" s="2">
        <f ca="1"/>
        <v>39.173375926869149</v>
      </c>
      <c r="AG8974" s="2">
        <f ca="1"/>
        <v>2.1453624342023803E-2</v>
      </c>
      <c r="AH8974" s="2" t="str">
        <f ca="1"/>
        <v>Good</v>
      </c>
    </row>
    <row r="8975" spans="2:34" x14ac:dyDescent="0.2">
      <c r="B8975" s="2">
        <f ca="1"/>
        <v>0.48677550092516531</v>
      </c>
      <c r="O8975" s="2">
        <f ca="1"/>
        <v>0.99181344695975626</v>
      </c>
      <c r="X8975" s="2">
        <f ca="1"/>
        <v>49.356097513735371</v>
      </c>
      <c r="AG8975" s="2">
        <f ca="1"/>
        <v>0.64738134938927794</v>
      </c>
      <c r="AH8975" s="2" t="str">
        <f ca="1"/>
        <v>Bad</v>
      </c>
    </row>
    <row r="8976" spans="2:34" x14ac:dyDescent="0.2">
      <c r="B8976" s="2">
        <f ca="1"/>
        <v>0.77734459744183138</v>
      </c>
      <c r="O8976" s="2">
        <f ca="1"/>
        <v>0.32956577600154652</v>
      </c>
      <c r="X8976" s="2">
        <f ca="1"/>
        <v>36.339811009612724</v>
      </c>
      <c r="AG8976" s="2">
        <f ca="1"/>
        <v>0.43878771402302852</v>
      </c>
      <c r="AH8976" s="2" t="str">
        <f ca="1"/>
        <v>Bad</v>
      </c>
    </row>
    <row r="8977" spans="2:34" x14ac:dyDescent="0.2">
      <c r="B8977" s="2">
        <f ca="1"/>
        <v>0.29027851251197956</v>
      </c>
      <c r="O8977" s="2">
        <f ca="1"/>
        <v>-0.46198467087873568</v>
      </c>
      <c r="X8977" s="2">
        <f ca="1"/>
        <v>77.423977918745322</v>
      </c>
      <c r="AG8977" s="2">
        <f ca="1"/>
        <v>0.40540869377004229</v>
      </c>
      <c r="AH8977" s="2" t="str">
        <f ca="1"/>
        <v>Bad</v>
      </c>
    </row>
    <row r="8978" spans="2:34" x14ac:dyDescent="0.2">
      <c r="B8978" s="2">
        <f ca="1"/>
        <v>0.20174804532990676</v>
      </c>
      <c r="O8978" s="2">
        <f ca="1"/>
        <v>0.45086867519839652</v>
      </c>
      <c r="X8978" s="2">
        <f ca="1"/>
        <v>47.209277164585828</v>
      </c>
      <c r="AG8978" s="2">
        <f ca="1"/>
        <v>0.11183200076153033</v>
      </c>
      <c r="AH8978" s="2" t="str">
        <f ca="1"/>
        <v>OK</v>
      </c>
    </row>
    <row r="8979" spans="2:34" x14ac:dyDescent="0.2">
      <c r="B8979" s="2">
        <f ca="1"/>
        <v>0.98479657668466114</v>
      </c>
      <c r="O8979" s="2">
        <f ca="1"/>
        <v>-0.12006570044537031</v>
      </c>
      <c r="X8979" s="2">
        <f ca="1"/>
        <v>47.272277150464234</v>
      </c>
      <c r="AG8979" s="2">
        <f ca="1"/>
        <v>0.52890966187587263</v>
      </c>
      <c r="AH8979" s="2" t="str">
        <f ca="1"/>
        <v>Bad</v>
      </c>
    </row>
    <row r="8980" spans="2:34" x14ac:dyDescent="0.2">
      <c r="B8980" s="2">
        <f ca="1"/>
        <v>0.45401271637183083</v>
      </c>
      <c r="O8980" s="2">
        <f ca="1"/>
        <v>-0.11251254005682658</v>
      </c>
      <c r="X8980" s="2">
        <f ca="1"/>
        <v>40.271256617081008</v>
      </c>
      <c r="AG8980" s="2">
        <f ca="1"/>
        <v>0.38450566307269929</v>
      </c>
      <c r="AH8980" s="2" t="str">
        <f ca="1"/>
        <v>OK</v>
      </c>
    </row>
    <row r="8981" spans="2:34" x14ac:dyDescent="0.2">
      <c r="B8981" s="2">
        <f ca="1"/>
        <v>0.89785350308327905</v>
      </c>
      <c r="O8981" s="2">
        <f ca="1"/>
        <v>-0.44433003783254699</v>
      </c>
      <c r="X8981" s="2">
        <f ca="1"/>
        <v>48.956196968273986</v>
      </c>
      <c r="AG8981" s="2">
        <f ca="1"/>
        <v>0.98365415620283936</v>
      </c>
      <c r="AH8981" s="2" t="str">
        <f ca="1"/>
        <v>Bad</v>
      </c>
    </row>
    <row r="8982" spans="2:34" x14ac:dyDescent="0.2">
      <c r="B8982" s="2">
        <f ca="1"/>
        <v>8.0700522170423117E-2</v>
      </c>
      <c r="O8982" s="2">
        <f ca="1"/>
        <v>1.0109705294588835</v>
      </c>
      <c r="X8982" s="2">
        <f ca="1"/>
        <v>47.640839595545089</v>
      </c>
      <c r="AG8982" s="2">
        <f ca="1"/>
        <v>0.31459345909876979</v>
      </c>
      <c r="AH8982" s="2" t="str">
        <f ca="1"/>
        <v>OK</v>
      </c>
    </row>
    <row r="8983" spans="2:34" x14ac:dyDescent="0.2">
      <c r="B8983" s="2">
        <f ca="1"/>
        <v>0.6542239981128366</v>
      </c>
      <c r="O8983" s="2">
        <f ca="1"/>
        <v>-0.20289536120999452</v>
      </c>
      <c r="X8983" s="2">
        <f ca="1"/>
        <v>53.017623184046172</v>
      </c>
      <c r="AG8983" s="2">
        <f ca="1"/>
        <v>0.90534174053251482</v>
      </c>
      <c r="AH8983" s="2" t="str">
        <f ca="1"/>
        <v>Bad</v>
      </c>
    </row>
    <row r="8984" spans="2:34" x14ac:dyDescent="0.2">
      <c r="B8984" s="2">
        <f ca="1"/>
        <v>0.26924456980118228</v>
      </c>
      <c r="O8984" s="2">
        <f ca="1"/>
        <v>-0.38459577988808147</v>
      </c>
      <c r="X8984" s="2">
        <f ca="1"/>
        <v>49.608645659407379</v>
      </c>
      <c r="AG8984" s="2">
        <f ca="1"/>
        <v>0.34614328547677031</v>
      </c>
      <c r="AH8984" s="2" t="str">
        <f ca="1"/>
        <v>OK</v>
      </c>
    </row>
    <row r="8985" spans="2:34" x14ac:dyDescent="0.2">
      <c r="B8985" s="2">
        <f ca="1"/>
        <v>0.15500446377019506</v>
      </c>
      <c r="O8985" s="2">
        <f ca="1"/>
        <v>-0.17799787078491269</v>
      </c>
      <c r="X8985" s="2">
        <f ca="1"/>
        <v>65.257321195755452</v>
      </c>
      <c r="AG8985" s="2">
        <f ca="1"/>
        <v>9.2273934348447773E-2</v>
      </c>
      <c r="AH8985" s="2" t="str">
        <f ca="1"/>
        <v>OK</v>
      </c>
    </row>
    <row r="8986" spans="2:34" x14ac:dyDescent="0.2">
      <c r="B8986" s="2">
        <f ca="1"/>
        <v>0.11460082693674201</v>
      </c>
      <c r="O8986" s="2">
        <f ca="1"/>
        <v>-2.0207207607766908</v>
      </c>
      <c r="X8986" s="2">
        <f ca="1"/>
        <v>88.059211793417106</v>
      </c>
      <c r="AG8986" s="2">
        <f ca="1"/>
        <v>0.10887728117517059</v>
      </c>
      <c r="AH8986" s="2" t="str">
        <f ca="1"/>
        <v>OK</v>
      </c>
    </row>
    <row r="8987" spans="2:34" x14ac:dyDescent="0.2">
      <c r="B8987" s="2">
        <f ca="1"/>
        <v>0.82613349756102483</v>
      </c>
      <c r="O8987" s="2">
        <f ca="1"/>
        <v>1.9609088440622429</v>
      </c>
      <c r="X8987" s="2">
        <f ca="1"/>
        <v>56.304821812056318</v>
      </c>
      <c r="AG8987" s="2">
        <f ca="1"/>
        <v>0.54938149258706126</v>
      </c>
      <c r="AH8987" s="2" t="str">
        <f ca="1"/>
        <v>Bad</v>
      </c>
    </row>
    <row r="8988" spans="2:34" x14ac:dyDescent="0.2">
      <c r="B8988" s="2">
        <f ca="1"/>
        <v>0.51640910760346381</v>
      </c>
      <c r="O8988" s="2">
        <f ca="1"/>
        <v>2.4989609998445896</v>
      </c>
      <c r="X8988" s="2">
        <f ca="1"/>
        <v>76.81368283410292</v>
      </c>
      <c r="AG8988" s="2">
        <f ca="1"/>
        <v>0.38193014859928098</v>
      </c>
      <c r="AH8988" s="2" t="str">
        <f ca="1"/>
        <v>OK</v>
      </c>
    </row>
    <row r="8989" spans="2:34" x14ac:dyDescent="0.2">
      <c r="B8989" s="2">
        <f ca="1"/>
        <v>0.65642810787199868</v>
      </c>
      <c r="O8989" s="2">
        <f ca="1"/>
        <v>1.176218682191563</v>
      </c>
      <c r="X8989" s="2">
        <f ca="1"/>
        <v>69.735008098714843</v>
      </c>
      <c r="AG8989" s="2">
        <f ca="1"/>
        <v>0.47962720000842918</v>
      </c>
      <c r="AH8989" s="2" t="str">
        <f ca="1"/>
        <v>Bad</v>
      </c>
    </row>
    <row r="8990" spans="2:34" x14ac:dyDescent="0.2">
      <c r="B8990" s="2">
        <f ca="1"/>
        <v>0.91282923574522346</v>
      </c>
      <c r="O8990" s="2">
        <f ca="1"/>
        <v>-0.13383096370998065</v>
      </c>
      <c r="X8990" s="2">
        <f ca="1"/>
        <v>41.952396412395665</v>
      </c>
      <c r="AG8990" s="2">
        <f ca="1"/>
        <v>0.32233127884077772</v>
      </c>
      <c r="AH8990" s="2" t="str">
        <f ca="1"/>
        <v>OK</v>
      </c>
    </row>
    <row r="8991" spans="2:34" x14ac:dyDescent="0.2">
      <c r="B8991" s="2">
        <f ca="1"/>
        <v>0.36345763618323335</v>
      </c>
      <c r="O8991" s="2">
        <f ca="1"/>
        <v>0.73596165281217052</v>
      </c>
      <c r="X8991" s="2">
        <f ca="1"/>
        <v>72.89830784053818</v>
      </c>
      <c r="AG8991" s="2">
        <f ca="1"/>
        <v>4.2526176433553164E-2</v>
      </c>
      <c r="AH8991" s="2" t="str">
        <f ca="1"/>
        <v>Good</v>
      </c>
    </row>
    <row r="8992" spans="2:34" x14ac:dyDescent="0.2">
      <c r="B8992" s="2">
        <f ca="1"/>
        <v>0.68239083929878208</v>
      </c>
      <c r="O8992" s="2">
        <f ca="1"/>
        <v>0.92312355219194275</v>
      </c>
      <c r="X8992" s="2">
        <f ca="1"/>
        <v>57.628414454229436</v>
      </c>
      <c r="AG8992" s="2">
        <f ca="1"/>
        <v>0.39877643341178137</v>
      </c>
      <c r="AH8992" s="2" t="str">
        <f ca="1"/>
        <v>OK</v>
      </c>
    </row>
    <row r="8993" spans="2:34" x14ac:dyDescent="0.2">
      <c r="B8993" s="2">
        <f ca="1"/>
        <v>0.86609072755068839</v>
      </c>
      <c r="O8993" s="2">
        <f ca="1"/>
        <v>-5.5595771745865691E-2</v>
      </c>
      <c r="X8993" s="2">
        <f ca="1"/>
        <v>33.266275152077476</v>
      </c>
      <c r="AG8993" s="2">
        <f ca="1"/>
        <v>0.9345670234056398</v>
      </c>
      <c r="AH8993" s="2" t="str">
        <f ca="1"/>
        <v>Bad</v>
      </c>
    </row>
    <row r="8994" spans="2:34" x14ac:dyDescent="0.2">
      <c r="B8994" s="2">
        <f ca="1"/>
        <v>0.9129849094946334</v>
      </c>
      <c r="O8994" s="2">
        <f ca="1"/>
        <v>0.58558497666188569</v>
      </c>
      <c r="X8994" s="2">
        <f ca="1"/>
        <v>40.012719292208644</v>
      </c>
      <c r="AG8994" s="2">
        <f ca="1"/>
        <v>0.40013085015142069</v>
      </c>
      <c r="AH8994" s="2" t="str">
        <f ca="1"/>
        <v>Bad</v>
      </c>
    </row>
    <row r="8995" spans="2:34" x14ac:dyDescent="0.2">
      <c r="B8995" s="2">
        <f ca="1"/>
        <v>0.39703728008551997</v>
      </c>
      <c r="O8995" s="2">
        <f ca="1"/>
        <v>-0.90331526786895144</v>
      </c>
      <c r="X8995" s="2">
        <f ca="1"/>
        <v>47.335241816625242</v>
      </c>
      <c r="AG8995" s="2">
        <f ca="1"/>
        <v>9.6702288210794407E-2</v>
      </c>
      <c r="AH8995" s="2" t="str">
        <f ca="1"/>
        <v>OK</v>
      </c>
    </row>
    <row r="8996" spans="2:34" x14ac:dyDescent="0.2">
      <c r="B8996" s="2">
        <f ca="1"/>
        <v>0.18941746102616919</v>
      </c>
      <c r="O8996" s="2">
        <f ca="1"/>
        <v>0.75205476048261388</v>
      </c>
      <c r="X8996" s="2">
        <f ca="1"/>
        <v>64.032066669436674</v>
      </c>
      <c r="AG8996" s="2">
        <f ca="1"/>
        <v>0.83472565453333036</v>
      </c>
      <c r="AH8996" s="2" t="str">
        <f ca="1"/>
        <v>Bad</v>
      </c>
    </row>
    <row r="8997" spans="2:34" x14ac:dyDescent="0.2">
      <c r="B8997" s="2">
        <f ca="1"/>
        <v>0.22804486149230674</v>
      </c>
      <c r="O8997" s="2">
        <f ca="1"/>
        <v>-0.88074751000155904</v>
      </c>
      <c r="X8997" s="2">
        <f ca="1"/>
        <v>56.732874568350724</v>
      </c>
      <c r="AG8997" s="2">
        <f ca="1"/>
        <v>0.21310531328948024</v>
      </c>
      <c r="AH8997" s="2" t="str">
        <f ca="1"/>
        <v>OK</v>
      </c>
    </row>
    <row r="8998" spans="2:34" x14ac:dyDescent="0.2">
      <c r="B8998" s="2">
        <f ca="1"/>
        <v>0.4058000780954798</v>
      </c>
      <c r="O8998" s="2">
        <f ca="1"/>
        <v>-1.5880115976881006</v>
      </c>
      <c r="X8998" s="2">
        <f ca="1"/>
        <v>84.416354517851019</v>
      </c>
      <c r="AG8998" s="2">
        <f ca="1"/>
        <v>0.44083568405367868</v>
      </c>
      <c r="AH8998" s="2" t="str">
        <f ca="1"/>
        <v>Bad</v>
      </c>
    </row>
    <row r="8999" spans="2:34" x14ac:dyDescent="0.2">
      <c r="B8999" s="2">
        <f ca="1"/>
        <v>0.43234597922485918</v>
      </c>
      <c r="O8999" s="2">
        <f ca="1"/>
        <v>1.1252440635243566</v>
      </c>
      <c r="X8999" s="2">
        <f ca="1"/>
        <v>59.023885053540766</v>
      </c>
      <c r="AG8999" s="2">
        <f ca="1"/>
        <v>0.19626642810928141</v>
      </c>
      <c r="AH8999" s="2" t="str">
        <f ca="1"/>
        <v>OK</v>
      </c>
    </row>
    <row r="9000" spans="2:34" x14ac:dyDescent="0.2">
      <c r="B9000" s="2">
        <f ca="1"/>
        <v>0.35976403024377479</v>
      </c>
      <c r="O9000" s="2">
        <f ca="1"/>
        <v>0.81549174619095399</v>
      </c>
      <c r="X9000" s="2">
        <f ca="1"/>
        <v>55.103266161548959</v>
      </c>
      <c r="AG9000" s="2">
        <f ca="1"/>
        <v>0.30305474605390081</v>
      </c>
      <c r="AH9000" s="2" t="str">
        <f ca="1"/>
        <v>OK</v>
      </c>
    </row>
    <row r="9001" spans="2:34" x14ac:dyDescent="0.2">
      <c r="B9001" s="2">
        <f ca="1"/>
        <v>0.79184741161555894</v>
      </c>
      <c r="O9001" s="2">
        <f ca="1"/>
        <v>-0.56341369642108274</v>
      </c>
      <c r="X9001" s="2">
        <f ca="1"/>
        <v>57.34697409803141</v>
      </c>
      <c r="AG9001" s="2">
        <f ca="1"/>
        <v>0.48242476989025973</v>
      </c>
      <c r="AH9001" s="2" t="str">
        <f ca="1"/>
        <v>Bad</v>
      </c>
    </row>
    <row r="9002" spans="2:34" x14ac:dyDescent="0.2">
      <c r="B9002" s="2">
        <f ca="1"/>
        <v>0.26753299794306984</v>
      </c>
      <c r="O9002" s="2">
        <f ca="1"/>
        <v>-1.9865038013276015</v>
      </c>
      <c r="X9002" s="2">
        <f ca="1"/>
        <v>103.44855482175353</v>
      </c>
      <c r="AG9002" s="2">
        <f ca="1"/>
        <v>0.84780212958106138</v>
      </c>
      <c r="AH9002" s="2" t="str">
        <f ca="1"/>
        <v>Bad</v>
      </c>
    </row>
    <row r="9003" spans="2:34" x14ac:dyDescent="0.2">
      <c r="B9003" s="2">
        <f ca="1"/>
        <v>0.19207147457604212</v>
      </c>
      <c r="O9003" s="2">
        <f ca="1"/>
        <v>3.1332614040196791</v>
      </c>
      <c r="X9003" s="2">
        <f ca="1"/>
        <v>77.086481871649511</v>
      </c>
      <c r="AG9003" s="2">
        <f ca="1"/>
        <v>0.11156721008345394</v>
      </c>
      <c r="AH9003" s="2" t="str">
        <f ca="1"/>
        <v>OK</v>
      </c>
    </row>
    <row r="9004" spans="2:34" x14ac:dyDescent="0.2">
      <c r="B9004" s="2">
        <f ca="1"/>
        <v>0.3729613574678623</v>
      </c>
      <c r="O9004" s="2">
        <f ca="1"/>
        <v>1.3238331020917307</v>
      </c>
      <c r="X9004" s="2">
        <f ca="1"/>
        <v>33.073807634300707</v>
      </c>
      <c r="AG9004" s="2">
        <f ca="1"/>
        <v>0.66480324159923354</v>
      </c>
      <c r="AH9004" s="2" t="str">
        <f ca="1"/>
        <v>Bad</v>
      </c>
    </row>
    <row r="9005" spans="2:34" x14ac:dyDescent="0.2">
      <c r="B9005" s="2">
        <f ca="1"/>
        <v>0.53051218939898503</v>
      </c>
      <c r="O9005" s="2">
        <f ca="1"/>
        <v>1.1107858664561012</v>
      </c>
      <c r="X9005" s="2">
        <f ca="1"/>
        <v>45.180867587672466</v>
      </c>
      <c r="AG9005" s="2">
        <f ca="1"/>
        <v>4.684085188946252E-2</v>
      </c>
      <c r="AH9005" s="2" t="str">
        <f ca="1"/>
        <v>Good</v>
      </c>
    </row>
    <row r="9006" spans="2:34" x14ac:dyDescent="0.2">
      <c r="B9006" s="2">
        <f ca="1"/>
        <v>0.97164692967144606</v>
      </c>
      <c r="O9006" s="2">
        <f ca="1"/>
        <v>0.27945842981000346</v>
      </c>
      <c r="X9006" s="2">
        <f ca="1"/>
        <v>32.657262169241321</v>
      </c>
      <c r="AG9006" s="2">
        <f ca="1"/>
        <v>0.65427090599014304</v>
      </c>
      <c r="AH9006" s="2" t="str">
        <f ca="1"/>
        <v>Bad</v>
      </c>
    </row>
    <row r="9007" spans="2:34" x14ac:dyDescent="0.2">
      <c r="B9007" s="2">
        <f ca="1"/>
        <v>0.21901409555628826</v>
      </c>
      <c r="O9007" s="2">
        <f ca="1"/>
        <v>-0.81016121797255025</v>
      </c>
      <c r="X9007" s="2">
        <f ca="1"/>
        <v>58.854917708703198</v>
      </c>
      <c r="AG9007" s="2">
        <f ca="1"/>
        <v>0.39140823136835023</v>
      </c>
      <c r="AH9007" s="2" t="str">
        <f ca="1"/>
        <v>OK</v>
      </c>
    </row>
    <row r="9008" spans="2:34" x14ac:dyDescent="0.2">
      <c r="B9008" s="2">
        <f ca="1"/>
        <v>0.87535555164176637</v>
      </c>
      <c r="O9008" s="2">
        <f ca="1"/>
        <v>0.46609349122078947</v>
      </c>
      <c r="X9008" s="2">
        <f ca="1"/>
        <v>50.687592145399691</v>
      </c>
      <c r="AG9008" s="2">
        <f ca="1"/>
        <v>0.40187629635251088</v>
      </c>
      <c r="AH9008" s="2" t="str">
        <f ca="1"/>
        <v>Bad</v>
      </c>
    </row>
    <row r="9009" spans="2:34" x14ac:dyDescent="0.2">
      <c r="B9009" s="2">
        <f ca="1"/>
        <v>0.74312315202652557</v>
      </c>
      <c r="O9009" s="2">
        <f ca="1"/>
        <v>-1.5033462665865649</v>
      </c>
      <c r="X9009" s="2">
        <f ca="1"/>
        <v>46.615611095011296</v>
      </c>
      <c r="AG9009" s="2">
        <f ca="1"/>
        <v>0.83833825088168989</v>
      </c>
      <c r="AH9009" s="2" t="str">
        <f ca="1"/>
        <v>Bad</v>
      </c>
    </row>
    <row r="9010" spans="2:34" x14ac:dyDescent="0.2">
      <c r="B9010" s="2">
        <f ca="1"/>
        <v>0.94224046557427354</v>
      </c>
      <c r="O9010" s="2">
        <f ca="1"/>
        <v>1.3460303705023873</v>
      </c>
      <c r="X9010" s="2">
        <f ca="1"/>
        <v>55.046962716110414</v>
      </c>
      <c r="AG9010" s="2">
        <f ca="1"/>
        <v>0.32559718617436895</v>
      </c>
      <c r="AH9010" s="2" t="str">
        <f ca="1"/>
        <v>OK</v>
      </c>
    </row>
    <row r="9011" spans="2:34" x14ac:dyDescent="0.2">
      <c r="B9011" s="2">
        <f ca="1"/>
        <v>0.71107834759990474</v>
      </c>
      <c r="O9011" s="2">
        <f ca="1"/>
        <v>3.4982385723822354E-2</v>
      </c>
      <c r="X9011" s="2">
        <f ca="1"/>
        <v>42.879528192742107</v>
      </c>
      <c r="AG9011" s="2">
        <f ca="1"/>
        <v>0.56415857414312542</v>
      </c>
      <c r="AH9011" s="2" t="str">
        <f ca="1"/>
        <v>Bad</v>
      </c>
    </row>
    <row r="9012" spans="2:34" x14ac:dyDescent="0.2">
      <c r="B9012" s="2">
        <f ca="1"/>
        <v>0.99663033111775445</v>
      </c>
      <c r="O9012" s="2">
        <f ca="1"/>
        <v>0.71626208315105511</v>
      </c>
      <c r="X9012" s="2">
        <f ca="1"/>
        <v>35.785195222209481</v>
      </c>
      <c r="AG9012" s="2">
        <f ca="1"/>
        <v>0.45098172837864992</v>
      </c>
      <c r="AH9012" s="2" t="str">
        <f ca="1"/>
        <v>Bad</v>
      </c>
    </row>
    <row r="9013" spans="2:34" x14ac:dyDescent="0.2">
      <c r="B9013" s="2">
        <f ca="1"/>
        <v>0.37992258924163047</v>
      </c>
      <c r="O9013" s="2">
        <f ca="1"/>
        <v>0.99223889417567712</v>
      </c>
      <c r="X9013" s="2">
        <f ca="1"/>
        <v>31.03470179702866</v>
      </c>
      <c r="AG9013" s="2">
        <f ca="1"/>
        <v>0.68394800073047146</v>
      </c>
      <c r="AH9013" s="2" t="str">
        <f ca="1"/>
        <v>Bad</v>
      </c>
    </row>
    <row r="9014" spans="2:34" x14ac:dyDescent="0.2">
      <c r="B9014" s="2">
        <f ca="1"/>
        <v>0.85241341632730605</v>
      </c>
      <c r="O9014" s="2">
        <f ca="1"/>
        <v>-0.92753577037249157</v>
      </c>
      <c r="X9014" s="2">
        <f ca="1"/>
        <v>57.582485323630273</v>
      </c>
      <c r="AG9014" s="2">
        <f ca="1"/>
        <v>0.88193910434382761</v>
      </c>
      <c r="AH9014" s="2" t="str">
        <f ca="1"/>
        <v>Bad</v>
      </c>
    </row>
    <row r="9015" spans="2:34" x14ac:dyDescent="0.2">
      <c r="B9015" s="2">
        <f ca="1"/>
        <v>0.23588541954023179</v>
      </c>
      <c r="O9015" s="2">
        <f ca="1"/>
        <v>1.6032648327031147</v>
      </c>
      <c r="X9015" s="2">
        <f ca="1"/>
        <v>37.34987986130043</v>
      </c>
      <c r="AG9015" s="2">
        <f ca="1"/>
        <v>0.80088188090685097</v>
      </c>
      <c r="AH9015" s="2" t="str">
        <f ca="1"/>
        <v>Bad</v>
      </c>
    </row>
    <row r="9016" spans="2:34" x14ac:dyDescent="0.2">
      <c r="B9016" s="2">
        <f ca="1"/>
        <v>0.12343530751910725</v>
      </c>
      <c r="O9016" s="2">
        <f ca="1"/>
        <v>-0.36928667481701072</v>
      </c>
      <c r="X9016" s="2">
        <f ca="1"/>
        <v>62.601515683263159</v>
      </c>
      <c r="AG9016" s="2">
        <f ca="1"/>
        <v>0.63942611438389818</v>
      </c>
      <c r="AH9016" s="2" t="str">
        <f ca="1"/>
        <v>Bad</v>
      </c>
    </row>
    <row r="9017" spans="2:34" x14ac:dyDescent="0.2">
      <c r="B9017" s="2">
        <f ca="1"/>
        <v>0.27749177137578829</v>
      </c>
      <c r="O9017" s="2">
        <f ca="1"/>
        <v>-1.2240377508693796</v>
      </c>
      <c r="X9017" s="2">
        <f ca="1"/>
        <v>40.051710625198652</v>
      </c>
      <c r="AG9017" s="2">
        <f ca="1"/>
        <v>6.0606345647959081E-2</v>
      </c>
      <c r="AH9017" s="2" t="str">
        <f ca="1"/>
        <v>OK</v>
      </c>
    </row>
    <row r="9018" spans="2:34" x14ac:dyDescent="0.2">
      <c r="B9018" s="2">
        <f ca="1"/>
        <v>0.10708034766414531</v>
      </c>
      <c r="O9018" s="2">
        <f ca="1"/>
        <v>-0.55391276330755412</v>
      </c>
      <c r="X9018" s="2">
        <f ca="1"/>
        <v>57.11177130632273</v>
      </c>
      <c r="AG9018" s="2">
        <f ca="1"/>
        <v>0.2437294712196425</v>
      </c>
      <c r="AH9018" s="2" t="str">
        <f ca="1"/>
        <v>OK</v>
      </c>
    </row>
    <row r="9019" spans="2:34" x14ac:dyDescent="0.2">
      <c r="B9019" s="2">
        <f ca="1"/>
        <v>0.20107535256532483</v>
      </c>
      <c r="O9019" s="2">
        <f ca="1"/>
        <v>2.1651149322475169</v>
      </c>
      <c r="X9019" s="2">
        <f ca="1"/>
        <v>63.474124918122655</v>
      </c>
      <c r="AG9019" s="2">
        <f ca="1"/>
        <v>0.58772402853843797</v>
      </c>
      <c r="AH9019" s="2" t="str">
        <f ca="1"/>
        <v>Bad</v>
      </c>
    </row>
    <row r="9020" spans="2:34" x14ac:dyDescent="0.2">
      <c r="B9020" s="2">
        <f ca="1"/>
        <v>0.15095435970374105</v>
      </c>
      <c r="O9020" s="2">
        <f ca="1"/>
        <v>0.45877129445785431</v>
      </c>
      <c r="X9020" s="2">
        <f ca="1"/>
        <v>46.117673016812049</v>
      </c>
      <c r="AG9020" s="2">
        <f ca="1"/>
        <v>0.23576837091078406</v>
      </c>
      <c r="AH9020" s="2" t="str">
        <f ca="1"/>
        <v>OK</v>
      </c>
    </row>
    <row r="9021" spans="2:34" x14ac:dyDescent="0.2">
      <c r="B9021" s="2">
        <f ca="1"/>
        <v>0.52861601945374481</v>
      </c>
      <c r="O9021" s="2">
        <f ca="1"/>
        <v>-0.87533122825724408</v>
      </c>
      <c r="X9021" s="2">
        <f ca="1"/>
        <v>29.772596436740379</v>
      </c>
      <c r="AG9021" s="2">
        <f ca="1"/>
        <v>0.11983156121025007</v>
      </c>
      <c r="AH9021" s="2" t="str">
        <f ca="1"/>
        <v>OK</v>
      </c>
    </row>
    <row r="9022" spans="2:34" x14ac:dyDescent="0.2">
      <c r="B9022" s="2">
        <f ca="1"/>
        <v>0.13300822860155481</v>
      </c>
      <c r="O9022" s="2">
        <f ca="1"/>
        <v>-0.40562019986035863</v>
      </c>
      <c r="X9022" s="2">
        <f ca="1"/>
        <v>40.796433185051661</v>
      </c>
      <c r="AG9022" s="2">
        <f ca="1"/>
        <v>0.32403842257764337</v>
      </c>
      <c r="AH9022" s="2" t="str">
        <f ca="1"/>
        <v>OK</v>
      </c>
    </row>
    <row r="9023" spans="2:34" x14ac:dyDescent="0.2">
      <c r="B9023" s="2">
        <f ca="1"/>
        <v>0.8878947476764294</v>
      </c>
      <c r="O9023" s="2">
        <f ca="1"/>
        <v>0.44467876251305105</v>
      </c>
      <c r="X9023" s="2">
        <f ca="1"/>
        <v>39.11956657591216</v>
      </c>
      <c r="AG9023" s="2">
        <f ca="1"/>
        <v>0.15671778246779766</v>
      </c>
      <c r="AH9023" s="2" t="str">
        <f ca="1"/>
        <v>OK</v>
      </c>
    </row>
    <row r="9024" spans="2:34" x14ac:dyDescent="0.2">
      <c r="B9024" s="2">
        <f ca="1"/>
        <v>0.67510421368245677</v>
      </c>
      <c r="O9024" s="2">
        <f ca="1"/>
        <v>1.6986654055974186</v>
      </c>
      <c r="X9024" s="2">
        <f ca="1"/>
        <v>40.000439650842885</v>
      </c>
      <c r="AG9024" s="2">
        <f ca="1"/>
        <v>0.94622927171471072</v>
      </c>
      <c r="AH9024" s="2" t="str">
        <f ca="1"/>
        <v>Bad</v>
      </c>
    </row>
    <row r="9025" spans="2:34" x14ac:dyDescent="0.2">
      <c r="B9025" s="2">
        <f ca="1"/>
        <v>0.86009083780555784</v>
      </c>
      <c r="O9025" s="2">
        <f ca="1"/>
        <v>-0.21171793969304828</v>
      </c>
      <c r="X9025" s="2">
        <f ca="1"/>
        <v>53.355253525579364</v>
      </c>
      <c r="AG9025" s="2">
        <f ca="1"/>
        <v>0.60120247032884322</v>
      </c>
      <c r="AH9025" s="2" t="str">
        <f ca="1"/>
        <v>Bad</v>
      </c>
    </row>
    <row r="9026" spans="2:34" x14ac:dyDescent="0.2">
      <c r="B9026" s="2">
        <f ca="1"/>
        <v>0.85473768002544115</v>
      </c>
      <c r="O9026" s="2">
        <f ca="1"/>
        <v>5.7043088273143756E-2</v>
      </c>
      <c r="X9026" s="2">
        <f ca="1"/>
        <v>41.880834122344098</v>
      </c>
      <c r="AG9026" s="2">
        <f ca="1"/>
        <v>0.66089020941472487</v>
      </c>
      <c r="AH9026" s="2" t="str">
        <f ca="1"/>
        <v>Bad</v>
      </c>
    </row>
    <row r="9027" spans="2:34" x14ac:dyDescent="0.2">
      <c r="B9027" s="2">
        <f ca="1"/>
        <v>0.86317321844286554</v>
      </c>
      <c r="O9027" s="2">
        <f ca="1"/>
        <v>0.1461405156376574</v>
      </c>
      <c r="X9027" s="2">
        <f ca="1"/>
        <v>57.376146666981285</v>
      </c>
      <c r="AG9027" s="2">
        <f ca="1"/>
        <v>8.7341613756948489E-2</v>
      </c>
      <c r="AH9027" s="2" t="str">
        <f ca="1"/>
        <v>OK</v>
      </c>
    </row>
    <row r="9028" spans="2:34" x14ac:dyDescent="0.2">
      <c r="B9028" s="2">
        <f ca="1"/>
        <v>0.77501133912036213</v>
      </c>
      <c r="O9028" s="2">
        <f ca="1"/>
        <v>1.8482981815065096</v>
      </c>
      <c r="X9028" s="2">
        <f ca="1"/>
        <v>53.699036967011267</v>
      </c>
      <c r="AG9028" s="2">
        <f ca="1"/>
        <v>0.73266885012699912</v>
      </c>
      <c r="AH9028" s="2" t="str">
        <f ca="1"/>
        <v>Bad</v>
      </c>
    </row>
    <row r="9029" spans="2:34" x14ac:dyDescent="0.2">
      <c r="B9029" s="2">
        <f ca="1"/>
        <v>7.6710789750098485E-2</v>
      </c>
      <c r="O9029" s="2">
        <f ca="1"/>
        <v>-0.89924051635587643</v>
      </c>
      <c r="X9029" s="2">
        <f ca="1"/>
        <v>74.548596992346305</v>
      </c>
      <c r="AG9029" s="2">
        <f ca="1"/>
        <v>0.14144613358088964</v>
      </c>
      <c r="AH9029" s="2" t="str">
        <f ca="1"/>
        <v>OK</v>
      </c>
    </row>
    <row r="9030" spans="2:34" x14ac:dyDescent="0.2">
      <c r="B9030" s="2">
        <f ca="1"/>
        <v>0.91519825117442477</v>
      </c>
      <c r="O9030" s="2">
        <f ca="1"/>
        <v>2.156251228747561</v>
      </c>
      <c r="X9030" s="2">
        <f ca="1"/>
        <v>61.062974585930121</v>
      </c>
      <c r="AG9030" s="2">
        <f ca="1"/>
        <v>0.68164571792421014</v>
      </c>
      <c r="AH9030" s="2" t="str">
        <f ca="1"/>
        <v>Bad</v>
      </c>
    </row>
    <row r="9031" spans="2:34" x14ac:dyDescent="0.2">
      <c r="B9031" s="2">
        <f ca="1"/>
        <v>0.83474542546575869</v>
      </c>
      <c r="O9031" s="2">
        <f ca="1"/>
        <v>0.34224820162316377</v>
      </c>
      <c r="X9031" s="2">
        <f ca="1"/>
        <v>76.546972114312467</v>
      </c>
      <c r="AG9031" s="2">
        <f ca="1"/>
        <v>0.48341455618649132</v>
      </c>
      <c r="AH9031" s="2" t="str">
        <f ca="1"/>
        <v>Bad</v>
      </c>
    </row>
    <row r="9032" spans="2:34" x14ac:dyDescent="0.2">
      <c r="B9032" s="2">
        <f ca="1"/>
        <v>0.26808425892731291</v>
      </c>
      <c r="O9032" s="2">
        <f ca="1"/>
        <v>0.27408889371632877</v>
      </c>
      <c r="X9032" s="2">
        <f ca="1"/>
        <v>73.892698325348704</v>
      </c>
      <c r="AG9032" s="2">
        <f ca="1"/>
        <v>6.0419095737450412E-2</v>
      </c>
      <c r="AH9032" s="2" t="str">
        <f ca="1"/>
        <v>OK</v>
      </c>
    </row>
    <row r="9033" spans="2:34" x14ac:dyDescent="0.2">
      <c r="B9033" s="2">
        <f ca="1"/>
        <v>2.2138994926810041E-2</v>
      </c>
      <c r="O9033" s="2">
        <f ca="1"/>
        <v>-0.41039711566785869</v>
      </c>
      <c r="X9033" s="2">
        <f ca="1"/>
        <v>81.587263401712121</v>
      </c>
      <c r="AG9033" s="2">
        <f ca="1"/>
        <v>0.57914901262470941</v>
      </c>
      <c r="AH9033" s="2" t="str">
        <f ca="1"/>
        <v>Bad</v>
      </c>
    </row>
    <row r="9034" spans="2:34" x14ac:dyDescent="0.2">
      <c r="B9034" s="2">
        <f ca="1"/>
        <v>0.18434617207578108</v>
      </c>
      <c r="O9034" s="2">
        <f ca="1"/>
        <v>-1.1626851285463218</v>
      </c>
      <c r="X9034" s="2">
        <f ca="1"/>
        <v>54.73490031152096</v>
      </c>
      <c r="AG9034" s="2">
        <f ca="1"/>
        <v>0.36984521473221355</v>
      </c>
      <c r="AH9034" s="2" t="str">
        <f ca="1"/>
        <v>OK</v>
      </c>
    </row>
    <row r="9035" spans="2:34" x14ac:dyDescent="0.2">
      <c r="B9035" s="2">
        <f ca="1"/>
        <v>0.17195647069695963</v>
      </c>
      <c r="O9035" s="2">
        <f ca="1"/>
        <v>0.8559218108847273</v>
      </c>
      <c r="X9035" s="2">
        <f ca="1"/>
        <v>38.003747636742645</v>
      </c>
      <c r="AG9035" s="2">
        <f ca="1"/>
        <v>0.11518090525789537</v>
      </c>
      <c r="AH9035" s="2" t="str">
        <f ca="1"/>
        <v>OK</v>
      </c>
    </row>
    <row r="9036" spans="2:34" x14ac:dyDescent="0.2">
      <c r="B9036" s="2">
        <f ca="1"/>
        <v>0.26302995872972579</v>
      </c>
      <c r="O9036" s="2">
        <f ca="1"/>
        <v>-0.75005380980101799</v>
      </c>
      <c r="X9036" s="2">
        <f ca="1"/>
        <v>57.435024576172999</v>
      </c>
      <c r="AG9036" s="2">
        <f ca="1"/>
        <v>0.5797852334270297</v>
      </c>
      <c r="AH9036" s="2" t="str">
        <f ca="1"/>
        <v>Bad</v>
      </c>
    </row>
    <row r="9037" spans="2:34" x14ac:dyDescent="0.2">
      <c r="B9037" s="2">
        <f ca="1"/>
        <v>0.42768409423437115</v>
      </c>
      <c r="O9037" s="2">
        <f ca="1"/>
        <v>-0.50731455326579233</v>
      </c>
      <c r="X9037" s="2">
        <f ca="1"/>
        <v>56.714595661492957</v>
      </c>
      <c r="AG9037" s="2">
        <f ca="1"/>
        <v>0.29805609801877031</v>
      </c>
      <c r="AH9037" s="2" t="str">
        <f ca="1"/>
        <v>OK</v>
      </c>
    </row>
    <row r="9038" spans="2:34" x14ac:dyDescent="0.2">
      <c r="B9038" s="2">
        <f ca="1"/>
        <v>8.6830964948052314E-2</v>
      </c>
      <c r="O9038" s="2">
        <f ca="1"/>
        <v>0.33781617181264123</v>
      </c>
      <c r="X9038" s="2">
        <f ca="1"/>
        <v>55.635240789739868</v>
      </c>
      <c r="AG9038" s="2">
        <f ca="1"/>
        <v>0.20987322706913547</v>
      </c>
      <c r="AH9038" s="2" t="str">
        <f ca="1"/>
        <v>OK</v>
      </c>
    </row>
    <row r="9039" spans="2:34" x14ac:dyDescent="0.2">
      <c r="B9039" s="2">
        <f ca="1"/>
        <v>0.43839453226325031</v>
      </c>
      <c r="O9039" s="2">
        <f ca="1"/>
        <v>1.2488200210134035</v>
      </c>
      <c r="X9039" s="2">
        <f ca="1"/>
        <v>35.001643793048707</v>
      </c>
      <c r="AG9039" s="2">
        <f ca="1"/>
        <v>0.33257202381117468</v>
      </c>
      <c r="AH9039" s="2" t="str">
        <f ca="1"/>
        <v>OK</v>
      </c>
    </row>
    <row r="9040" spans="2:34" x14ac:dyDescent="0.2">
      <c r="B9040" s="2">
        <f ca="1"/>
        <v>0.28288136364253846</v>
      </c>
      <c r="O9040" s="2">
        <f ca="1"/>
        <v>1.0233925633868619</v>
      </c>
      <c r="X9040" s="2">
        <f ca="1"/>
        <v>36.870173721377462</v>
      </c>
      <c r="AG9040" s="2">
        <f ca="1"/>
        <v>0.36510062611944227</v>
      </c>
      <c r="AH9040" s="2" t="str">
        <f ca="1"/>
        <v>OK</v>
      </c>
    </row>
    <row r="9041" spans="2:34" x14ac:dyDescent="0.2">
      <c r="B9041" s="2">
        <f ca="1"/>
        <v>0.44249382953557292</v>
      </c>
      <c r="O9041" s="2">
        <f ca="1"/>
        <v>-0.13044047079467092</v>
      </c>
      <c r="X9041" s="2">
        <f ca="1"/>
        <v>58.1863530617251</v>
      </c>
      <c r="AG9041" s="2">
        <f ca="1"/>
        <v>0.83104057155225464</v>
      </c>
      <c r="AH9041" s="2" t="str">
        <f ca="1"/>
        <v>Bad</v>
      </c>
    </row>
    <row r="9042" spans="2:34" x14ac:dyDescent="0.2">
      <c r="B9042" s="2">
        <f ca="1"/>
        <v>0.77196908278032739</v>
      </c>
      <c r="O9042" s="2">
        <f ca="1"/>
        <v>-0.39999037614984306</v>
      </c>
      <c r="X9042" s="2">
        <f ca="1"/>
        <v>55.886188108847293</v>
      </c>
      <c r="AG9042" s="2">
        <f ca="1"/>
        <v>0.18347816172360232</v>
      </c>
      <c r="AH9042" s="2" t="str">
        <f ca="1"/>
        <v>OK</v>
      </c>
    </row>
    <row r="9043" spans="2:34" x14ac:dyDescent="0.2">
      <c r="B9043" s="2">
        <f ca="1"/>
        <v>0.23207273578743393</v>
      </c>
      <c r="O9043" s="2">
        <f ca="1"/>
        <v>0.54305802603242692</v>
      </c>
      <c r="X9043" s="2">
        <f ca="1"/>
        <v>41.635080919756746</v>
      </c>
      <c r="AG9043" s="2">
        <f ca="1"/>
        <v>0.60878562400341041</v>
      </c>
      <c r="AH9043" s="2" t="str">
        <f ca="1"/>
        <v>Bad</v>
      </c>
    </row>
    <row r="9044" spans="2:34" x14ac:dyDescent="0.2">
      <c r="B9044" s="2">
        <f ca="1"/>
        <v>0.10370660917309404</v>
      </c>
      <c r="O9044" s="2">
        <f ca="1"/>
        <v>-0.73837025127264733</v>
      </c>
      <c r="X9044" s="2">
        <f ca="1"/>
        <v>35.539871495170061</v>
      </c>
      <c r="AG9044" s="2">
        <f ca="1"/>
        <v>0.22504554116302855</v>
      </c>
      <c r="AH9044" s="2" t="str">
        <f ca="1"/>
        <v>OK</v>
      </c>
    </row>
    <row r="9045" spans="2:34" x14ac:dyDescent="0.2">
      <c r="B9045" s="2">
        <f ca="1"/>
        <v>0.43631286667492164</v>
      </c>
      <c r="O9045" s="2">
        <f ca="1"/>
        <v>0.12077284631781945</v>
      </c>
      <c r="X9045" s="2">
        <f ca="1"/>
        <v>64.66717320796954</v>
      </c>
      <c r="AG9045" s="2">
        <f ca="1"/>
        <v>0.81646533960290535</v>
      </c>
      <c r="AH9045" s="2" t="str">
        <f ca="1"/>
        <v>Bad</v>
      </c>
    </row>
    <row r="9046" spans="2:34" x14ac:dyDescent="0.2">
      <c r="B9046" s="2">
        <f ca="1"/>
        <v>0.41336551765662688</v>
      </c>
      <c r="O9046" s="2">
        <f ca="1"/>
        <v>-0.37299906238549729</v>
      </c>
      <c r="X9046" s="2">
        <f ca="1"/>
        <v>38.037919575077737</v>
      </c>
      <c r="AG9046" s="2">
        <f ca="1"/>
        <v>0.72174116465736349</v>
      </c>
      <c r="AH9046" s="2" t="str">
        <f ca="1"/>
        <v>Bad</v>
      </c>
    </row>
    <row r="9047" spans="2:34" x14ac:dyDescent="0.2">
      <c r="B9047" s="2">
        <f ca="1"/>
        <v>0.17862099403914877</v>
      </c>
      <c r="O9047" s="2">
        <f ca="1"/>
        <v>0.93705461660497402</v>
      </c>
      <c r="X9047" s="2">
        <f ca="1"/>
        <v>46.827121500518615</v>
      </c>
      <c r="AG9047" s="2">
        <f ca="1"/>
        <v>0.37060472683566825</v>
      </c>
      <c r="AH9047" s="2" t="str">
        <f ca="1"/>
        <v>OK</v>
      </c>
    </row>
    <row r="9048" spans="2:34" x14ac:dyDescent="0.2">
      <c r="B9048" s="2">
        <f ca="1"/>
        <v>4.9993369970721346E-2</v>
      </c>
      <c r="O9048" s="2">
        <f ca="1"/>
        <v>1.354914972998204</v>
      </c>
      <c r="X9048" s="2">
        <f ca="1"/>
        <v>79.311609661795842</v>
      </c>
      <c r="AG9048" s="2">
        <f ca="1"/>
        <v>0.53082238161864637</v>
      </c>
      <c r="AH9048" s="2" t="str">
        <f ca="1"/>
        <v>Bad</v>
      </c>
    </row>
    <row r="9049" spans="2:34" x14ac:dyDescent="0.2">
      <c r="B9049" s="2">
        <f ca="1"/>
        <v>8.5861904416817625E-2</v>
      </c>
      <c r="O9049" s="2">
        <f ca="1"/>
        <v>-0.70414290363338139</v>
      </c>
      <c r="X9049" s="2">
        <f ca="1"/>
        <v>109.00490309526452</v>
      </c>
      <c r="AG9049" s="2">
        <f ca="1"/>
        <v>0.97273651062581346</v>
      </c>
      <c r="AH9049" s="2" t="str">
        <f ca="1"/>
        <v>Bad</v>
      </c>
    </row>
    <row r="9050" spans="2:34" x14ac:dyDescent="0.2">
      <c r="B9050" s="2">
        <f ca="1"/>
        <v>0.70312396504416275</v>
      </c>
      <c r="O9050" s="2">
        <f ca="1"/>
        <v>-1.0870275741799948</v>
      </c>
      <c r="X9050" s="2">
        <f ca="1"/>
        <v>79.468979417119868</v>
      </c>
      <c r="AG9050" s="2">
        <f ca="1"/>
        <v>0.2556229317407559</v>
      </c>
      <c r="AH9050" s="2" t="str">
        <f ca="1"/>
        <v>OK</v>
      </c>
    </row>
    <row r="9051" spans="2:34" x14ac:dyDescent="0.2">
      <c r="B9051" s="2">
        <f ca="1"/>
        <v>0.33490726342273547</v>
      </c>
      <c r="O9051" s="2">
        <f ca="1"/>
        <v>0.7147131239792579</v>
      </c>
      <c r="X9051" s="2">
        <f ca="1"/>
        <v>56.104743424070165</v>
      </c>
      <c r="AG9051" s="2">
        <f ca="1"/>
        <v>0.3435164562673283</v>
      </c>
      <c r="AH9051" s="2" t="str">
        <f ca="1"/>
        <v>OK</v>
      </c>
    </row>
    <row r="9052" spans="2:34" x14ac:dyDescent="0.2">
      <c r="B9052" s="2">
        <f ca="1"/>
        <v>0.99828624470421401</v>
      </c>
      <c r="O9052" s="2">
        <f ca="1"/>
        <v>-2.2994310395261865</v>
      </c>
      <c r="X9052" s="2">
        <f ca="1"/>
        <v>81.013265485606013</v>
      </c>
      <c r="AG9052" s="2">
        <f ca="1"/>
        <v>0.23980566393891145</v>
      </c>
      <c r="AH9052" s="2" t="str">
        <f ca="1"/>
        <v>OK</v>
      </c>
    </row>
    <row r="9053" spans="2:34" x14ac:dyDescent="0.2">
      <c r="B9053" s="2">
        <f ca="1"/>
        <v>0.95034144338053883</v>
      </c>
      <c r="O9053" s="2">
        <f ca="1"/>
        <v>0.87625710228014619</v>
      </c>
      <c r="X9053" s="2">
        <f ca="1"/>
        <v>43.235781774415621</v>
      </c>
      <c r="AG9053" s="2">
        <f ca="1"/>
        <v>0.58694635815634655</v>
      </c>
      <c r="AH9053" s="2" t="str">
        <f ca="1"/>
        <v>Bad</v>
      </c>
    </row>
    <row r="9054" spans="2:34" x14ac:dyDescent="0.2">
      <c r="B9054" s="2">
        <f ca="1"/>
        <v>0.11490125062883294</v>
      </c>
      <c r="O9054" s="2">
        <f ca="1"/>
        <v>0.28653769858123151</v>
      </c>
      <c r="X9054" s="2">
        <f ca="1"/>
        <v>57.570706025349985</v>
      </c>
      <c r="AG9054" s="2">
        <f ca="1"/>
        <v>0.6307022140960703</v>
      </c>
      <c r="AH9054" s="2" t="str">
        <f ca="1"/>
        <v>Bad</v>
      </c>
    </row>
    <row r="9055" spans="2:34" x14ac:dyDescent="0.2">
      <c r="B9055" s="2">
        <f ca="1"/>
        <v>0.19838196707374278</v>
      </c>
      <c r="O9055" s="2">
        <f ca="1"/>
        <v>-0.16391510320636893</v>
      </c>
      <c r="X9055" s="2">
        <f ca="1"/>
        <v>28.806895722840121</v>
      </c>
      <c r="AG9055" s="2">
        <f ca="1"/>
        <v>0.89868744631972208</v>
      </c>
      <c r="AH9055" s="2" t="str">
        <f ca="1"/>
        <v>Bad</v>
      </c>
    </row>
    <row r="9056" spans="2:34" x14ac:dyDescent="0.2">
      <c r="B9056" s="2">
        <f ca="1"/>
        <v>0.26979736803819643</v>
      </c>
      <c r="O9056" s="2">
        <f ca="1"/>
        <v>-0.86676727058861314</v>
      </c>
      <c r="X9056" s="2">
        <f ca="1"/>
        <v>62.906957995080283</v>
      </c>
      <c r="AG9056" s="2">
        <f ca="1"/>
        <v>0.65053245782954994</v>
      </c>
      <c r="AH9056" s="2" t="str">
        <f ca="1"/>
        <v>Bad</v>
      </c>
    </row>
    <row r="9057" spans="2:34" x14ac:dyDescent="0.2">
      <c r="B9057" s="2">
        <f ca="1"/>
        <v>0.56327241559053109</v>
      </c>
      <c r="O9057" s="2">
        <f ca="1"/>
        <v>0.64158627354522735</v>
      </c>
      <c r="X9057" s="2">
        <f ca="1"/>
        <v>50.054351042151552</v>
      </c>
      <c r="AG9057" s="2">
        <f ca="1"/>
        <v>0.67910508016426263</v>
      </c>
      <c r="AH9057" s="2" t="str">
        <f ca="1"/>
        <v>Bad</v>
      </c>
    </row>
    <row r="9058" spans="2:34" x14ac:dyDescent="0.2">
      <c r="B9058" s="2">
        <f ca="1"/>
        <v>0.33270981287425871</v>
      </c>
      <c r="O9058" s="2">
        <f ca="1"/>
        <v>-0.83368064244504059</v>
      </c>
      <c r="X9058" s="2">
        <f ca="1"/>
        <v>41.618033508522849</v>
      </c>
      <c r="AG9058" s="2">
        <f ca="1"/>
        <v>3.2254272452593602E-2</v>
      </c>
      <c r="AH9058" s="2" t="str">
        <f ca="1"/>
        <v>Good</v>
      </c>
    </row>
    <row r="9059" spans="2:34" x14ac:dyDescent="0.2">
      <c r="B9059" s="2">
        <f ca="1"/>
        <v>0.62370766825677348</v>
      </c>
      <c r="O9059" s="2">
        <f ca="1"/>
        <v>3.0727812633091236E-2</v>
      </c>
      <c r="X9059" s="2">
        <f ca="1"/>
        <v>32.702915407376807</v>
      </c>
      <c r="AG9059" s="2">
        <f ca="1"/>
        <v>3.4695568009406985E-2</v>
      </c>
      <c r="AH9059" s="2" t="str">
        <f ca="1"/>
        <v>Good</v>
      </c>
    </row>
    <row r="9060" spans="2:34" x14ac:dyDescent="0.2">
      <c r="B9060" s="2">
        <f ca="1"/>
        <v>0.89769833436498447</v>
      </c>
      <c r="O9060" s="2">
        <f ca="1"/>
        <v>0.29609182792111072</v>
      </c>
      <c r="X9060" s="2">
        <f ca="1"/>
        <v>55.497964908902837</v>
      </c>
      <c r="AG9060" s="2">
        <f ca="1"/>
        <v>0.13575788957040302</v>
      </c>
      <c r="AH9060" s="2" t="str">
        <f ca="1"/>
        <v>OK</v>
      </c>
    </row>
    <row r="9061" spans="2:34" x14ac:dyDescent="0.2">
      <c r="B9061" s="2">
        <f ca="1"/>
        <v>0.52339223194025353</v>
      </c>
      <c r="O9061" s="2">
        <f ca="1"/>
        <v>-0.79036478026204093</v>
      </c>
      <c r="X9061" s="2">
        <f ca="1"/>
        <v>66.380155371027087</v>
      </c>
      <c r="AG9061" s="2">
        <f ca="1"/>
        <v>0.47318324418190416</v>
      </c>
      <c r="AH9061" s="2" t="str">
        <f ca="1"/>
        <v>Bad</v>
      </c>
    </row>
    <row r="9062" spans="2:34" x14ac:dyDescent="0.2">
      <c r="B9062" s="2">
        <f ca="1"/>
        <v>0.89704307696031327</v>
      </c>
      <c r="O9062" s="2">
        <f ca="1"/>
        <v>-0.6311044323486662</v>
      </c>
      <c r="X9062" s="2">
        <f ca="1"/>
        <v>38.664683145912498</v>
      </c>
      <c r="AG9062" s="2">
        <f ca="1"/>
        <v>5.0711162550445277E-3</v>
      </c>
      <c r="AH9062" s="2" t="str">
        <f ca="1"/>
        <v>Good</v>
      </c>
    </row>
    <row r="9063" spans="2:34" x14ac:dyDescent="0.2">
      <c r="B9063" s="2">
        <f ca="1"/>
        <v>0.3629591474149092</v>
      </c>
      <c r="O9063" s="2">
        <f ca="1"/>
        <v>-1.6552491779983158</v>
      </c>
      <c r="X9063" s="2">
        <f ca="1"/>
        <v>32.320909672539216</v>
      </c>
      <c r="AG9063" s="2">
        <f ca="1"/>
        <v>1.9343911070892394E-2</v>
      </c>
      <c r="AH9063" s="2" t="str">
        <f ca="1"/>
        <v>Good</v>
      </c>
    </row>
    <row r="9064" spans="2:34" x14ac:dyDescent="0.2">
      <c r="B9064" s="2">
        <f ca="1"/>
        <v>8.6041065020657337E-2</v>
      </c>
      <c r="O9064" s="2">
        <f ca="1"/>
        <v>0.91423824328266767</v>
      </c>
      <c r="X9064" s="2">
        <f ca="1"/>
        <v>46.358581010588068</v>
      </c>
      <c r="AG9064" s="2">
        <f ca="1"/>
        <v>0.54526596688435203</v>
      </c>
      <c r="AH9064" s="2" t="str">
        <f ca="1"/>
        <v>Bad</v>
      </c>
    </row>
    <row r="9065" spans="2:34" x14ac:dyDescent="0.2">
      <c r="B9065" s="2">
        <f ca="1"/>
        <v>0.36901531542679056</v>
      </c>
      <c r="O9065" s="2">
        <f ca="1"/>
        <v>-1.0526388063523628</v>
      </c>
      <c r="X9065" s="2">
        <f ca="1"/>
        <v>34.961154521918438</v>
      </c>
      <c r="AG9065" s="2">
        <f ca="1"/>
        <v>0.28103758450568406</v>
      </c>
      <c r="AH9065" s="2" t="str">
        <f ca="1"/>
        <v>OK</v>
      </c>
    </row>
    <row r="9066" spans="2:34" x14ac:dyDescent="0.2">
      <c r="B9066" s="2">
        <f ca="1"/>
        <v>6.1670225447534088E-2</v>
      </c>
      <c r="O9066" s="2">
        <f ca="1"/>
        <v>-0.78872789927548992</v>
      </c>
      <c r="X9066" s="2">
        <f ca="1"/>
        <v>74.27420806041161</v>
      </c>
      <c r="AG9066" s="2">
        <f ca="1"/>
        <v>0.9335303072086556</v>
      </c>
      <c r="AH9066" s="2" t="str">
        <f ca="1"/>
        <v>Bad</v>
      </c>
    </row>
    <row r="9067" spans="2:34" x14ac:dyDescent="0.2">
      <c r="B9067" s="2">
        <f ca="1"/>
        <v>9.6162996925208688E-4</v>
      </c>
      <c r="O9067" s="2">
        <f ca="1"/>
        <v>-0.96077937474479769</v>
      </c>
      <c r="X9067" s="2">
        <f ca="1"/>
        <v>53.124696514855799</v>
      </c>
      <c r="AG9067" s="2">
        <f ca="1"/>
        <v>0.76212669233338426</v>
      </c>
      <c r="AH9067" s="2" t="str">
        <f ca="1"/>
        <v>Bad</v>
      </c>
    </row>
    <row r="9068" spans="2:34" x14ac:dyDescent="0.2">
      <c r="B9068" s="2">
        <f ca="1"/>
        <v>4.4924745691135026E-3</v>
      </c>
      <c r="O9068" s="2">
        <f ca="1"/>
        <v>0.85300198719909837</v>
      </c>
      <c r="X9068" s="2">
        <f ca="1"/>
        <v>63.169297396495537</v>
      </c>
      <c r="AG9068" s="2">
        <f ca="1"/>
        <v>0.12851505758298187</v>
      </c>
      <c r="AH9068" s="2" t="str">
        <f ca="1"/>
        <v>OK</v>
      </c>
    </row>
    <row r="9069" spans="2:34" x14ac:dyDescent="0.2">
      <c r="B9069" s="2">
        <f ca="1"/>
        <v>0.7646255528674657</v>
      </c>
      <c r="O9069" s="2">
        <f ca="1"/>
        <v>1.1341422882273224</v>
      </c>
      <c r="X9069" s="2">
        <f ca="1"/>
        <v>73.787447233521618</v>
      </c>
      <c r="AG9069" s="2">
        <f ca="1"/>
        <v>9.1322267611236185E-2</v>
      </c>
      <c r="AH9069" s="2" t="str">
        <f ca="1"/>
        <v>OK</v>
      </c>
    </row>
    <row r="9070" spans="2:34" x14ac:dyDescent="0.2">
      <c r="B9070" s="2">
        <f ca="1"/>
        <v>0.79690858429862743</v>
      </c>
      <c r="O9070" s="2">
        <f ca="1"/>
        <v>-2.1615316278517929</v>
      </c>
      <c r="X9070" s="2">
        <f ca="1"/>
        <v>45.539961623411152</v>
      </c>
      <c r="AG9070" s="2">
        <f ca="1"/>
        <v>0.95710261916818307</v>
      </c>
      <c r="AH9070" s="2" t="str">
        <f ca="1"/>
        <v>Bad</v>
      </c>
    </row>
    <row r="9071" spans="2:34" x14ac:dyDescent="0.2">
      <c r="B9071" s="2">
        <f ca="1"/>
        <v>0.64381490261931962</v>
      </c>
      <c r="O9071" s="2">
        <f ca="1"/>
        <v>0.94009628199927697</v>
      </c>
      <c r="X9071" s="2">
        <f ca="1"/>
        <v>42.360916391364718</v>
      </c>
      <c r="AG9071" s="2">
        <f ca="1"/>
        <v>0.69079788247123375</v>
      </c>
      <c r="AH9071" s="2" t="str">
        <f ca="1"/>
        <v>Bad</v>
      </c>
    </row>
    <row r="9072" spans="2:34" x14ac:dyDescent="0.2">
      <c r="B9072" s="2">
        <f ca="1"/>
        <v>0.88434202493506109</v>
      </c>
      <c r="O9072" s="2">
        <f ca="1"/>
        <v>-0.15783693850529759</v>
      </c>
      <c r="X9072" s="2">
        <f ca="1"/>
        <v>64.987095614782689</v>
      </c>
      <c r="AG9072" s="2">
        <f ca="1"/>
        <v>0.22586518644712816</v>
      </c>
      <c r="AH9072" s="2" t="str">
        <f ca="1"/>
        <v>OK</v>
      </c>
    </row>
    <row r="9073" spans="2:34" x14ac:dyDescent="0.2">
      <c r="B9073" s="2">
        <f ca="1"/>
        <v>6.8653755589959564E-2</v>
      </c>
      <c r="O9073" s="2">
        <f ca="1"/>
        <v>0.5779397201386911</v>
      </c>
      <c r="X9073" s="2">
        <f ca="1"/>
        <v>51.963334095218883</v>
      </c>
      <c r="AG9073" s="2">
        <f ca="1"/>
        <v>0.53005548849770912</v>
      </c>
      <c r="AH9073" s="2" t="str">
        <f ca="1"/>
        <v>Bad</v>
      </c>
    </row>
    <row r="9074" spans="2:34" x14ac:dyDescent="0.2">
      <c r="B9074" s="2">
        <f ca="1"/>
        <v>3.1006941338015626E-2</v>
      </c>
      <c r="O9074" s="2">
        <f ca="1"/>
        <v>-1.4329104910938137</v>
      </c>
      <c r="X9074" s="2">
        <f ca="1"/>
        <v>47.893056226528323</v>
      </c>
      <c r="AG9074" s="2">
        <f ca="1"/>
        <v>0.92869538414264396</v>
      </c>
      <c r="AH9074" s="2" t="str">
        <f ca="1"/>
        <v>Bad</v>
      </c>
    </row>
    <row r="9075" spans="2:34" x14ac:dyDescent="0.2">
      <c r="B9075" s="2">
        <f ca="1"/>
        <v>0.2980583460056585</v>
      </c>
      <c r="O9075" s="2">
        <f ca="1"/>
        <v>-1.1381608419326534</v>
      </c>
      <c r="X9075" s="2">
        <f ca="1"/>
        <v>29.085740596291632</v>
      </c>
      <c r="AG9075" s="2">
        <f ca="1"/>
        <v>0.40395369515833024</v>
      </c>
      <c r="AH9075" s="2" t="str">
        <f ca="1"/>
        <v>Bad</v>
      </c>
    </row>
    <row r="9076" spans="2:34" x14ac:dyDescent="0.2">
      <c r="B9076" s="2">
        <f ca="1"/>
        <v>0.19938678444104529</v>
      </c>
      <c r="O9076" s="2">
        <f ca="1"/>
        <v>1.1159773943810221</v>
      </c>
      <c r="X9076" s="2">
        <f ca="1"/>
        <v>41.866866849930332</v>
      </c>
      <c r="AG9076" s="2">
        <f ca="1"/>
        <v>0.10606462081271739</v>
      </c>
      <c r="AH9076" s="2" t="str">
        <f ca="1"/>
        <v>OK</v>
      </c>
    </row>
    <row r="9077" spans="2:34" x14ac:dyDescent="0.2">
      <c r="B9077" s="2">
        <f ca="1"/>
        <v>0.17991643916563538</v>
      </c>
      <c r="O9077" s="2">
        <f ca="1"/>
        <v>0.76951741844280241</v>
      </c>
      <c r="X9077" s="2">
        <f ca="1"/>
        <v>51.942336945848496</v>
      </c>
      <c r="AG9077" s="2">
        <f ca="1"/>
        <v>0.72469564027819144</v>
      </c>
      <c r="AH9077" s="2" t="str">
        <f ca="1"/>
        <v>Bad</v>
      </c>
    </row>
    <row r="9078" spans="2:34" x14ac:dyDescent="0.2">
      <c r="B9078" s="2">
        <f ca="1"/>
        <v>0.95057343095657676</v>
      </c>
      <c r="O9078" s="2">
        <f ca="1"/>
        <v>-0.70506969516961371</v>
      </c>
      <c r="X9078" s="2">
        <f ca="1"/>
        <v>52.509765066356515</v>
      </c>
      <c r="AG9078" s="2">
        <f ca="1"/>
        <v>0.51234673436806877</v>
      </c>
      <c r="AH9078" s="2" t="str">
        <f ca="1"/>
        <v>Bad</v>
      </c>
    </row>
    <row r="9079" spans="2:34" x14ac:dyDescent="0.2">
      <c r="B9079" s="2">
        <f ca="1"/>
        <v>0.24691787245549146</v>
      </c>
      <c r="O9079" s="2">
        <f ca="1"/>
        <v>1.0415938184385443</v>
      </c>
      <c r="X9079" s="2">
        <f ca="1"/>
        <v>34.164855154461215</v>
      </c>
      <c r="AG9079" s="2">
        <f ca="1"/>
        <v>0.93480742680531548</v>
      </c>
      <c r="AH9079" s="2" t="str">
        <f ca="1"/>
        <v>Bad</v>
      </c>
    </row>
    <row r="9080" spans="2:34" x14ac:dyDescent="0.2">
      <c r="B9080" s="2">
        <f ca="1"/>
        <v>0.27034953070789713</v>
      </c>
      <c r="O9080" s="2">
        <f ca="1"/>
        <v>-2.2091699306752024</v>
      </c>
      <c r="X9080" s="2">
        <f ca="1"/>
        <v>45.325767568193797</v>
      </c>
      <c r="AG9080" s="2">
        <f ca="1"/>
        <v>0.43418512776293339</v>
      </c>
      <c r="AH9080" s="2" t="str">
        <f ca="1"/>
        <v>Bad</v>
      </c>
    </row>
    <row r="9081" spans="2:34" x14ac:dyDescent="0.2">
      <c r="B9081" s="2">
        <f ca="1"/>
        <v>0.3780729685112505</v>
      </c>
      <c r="O9081" s="2">
        <f ca="1"/>
        <v>1.9554581858885496</v>
      </c>
      <c r="X9081" s="2">
        <f ca="1"/>
        <v>47.534371705578522</v>
      </c>
      <c r="AG9081" s="2">
        <f ca="1"/>
        <v>0.13915384747133386</v>
      </c>
      <c r="AH9081" s="2" t="str">
        <f ca="1"/>
        <v>OK</v>
      </c>
    </row>
    <row r="9082" spans="2:34" x14ac:dyDescent="0.2">
      <c r="B9082" s="2">
        <f ca="1"/>
        <v>0.89588730831825991</v>
      </c>
      <c r="O9082" s="2">
        <f ca="1"/>
        <v>2.3029830975066532</v>
      </c>
      <c r="X9082" s="2">
        <f ca="1"/>
        <v>73.578404567157861</v>
      </c>
      <c r="AG9082" s="2">
        <f ca="1"/>
        <v>0.69337635056274616</v>
      </c>
      <c r="AH9082" s="2" t="str">
        <f ca="1"/>
        <v>Bad</v>
      </c>
    </row>
    <row r="9083" spans="2:34" x14ac:dyDescent="0.2">
      <c r="B9083" s="2">
        <f ca="1"/>
        <v>0.76056057876969319</v>
      </c>
      <c r="O9083" s="2">
        <f ca="1"/>
        <v>0.41380952823469352</v>
      </c>
      <c r="X9083" s="2">
        <f ca="1"/>
        <v>36.471589586885294</v>
      </c>
      <c r="AG9083" s="2">
        <f ca="1"/>
        <v>0.87532589833698315</v>
      </c>
      <c r="AH9083" s="2" t="str">
        <f ca="1"/>
        <v>Bad</v>
      </c>
    </row>
    <row r="9084" spans="2:34" x14ac:dyDescent="0.2">
      <c r="B9084" s="2">
        <f ca="1"/>
        <v>0.4867867979325291</v>
      </c>
      <c r="O9084" s="2">
        <f ca="1"/>
        <v>-0.16771614679098612</v>
      </c>
      <c r="X9084" s="2">
        <f ca="1"/>
        <v>43.376662416685761</v>
      </c>
      <c r="AG9084" s="2">
        <f ca="1"/>
        <v>0.86181910624318814</v>
      </c>
      <c r="AH9084" s="2" t="str">
        <f ca="1"/>
        <v>Bad</v>
      </c>
    </row>
    <row r="9085" spans="2:34" x14ac:dyDescent="0.2">
      <c r="B9085" s="2">
        <f ca="1"/>
        <v>0.48379601736165867</v>
      </c>
      <c r="O9085" s="2">
        <f ca="1"/>
        <v>-1.0008504485981022</v>
      </c>
      <c r="X9085" s="2">
        <f ca="1"/>
        <v>41.647315476621792</v>
      </c>
      <c r="AG9085" s="2">
        <f ca="1"/>
        <v>0.53014202343974626</v>
      </c>
      <c r="AH9085" s="2" t="str">
        <f ca="1"/>
        <v>Bad</v>
      </c>
    </row>
    <row r="9086" spans="2:34" x14ac:dyDescent="0.2">
      <c r="B9086" s="2">
        <f ca="1"/>
        <v>0.42537060046793229</v>
      </c>
      <c r="O9086" s="2">
        <f ca="1"/>
        <v>0.15341366320501421</v>
      </c>
      <c r="X9086" s="2">
        <f ca="1"/>
        <v>67.697949594551474</v>
      </c>
      <c r="AG9086" s="2">
        <f ca="1"/>
        <v>0.3541565315872921</v>
      </c>
      <c r="AH9086" s="2" t="str">
        <f ca="1"/>
        <v>OK</v>
      </c>
    </row>
    <row r="9087" spans="2:34" x14ac:dyDescent="0.2">
      <c r="B9087" s="2">
        <f ca="1"/>
        <v>2.5049133284497538E-2</v>
      </c>
      <c r="O9087" s="2">
        <f ca="1"/>
        <v>-0.49894508405252203</v>
      </c>
      <c r="X9087" s="2">
        <f ca="1"/>
        <v>58.790363186779118</v>
      </c>
      <c r="AG9087" s="2">
        <f ca="1"/>
        <v>0.2927415729804399</v>
      </c>
      <c r="AH9087" s="2" t="str">
        <f ca="1"/>
        <v>OK</v>
      </c>
    </row>
    <row r="9088" spans="2:34" x14ac:dyDescent="0.2">
      <c r="B9088" s="2">
        <f ca="1"/>
        <v>7.8106023654163081E-3</v>
      </c>
      <c r="O9088" s="2">
        <f ca="1"/>
        <v>-0.45180515982325792</v>
      </c>
      <c r="X9088" s="2">
        <f ca="1"/>
        <v>35.191216120614662</v>
      </c>
      <c r="AG9088" s="2">
        <f ca="1"/>
        <v>0.54139000655483205</v>
      </c>
      <c r="AH9088" s="2" t="str">
        <f ca="1"/>
        <v>Bad</v>
      </c>
    </row>
    <row r="9089" spans="2:34" x14ac:dyDescent="0.2">
      <c r="B9089" s="2">
        <f ca="1"/>
        <v>3.0785790009637104E-2</v>
      </c>
      <c r="O9089" s="2">
        <f ca="1"/>
        <v>1.4065970880730936</v>
      </c>
      <c r="X9089" s="2">
        <f ca="1"/>
        <v>66.000941539727307</v>
      </c>
      <c r="AG9089" s="2">
        <f ca="1"/>
        <v>0.74267713232613697</v>
      </c>
      <c r="AH9089" s="2" t="str">
        <f ca="1"/>
        <v>Bad</v>
      </c>
    </row>
    <row r="9090" spans="2:34" x14ac:dyDescent="0.2">
      <c r="B9090" s="2">
        <f ca="1"/>
        <v>0.24774644885588049</v>
      </c>
      <c r="O9090" s="2">
        <f ca="1"/>
        <v>-1.2488488566325362</v>
      </c>
      <c r="X9090" s="2">
        <f ca="1"/>
        <v>60.786694448037537</v>
      </c>
      <c r="AG9090" s="2">
        <f ca="1"/>
        <v>7.6738003713121339E-2</v>
      </c>
      <c r="AH9090" s="2" t="str">
        <f ca="1"/>
        <v>OK</v>
      </c>
    </row>
    <row r="9091" spans="2:34" x14ac:dyDescent="0.2">
      <c r="B9091" s="2">
        <f ca="1"/>
        <v>0.52535835147725285</v>
      </c>
      <c r="O9091" s="2">
        <f ca="1"/>
        <v>-0.35797987038204604</v>
      </c>
      <c r="X9091" s="2">
        <f ca="1"/>
        <v>41.961011236889661</v>
      </c>
      <c r="AG9091" s="2">
        <f ca="1"/>
        <v>0.55976976170037984</v>
      </c>
      <c r="AH9091" s="2" t="str">
        <f ca="1"/>
        <v>Bad</v>
      </c>
    </row>
    <row r="9092" spans="2:34" x14ac:dyDescent="0.2">
      <c r="B9092" s="2">
        <f ca="1"/>
        <v>0.54625583549943135</v>
      </c>
      <c r="O9092" s="2">
        <f ca="1"/>
        <v>1.0587715825310031</v>
      </c>
      <c r="X9092" s="2">
        <f ca="1"/>
        <v>63.244639716448873</v>
      </c>
      <c r="AG9092" s="2">
        <f ca="1"/>
        <v>0.81573802395369999</v>
      </c>
      <c r="AH9092" s="2" t="str">
        <f ca="1"/>
        <v>Bad</v>
      </c>
    </row>
    <row r="9093" spans="2:34" x14ac:dyDescent="0.2">
      <c r="B9093" s="2">
        <f ca="1"/>
        <v>0.4006975898197418</v>
      </c>
      <c r="O9093" s="2">
        <f ca="1"/>
        <v>0.7748399011858853</v>
      </c>
      <c r="X9093" s="2">
        <f ca="1"/>
        <v>42.732034679957927</v>
      </c>
      <c r="AG9093" s="2">
        <f ca="1"/>
        <v>0.84240297348299542</v>
      </c>
      <c r="AH9093" s="2" t="str">
        <f ca="1"/>
        <v>Bad</v>
      </c>
    </row>
    <row r="9094" spans="2:34" x14ac:dyDescent="0.2">
      <c r="B9094" s="2">
        <f ca="1"/>
        <v>0.11325300890070511</v>
      </c>
      <c r="O9094" s="2">
        <f ca="1"/>
        <v>1.7203370249121326</v>
      </c>
      <c r="X9094" s="2">
        <f ca="1"/>
        <v>25.539854817526578</v>
      </c>
      <c r="AG9094" s="2">
        <f ca="1"/>
        <v>0.52034670066058353</v>
      </c>
      <c r="AH9094" s="2" t="str">
        <f ca="1"/>
        <v>Bad</v>
      </c>
    </row>
    <row r="9095" spans="2:34" x14ac:dyDescent="0.2">
      <c r="B9095" s="2">
        <f ca="1"/>
        <v>0.29469535345549902</v>
      </c>
      <c r="O9095" s="2">
        <f ca="1"/>
        <v>1.6248682649513373</v>
      </c>
      <c r="X9095" s="2">
        <f ca="1"/>
        <v>49.749999137159946</v>
      </c>
      <c r="AG9095" s="2">
        <f ca="1"/>
        <v>0.98335179264287431</v>
      </c>
      <c r="AH9095" s="2" t="str">
        <f ca="1"/>
        <v>Bad</v>
      </c>
    </row>
    <row r="9096" spans="2:34" x14ac:dyDescent="0.2">
      <c r="B9096" s="2">
        <f ca="1"/>
        <v>0.75734446186053983</v>
      </c>
      <c r="O9096" s="2">
        <f ca="1"/>
        <v>-0.53087365978601952</v>
      </c>
      <c r="X9096" s="2">
        <f ca="1"/>
        <v>49.975343680576259</v>
      </c>
      <c r="AG9096" s="2">
        <f ca="1"/>
        <v>0.66901299139289083</v>
      </c>
      <c r="AH9096" s="2" t="str">
        <f ca="1"/>
        <v>Bad</v>
      </c>
    </row>
    <row r="9097" spans="2:34" x14ac:dyDescent="0.2">
      <c r="B9097" s="2">
        <f ca="1"/>
        <v>0.45550850056689574</v>
      </c>
      <c r="O9097" s="2">
        <f ca="1"/>
        <v>-1.5624502249079562</v>
      </c>
      <c r="X9097" s="2">
        <f ca="1"/>
        <v>27.056334338805851</v>
      </c>
      <c r="AG9097" s="2">
        <f ca="1"/>
        <v>0.40343505746394759</v>
      </c>
      <c r="AH9097" s="2" t="str">
        <f ca="1"/>
        <v>Bad</v>
      </c>
    </row>
    <row r="9098" spans="2:34" x14ac:dyDescent="0.2">
      <c r="B9098" s="2">
        <f ca="1"/>
        <v>0.37340139352532042</v>
      </c>
      <c r="O9098" s="2">
        <f ca="1"/>
        <v>2.0072189591261131</v>
      </c>
      <c r="X9098" s="2">
        <f ca="1"/>
        <v>59.462644332191708</v>
      </c>
      <c r="AG9098" s="2">
        <f ca="1"/>
        <v>0.9476072883976967</v>
      </c>
      <c r="AH9098" s="2" t="str">
        <f ca="1"/>
        <v>Bad</v>
      </c>
    </row>
    <row r="9099" spans="2:34" x14ac:dyDescent="0.2">
      <c r="B9099" s="2">
        <f ca="1"/>
        <v>0.58846010759935874</v>
      </c>
      <c r="O9099" s="2">
        <f ca="1"/>
        <v>0.31833438640183054</v>
      </c>
      <c r="X9099" s="2">
        <f ca="1"/>
        <v>48.495179692067921</v>
      </c>
      <c r="AG9099" s="2">
        <f ca="1"/>
        <v>0.37735868431101016</v>
      </c>
      <c r="AH9099" s="2" t="str">
        <f ca="1"/>
        <v>OK</v>
      </c>
    </row>
    <row r="9100" spans="2:34" x14ac:dyDescent="0.2">
      <c r="B9100" s="2">
        <f ca="1"/>
        <v>2.1606239966820873E-2</v>
      </c>
      <c r="O9100" s="2">
        <f ca="1"/>
        <v>-0.1669805150417836</v>
      </c>
      <c r="X9100" s="2">
        <f ca="1"/>
        <v>60.799917998873021</v>
      </c>
      <c r="AG9100" s="2">
        <f ca="1"/>
        <v>0.89951394180557154</v>
      </c>
      <c r="AH9100" s="2" t="str">
        <f ca="1"/>
        <v>Bad</v>
      </c>
    </row>
    <row r="9101" spans="2:34" x14ac:dyDescent="0.2">
      <c r="B9101" s="2">
        <f ca="1"/>
        <v>0.15682300388721471</v>
      </c>
      <c r="O9101" s="2">
        <f ca="1"/>
        <v>-0.99566539216328376</v>
      </c>
      <c r="X9101" s="2">
        <f ca="1"/>
        <v>33.401921118737107</v>
      </c>
      <c r="AG9101" s="2">
        <f ca="1"/>
        <v>0.95755759987810163</v>
      </c>
      <c r="AH9101" s="2" t="str">
        <f ca="1"/>
        <v>Bad</v>
      </c>
    </row>
    <row r="9102" spans="2:34" x14ac:dyDescent="0.2">
      <c r="B9102" s="2">
        <f ca="1"/>
        <v>0.10948655396513796</v>
      </c>
      <c r="O9102" s="2">
        <f ca="1"/>
        <v>-0.19707763482576104</v>
      </c>
      <c r="X9102" s="2">
        <f ca="1"/>
        <v>77.180876435129932</v>
      </c>
      <c r="AG9102" s="2">
        <f ca="1"/>
        <v>0.52455392526016631</v>
      </c>
      <c r="AH9102" s="2" t="str">
        <f ca="1"/>
        <v>Bad</v>
      </c>
    </row>
    <row r="9103" spans="2:34" x14ac:dyDescent="0.2">
      <c r="B9103" s="2">
        <f ca="1"/>
        <v>0.96622303807265508</v>
      </c>
      <c r="O9103" s="2">
        <f ca="1"/>
        <v>4.2921845190606128E-2</v>
      </c>
      <c r="X9103" s="2">
        <f ca="1"/>
        <v>51.316628966035793</v>
      </c>
      <c r="AG9103" s="2">
        <f ca="1"/>
        <v>0.82461892437795448</v>
      </c>
      <c r="AH9103" s="2" t="str">
        <f ca="1"/>
        <v>Bad</v>
      </c>
    </row>
    <row r="9104" spans="2:34" x14ac:dyDescent="0.2">
      <c r="B9104" s="2">
        <f ca="1"/>
        <v>0.14506057591224719</v>
      </c>
      <c r="O9104" s="2">
        <f ca="1"/>
        <v>-0.10129027045089538</v>
      </c>
      <c r="X9104" s="2">
        <f ca="1"/>
        <v>48.696247788995244</v>
      </c>
      <c r="AG9104" s="2">
        <f ca="1"/>
        <v>0.4669221894392368</v>
      </c>
      <c r="AH9104" s="2" t="str">
        <f ca="1"/>
        <v>Bad</v>
      </c>
    </row>
    <row r="9105" spans="2:34" x14ac:dyDescent="0.2">
      <c r="B9105" s="2">
        <f ca="1"/>
        <v>0.65012247201134188</v>
      </c>
      <c r="O9105" s="2">
        <f ca="1"/>
        <v>1.8900092611551664</v>
      </c>
      <c r="X9105" s="2">
        <f ca="1"/>
        <v>28.977585408593526</v>
      </c>
      <c r="AG9105" s="2">
        <f ca="1"/>
        <v>0.87812392001698658</v>
      </c>
      <c r="AH9105" s="2" t="str">
        <f ca="1"/>
        <v>Bad</v>
      </c>
    </row>
    <row r="9106" spans="2:34" x14ac:dyDescent="0.2">
      <c r="B9106" s="2">
        <f ca="1"/>
        <v>0.16213761676717864</v>
      </c>
      <c r="O9106" s="2">
        <f ca="1"/>
        <v>0.3430266943694798</v>
      </c>
      <c r="X9106" s="2">
        <f ca="1"/>
        <v>43.89022215807897</v>
      </c>
      <c r="AG9106" s="2">
        <f ca="1"/>
        <v>0.84622419428683315</v>
      </c>
      <c r="AH9106" s="2" t="str">
        <f ca="1"/>
        <v>Bad</v>
      </c>
    </row>
    <row r="9107" spans="2:34" x14ac:dyDescent="0.2">
      <c r="B9107" s="2">
        <f ca="1"/>
        <v>0.42966798973736542</v>
      </c>
      <c r="O9107" s="2">
        <f ca="1"/>
        <v>-0.22559999206903597</v>
      </c>
      <c r="X9107" s="2">
        <f ca="1"/>
        <v>28.315616460907229</v>
      </c>
      <c r="AG9107" s="2">
        <f ca="1"/>
        <v>0.35365121353302387</v>
      </c>
      <c r="AH9107" s="2" t="str">
        <f ca="1"/>
        <v>OK</v>
      </c>
    </row>
    <row r="9108" spans="2:34" x14ac:dyDescent="0.2">
      <c r="B9108" s="2">
        <f ca="1"/>
        <v>0.58178046101805347</v>
      </c>
      <c r="O9108" s="2">
        <f ca="1"/>
        <v>-2.3332332767219344E-2</v>
      </c>
      <c r="X9108" s="2">
        <f ca="1"/>
        <v>81.069593271828325</v>
      </c>
      <c r="AG9108" s="2">
        <f ca="1"/>
        <v>0.96815308276853007</v>
      </c>
      <c r="AH9108" s="2" t="str">
        <f ca="1"/>
        <v>Bad</v>
      </c>
    </row>
    <row r="9109" spans="2:34" x14ac:dyDescent="0.2">
      <c r="B9109" s="2">
        <f ca="1"/>
        <v>0.79720395300738933</v>
      </c>
      <c r="O9109" s="2">
        <f ca="1"/>
        <v>-0.21595454795204119</v>
      </c>
      <c r="X9109" s="2">
        <f ca="1"/>
        <v>57.022915580482589</v>
      </c>
      <c r="AG9109" s="2">
        <f ca="1"/>
        <v>0.71788288856747084</v>
      </c>
      <c r="AH9109" s="2" t="str">
        <f ca="1"/>
        <v>Bad</v>
      </c>
    </row>
    <row r="9110" spans="2:34" x14ac:dyDescent="0.2">
      <c r="B9110" s="2">
        <f ca="1"/>
        <v>0.39157557838261536</v>
      </c>
      <c r="O9110" s="2">
        <f ca="1"/>
        <v>-0.4646704534256344</v>
      </c>
      <c r="X9110" s="2">
        <f ca="1"/>
        <v>34.52893506601675</v>
      </c>
      <c r="AG9110" s="2">
        <f ca="1"/>
        <v>2.8903726430824506E-2</v>
      </c>
      <c r="AH9110" s="2" t="str">
        <f ca="1"/>
        <v>Good</v>
      </c>
    </row>
    <row r="9111" spans="2:34" x14ac:dyDescent="0.2">
      <c r="B9111" s="2">
        <f ca="1"/>
        <v>0.51165336280118789</v>
      </c>
      <c r="O9111" s="2">
        <f ca="1"/>
        <v>0.92183989114458142</v>
      </c>
      <c r="X9111" s="2">
        <f ca="1"/>
        <v>66.693167297060711</v>
      </c>
      <c r="AG9111" s="2">
        <f ca="1"/>
        <v>0.68197634942215157</v>
      </c>
      <c r="AH9111" s="2" t="str">
        <f ca="1"/>
        <v>Bad</v>
      </c>
    </row>
    <row r="9112" spans="2:34" x14ac:dyDescent="0.2">
      <c r="B9112" s="2">
        <f ca="1"/>
        <v>0.176850842397416</v>
      </c>
      <c r="O9112" s="2">
        <f ca="1"/>
        <v>1.106072654339453</v>
      </c>
      <c r="X9112" s="2">
        <f ca="1"/>
        <v>46.167617583077259</v>
      </c>
      <c r="AG9112" s="2">
        <f ca="1"/>
        <v>0.12006422082234991</v>
      </c>
      <c r="AH9112" s="2" t="str">
        <f ca="1"/>
        <v>OK</v>
      </c>
    </row>
    <row r="9113" spans="2:34" x14ac:dyDescent="0.2">
      <c r="B9113" s="2">
        <f ca="1"/>
        <v>0.67931410333513909</v>
      </c>
      <c r="O9113" s="2">
        <f ca="1"/>
        <v>0.8156696818083754</v>
      </c>
      <c r="X9113" s="2">
        <f ca="1"/>
        <v>43.062311111353765</v>
      </c>
      <c r="AG9113" s="2">
        <f ca="1"/>
        <v>0.1466029675197591</v>
      </c>
      <c r="AH9113" s="2" t="str">
        <f ca="1"/>
        <v>OK</v>
      </c>
    </row>
    <row r="9114" spans="2:34" x14ac:dyDescent="0.2">
      <c r="B9114" s="2">
        <f ca="1"/>
        <v>0.14689663351141524</v>
      </c>
      <c r="O9114" s="2">
        <f ca="1"/>
        <v>-1.7334281978843158</v>
      </c>
      <c r="X9114" s="2">
        <f ca="1"/>
        <v>42.974783130463763</v>
      </c>
      <c r="AG9114" s="2">
        <f ca="1"/>
        <v>0.46434811863861114</v>
      </c>
      <c r="AH9114" s="2" t="str">
        <f ca="1"/>
        <v>Bad</v>
      </c>
    </row>
    <row r="9115" spans="2:34" x14ac:dyDescent="0.2">
      <c r="B9115" s="2">
        <f ca="1"/>
        <v>0.57282415460402136</v>
      </c>
      <c r="O9115" s="2">
        <f ca="1"/>
        <v>1.3228890555475301</v>
      </c>
      <c r="X9115" s="2">
        <f ca="1"/>
        <v>64.646922919472317</v>
      </c>
      <c r="AG9115" s="2">
        <f ca="1"/>
        <v>0.30758360897505188</v>
      </c>
      <c r="AH9115" s="2" t="str">
        <f ca="1"/>
        <v>OK</v>
      </c>
    </row>
    <row r="9116" spans="2:34" x14ac:dyDescent="0.2">
      <c r="B9116" s="2">
        <f ca="1"/>
        <v>0.64926492819348947</v>
      </c>
      <c r="O9116" s="2">
        <f ca="1"/>
        <v>1.3627496837867703</v>
      </c>
      <c r="X9116" s="2">
        <f ca="1"/>
        <v>53.528009019949714</v>
      </c>
      <c r="AG9116" s="2">
        <f ca="1"/>
        <v>0.39368421945396181</v>
      </c>
      <c r="AH9116" s="2" t="str">
        <f ca="1"/>
        <v>OK</v>
      </c>
    </row>
    <row r="9117" spans="2:34" x14ac:dyDescent="0.2">
      <c r="B9117" s="2">
        <f ca="1"/>
        <v>0.73690500062109221</v>
      </c>
      <c r="O9117" s="2">
        <f ca="1"/>
        <v>0.80864988260772042</v>
      </c>
      <c r="X9117" s="2">
        <f ca="1"/>
        <v>49.321196060908655</v>
      </c>
      <c r="AG9117" s="2">
        <f ca="1"/>
        <v>0.2500115948832049</v>
      </c>
      <c r="AH9117" s="2" t="str">
        <f ca="1"/>
        <v>OK</v>
      </c>
    </row>
    <row r="9118" spans="2:34" x14ac:dyDescent="0.2">
      <c r="B9118" s="2">
        <f ca="1"/>
        <v>1.8801237679067606E-2</v>
      </c>
      <c r="O9118" s="2">
        <f ca="1"/>
        <v>1.257006469440084</v>
      </c>
      <c r="X9118" s="2">
        <f ca="1"/>
        <v>29.335865158259672</v>
      </c>
      <c r="AG9118" s="2">
        <f ca="1"/>
        <v>0.52030728508229496</v>
      </c>
      <c r="AH9118" s="2" t="str">
        <f ca="1"/>
        <v>Bad</v>
      </c>
    </row>
    <row r="9119" spans="2:34" x14ac:dyDescent="0.2">
      <c r="B9119" s="2">
        <f ca="1"/>
        <v>0.5908837909973923</v>
      </c>
      <c r="O9119" s="2">
        <f ca="1"/>
        <v>0.62348261247541226</v>
      </c>
      <c r="X9119" s="2">
        <f ca="1"/>
        <v>96.827741240644812</v>
      </c>
      <c r="AG9119" s="2">
        <f ca="1"/>
        <v>0.75980453805659698</v>
      </c>
      <c r="AH9119" s="2" t="str">
        <f ca="1"/>
        <v>Bad</v>
      </c>
    </row>
    <row r="9120" spans="2:34" x14ac:dyDescent="0.2">
      <c r="B9120" s="2">
        <f ca="1"/>
        <v>0.49990423817726803</v>
      </c>
      <c r="O9120" s="2">
        <f ca="1"/>
        <v>-0.94134325555711096</v>
      </c>
      <c r="X9120" s="2">
        <f ca="1"/>
        <v>38.14667620536629</v>
      </c>
      <c r="AG9120" s="2">
        <f ca="1"/>
        <v>0.52115668573473473</v>
      </c>
      <c r="AH9120" s="2" t="str">
        <f ca="1"/>
        <v>Bad</v>
      </c>
    </row>
    <row r="9121" spans="2:34" x14ac:dyDescent="0.2">
      <c r="B9121" s="2">
        <f ca="1"/>
        <v>0.96706049394144911</v>
      </c>
      <c r="O9121" s="2">
        <f ca="1"/>
        <v>-0.64823686018050442</v>
      </c>
      <c r="X9121" s="2">
        <f ca="1"/>
        <v>23.25867560042116</v>
      </c>
      <c r="AG9121" s="2">
        <f ca="1"/>
        <v>0.3090014661081053</v>
      </c>
      <c r="AH9121" s="2" t="str">
        <f ca="1"/>
        <v>OK</v>
      </c>
    </row>
    <row r="9122" spans="2:34" x14ac:dyDescent="0.2">
      <c r="B9122" s="2">
        <f ca="1"/>
        <v>0.88044615552564998</v>
      </c>
      <c r="O9122" s="2">
        <f ca="1"/>
        <v>-0.51644465002951323</v>
      </c>
      <c r="X9122" s="2">
        <f ca="1"/>
        <v>32.453539747003852</v>
      </c>
      <c r="AG9122" s="2">
        <f ca="1"/>
        <v>0.6862354622964868</v>
      </c>
      <c r="AH9122" s="2" t="str">
        <f ca="1"/>
        <v>Bad</v>
      </c>
    </row>
    <row r="9123" spans="2:34" x14ac:dyDescent="0.2">
      <c r="B9123" s="2">
        <f ca="1"/>
        <v>0.65789340332899671</v>
      </c>
      <c r="O9123" s="2">
        <f ca="1"/>
        <v>-0.90261973490516179</v>
      </c>
      <c r="X9123" s="2">
        <f ca="1"/>
        <v>44.415649516543695</v>
      </c>
      <c r="AG9123" s="2">
        <f ca="1"/>
        <v>0.47501315479047568</v>
      </c>
      <c r="AH9123" s="2" t="str">
        <f ca="1"/>
        <v>Bad</v>
      </c>
    </row>
    <row r="9124" spans="2:34" x14ac:dyDescent="0.2">
      <c r="B9124" s="2">
        <f ca="1"/>
        <v>0.66080136210655072</v>
      </c>
      <c r="O9124" s="2">
        <f ca="1"/>
        <v>2.3913439615728014</v>
      </c>
      <c r="X9124" s="2">
        <f ca="1"/>
        <v>57.544582784347824</v>
      </c>
      <c r="AG9124" s="2">
        <f ca="1"/>
        <v>0.45510000356458402</v>
      </c>
      <c r="AH9124" s="2" t="str">
        <f ca="1"/>
        <v>Bad</v>
      </c>
    </row>
    <row r="9125" spans="2:34" x14ac:dyDescent="0.2">
      <c r="B9125" s="2">
        <f ca="1"/>
        <v>0.25470728627780459</v>
      </c>
      <c r="O9125" s="2">
        <f ca="1"/>
        <v>1.5171534881862738</v>
      </c>
      <c r="X9125" s="2">
        <f ca="1"/>
        <v>54.803467702029025</v>
      </c>
      <c r="AG9125" s="2">
        <f ca="1"/>
        <v>0.80899959352482198</v>
      </c>
      <c r="AH9125" s="2" t="str">
        <f ca="1"/>
        <v>Bad</v>
      </c>
    </row>
    <row r="9126" spans="2:34" x14ac:dyDescent="0.2">
      <c r="B9126" s="2">
        <f ca="1"/>
        <v>0.13839495549568004</v>
      </c>
      <c r="O9126" s="2">
        <f ca="1"/>
        <v>-0.62585596283505818</v>
      </c>
      <c r="X9126" s="2">
        <f ca="1"/>
        <v>40.684907012951008</v>
      </c>
      <c r="AG9126" s="2">
        <f ca="1"/>
        <v>0.82180228367829411</v>
      </c>
      <c r="AH9126" s="2" t="str">
        <f ca="1"/>
        <v>Bad</v>
      </c>
    </row>
    <row r="9127" spans="2:34" x14ac:dyDescent="0.2">
      <c r="B9127" s="2">
        <f ca="1"/>
        <v>0.16549468132393841</v>
      </c>
      <c r="O9127" s="2">
        <f ca="1"/>
        <v>2.9353553459619937</v>
      </c>
      <c r="X9127" s="2">
        <f ca="1"/>
        <v>58.867891437554192</v>
      </c>
      <c r="AG9127" s="2">
        <f ca="1"/>
        <v>0.86962691414730675</v>
      </c>
      <c r="AH9127" s="2" t="str">
        <f ca="1"/>
        <v>Bad</v>
      </c>
    </row>
    <row r="9128" spans="2:34" x14ac:dyDescent="0.2">
      <c r="B9128" s="2">
        <f ca="1"/>
        <v>0.23139789729617921</v>
      </c>
      <c r="O9128" s="2">
        <f ca="1"/>
        <v>1.2985331593301581</v>
      </c>
      <c r="X9128" s="2">
        <f ca="1"/>
        <v>40.526419390027328</v>
      </c>
      <c r="AG9128" s="2">
        <f ca="1"/>
        <v>0.33005904100333505</v>
      </c>
      <c r="AH9128" s="2" t="str">
        <f ca="1"/>
        <v>OK</v>
      </c>
    </row>
    <row r="9129" spans="2:34" x14ac:dyDescent="0.2">
      <c r="B9129" s="2">
        <f ca="1"/>
        <v>0.4894497580266024</v>
      </c>
      <c r="O9129" s="2">
        <f ca="1"/>
        <v>0.12099925617249596</v>
      </c>
      <c r="X9129" s="2">
        <f ca="1"/>
        <v>48.87043903826747</v>
      </c>
      <c r="AG9129" s="2">
        <f ca="1"/>
        <v>0.31652557397915104</v>
      </c>
      <c r="AH9129" s="2" t="str">
        <f ca="1"/>
        <v>OK</v>
      </c>
    </row>
    <row r="9130" spans="2:34" x14ac:dyDescent="0.2">
      <c r="B9130" s="2">
        <f ca="1"/>
        <v>0.84523115692541873</v>
      </c>
      <c r="O9130" s="2">
        <f ca="1"/>
        <v>1.8012392290099601</v>
      </c>
      <c r="X9130" s="2">
        <f ca="1"/>
        <v>43.856991119935898</v>
      </c>
      <c r="AG9130" s="2">
        <f ca="1"/>
        <v>0.45490379368463674</v>
      </c>
      <c r="AH9130" s="2" t="str">
        <f ca="1"/>
        <v>Bad</v>
      </c>
    </row>
    <row r="9131" spans="2:34" x14ac:dyDescent="0.2">
      <c r="B9131" s="2">
        <f ca="1"/>
        <v>0.80378129888339322</v>
      </c>
      <c r="O9131" s="2">
        <f ca="1"/>
        <v>-0.76969106344907123</v>
      </c>
      <c r="X9131" s="2">
        <f ca="1"/>
        <v>48.893077330410918</v>
      </c>
      <c r="AG9131" s="2">
        <f ca="1"/>
        <v>0.8856525675018172</v>
      </c>
      <c r="AH9131" s="2" t="str">
        <f ca="1"/>
        <v>Bad</v>
      </c>
    </row>
    <row r="9132" spans="2:34" x14ac:dyDescent="0.2">
      <c r="B9132" s="2">
        <f ca="1"/>
        <v>0.79216859308756327</v>
      </c>
      <c r="O9132" s="2">
        <f ca="1"/>
        <v>-0.98669060431519695</v>
      </c>
      <c r="X9132" s="2">
        <f ca="1"/>
        <v>69.222341709917288</v>
      </c>
      <c r="AG9132" s="2">
        <f ca="1"/>
        <v>6.0554633693481685E-2</v>
      </c>
      <c r="AH9132" s="2" t="str">
        <f ca="1"/>
        <v>OK</v>
      </c>
    </row>
    <row r="9133" spans="2:34" x14ac:dyDescent="0.2">
      <c r="B9133" s="2">
        <f ca="1"/>
        <v>0.8806638712844499</v>
      </c>
      <c r="O9133" s="2">
        <f ca="1"/>
        <v>0.32379485121299229</v>
      </c>
      <c r="X9133" s="2">
        <f ca="1"/>
        <v>20.596726199403154</v>
      </c>
      <c r="AG9133" s="2">
        <f ca="1"/>
        <v>0.32355661823993431</v>
      </c>
      <c r="AH9133" s="2" t="str">
        <f ca="1"/>
        <v>OK</v>
      </c>
    </row>
    <row r="9134" spans="2:34" x14ac:dyDescent="0.2">
      <c r="B9134" s="2">
        <f ca="1"/>
        <v>0.68202923753721456</v>
      </c>
      <c r="O9134" s="2">
        <f ca="1"/>
        <v>8.7559768818196063E-2</v>
      </c>
      <c r="X9134" s="2">
        <f ca="1"/>
        <v>54.134208598462436</v>
      </c>
      <c r="AG9134" s="2">
        <f ca="1"/>
        <v>0.71991480956697118</v>
      </c>
      <c r="AH9134" s="2" t="str">
        <f ca="1"/>
        <v>Bad</v>
      </c>
    </row>
    <row r="9135" spans="2:34" x14ac:dyDescent="0.2">
      <c r="B9135" s="2">
        <f ca="1"/>
        <v>0.92969578087017957</v>
      </c>
      <c r="O9135" s="2">
        <f ca="1"/>
        <v>-0.3586103306252057</v>
      </c>
      <c r="X9135" s="2">
        <f ca="1"/>
        <v>46.020814160534329</v>
      </c>
      <c r="AG9135" s="2">
        <f ca="1"/>
        <v>0.4248243456408165</v>
      </c>
      <c r="AH9135" s="2" t="str">
        <f ca="1"/>
        <v>Bad</v>
      </c>
    </row>
    <row r="9136" spans="2:34" x14ac:dyDescent="0.2">
      <c r="B9136" s="2">
        <f ca="1"/>
        <v>0.44391692974640407</v>
      </c>
      <c r="O9136" s="2">
        <f ca="1"/>
        <v>-0.76679087107592492</v>
      </c>
      <c r="X9136" s="2">
        <f ca="1"/>
        <v>31.308948005214457</v>
      </c>
      <c r="AG9136" s="2">
        <f ca="1"/>
        <v>0.44781037132294288</v>
      </c>
      <c r="AH9136" s="2" t="str">
        <f ca="1"/>
        <v>Bad</v>
      </c>
    </row>
    <row r="9137" spans="2:34" x14ac:dyDescent="0.2">
      <c r="B9137" s="2">
        <f ca="1"/>
        <v>0.85745948089221335</v>
      </c>
      <c r="O9137" s="2">
        <f ca="1"/>
        <v>-1.9521719733261902</v>
      </c>
      <c r="X9137" s="2">
        <f ca="1"/>
        <v>36.308828858975474</v>
      </c>
      <c r="AG9137" s="2">
        <f ca="1"/>
        <v>0.99446255028107866</v>
      </c>
      <c r="AH9137" s="2" t="str">
        <f ca="1"/>
        <v>Bad</v>
      </c>
    </row>
    <row r="9138" spans="2:34" x14ac:dyDescent="0.2">
      <c r="B9138" s="2">
        <f ca="1"/>
        <v>0.60992143610917471</v>
      </c>
      <c r="O9138" s="2">
        <f ca="1"/>
        <v>-0.3563530788076627</v>
      </c>
      <c r="X9138" s="2">
        <f ca="1"/>
        <v>69.830884448778519</v>
      </c>
      <c r="AG9138" s="2">
        <f ca="1"/>
        <v>0.57612996500040992</v>
      </c>
      <c r="AH9138" s="2" t="str">
        <f ca="1"/>
        <v>Bad</v>
      </c>
    </row>
    <row r="9139" spans="2:34" x14ac:dyDescent="0.2">
      <c r="B9139" s="2">
        <f ca="1"/>
        <v>0.30136135142385667</v>
      </c>
      <c r="O9139" s="2">
        <f ca="1"/>
        <v>-1.7594689220145094</v>
      </c>
      <c r="X9139" s="2">
        <f ca="1"/>
        <v>64.914179587515363</v>
      </c>
      <c r="AG9139" s="2">
        <f ca="1"/>
        <v>0.95590194996828215</v>
      </c>
      <c r="AH9139" s="2" t="str">
        <f ca="1"/>
        <v>Bad</v>
      </c>
    </row>
    <row r="9140" spans="2:34" x14ac:dyDescent="0.2">
      <c r="B9140" s="2">
        <f ca="1"/>
        <v>0.98362391116559023</v>
      </c>
      <c r="O9140" s="2">
        <f ca="1"/>
        <v>1.440266104564299</v>
      </c>
      <c r="X9140" s="2">
        <f ca="1"/>
        <v>29.603690516103612</v>
      </c>
      <c r="AG9140" s="2">
        <f ca="1"/>
        <v>0.94901728012122133</v>
      </c>
      <c r="AH9140" s="2" t="str">
        <f ca="1"/>
        <v>Bad</v>
      </c>
    </row>
    <row r="9141" spans="2:34" x14ac:dyDescent="0.2">
      <c r="B9141" s="2">
        <f ca="1"/>
        <v>0.47275152072187376</v>
      </c>
      <c r="O9141" s="2">
        <f ca="1"/>
        <v>-0.8066513682182479</v>
      </c>
      <c r="X9141" s="2">
        <f ca="1"/>
        <v>38.523390131768707</v>
      </c>
      <c r="AG9141" s="2">
        <f ca="1"/>
        <v>0.87712184684080974</v>
      </c>
      <c r="AH9141" s="2" t="str">
        <f ca="1"/>
        <v>Bad</v>
      </c>
    </row>
    <row r="9142" spans="2:34" x14ac:dyDescent="0.2">
      <c r="B9142" s="2">
        <f ca="1"/>
        <v>0.42917256749645993</v>
      </c>
      <c r="O9142" s="2">
        <f ca="1"/>
        <v>-0.36291355418262228</v>
      </c>
      <c r="X9142" s="2">
        <f ca="1"/>
        <v>33.547118420199759</v>
      </c>
      <c r="AG9142" s="2">
        <f ca="1"/>
        <v>0.93194135118515287</v>
      </c>
      <c r="AH9142" s="2" t="str">
        <f ca="1"/>
        <v>Bad</v>
      </c>
    </row>
    <row r="9143" spans="2:34" x14ac:dyDescent="0.2">
      <c r="B9143" s="2">
        <f ca="1"/>
        <v>0.70271007213595937</v>
      </c>
      <c r="O9143" s="2">
        <f ca="1"/>
        <v>-0.31363988680712446</v>
      </c>
      <c r="X9143" s="2">
        <f ca="1"/>
        <v>33.096791071754453</v>
      </c>
      <c r="AG9143" s="2">
        <f ca="1"/>
        <v>0.30360635903638689</v>
      </c>
      <c r="AH9143" s="2" t="str">
        <f ca="1"/>
        <v>OK</v>
      </c>
    </row>
    <row r="9144" spans="2:34" x14ac:dyDescent="0.2">
      <c r="B9144" s="2">
        <f ca="1"/>
        <v>0.56624267905284276</v>
      </c>
      <c r="O9144" s="2">
        <f ca="1"/>
        <v>-0.61337300614903933</v>
      </c>
      <c r="X9144" s="2">
        <f ca="1"/>
        <v>36.16622671811384</v>
      </c>
      <c r="AG9144" s="2">
        <f ca="1"/>
        <v>0.92039229502031716</v>
      </c>
      <c r="AH9144" s="2" t="str">
        <f ca="1"/>
        <v>Bad</v>
      </c>
    </row>
    <row r="9145" spans="2:34" x14ac:dyDescent="0.2">
      <c r="B9145" s="2">
        <f ca="1"/>
        <v>0.58964772962971312</v>
      </c>
      <c r="O9145" s="2">
        <f ca="1"/>
        <v>1.2279632108702561</v>
      </c>
      <c r="X9145" s="2">
        <f ca="1"/>
        <v>35.737215783333532</v>
      </c>
      <c r="AG9145" s="2">
        <f ca="1"/>
        <v>0.98309997416511141</v>
      </c>
      <c r="AH9145" s="2" t="str">
        <f ca="1"/>
        <v>Bad</v>
      </c>
    </row>
    <row r="9146" spans="2:34" x14ac:dyDescent="0.2">
      <c r="B9146" s="2">
        <f ca="1"/>
        <v>0.57426071460343064</v>
      </c>
      <c r="O9146" s="2">
        <f ca="1"/>
        <v>0.58192293814955798</v>
      </c>
      <c r="X9146" s="2">
        <f ca="1"/>
        <v>40.930405180192444</v>
      </c>
      <c r="AG9146" s="2">
        <f ca="1"/>
        <v>0.34999659173930153</v>
      </c>
      <c r="AH9146" s="2" t="str">
        <f ca="1"/>
        <v>OK</v>
      </c>
    </row>
    <row r="9147" spans="2:34" x14ac:dyDescent="0.2">
      <c r="B9147" s="2">
        <f ca="1"/>
        <v>0.46828504451057484</v>
      </c>
      <c r="O9147" s="2">
        <f ca="1"/>
        <v>-0.47781262463305868</v>
      </c>
      <c r="X9147" s="2">
        <f ca="1"/>
        <v>49.142972562304259</v>
      </c>
      <c r="AG9147" s="2">
        <f ca="1"/>
        <v>0.94551679531336763</v>
      </c>
      <c r="AH9147" s="2" t="str">
        <f ca="1"/>
        <v>Bad</v>
      </c>
    </row>
    <row r="9148" spans="2:34" x14ac:dyDescent="0.2">
      <c r="B9148" s="2">
        <f ca="1"/>
        <v>0.17727780598912601</v>
      </c>
      <c r="O9148" s="2">
        <f ca="1"/>
        <v>1.7630697213475803</v>
      </c>
      <c r="X9148" s="2">
        <f ca="1"/>
        <v>58.652923941261726</v>
      </c>
      <c r="AG9148" s="2">
        <f ca="1"/>
        <v>0.36971937818257006</v>
      </c>
      <c r="AH9148" s="2" t="str">
        <f ca="1"/>
        <v>OK</v>
      </c>
    </row>
    <row r="9149" spans="2:34" x14ac:dyDescent="0.2">
      <c r="B9149" s="2">
        <f ca="1"/>
        <v>0.40164418341249086</v>
      </c>
      <c r="O9149" s="2">
        <f ca="1"/>
        <v>-0.27527646726921268</v>
      </c>
      <c r="X9149" s="2">
        <f ca="1"/>
        <v>38.920157379851304</v>
      </c>
      <c r="AG9149" s="2">
        <f ca="1"/>
        <v>0.51491111144624147</v>
      </c>
      <c r="AH9149" s="2" t="str">
        <f ca="1"/>
        <v>Bad</v>
      </c>
    </row>
    <row r="9150" spans="2:34" x14ac:dyDescent="0.2">
      <c r="B9150" s="2">
        <f ca="1"/>
        <v>0.53064492758933213</v>
      </c>
      <c r="O9150" s="2">
        <f ca="1"/>
        <v>0.28177038950896399</v>
      </c>
      <c r="X9150" s="2">
        <f ca="1"/>
        <v>59.776086723160873</v>
      </c>
      <c r="AG9150" s="2">
        <f ca="1"/>
        <v>0.51120161756409543</v>
      </c>
      <c r="AH9150" s="2" t="str">
        <f ca="1"/>
        <v>Bad</v>
      </c>
    </row>
    <row r="9151" spans="2:34" x14ac:dyDescent="0.2">
      <c r="B9151" s="2">
        <f ca="1"/>
        <v>0.20543978142222041</v>
      </c>
      <c r="O9151" s="2">
        <f ca="1"/>
        <v>1.31948548132618</v>
      </c>
      <c r="X9151" s="2">
        <f ca="1"/>
        <v>44.837200261961172</v>
      </c>
      <c r="AG9151" s="2">
        <f ca="1"/>
        <v>0.29693112612445427</v>
      </c>
      <c r="AH9151" s="2" t="str">
        <f ca="1"/>
        <v>OK</v>
      </c>
    </row>
    <row r="9152" spans="2:34" x14ac:dyDescent="0.2">
      <c r="B9152" s="2">
        <f ca="1"/>
        <v>0.77957376954418534</v>
      </c>
      <c r="O9152" s="2">
        <f ca="1"/>
        <v>0.90238658809947325</v>
      </c>
      <c r="X9152" s="2">
        <f ca="1"/>
        <v>80.775890381782389</v>
      </c>
      <c r="AG9152" s="2">
        <f ca="1"/>
        <v>0.52068550434981642</v>
      </c>
      <c r="AH9152" s="2" t="str">
        <f ca="1"/>
        <v>Bad</v>
      </c>
    </row>
    <row r="9153" spans="2:34" x14ac:dyDescent="0.2">
      <c r="B9153" s="2">
        <f ca="1"/>
        <v>0.59803013178139297</v>
      </c>
      <c r="O9153" s="2">
        <f ca="1"/>
        <v>0.56284830470203495</v>
      </c>
      <c r="X9153" s="2">
        <f ca="1"/>
        <v>75.884246941387261</v>
      </c>
      <c r="AG9153" s="2">
        <f ca="1"/>
        <v>0.35920135336057935</v>
      </c>
      <c r="AH9153" s="2" t="str">
        <f ca="1"/>
        <v>OK</v>
      </c>
    </row>
    <row r="9154" spans="2:34" x14ac:dyDescent="0.2">
      <c r="B9154" s="2">
        <f ca="1"/>
        <v>0.16516432866519959</v>
      </c>
      <c r="O9154" s="2">
        <f ca="1"/>
        <v>-1.6914001425350678</v>
      </c>
      <c r="X9154" s="2">
        <f ca="1"/>
        <v>31.680926442167348</v>
      </c>
      <c r="AG9154" s="2">
        <f ca="1"/>
        <v>0.22673711957026943</v>
      </c>
      <c r="AH9154" s="2" t="str">
        <f ca="1"/>
        <v>OK</v>
      </c>
    </row>
    <row r="9155" spans="2:34" x14ac:dyDescent="0.2">
      <c r="B9155" s="2">
        <f ca="1"/>
        <v>0.75208858787036137</v>
      </c>
      <c r="O9155" s="2">
        <f ca="1"/>
        <v>0.99863550013371016</v>
      </c>
      <c r="X9155" s="2">
        <f ca="1"/>
        <v>62.728313592267341</v>
      </c>
      <c r="AG9155" s="2">
        <f ca="1"/>
        <v>0.72782303008493665</v>
      </c>
      <c r="AH9155" s="2" t="str">
        <f ca="1"/>
        <v>Bad</v>
      </c>
    </row>
    <row r="9156" spans="2:34" x14ac:dyDescent="0.2">
      <c r="B9156" s="2">
        <f ca="1"/>
        <v>0.96540832003546817</v>
      </c>
      <c r="O9156" s="2">
        <f ca="1"/>
        <v>-0.40310295246557631</v>
      </c>
      <c r="X9156" s="2">
        <f ca="1"/>
        <v>20.867085351368445</v>
      </c>
      <c r="AG9156" s="2">
        <f ca="1"/>
        <v>0.64499550202051603</v>
      </c>
      <c r="AH9156" s="2" t="str">
        <f ca="1"/>
        <v>Bad</v>
      </c>
    </row>
    <row r="9157" spans="2:34" x14ac:dyDescent="0.2">
      <c r="B9157" s="2">
        <f ca="1"/>
        <v>0.40869452561158148</v>
      </c>
      <c r="O9157" s="2">
        <f ca="1"/>
        <v>0.1313705663921369</v>
      </c>
      <c r="X9157" s="2">
        <f ca="1"/>
        <v>52.894249390495418</v>
      </c>
      <c r="AG9157" s="2">
        <f ca="1"/>
        <v>0.92951808790223711</v>
      </c>
      <c r="AH9157" s="2" t="str">
        <f ca="1"/>
        <v>Bad</v>
      </c>
    </row>
    <row r="9158" spans="2:34" x14ac:dyDescent="0.2">
      <c r="B9158" s="2">
        <f ca="1"/>
        <v>0.26647496199726217</v>
      </c>
      <c r="O9158" s="2">
        <f ca="1"/>
        <v>2.6639125278495333</v>
      </c>
      <c r="X9158" s="2">
        <f ca="1"/>
        <v>48.701868687327085</v>
      </c>
      <c r="AG9158" s="2">
        <f ca="1"/>
        <v>0.3328674854385929</v>
      </c>
      <c r="AH9158" s="2" t="str">
        <f ca="1"/>
        <v>OK</v>
      </c>
    </row>
    <row r="9159" spans="2:34" x14ac:dyDescent="0.2">
      <c r="B9159" s="2">
        <f ca="1"/>
        <v>0.3462933688175891</v>
      </c>
      <c r="O9159" s="2">
        <f ca="1"/>
        <v>-0.57519721598939411</v>
      </c>
      <c r="X9159" s="2">
        <f ca="1"/>
        <v>76.672412104967776</v>
      </c>
      <c r="AG9159" s="2">
        <f ca="1"/>
        <v>0.19143054235455326</v>
      </c>
      <c r="AH9159" s="2" t="str">
        <f ca="1"/>
        <v>OK</v>
      </c>
    </row>
    <row r="9160" spans="2:34" x14ac:dyDescent="0.2">
      <c r="B9160" s="2">
        <f ca="1"/>
        <v>0.42584108350790584</v>
      </c>
      <c r="O9160" s="2">
        <f ca="1"/>
        <v>0.67615300575377246</v>
      </c>
      <c r="X9160" s="2">
        <f ca="1"/>
        <v>61.104473579835812</v>
      </c>
      <c r="AG9160" s="2">
        <f ca="1"/>
        <v>0.43114641231934714</v>
      </c>
      <c r="AH9160" s="2" t="str">
        <f ca="1"/>
        <v>Bad</v>
      </c>
    </row>
    <row r="9161" spans="2:34" x14ac:dyDescent="0.2">
      <c r="B9161" s="2">
        <f ca="1"/>
        <v>6.0618069000570873E-3</v>
      </c>
      <c r="O9161" s="2">
        <f ca="1"/>
        <v>1.5832566062949356</v>
      </c>
      <c r="X9161" s="2">
        <f ca="1"/>
        <v>35.80154066705235</v>
      </c>
      <c r="AG9161" s="2">
        <f ca="1"/>
        <v>7.7005816683691997E-2</v>
      </c>
      <c r="AH9161" s="2" t="str">
        <f ca="1"/>
        <v>OK</v>
      </c>
    </row>
    <row r="9162" spans="2:34" x14ac:dyDescent="0.2">
      <c r="B9162" s="2">
        <f ca="1"/>
        <v>0.67481174236706343</v>
      </c>
      <c r="O9162" s="2">
        <f ca="1"/>
        <v>-0.14382418350937251</v>
      </c>
      <c r="X9162" s="2">
        <f ca="1"/>
        <v>40.612235166493534</v>
      </c>
      <c r="AG9162" s="2">
        <f ca="1"/>
        <v>0.51726155795609885</v>
      </c>
      <c r="AH9162" s="2" t="str">
        <f ca="1"/>
        <v>Bad</v>
      </c>
    </row>
    <row r="9163" spans="2:34" x14ac:dyDescent="0.2">
      <c r="B9163" s="2">
        <f ca="1"/>
        <v>0.81708575342623013</v>
      </c>
      <c r="O9163" s="2">
        <f ca="1"/>
        <v>0.1901817169410982</v>
      </c>
      <c r="X9163" s="2">
        <f ca="1"/>
        <v>42.082078271194888</v>
      </c>
      <c r="AG9163" s="2">
        <f ca="1"/>
        <v>0.41900334090086466</v>
      </c>
      <c r="AH9163" s="2" t="str">
        <f ca="1"/>
        <v>Bad</v>
      </c>
    </row>
    <row r="9164" spans="2:34" x14ac:dyDescent="0.2">
      <c r="B9164" s="2">
        <f ca="1"/>
        <v>0.45941038245628985</v>
      </c>
      <c r="O9164" s="2">
        <f ca="1"/>
        <v>-0.82335761084656045</v>
      </c>
      <c r="X9164" s="2">
        <f ca="1"/>
        <v>45.125397358228255</v>
      </c>
      <c r="AG9164" s="2">
        <f ca="1"/>
        <v>0.91358867740965266</v>
      </c>
      <c r="AH9164" s="2" t="str">
        <f ca="1"/>
        <v>Bad</v>
      </c>
    </row>
    <row r="9165" spans="2:34" x14ac:dyDescent="0.2">
      <c r="B9165" s="2">
        <f ca="1"/>
        <v>0.81795076335293171</v>
      </c>
      <c r="O9165" s="2">
        <f ca="1"/>
        <v>-0.39110126488195018</v>
      </c>
      <c r="X9165" s="2">
        <f ca="1"/>
        <v>43.166354878152262</v>
      </c>
      <c r="AG9165" s="2">
        <f ca="1"/>
        <v>0.12905929552811557</v>
      </c>
      <c r="AH9165" s="2" t="str">
        <f ca="1"/>
        <v>OK</v>
      </c>
    </row>
    <row r="9166" spans="2:34" x14ac:dyDescent="0.2">
      <c r="B9166" s="2">
        <f ca="1"/>
        <v>0.49135867903294406</v>
      </c>
      <c r="O9166" s="2">
        <f ca="1"/>
        <v>-0.18354799901278027</v>
      </c>
      <c r="X9166" s="2">
        <f ca="1"/>
        <v>41.244438029078566</v>
      </c>
      <c r="AG9166" s="2">
        <f ca="1"/>
        <v>0.37037810379294012</v>
      </c>
      <c r="AH9166" s="2" t="str">
        <f ca="1"/>
        <v>OK</v>
      </c>
    </row>
    <row r="9167" spans="2:34" x14ac:dyDescent="0.2">
      <c r="B9167" s="2">
        <f ca="1"/>
        <v>0.83062503049500336</v>
      </c>
      <c r="O9167" s="2">
        <f ca="1"/>
        <v>0.58487443231698577</v>
      </c>
      <c r="X9167" s="2">
        <f ca="1"/>
        <v>79.415908134069127</v>
      </c>
      <c r="AG9167" s="2">
        <f ca="1"/>
        <v>0.56943928385322717</v>
      </c>
      <c r="AH9167" s="2" t="str">
        <f ca="1"/>
        <v>Bad</v>
      </c>
    </row>
    <row r="9168" spans="2:34" x14ac:dyDescent="0.2">
      <c r="B9168" s="2">
        <f ca="1"/>
        <v>0.24442473771763362</v>
      </c>
      <c r="O9168" s="2">
        <f ca="1"/>
        <v>-1.5704809232342074</v>
      </c>
      <c r="X9168" s="2">
        <f ca="1"/>
        <v>57.971007410089328</v>
      </c>
      <c r="AG9168" s="2">
        <f ca="1"/>
        <v>0.72471975422523083</v>
      </c>
      <c r="AH9168" s="2" t="str">
        <f ca="1"/>
        <v>Bad</v>
      </c>
    </row>
    <row r="9169" spans="2:34" x14ac:dyDescent="0.2">
      <c r="B9169" s="2">
        <f ca="1"/>
        <v>0.94870914796087824</v>
      </c>
      <c r="O9169" s="2">
        <f ca="1"/>
        <v>0.25984438387116915</v>
      </c>
      <c r="X9169" s="2">
        <f ca="1"/>
        <v>27.196107746580338</v>
      </c>
      <c r="AG9169" s="2">
        <f ca="1"/>
        <v>0.60017882738505679</v>
      </c>
      <c r="AH9169" s="2" t="str">
        <f ca="1"/>
        <v>Bad</v>
      </c>
    </row>
    <row r="9170" spans="2:34" x14ac:dyDescent="0.2">
      <c r="B9170" s="2">
        <f ca="1"/>
        <v>0.21000851171453716</v>
      </c>
      <c r="O9170" s="2">
        <f ca="1"/>
        <v>-1.3149883189066913</v>
      </c>
      <c r="X9170" s="2">
        <f ca="1"/>
        <v>64.949844631121067</v>
      </c>
      <c r="AG9170" s="2">
        <f ca="1"/>
        <v>0.67352336432723536</v>
      </c>
      <c r="AH9170" s="2" t="str">
        <f ca="1"/>
        <v>Bad</v>
      </c>
    </row>
    <row r="9171" spans="2:34" x14ac:dyDescent="0.2">
      <c r="B9171" s="2">
        <f ca="1"/>
        <v>0.80354851759412282</v>
      </c>
      <c r="O9171" s="2">
        <f ca="1"/>
        <v>0.6031009337586738</v>
      </c>
      <c r="X9171" s="2">
        <f ca="1"/>
        <v>39.891265143293836</v>
      </c>
      <c r="AG9171" s="2">
        <f ca="1"/>
        <v>0.12728172542701888</v>
      </c>
      <c r="AH9171" s="2" t="str">
        <f ca="1"/>
        <v>OK</v>
      </c>
    </row>
    <row r="9172" spans="2:34" x14ac:dyDescent="0.2">
      <c r="B9172" s="2">
        <f ca="1"/>
        <v>5.0745837814502259E-2</v>
      </c>
      <c r="O9172" s="2">
        <f ca="1"/>
        <v>0.89742664958623608</v>
      </c>
      <c r="X9172" s="2">
        <f ca="1"/>
        <v>62.56835788204944</v>
      </c>
      <c r="AG9172" s="2">
        <f ca="1"/>
        <v>0.36208460041406276</v>
      </c>
      <c r="AH9172" s="2" t="str">
        <f ca="1"/>
        <v>OK</v>
      </c>
    </row>
    <row r="9173" spans="2:34" x14ac:dyDescent="0.2">
      <c r="B9173" s="2">
        <f ca="1"/>
        <v>0.41855683486149475</v>
      </c>
      <c r="O9173" s="2">
        <f ca="1"/>
        <v>-1.2034331997864112</v>
      </c>
      <c r="X9173" s="2">
        <f ca="1"/>
        <v>58.308076697594949</v>
      </c>
      <c r="AG9173" s="2">
        <f ca="1"/>
        <v>0.86659927612458643</v>
      </c>
      <c r="AH9173" s="2" t="str">
        <f ca="1"/>
        <v>Bad</v>
      </c>
    </row>
    <row r="9174" spans="2:34" x14ac:dyDescent="0.2">
      <c r="B9174" s="2">
        <f ca="1"/>
        <v>0.71375291195838364</v>
      </c>
      <c r="O9174" s="2">
        <f ca="1"/>
        <v>-0.59290922148542857</v>
      </c>
      <c r="X9174" s="2">
        <f ca="1"/>
        <v>43.942201406429419</v>
      </c>
      <c r="AG9174" s="2">
        <f ca="1"/>
        <v>0.89068729791400458</v>
      </c>
      <c r="AH9174" s="2" t="str">
        <f ca="1"/>
        <v>Bad</v>
      </c>
    </row>
    <row r="9175" spans="2:34" x14ac:dyDescent="0.2">
      <c r="B9175" s="2">
        <f ca="1"/>
        <v>0.36977548041804575</v>
      </c>
      <c r="O9175" s="2">
        <f ca="1"/>
        <v>-1.2149680907956983</v>
      </c>
      <c r="X9175" s="2">
        <f ca="1"/>
        <v>41.663885369835157</v>
      </c>
      <c r="AG9175" s="2">
        <f ca="1"/>
        <v>0.74172235317678492</v>
      </c>
      <c r="AH9175" s="2" t="str">
        <f ca="1"/>
        <v>Bad</v>
      </c>
    </row>
    <row r="9176" spans="2:34" x14ac:dyDescent="0.2">
      <c r="B9176" s="2">
        <f ca="1"/>
        <v>8.9262797844770203E-2</v>
      </c>
      <c r="O9176" s="2">
        <f ca="1"/>
        <v>0.46571730451740673</v>
      </c>
      <c r="X9176" s="2">
        <f ca="1"/>
        <v>60.811816106267365</v>
      </c>
      <c r="AG9176" s="2">
        <f ca="1"/>
        <v>0.99808857572241005</v>
      </c>
      <c r="AH9176" s="2" t="str">
        <f ca="1"/>
        <v>Bad</v>
      </c>
    </row>
    <row r="9177" spans="2:34" x14ac:dyDescent="0.2">
      <c r="B9177" s="2">
        <f ca="1"/>
        <v>0.51590343867019306</v>
      </c>
      <c r="O9177" s="2">
        <f ca="1"/>
        <v>-0.7522689496286783</v>
      </c>
      <c r="X9177" s="2">
        <f ca="1"/>
        <v>56.715829400912661</v>
      </c>
      <c r="AG9177" s="2">
        <f ca="1"/>
        <v>2.0951632242862672E-2</v>
      </c>
      <c r="AH9177" s="2" t="str">
        <f ca="1"/>
        <v>Good</v>
      </c>
    </row>
    <row r="9178" spans="2:34" x14ac:dyDescent="0.2">
      <c r="B9178" s="2">
        <f ca="1"/>
        <v>0.23914529408767282</v>
      </c>
      <c r="O9178" s="2">
        <f ca="1"/>
        <v>0.42636210450003997</v>
      </c>
      <c r="X9178" s="2">
        <f ca="1"/>
        <v>33.348878735342204</v>
      </c>
      <c r="AG9178" s="2">
        <f ca="1"/>
        <v>0.97548817157634371</v>
      </c>
      <c r="AH9178" s="2" t="str">
        <f ca="1"/>
        <v>Bad</v>
      </c>
    </row>
    <row r="9179" spans="2:34" x14ac:dyDescent="0.2">
      <c r="B9179" s="2">
        <f ca="1"/>
        <v>0.68562181028616442</v>
      </c>
      <c r="O9179" s="2">
        <f ca="1"/>
        <v>1.1206523612619463</v>
      </c>
      <c r="X9179" s="2">
        <f ca="1"/>
        <v>43.207859713550228</v>
      </c>
      <c r="AG9179" s="2">
        <f ca="1"/>
        <v>5.1134098801176142E-2</v>
      </c>
      <c r="AH9179" s="2" t="str">
        <f ca="1"/>
        <v>OK</v>
      </c>
    </row>
    <row r="9180" spans="2:34" x14ac:dyDescent="0.2">
      <c r="B9180" s="2">
        <f ca="1"/>
        <v>7.7074688448540485E-2</v>
      </c>
      <c r="O9180" s="2">
        <f ca="1"/>
        <v>0.72417781654805946</v>
      </c>
      <c r="X9180" s="2">
        <f ca="1"/>
        <v>63.375813059633316</v>
      </c>
      <c r="AG9180" s="2">
        <f ca="1"/>
        <v>0.87212546431620552</v>
      </c>
      <c r="AH9180" s="2" t="str">
        <f ca="1"/>
        <v>Bad</v>
      </c>
    </row>
    <row r="9181" spans="2:34" x14ac:dyDescent="0.2">
      <c r="B9181" s="2">
        <f ca="1"/>
        <v>0.29615480739070588</v>
      </c>
      <c r="O9181" s="2">
        <f ca="1"/>
        <v>0.79119364739128595</v>
      </c>
      <c r="X9181" s="2">
        <f ca="1"/>
        <v>28.108565220401363</v>
      </c>
      <c r="AG9181" s="2">
        <f ca="1"/>
        <v>0.62432728507279522</v>
      </c>
      <c r="AH9181" s="2" t="str">
        <f ca="1"/>
        <v>Bad</v>
      </c>
    </row>
    <row r="9182" spans="2:34" x14ac:dyDescent="0.2">
      <c r="B9182" s="2">
        <f ca="1"/>
        <v>0.84859007318173396</v>
      </c>
      <c r="O9182" s="2">
        <f ca="1"/>
        <v>0.34924806665655428</v>
      </c>
      <c r="X9182" s="2">
        <f ca="1"/>
        <v>50.990553164606574</v>
      </c>
      <c r="AG9182" s="2">
        <f ca="1"/>
        <v>0.3403148568032428</v>
      </c>
      <c r="AH9182" s="2" t="str">
        <f ca="1"/>
        <v>OK</v>
      </c>
    </row>
    <row r="9183" spans="2:34" x14ac:dyDescent="0.2">
      <c r="B9183" s="2">
        <f ca="1"/>
        <v>0.91939276459786012</v>
      </c>
      <c r="O9183" s="2">
        <f ca="1"/>
        <v>0.9340934845989588</v>
      </c>
      <c r="X9183" s="2">
        <f ca="1"/>
        <v>24.331211265211181</v>
      </c>
      <c r="AG9183" s="2">
        <f ca="1"/>
        <v>0.33361097505738924</v>
      </c>
      <c r="AH9183" s="2" t="str">
        <f ca="1"/>
        <v>OK</v>
      </c>
    </row>
    <row r="9184" spans="2:34" x14ac:dyDescent="0.2">
      <c r="B9184" s="2">
        <f ca="1"/>
        <v>6.8657765749605026E-2</v>
      </c>
      <c r="O9184" s="2">
        <f ca="1"/>
        <v>-0.30352562504727748</v>
      </c>
      <c r="X9184" s="2">
        <f ca="1"/>
        <v>55.191184406496504</v>
      </c>
      <c r="AG9184" s="2">
        <f ca="1"/>
        <v>0.10727916058199205</v>
      </c>
      <c r="AH9184" s="2" t="str">
        <f ca="1"/>
        <v>OK</v>
      </c>
    </row>
    <row r="9185" spans="2:34" x14ac:dyDescent="0.2">
      <c r="B9185" s="2">
        <f ca="1"/>
        <v>0.78413750872786658</v>
      </c>
      <c r="O9185" s="2">
        <f ca="1"/>
        <v>0.12620780120011713</v>
      </c>
      <c r="X9185" s="2">
        <f ca="1"/>
        <v>55.202219805122354</v>
      </c>
      <c r="AG9185" s="2">
        <f ca="1"/>
        <v>0.86531041111674534</v>
      </c>
      <c r="AH9185" s="2" t="str">
        <f ca="1"/>
        <v>Bad</v>
      </c>
    </row>
    <row r="9186" spans="2:34" x14ac:dyDescent="0.2">
      <c r="B9186" s="2">
        <f ca="1"/>
        <v>0.89420164012507608</v>
      </c>
      <c r="O9186" s="2">
        <f ca="1"/>
        <v>-0.74651731103660013</v>
      </c>
      <c r="X9186" s="2">
        <f ca="1"/>
        <v>46.68400743327058</v>
      </c>
      <c r="AG9186" s="2">
        <f ca="1"/>
        <v>0.74560456010246878</v>
      </c>
      <c r="AH9186" s="2" t="str">
        <f ca="1"/>
        <v>Bad</v>
      </c>
    </row>
    <row r="9187" spans="2:34" x14ac:dyDescent="0.2">
      <c r="B9187" s="2">
        <f ca="1"/>
        <v>0.9670388741476843</v>
      </c>
      <c r="O9187" s="2">
        <f ca="1"/>
        <v>1.6279701874975774</v>
      </c>
      <c r="X9187" s="2">
        <f ca="1"/>
        <v>41.550176783184121</v>
      </c>
      <c r="AG9187" s="2">
        <f ca="1"/>
        <v>0.4577345919491036</v>
      </c>
      <c r="AH9187" s="2" t="str">
        <f ca="1"/>
        <v>Bad</v>
      </c>
    </row>
    <row r="9188" spans="2:34" x14ac:dyDescent="0.2">
      <c r="B9188" s="2">
        <f ca="1"/>
        <v>0.14927167293968324</v>
      </c>
      <c r="O9188" s="2">
        <f ca="1"/>
        <v>-0.35909482174078816</v>
      </c>
      <c r="X9188" s="2">
        <f ca="1"/>
        <v>33.358203178094371</v>
      </c>
      <c r="AG9188" s="2">
        <f ca="1"/>
        <v>0.22410278553211715</v>
      </c>
      <c r="AH9188" s="2" t="str">
        <f ca="1"/>
        <v>OK</v>
      </c>
    </row>
    <row r="9189" spans="2:34" x14ac:dyDescent="0.2">
      <c r="B9189" s="2">
        <f ca="1"/>
        <v>0.98965076163685484</v>
      </c>
      <c r="O9189" s="2">
        <f ca="1"/>
        <v>8.438272491888657E-2</v>
      </c>
      <c r="X9189" s="2">
        <f ca="1"/>
        <v>53.242656320170319</v>
      </c>
      <c r="AG9189" s="2">
        <f ca="1"/>
        <v>0.34233558046769041</v>
      </c>
      <c r="AH9189" s="2" t="str">
        <f ca="1"/>
        <v>OK</v>
      </c>
    </row>
    <row r="9190" spans="2:34" x14ac:dyDescent="0.2">
      <c r="B9190" s="2">
        <f ca="1"/>
        <v>0.92560952224820459</v>
      </c>
      <c r="O9190" s="2">
        <f ca="1"/>
        <v>0.23551351228106607</v>
      </c>
      <c r="X9190" s="2">
        <f ca="1"/>
        <v>51.811912625854873</v>
      </c>
      <c r="AG9190" s="2">
        <f ca="1"/>
        <v>0.74548889369421278</v>
      </c>
      <c r="AH9190" s="2" t="str">
        <f ca="1"/>
        <v>Bad</v>
      </c>
    </row>
    <row r="9191" spans="2:34" x14ac:dyDescent="0.2">
      <c r="B9191" s="2">
        <f ca="1"/>
        <v>0.37901932346182665</v>
      </c>
      <c r="O9191" s="2">
        <f ca="1"/>
        <v>-1.4943916885510018</v>
      </c>
      <c r="X9191" s="2">
        <f ca="1"/>
        <v>37.499729178821617</v>
      </c>
      <c r="AG9191" s="2">
        <f ca="1"/>
        <v>0.50236952340165142</v>
      </c>
      <c r="AH9191" s="2" t="str">
        <f ca="1"/>
        <v>Bad</v>
      </c>
    </row>
    <row r="9192" spans="2:34" x14ac:dyDescent="0.2">
      <c r="B9192" s="2">
        <f ca="1"/>
        <v>0.2399501782433977</v>
      </c>
      <c r="O9192" s="2">
        <f ca="1"/>
        <v>0.38303835835158584</v>
      </c>
      <c r="X9192" s="2">
        <f ca="1"/>
        <v>66.477819373254079</v>
      </c>
      <c r="AG9192" s="2">
        <f ca="1"/>
        <v>0.60120971475458962</v>
      </c>
      <c r="AH9192" s="2" t="str">
        <f ca="1"/>
        <v>Bad</v>
      </c>
    </row>
    <row r="9193" spans="2:34" x14ac:dyDescent="0.2">
      <c r="B9193" s="2">
        <f ca="1"/>
        <v>0.52227026591870751</v>
      </c>
      <c r="O9193" s="2">
        <f ca="1"/>
        <v>-1.8916305281734134</v>
      </c>
      <c r="X9193" s="2">
        <f ca="1"/>
        <v>42.727531281820539</v>
      </c>
      <c r="AG9193" s="2">
        <f ca="1"/>
        <v>0.32570558881361555</v>
      </c>
      <c r="AH9193" s="2" t="str">
        <f ca="1"/>
        <v>OK</v>
      </c>
    </row>
    <row r="9194" spans="2:34" x14ac:dyDescent="0.2">
      <c r="B9194" s="2">
        <f ca="1"/>
        <v>0.13743006652748702</v>
      </c>
      <c r="O9194" s="2">
        <f ca="1"/>
        <v>1.0513254402307108</v>
      </c>
      <c r="X9194" s="2">
        <f ca="1"/>
        <v>50.266581532128633</v>
      </c>
      <c r="AG9194" s="2">
        <f ca="1"/>
        <v>3.4892755573539214E-2</v>
      </c>
      <c r="AH9194" s="2" t="str">
        <f ca="1"/>
        <v>Good</v>
      </c>
    </row>
    <row r="9195" spans="2:34" x14ac:dyDescent="0.2">
      <c r="B9195" s="2">
        <f ca="1"/>
        <v>0.31737400750313038</v>
      </c>
      <c r="O9195" s="2">
        <f ca="1"/>
        <v>-1.3485148994626619</v>
      </c>
      <c r="X9195" s="2">
        <f ca="1"/>
        <v>47.127766307456646</v>
      </c>
      <c r="AG9195" s="2">
        <f ca="1"/>
        <v>2.985278861824936E-2</v>
      </c>
      <c r="AH9195" s="2" t="str">
        <f ca="1"/>
        <v>Good</v>
      </c>
    </row>
    <row r="9196" spans="2:34" x14ac:dyDescent="0.2">
      <c r="B9196" s="2">
        <f ca="1"/>
        <v>0.75351071708822159</v>
      </c>
      <c r="O9196" s="2">
        <f ca="1"/>
        <v>-0.4125841312847513</v>
      </c>
      <c r="X9196" s="2">
        <f ca="1"/>
        <v>85.405100183196424</v>
      </c>
      <c r="AG9196" s="2">
        <f ca="1"/>
        <v>0.74620614967640431</v>
      </c>
      <c r="AH9196" s="2" t="str">
        <f ca="1"/>
        <v>Bad</v>
      </c>
    </row>
    <row r="9197" spans="2:34" x14ac:dyDescent="0.2">
      <c r="B9197" s="2">
        <f ca="1"/>
        <v>9.3802223701535237E-2</v>
      </c>
      <c r="O9197" s="2">
        <f ca="1"/>
        <v>-0.83386467577395884</v>
      </c>
      <c r="X9197" s="2">
        <f ca="1"/>
        <v>76.744072193120203</v>
      </c>
      <c r="AG9197" s="2">
        <f ca="1"/>
        <v>0.41461131969106368</v>
      </c>
      <c r="AH9197" s="2" t="str">
        <f ca="1"/>
        <v>Bad</v>
      </c>
    </row>
    <row r="9198" spans="2:34" x14ac:dyDescent="0.2">
      <c r="B9198" s="2">
        <f ca="1"/>
        <v>0.32646932526864814</v>
      </c>
      <c r="O9198" s="2">
        <f ca="1"/>
        <v>0.13463004423108876</v>
      </c>
      <c r="X9198" s="2">
        <f ca="1"/>
        <v>43.85135487311004</v>
      </c>
      <c r="AG9198" s="2">
        <f ca="1"/>
        <v>0.75866978548857511</v>
      </c>
      <c r="AH9198" s="2" t="str">
        <f ca="1"/>
        <v>Bad</v>
      </c>
    </row>
    <row r="9199" spans="2:34" x14ac:dyDescent="0.2">
      <c r="B9199" s="2">
        <f ca="1"/>
        <v>0.16221656411964847</v>
      </c>
      <c r="O9199" s="2">
        <f ca="1"/>
        <v>5.8346961637983599E-2</v>
      </c>
      <c r="X9199" s="2">
        <f ca="1"/>
        <v>51.852711284542664</v>
      </c>
      <c r="AG9199" s="2">
        <f ca="1"/>
        <v>0.38368710304884712</v>
      </c>
      <c r="AH9199" s="2" t="str">
        <f ca="1"/>
        <v>OK</v>
      </c>
    </row>
    <row r="9200" spans="2:34" x14ac:dyDescent="0.2">
      <c r="B9200" s="2">
        <f ca="1"/>
        <v>0.67607966097610217</v>
      </c>
      <c r="O9200" s="2">
        <f ca="1"/>
        <v>-0.65559172626305506</v>
      </c>
      <c r="X9200" s="2">
        <f ca="1"/>
        <v>49.679429809403729</v>
      </c>
      <c r="AG9200" s="2">
        <f ca="1"/>
        <v>0.86028147663857646</v>
      </c>
      <c r="AH9200" s="2" t="str">
        <f ca="1"/>
        <v>Bad</v>
      </c>
    </row>
    <row r="9201" spans="2:34" x14ac:dyDescent="0.2">
      <c r="B9201" s="2">
        <f ca="1"/>
        <v>0.13942438448040151</v>
      </c>
      <c r="O9201" s="2">
        <f ca="1"/>
        <v>1.3257583125246817</v>
      </c>
      <c r="X9201" s="2">
        <f ca="1"/>
        <v>79.890361774848429</v>
      </c>
      <c r="AG9201" s="2">
        <f ca="1"/>
        <v>0.71247423639070795</v>
      </c>
      <c r="AH9201" s="2" t="str">
        <f ca="1"/>
        <v>Bad</v>
      </c>
    </row>
    <row r="9202" spans="2:34" x14ac:dyDescent="0.2">
      <c r="B9202" s="2">
        <f ca="1"/>
        <v>0.89245314551648769</v>
      </c>
      <c r="O9202" s="2">
        <f ca="1"/>
        <v>-0.59577972995746531</v>
      </c>
      <c r="X9202" s="2">
        <f ca="1"/>
        <v>27.878406744532903</v>
      </c>
      <c r="AG9202" s="2">
        <f ca="1"/>
        <v>0.7608059277088921</v>
      </c>
      <c r="AH9202" s="2" t="str">
        <f ca="1"/>
        <v>Bad</v>
      </c>
    </row>
    <row r="9203" spans="2:34" x14ac:dyDescent="0.2">
      <c r="B9203" s="2">
        <f ca="1"/>
        <v>0.50618547882391107</v>
      </c>
      <c r="O9203" s="2">
        <f ca="1"/>
        <v>-0.44768286650038497</v>
      </c>
      <c r="X9203" s="2">
        <f ca="1"/>
        <v>50.809971337852659</v>
      </c>
      <c r="AG9203" s="2">
        <f ca="1"/>
        <v>0.66655875870914261</v>
      </c>
      <c r="AH9203" s="2" t="str">
        <f ca="1"/>
        <v>Bad</v>
      </c>
    </row>
    <row r="9204" spans="2:34" x14ac:dyDescent="0.2">
      <c r="B9204" s="2">
        <f ca="1"/>
        <v>0.22432457418905871</v>
      </c>
      <c r="O9204" s="2">
        <f ca="1"/>
        <v>1.3073386830099951</v>
      </c>
      <c r="X9204" s="2">
        <f ca="1"/>
        <v>32.113238155754203</v>
      </c>
      <c r="AG9204" s="2">
        <f ca="1"/>
        <v>0.65544142229339997</v>
      </c>
      <c r="AH9204" s="2" t="str">
        <f ca="1"/>
        <v>Bad</v>
      </c>
    </row>
    <row r="9205" spans="2:34" x14ac:dyDescent="0.2">
      <c r="B9205" s="2">
        <f ca="1"/>
        <v>0.84906884608026711</v>
      </c>
      <c r="O9205" s="2">
        <f ca="1"/>
        <v>-2.5514782966012177</v>
      </c>
      <c r="X9205" s="2">
        <f ca="1"/>
        <v>60.368207639623094</v>
      </c>
      <c r="AG9205" s="2">
        <f ca="1"/>
        <v>0.63012534414205046</v>
      </c>
      <c r="AH9205" s="2" t="str">
        <f ca="1"/>
        <v>Bad</v>
      </c>
    </row>
    <row r="9206" spans="2:34" x14ac:dyDescent="0.2">
      <c r="B9206" s="2">
        <f ca="1"/>
        <v>0.59363332186663009</v>
      </c>
      <c r="O9206" s="2">
        <f ca="1"/>
        <v>-0.82874733019800151</v>
      </c>
      <c r="X9206" s="2">
        <f ca="1"/>
        <v>34.813788717444083</v>
      </c>
      <c r="AG9206" s="2">
        <f ca="1"/>
        <v>0.55856640259425205</v>
      </c>
      <c r="AH9206" s="2" t="str">
        <f ca="1"/>
        <v>Bad</v>
      </c>
    </row>
    <row r="9207" spans="2:34" x14ac:dyDescent="0.2">
      <c r="B9207" s="2">
        <f ca="1"/>
        <v>0.38203479001066887</v>
      </c>
      <c r="O9207" s="2">
        <f ca="1"/>
        <v>-0.36728801737226247</v>
      </c>
      <c r="X9207" s="2">
        <f ca="1"/>
        <v>34.916201887369631</v>
      </c>
      <c r="AG9207" s="2">
        <f ca="1"/>
        <v>0.14125129264415293</v>
      </c>
      <c r="AH9207" s="2" t="str">
        <f ca="1"/>
        <v>OK</v>
      </c>
    </row>
    <row r="9208" spans="2:34" x14ac:dyDescent="0.2">
      <c r="B9208" s="2">
        <f ca="1"/>
        <v>0.84301725335007194</v>
      </c>
      <c r="O9208" s="2">
        <f ca="1"/>
        <v>0.30983459571668592</v>
      </c>
      <c r="X9208" s="2">
        <f ca="1"/>
        <v>39.75679155191952</v>
      </c>
      <c r="AG9208" s="2">
        <f ca="1"/>
        <v>0.28775917742076329</v>
      </c>
      <c r="AH9208" s="2" t="str">
        <f ca="1"/>
        <v>OK</v>
      </c>
    </row>
    <row r="9209" spans="2:34" x14ac:dyDescent="0.2">
      <c r="B9209" s="2">
        <f ca="1"/>
        <v>1.2690750411141094E-2</v>
      </c>
      <c r="O9209" s="2">
        <f ca="1"/>
        <v>-0.5431317002214674</v>
      </c>
      <c r="X9209" s="2">
        <f ca="1"/>
        <v>50.105561226921239</v>
      </c>
      <c r="AG9209" s="2">
        <f ca="1"/>
        <v>0.76079083728029051</v>
      </c>
      <c r="AH9209" s="2" t="str">
        <f ca="1"/>
        <v>Bad</v>
      </c>
    </row>
    <row r="9210" spans="2:34" x14ac:dyDescent="0.2">
      <c r="B9210" s="2">
        <f ca="1"/>
        <v>0.69988826398194082</v>
      </c>
      <c r="O9210" s="2">
        <f ca="1"/>
        <v>0.65296099951124498</v>
      </c>
      <c r="X9210" s="2">
        <f ca="1"/>
        <v>29.146023102175668</v>
      </c>
      <c r="AG9210" s="2">
        <f ca="1"/>
        <v>0.55423124359065357</v>
      </c>
      <c r="AH9210" s="2" t="str">
        <f ca="1"/>
        <v>Bad</v>
      </c>
    </row>
    <row r="9211" spans="2:34" x14ac:dyDescent="0.2">
      <c r="B9211" s="2">
        <f ca="1"/>
        <v>0.78113111946060054</v>
      </c>
      <c r="O9211" s="2">
        <f ca="1"/>
        <v>1.668435614568881</v>
      </c>
      <c r="X9211" s="2">
        <f ca="1"/>
        <v>27.769927359140219</v>
      </c>
      <c r="AG9211" s="2">
        <f ca="1"/>
        <v>0.33271710373754226</v>
      </c>
      <c r="AH9211" s="2" t="str">
        <f ca="1"/>
        <v>OK</v>
      </c>
    </row>
    <row r="9212" spans="2:34" x14ac:dyDescent="0.2">
      <c r="B9212" s="2">
        <f ca="1"/>
        <v>0.59217461932603177</v>
      </c>
      <c r="O9212" s="2">
        <f ca="1"/>
        <v>1.1814401599134643</v>
      </c>
      <c r="X9212" s="2">
        <f ca="1"/>
        <v>39.543364646122285</v>
      </c>
      <c r="AG9212" s="2">
        <f ca="1"/>
        <v>0.20109760260897702</v>
      </c>
      <c r="AH9212" s="2" t="str">
        <f ca="1"/>
        <v>OK</v>
      </c>
    </row>
    <row r="9213" spans="2:34" x14ac:dyDescent="0.2">
      <c r="B9213" s="2">
        <f ca="1"/>
        <v>0.75542647936349572</v>
      </c>
      <c r="O9213" s="2">
        <f ca="1"/>
        <v>1.7861297790112856</v>
      </c>
      <c r="X9213" s="2">
        <f ca="1"/>
        <v>36.672997358295817</v>
      </c>
      <c r="AG9213" s="2">
        <f ca="1"/>
        <v>0.48736502743235688</v>
      </c>
      <c r="AH9213" s="2" t="str">
        <f ca="1"/>
        <v>Bad</v>
      </c>
    </row>
    <row r="9214" spans="2:34" x14ac:dyDescent="0.2">
      <c r="B9214" s="2">
        <f ca="1"/>
        <v>0.75461638898158045</v>
      </c>
      <c r="O9214" s="2">
        <f ca="1"/>
        <v>-1.0573169691699651</v>
      </c>
      <c r="X9214" s="2">
        <f ca="1"/>
        <v>39.043517647753923</v>
      </c>
      <c r="AG9214" s="2">
        <f ca="1"/>
        <v>0.58420064311633446</v>
      </c>
      <c r="AH9214" s="2" t="str">
        <f ca="1"/>
        <v>Bad</v>
      </c>
    </row>
    <row r="9215" spans="2:34" x14ac:dyDescent="0.2">
      <c r="B9215" s="2">
        <f ca="1"/>
        <v>0.4110908939531972</v>
      </c>
      <c r="O9215" s="2">
        <f ca="1"/>
        <v>9.1428745928609806E-2</v>
      </c>
      <c r="X9215" s="2">
        <f ca="1"/>
        <v>78.467087495117539</v>
      </c>
      <c r="AG9215" s="2">
        <f ca="1"/>
        <v>4.774258088400174E-2</v>
      </c>
      <c r="AH9215" s="2" t="str">
        <f ca="1"/>
        <v>Good</v>
      </c>
    </row>
    <row r="9216" spans="2:34" x14ac:dyDescent="0.2">
      <c r="B9216" s="2">
        <f ca="1"/>
        <v>7.722209965269955E-2</v>
      </c>
      <c r="O9216" s="2">
        <f ca="1"/>
        <v>5.9357724201670292E-2</v>
      </c>
      <c r="X9216" s="2">
        <f ca="1"/>
        <v>34.137493036454387</v>
      </c>
      <c r="AG9216" s="2">
        <f ca="1"/>
        <v>0.73163420871670115</v>
      </c>
      <c r="AH9216" s="2" t="str">
        <f ca="1"/>
        <v>Bad</v>
      </c>
    </row>
    <row r="9217" spans="2:34" x14ac:dyDescent="0.2">
      <c r="B9217" s="2">
        <f ca="1"/>
        <v>0.17457188742608332</v>
      </c>
      <c r="O9217" s="2">
        <f ca="1"/>
        <v>0.80375153685325318</v>
      </c>
      <c r="X9217" s="2">
        <f ca="1"/>
        <v>41.940758339065354</v>
      </c>
      <c r="AG9217" s="2">
        <f ca="1"/>
        <v>0.66454620597902636</v>
      </c>
      <c r="AH9217" s="2" t="str">
        <f ca="1"/>
        <v>Bad</v>
      </c>
    </row>
    <row r="9218" spans="2:34" x14ac:dyDescent="0.2">
      <c r="B9218" s="2">
        <f ca="1"/>
        <v>0.95564140845836154</v>
      </c>
      <c r="O9218" s="2">
        <f ca="1"/>
        <v>0.50835014336937057</v>
      </c>
      <c r="X9218" s="2">
        <f ca="1"/>
        <v>61.477417845142654</v>
      </c>
      <c r="AG9218" s="2">
        <f ca="1"/>
        <v>0.64230718264948794</v>
      </c>
      <c r="AH9218" s="2" t="str">
        <f ca="1"/>
        <v>Bad</v>
      </c>
    </row>
    <row r="9219" spans="2:34" x14ac:dyDescent="0.2">
      <c r="B9219" s="2">
        <f ca="1"/>
        <v>0.90415411820707758</v>
      </c>
      <c r="O9219" s="2">
        <f ca="1"/>
        <v>-0.57238522587123031</v>
      </c>
      <c r="X9219" s="2">
        <f ca="1"/>
        <v>46.851051044349234</v>
      </c>
      <c r="AG9219" s="2">
        <f ca="1"/>
        <v>0.51830234706796796</v>
      </c>
      <c r="AH9219" s="2" t="str">
        <f ca="1"/>
        <v>Bad</v>
      </c>
    </row>
    <row r="9220" spans="2:34" x14ac:dyDescent="0.2">
      <c r="B9220" s="2">
        <f ca="1"/>
        <v>0.85952037122077085</v>
      </c>
      <c r="O9220" s="2">
        <f ca="1"/>
        <v>-1.2118894475030679</v>
      </c>
      <c r="X9220" s="2">
        <f ca="1"/>
        <v>40.904715518083059</v>
      </c>
      <c r="AG9220" s="2">
        <f ca="1"/>
        <v>0.66829367351600233</v>
      </c>
      <c r="AH9220" s="2" t="str">
        <f ca="1"/>
        <v>Bad</v>
      </c>
    </row>
    <row r="9221" spans="2:34" x14ac:dyDescent="0.2">
      <c r="B9221" s="2">
        <f ca="1"/>
        <v>0.9064451613165081</v>
      </c>
      <c r="O9221" s="2">
        <f ca="1"/>
        <v>-4.2404497281205031E-2</v>
      </c>
      <c r="X9221" s="2">
        <f ca="1"/>
        <v>73.27479173871663</v>
      </c>
      <c r="AG9221" s="2">
        <f ca="1"/>
        <v>0.64924635768132144</v>
      </c>
      <c r="AH9221" s="2" t="str">
        <f ca="1"/>
        <v>Bad</v>
      </c>
    </row>
    <row r="9222" spans="2:34" x14ac:dyDescent="0.2">
      <c r="B9222" s="2">
        <f ca="1"/>
        <v>0.8150120587311962</v>
      </c>
      <c r="O9222" s="2">
        <f ca="1"/>
        <v>5.3363816007803606E-3</v>
      </c>
      <c r="X9222" s="2">
        <f ca="1"/>
        <v>51.498170159552565</v>
      </c>
      <c r="AG9222" s="2">
        <f ca="1"/>
        <v>0.69847537667683812</v>
      </c>
      <c r="AH9222" s="2" t="str">
        <f ca="1"/>
        <v>Bad</v>
      </c>
    </row>
    <row r="9223" spans="2:34" x14ac:dyDescent="0.2">
      <c r="B9223" s="2">
        <f ca="1"/>
        <v>2.4144342537764318E-2</v>
      </c>
      <c r="O9223" s="2">
        <f ca="1"/>
        <v>-0.64249369299830428</v>
      </c>
      <c r="X9223" s="2">
        <f ca="1"/>
        <v>25.870332059953721</v>
      </c>
      <c r="AG9223" s="2">
        <f ca="1"/>
        <v>0.54549324764150997</v>
      </c>
      <c r="AH9223" s="2" t="str">
        <f ca="1"/>
        <v>Bad</v>
      </c>
    </row>
    <row r="9224" spans="2:34" x14ac:dyDescent="0.2">
      <c r="B9224" s="2">
        <f ca="1"/>
        <v>0.23773363649214407</v>
      </c>
      <c r="O9224" s="2">
        <f ca="1"/>
        <v>0.42238455744770231</v>
      </c>
      <c r="X9224" s="2">
        <f ca="1"/>
        <v>99.109110606934919</v>
      </c>
      <c r="AG9224" s="2">
        <f ca="1"/>
        <v>0.32466863981759797</v>
      </c>
      <c r="AH9224" s="2" t="str">
        <f ca="1"/>
        <v>OK</v>
      </c>
    </row>
    <row r="9225" spans="2:34" x14ac:dyDescent="0.2">
      <c r="B9225" s="2">
        <f ca="1"/>
        <v>0.54506377275324569</v>
      </c>
      <c r="O9225" s="2">
        <f ca="1"/>
        <v>-0.89716321470662874</v>
      </c>
      <c r="X9225" s="2">
        <f ca="1"/>
        <v>50.257324214927614</v>
      </c>
      <c r="AG9225" s="2">
        <f ca="1"/>
        <v>0.6257798153285612</v>
      </c>
      <c r="AH9225" s="2" t="str">
        <f ca="1"/>
        <v>Bad</v>
      </c>
    </row>
    <row r="9226" spans="2:34" x14ac:dyDescent="0.2">
      <c r="B9226" s="2">
        <f ca="1"/>
        <v>0.3870160486574219</v>
      </c>
      <c r="O9226" s="2">
        <f ca="1"/>
        <v>-5.2276577672273457E-2</v>
      </c>
      <c r="X9226" s="2">
        <f ca="1"/>
        <v>90.191624872202993</v>
      </c>
      <c r="AG9226" s="2">
        <f ca="1"/>
        <v>0.89778379693443</v>
      </c>
      <c r="AH9226" s="2" t="str">
        <f ca="1"/>
        <v>Bad</v>
      </c>
    </row>
    <row r="9227" spans="2:34" x14ac:dyDescent="0.2">
      <c r="B9227" s="2">
        <f ca="1"/>
        <v>0.82866113163010979</v>
      </c>
      <c r="O9227" s="2">
        <f ca="1"/>
        <v>1.0522057384759151</v>
      </c>
      <c r="X9227" s="2">
        <f ca="1"/>
        <v>52.532179262302591</v>
      </c>
      <c r="AG9227" s="2">
        <f ca="1"/>
        <v>0.9683334778015773</v>
      </c>
      <c r="AH9227" s="2" t="str">
        <f ca="1"/>
        <v>Bad</v>
      </c>
    </row>
    <row r="9228" spans="2:34" x14ac:dyDescent="0.2">
      <c r="B9228" s="2">
        <f ca="1"/>
        <v>0.49743718922570035</v>
      </c>
      <c r="O9228" s="2">
        <f ca="1"/>
        <v>-1.2280685738276991</v>
      </c>
      <c r="X9228" s="2">
        <f ca="1"/>
        <v>52.718480580250528</v>
      </c>
      <c r="AG9228" s="2">
        <f ca="1"/>
        <v>0.39118358119308416</v>
      </c>
      <c r="AH9228" s="2" t="str">
        <f ca="1"/>
        <v>OK</v>
      </c>
    </row>
    <row r="9229" spans="2:34" x14ac:dyDescent="0.2">
      <c r="B9229" s="2">
        <f ca="1"/>
        <v>0.90566938956353527</v>
      </c>
      <c r="O9229" s="2">
        <f ca="1"/>
        <v>-0.4197017094325089</v>
      </c>
      <c r="X9229" s="2">
        <f ca="1"/>
        <v>56.560311060623611</v>
      </c>
      <c r="AG9229" s="2">
        <f ca="1"/>
        <v>0.25929081099132634</v>
      </c>
      <c r="AH9229" s="2" t="str">
        <f ca="1"/>
        <v>OK</v>
      </c>
    </row>
    <row r="9230" spans="2:34" x14ac:dyDescent="0.2">
      <c r="B9230" s="2">
        <f ca="1"/>
        <v>0.63525319285432369</v>
      </c>
      <c r="O9230" s="2">
        <f ca="1"/>
        <v>-1.2756234539466693</v>
      </c>
      <c r="X9230" s="2">
        <f ca="1"/>
        <v>35.625396512033817</v>
      </c>
      <c r="AG9230" s="2">
        <f ca="1"/>
        <v>0.79886386756997485</v>
      </c>
      <c r="AH9230" s="2" t="str">
        <f ca="1"/>
        <v>Bad</v>
      </c>
    </row>
    <row r="9231" spans="2:34" x14ac:dyDescent="0.2">
      <c r="B9231" s="2">
        <f ca="1"/>
        <v>0.74111763133247988</v>
      </c>
      <c r="O9231" s="2">
        <f ca="1"/>
        <v>0.29550110463212692</v>
      </c>
      <c r="X9231" s="2">
        <f ca="1"/>
        <v>51.558364388409615</v>
      </c>
      <c r="AG9231" s="2">
        <f ca="1"/>
        <v>0.4453585289838462</v>
      </c>
      <c r="AH9231" s="2" t="str">
        <f ca="1"/>
        <v>Bad</v>
      </c>
    </row>
    <row r="9232" spans="2:34" x14ac:dyDescent="0.2">
      <c r="B9232" s="2">
        <f ca="1"/>
        <v>1.9021618381747096E-2</v>
      </c>
      <c r="O9232" s="2">
        <f ca="1"/>
        <v>-0.93730946383349212</v>
      </c>
      <c r="X9232" s="2">
        <f ca="1"/>
        <v>59.721887600617301</v>
      </c>
      <c r="AG9232" s="2">
        <f ca="1"/>
        <v>0.71516143855278558</v>
      </c>
      <c r="AH9232" s="2" t="str">
        <f ca="1"/>
        <v>Bad</v>
      </c>
    </row>
    <row r="9233" spans="2:34" x14ac:dyDescent="0.2">
      <c r="B9233" s="2">
        <f ca="1"/>
        <v>0.83264531920550966</v>
      </c>
      <c r="O9233" s="2">
        <f ca="1"/>
        <v>1.7882403818327399</v>
      </c>
      <c r="X9233" s="2">
        <f ca="1"/>
        <v>40.236017211504674</v>
      </c>
      <c r="AG9233" s="2">
        <f ca="1"/>
        <v>0.30791574804409949</v>
      </c>
      <c r="AH9233" s="2" t="str">
        <f ca="1"/>
        <v>OK</v>
      </c>
    </row>
    <row r="9234" spans="2:34" x14ac:dyDescent="0.2">
      <c r="B9234" s="2">
        <f ca="1"/>
        <v>0.31318495143633962</v>
      </c>
      <c r="O9234" s="2">
        <f ca="1"/>
        <v>1.0993020030603686</v>
      </c>
      <c r="X9234" s="2">
        <f ca="1"/>
        <v>46.144183226308499</v>
      </c>
      <c r="AG9234" s="2">
        <f ca="1"/>
        <v>0.33530766790128763</v>
      </c>
      <c r="AH9234" s="2" t="str">
        <f ca="1"/>
        <v>OK</v>
      </c>
    </row>
    <row r="9235" spans="2:34" x14ac:dyDescent="0.2">
      <c r="B9235" s="2">
        <f ca="1"/>
        <v>0.28008781483184175</v>
      </c>
      <c r="O9235" s="2">
        <f ca="1"/>
        <v>0.25872766516605905</v>
      </c>
      <c r="X9235" s="2">
        <f ca="1"/>
        <v>48.948001483064004</v>
      </c>
      <c r="AG9235" s="2">
        <f ca="1"/>
        <v>0.70104486074990935</v>
      </c>
      <c r="AH9235" s="2" t="str">
        <f ca="1"/>
        <v>Bad</v>
      </c>
    </row>
    <row r="9236" spans="2:34" x14ac:dyDescent="0.2">
      <c r="B9236" s="2">
        <f ca="1"/>
        <v>0.65239487513816474</v>
      </c>
      <c r="O9236" s="2">
        <f ca="1"/>
        <v>0.68590059994737129</v>
      </c>
      <c r="X9236" s="2">
        <f ca="1"/>
        <v>37.288557543919282</v>
      </c>
      <c r="AG9236" s="2">
        <f ca="1"/>
        <v>4.2549125548233091E-2</v>
      </c>
      <c r="AH9236" s="2" t="str">
        <f ca="1"/>
        <v>Good</v>
      </c>
    </row>
    <row r="9237" spans="2:34" x14ac:dyDescent="0.2">
      <c r="B9237" s="2">
        <f ca="1"/>
        <v>0.65615537933449875</v>
      </c>
      <c r="O9237" s="2">
        <f ca="1"/>
        <v>0.21993564109955868</v>
      </c>
      <c r="X9237" s="2">
        <f ca="1"/>
        <v>41.691961108152498</v>
      </c>
      <c r="AG9237" s="2">
        <f ca="1"/>
        <v>0.51664075999239478</v>
      </c>
      <c r="AH9237" s="2" t="str">
        <f ca="1"/>
        <v>Bad</v>
      </c>
    </row>
    <row r="9238" spans="2:34" x14ac:dyDescent="0.2">
      <c r="B9238" s="2">
        <f ca="1"/>
        <v>0.88046233078544112</v>
      </c>
      <c r="O9238" s="2">
        <f ca="1"/>
        <v>1.6221236079975934</v>
      </c>
      <c r="X9238" s="2">
        <f ca="1"/>
        <v>68.127254787755277</v>
      </c>
      <c r="AG9238" s="2">
        <f ca="1"/>
        <v>0.97537092659804192</v>
      </c>
      <c r="AH9238" s="2" t="str">
        <f ca="1"/>
        <v>Bad</v>
      </c>
    </row>
    <row r="9239" spans="2:34" x14ac:dyDescent="0.2">
      <c r="B9239" s="2">
        <f ca="1"/>
        <v>0.23111492923434507</v>
      </c>
      <c r="O9239" s="2">
        <f ca="1"/>
        <v>-0.76636224042965284</v>
      </c>
      <c r="X9239" s="2">
        <f ca="1"/>
        <v>84.658678921629814</v>
      </c>
      <c r="AG9239" s="2">
        <f ca="1"/>
        <v>0.53633178400567871</v>
      </c>
      <c r="AH9239" s="2" t="str">
        <f ca="1"/>
        <v>Bad</v>
      </c>
    </row>
    <row r="9240" spans="2:34" x14ac:dyDescent="0.2">
      <c r="B9240" s="2">
        <f ca="1"/>
        <v>0.86093614534740737</v>
      </c>
      <c r="O9240" s="2">
        <f ca="1"/>
        <v>9.377537951783961E-2</v>
      </c>
      <c r="X9240" s="2">
        <f ca="1"/>
        <v>78.763841180141185</v>
      </c>
      <c r="AG9240" s="2">
        <f ca="1"/>
        <v>8.7870229466436633E-2</v>
      </c>
      <c r="AH9240" s="2" t="str">
        <f ca="1"/>
        <v>OK</v>
      </c>
    </row>
    <row r="9241" spans="2:34" x14ac:dyDescent="0.2">
      <c r="B9241" s="2">
        <f ca="1"/>
        <v>0.64152875096704665</v>
      </c>
      <c r="O9241" s="2">
        <f ca="1"/>
        <v>0.9844136752007957</v>
      </c>
      <c r="X9241" s="2">
        <f ca="1"/>
        <v>37.100460087995167</v>
      </c>
      <c r="AG9241" s="2">
        <f ca="1"/>
        <v>0.59746834398096338</v>
      </c>
      <c r="AH9241" s="2" t="str">
        <f ca="1"/>
        <v>Bad</v>
      </c>
    </row>
    <row r="9242" spans="2:34" x14ac:dyDescent="0.2">
      <c r="B9242" s="2">
        <f ca="1"/>
        <v>0.21866952527210914</v>
      </c>
      <c r="O9242" s="2">
        <f ca="1"/>
        <v>0.71698210129727891</v>
      </c>
      <c r="X9242" s="2">
        <f ca="1"/>
        <v>34.065099479210531</v>
      </c>
      <c r="AG9242" s="2">
        <f ca="1"/>
        <v>0.80335313882926984</v>
      </c>
      <c r="AH9242" s="2" t="str">
        <f ca="1"/>
        <v>Bad</v>
      </c>
    </row>
    <row r="9243" spans="2:34" x14ac:dyDescent="0.2">
      <c r="B9243" s="2">
        <f ca="1"/>
        <v>0.96372244347158054</v>
      </c>
      <c r="O9243" s="2">
        <f ca="1"/>
        <v>0.20781412439259239</v>
      </c>
      <c r="X9243" s="2">
        <f ca="1"/>
        <v>25.592552828368149</v>
      </c>
      <c r="AG9243" s="2">
        <f ca="1"/>
        <v>0.91327325307927798</v>
      </c>
      <c r="AH9243" s="2" t="str">
        <f ca="1"/>
        <v>Bad</v>
      </c>
    </row>
    <row r="9244" spans="2:34" x14ac:dyDescent="0.2">
      <c r="B9244" s="2">
        <f ca="1"/>
        <v>0.41243099708638153</v>
      </c>
      <c r="O9244" s="2">
        <f ca="1"/>
        <v>0.62973190413291258</v>
      </c>
      <c r="X9244" s="2">
        <f ca="1"/>
        <v>46.06523784448882</v>
      </c>
      <c r="AG9244" s="2">
        <f ca="1"/>
        <v>0.62952954665448435</v>
      </c>
      <c r="AH9244" s="2" t="str">
        <f ca="1"/>
        <v>Bad</v>
      </c>
    </row>
    <row r="9245" spans="2:34" x14ac:dyDescent="0.2">
      <c r="B9245" s="2">
        <f ca="1"/>
        <v>0.51019054257562524</v>
      </c>
      <c r="O9245" s="2">
        <f ca="1"/>
        <v>-1.2160336534878009</v>
      </c>
      <c r="X9245" s="2">
        <f ca="1"/>
        <v>69.952124877348126</v>
      </c>
      <c r="AG9245" s="2">
        <f ca="1"/>
        <v>0.66258082020437414</v>
      </c>
      <c r="AH9245" s="2" t="str">
        <f ca="1"/>
        <v>Bad</v>
      </c>
    </row>
    <row r="9246" spans="2:34" x14ac:dyDescent="0.2">
      <c r="B9246" s="2">
        <f ca="1"/>
        <v>0.81544186108253669</v>
      </c>
      <c r="O9246" s="2">
        <f ca="1"/>
        <v>-0.8179547772644904</v>
      </c>
      <c r="X9246" s="2">
        <f ca="1"/>
        <v>63.288930738692002</v>
      </c>
      <c r="AG9246" s="2">
        <f ca="1"/>
        <v>0.19085343794192533</v>
      </c>
      <c r="AH9246" s="2" t="str">
        <f ca="1"/>
        <v>OK</v>
      </c>
    </row>
    <row r="9247" spans="2:34" x14ac:dyDescent="0.2">
      <c r="B9247" s="2">
        <f ca="1"/>
        <v>0.41603089382109459</v>
      </c>
      <c r="O9247" s="2">
        <f ca="1"/>
        <v>-0.80336858033384539</v>
      </c>
      <c r="X9247" s="2">
        <f ca="1"/>
        <v>36.780168978479729</v>
      </c>
      <c r="AG9247" s="2">
        <f ca="1"/>
        <v>0.79570725219220506</v>
      </c>
      <c r="AH9247" s="2" t="str">
        <f ca="1"/>
        <v>Bad</v>
      </c>
    </row>
    <row r="9248" spans="2:34" x14ac:dyDescent="0.2">
      <c r="B9248" s="2">
        <f ca="1"/>
        <v>0.9853013723101145</v>
      </c>
      <c r="O9248" s="2">
        <f ca="1"/>
        <v>0.14638582509934123</v>
      </c>
      <c r="X9248" s="2">
        <f ca="1"/>
        <v>84.214387112532862</v>
      </c>
      <c r="AG9248" s="2">
        <f ca="1"/>
        <v>0.22619830677527974</v>
      </c>
      <c r="AH9248" s="2" t="str">
        <f ca="1"/>
        <v>OK</v>
      </c>
    </row>
    <row r="9249" spans="2:34" x14ac:dyDescent="0.2">
      <c r="B9249" s="2">
        <f ca="1"/>
        <v>0.51451304279323873</v>
      </c>
      <c r="O9249" s="2">
        <f ca="1"/>
        <v>0.42877395449310252</v>
      </c>
      <c r="X9249" s="2">
        <f ca="1"/>
        <v>40.18166853055159</v>
      </c>
      <c r="AG9249" s="2">
        <f ca="1"/>
        <v>2.1800838317849625E-2</v>
      </c>
      <c r="AH9249" s="2" t="str">
        <f ca="1"/>
        <v>Good</v>
      </c>
    </row>
    <row r="9250" spans="2:34" x14ac:dyDescent="0.2">
      <c r="B9250" s="2">
        <f ca="1"/>
        <v>0.46765276707717107</v>
      </c>
      <c r="O9250" s="2">
        <f ca="1"/>
        <v>-0.50140109320797366</v>
      </c>
      <c r="X9250" s="2">
        <f ca="1"/>
        <v>47.417777172534414</v>
      </c>
      <c r="AG9250" s="2">
        <f ca="1"/>
        <v>0.42841877996180178</v>
      </c>
      <c r="AH9250" s="2" t="str">
        <f ca="1"/>
        <v>Bad</v>
      </c>
    </row>
    <row r="9251" spans="2:34" x14ac:dyDescent="0.2">
      <c r="B9251" s="2">
        <f ca="1"/>
        <v>0.54181189187171808</v>
      </c>
      <c r="O9251" s="2">
        <f ca="1"/>
        <v>0.32093272059829209</v>
      </c>
      <c r="X9251" s="2">
        <f ca="1"/>
        <v>24.036038799860439</v>
      </c>
      <c r="AG9251" s="2">
        <f ca="1"/>
        <v>0.91787299683784318</v>
      </c>
      <c r="AH9251" s="2" t="str">
        <f ca="1"/>
        <v>Bad</v>
      </c>
    </row>
    <row r="9252" spans="2:34" x14ac:dyDescent="0.2">
      <c r="B9252" s="2">
        <f ca="1"/>
        <v>0.83400787048224712</v>
      </c>
      <c r="O9252" s="2">
        <f ca="1"/>
        <v>0.70932276842941144</v>
      </c>
      <c r="X9252" s="2">
        <f ca="1"/>
        <v>43.624100200717272</v>
      </c>
      <c r="AG9252" s="2">
        <f ca="1"/>
        <v>0.67229871565267874</v>
      </c>
      <c r="AH9252" s="2" t="str">
        <f ca="1"/>
        <v>Bad</v>
      </c>
    </row>
    <row r="9253" spans="2:34" x14ac:dyDescent="0.2">
      <c r="B9253" s="2">
        <f ca="1"/>
        <v>0.19390988399346276</v>
      </c>
      <c r="O9253" s="2">
        <f ca="1"/>
        <v>0.62239407170680061</v>
      </c>
      <c r="X9253" s="2">
        <f ca="1"/>
        <v>31.990576093730528</v>
      </c>
      <c r="AG9253" s="2">
        <f ca="1"/>
        <v>0.51050329012436779</v>
      </c>
      <c r="AH9253" s="2" t="str">
        <f ca="1"/>
        <v>Bad</v>
      </c>
    </row>
    <row r="9254" spans="2:34" x14ac:dyDescent="0.2">
      <c r="B9254" s="2">
        <f ca="1"/>
        <v>0.97171839573040897</v>
      </c>
      <c r="O9254" s="2">
        <f ca="1"/>
        <v>-6.242247500073448E-2</v>
      </c>
      <c r="X9254" s="2">
        <f ca="1"/>
        <v>40.265319579773276</v>
      </c>
      <c r="AG9254" s="2">
        <f ca="1"/>
        <v>0.37438417453161632</v>
      </c>
      <c r="AH9254" s="2" t="str">
        <f ca="1"/>
        <v>OK</v>
      </c>
    </row>
    <row r="9255" spans="2:34" x14ac:dyDescent="0.2">
      <c r="B9255" s="2">
        <f ca="1"/>
        <v>0.52547400708764491</v>
      </c>
      <c r="O9255" s="2">
        <f ca="1"/>
        <v>-1.3929405311957264</v>
      </c>
      <c r="X9255" s="2">
        <f ca="1"/>
        <v>71.891191065196367</v>
      </c>
      <c r="AG9255" s="2">
        <f ca="1"/>
        <v>0.83079039652711306</v>
      </c>
      <c r="AH9255" s="2" t="str">
        <f ca="1"/>
        <v>Bad</v>
      </c>
    </row>
    <row r="9256" spans="2:34" x14ac:dyDescent="0.2">
      <c r="B9256" s="2">
        <f ca="1"/>
        <v>0.74877285975094288</v>
      </c>
      <c r="O9256" s="2">
        <f ca="1"/>
        <v>-0.33790794071499874</v>
      </c>
      <c r="X9256" s="2">
        <f ca="1"/>
        <v>54.658914131773962</v>
      </c>
      <c r="AG9256" s="2">
        <f ca="1"/>
        <v>4.8148553162574936E-2</v>
      </c>
      <c r="AH9256" s="2" t="str">
        <f ca="1"/>
        <v>Good</v>
      </c>
    </row>
    <row r="9257" spans="2:34" x14ac:dyDescent="0.2">
      <c r="B9257" s="2">
        <f ca="1"/>
        <v>0.1591290405212229</v>
      </c>
      <c r="O9257" s="2">
        <f ca="1"/>
        <v>-0.41949573569668919</v>
      </c>
      <c r="X9257" s="2">
        <f ca="1"/>
        <v>35.514004343829484</v>
      </c>
      <c r="AG9257" s="2">
        <f ca="1"/>
        <v>0.88109047914226402</v>
      </c>
      <c r="AH9257" s="2" t="str">
        <f ca="1"/>
        <v>Bad</v>
      </c>
    </row>
    <row r="9258" spans="2:34" x14ac:dyDescent="0.2">
      <c r="B9258" s="2">
        <f ca="1"/>
        <v>0.33053982490342482</v>
      </c>
      <c r="O9258" s="2">
        <f ca="1"/>
        <v>0.41655193880993929</v>
      </c>
      <c r="X9258" s="2">
        <f ca="1"/>
        <v>38.602253715229097</v>
      </c>
      <c r="AG9258" s="2">
        <f ca="1"/>
        <v>0.81581849289932573</v>
      </c>
      <c r="AH9258" s="2" t="str">
        <f ca="1"/>
        <v>Bad</v>
      </c>
    </row>
    <row r="9259" spans="2:34" x14ac:dyDescent="0.2">
      <c r="B9259" s="2">
        <f ca="1"/>
        <v>0.26669737485775991</v>
      </c>
      <c r="O9259" s="2">
        <f ca="1"/>
        <v>0.7467659725542064</v>
      </c>
      <c r="X9259" s="2">
        <f ca="1"/>
        <v>52.762822236496312</v>
      </c>
      <c r="AG9259" s="2">
        <f ca="1"/>
        <v>9.5175233520544689E-2</v>
      </c>
      <c r="AH9259" s="2" t="str">
        <f ca="1"/>
        <v>OK</v>
      </c>
    </row>
    <row r="9260" spans="2:34" x14ac:dyDescent="0.2">
      <c r="B9260" s="2">
        <f ca="1"/>
        <v>0.39344679892543133</v>
      </c>
      <c r="O9260" s="2">
        <f ca="1"/>
        <v>1.2724672399327905</v>
      </c>
      <c r="X9260" s="2">
        <f ca="1"/>
        <v>58.124747575007831</v>
      </c>
      <c r="AG9260" s="2">
        <f ca="1"/>
        <v>0.26659256479228222</v>
      </c>
      <c r="AH9260" s="2" t="str">
        <f ca="1"/>
        <v>OK</v>
      </c>
    </row>
    <row r="9261" spans="2:34" x14ac:dyDescent="0.2">
      <c r="B9261" s="2">
        <f ca="1"/>
        <v>0.76473399841565004</v>
      </c>
      <c r="O9261" s="2">
        <f ca="1"/>
        <v>1.9174284609910288</v>
      </c>
      <c r="X9261" s="2">
        <f ca="1"/>
        <v>77.254834900366816</v>
      </c>
      <c r="AG9261" s="2">
        <f ca="1"/>
        <v>0.86203091117761987</v>
      </c>
      <c r="AH9261" s="2" t="str">
        <f ca="1"/>
        <v>Bad</v>
      </c>
    </row>
    <row r="9262" spans="2:34" x14ac:dyDescent="0.2">
      <c r="B9262" s="2">
        <f ca="1"/>
        <v>0.26847613953493421</v>
      </c>
      <c r="O9262" s="2">
        <f ca="1"/>
        <v>-0.80478178184464977</v>
      </c>
      <c r="X9262" s="2">
        <f ca="1"/>
        <v>59.310392846787408</v>
      </c>
      <c r="AG9262" s="2">
        <f ca="1"/>
        <v>0.33987331475729432</v>
      </c>
      <c r="AH9262" s="2" t="str">
        <f ca="1"/>
        <v>OK</v>
      </c>
    </row>
    <row r="9263" spans="2:34" x14ac:dyDescent="0.2">
      <c r="B9263" s="2">
        <f ca="1"/>
        <v>0.20079754910433167</v>
      </c>
      <c r="O9263" s="2">
        <f ca="1"/>
        <v>-0.80412369898563063</v>
      </c>
      <c r="X9263" s="2">
        <f ca="1"/>
        <v>84.049795346549359</v>
      </c>
      <c r="AG9263" s="2">
        <f ca="1"/>
        <v>0.42026888078446212</v>
      </c>
      <c r="AH9263" s="2" t="str">
        <f ca="1"/>
        <v>Bad</v>
      </c>
    </row>
    <row r="9264" spans="2:34" x14ac:dyDescent="0.2">
      <c r="B9264" s="2">
        <f ca="1"/>
        <v>0.97780141945936516</v>
      </c>
      <c r="O9264" s="2">
        <f ca="1"/>
        <v>-0.6337780377265172</v>
      </c>
      <c r="X9264" s="2">
        <f ca="1"/>
        <v>23.858806987623908</v>
      </c>
      <c r="AG9264" s="2">
        <f ca="1"/>
        <v>0.67258899955267304</v>
      </c>
      <c r="AH9264" s="2" t="str">
        <f ca="1"/>
        <v>Bad</v>
      </c>
    </row>
    <row r="9265" spans="2:34" x14ac:dyDescent="0.2">
      <c r="B9265" s="2">
        <f ca="1"/>
        <v>1.4970750468543237E-2</v>
      </c>
      <c r="O9265" s="2">
        <f ca="1"/>
        <v>3.871005981626946E-2</v>
      </c>
      <c r="X9265" s="2">
        <f ca="1"/>
        <v>51.357556110234199</v>
      </c>
      <c r="AG9265" s="2">
        <f ca="1"/>
        <v>0.39338131148357713</v>
      </c>
      <c r="AH9265" s="2" t="str">
        <f ca="1"/>
        <v>OK</v>
      </c>
    </row>
    <row r="9266" spans="2:34" x14ac:dyDescent="0.2">
      <c r="B9266" s="2">
        <f ca="1"/>
        <v>0.53518830169959286</v>
      </c>
      <c r="O9266" s="2">
        <f ca="1"/>
        <v>1.5833946365119123</v>
      </c>
      <c r="X9266" s="2">
        <f ca="1"/>
        <v>78.202062274816186</v>
      </c>
      <c r="AG9266" s="2">
        <f ca="1"/>
        <v>3.4849774144501966E-2</v>
      </c>
      <c r="AH9266" s="2" t="str">
        <f ca="1"/>
        <v>Good</v>
      </c>
    </row>
    <row r="9267" spans="2:34" x14ac:dyDescent="0.2">
      <c r="B9267" s="2">
        <f ca="1"/>
        <v>0.63046662254828045</v>
      </c>
      <c r="O9267" s="2">
        <f ca="1"/>
        <v>-0.58001055228782894</v>
      </c>
      <c r="X9267" s="2">
        <f ca="1"/>
        <v>63.145010100593872</v>
      </c>
      <c r="AG9267" s="2">
        <f ca="1"/>
        <v>0.71863070966683074</v>
      </c>
      <c r="AH9267" s="2" t="str">
        <f ca="1"/>
        <v>Bad</v>
      </c>
    </row>
    <row r="9268" spans="2:34" x14ac:dyDescent="0.2">
      <c r="B9268" s="2">
        <f ca="1"/>
        <v>0.49501258986366481</v>
      </c>
      <c r="O9268" s="2">
        <f ca="1"/>
        <v>0.42210823791318836</v>
      </c>
      <c r="X9268" s="2">
        <f ca="1"/>
        <v>49.602174006137901</v>
      </c>
      <c r="AG9268" s="2">
        <f ca="1"/>
        <v>0.98986682017152061</v>
      </c>
      <c r="AH9268" s="2" t="str">
        <f ca="1"/>
        <v>Bad</v>
      </c>
    </row>
    <row r="9269" spans="2:34" x14ac:dyDescent="0.2">
      <c r="B9269" s="2">
        <f ca="1"/>
        <v>0.29124757284683533</v>
      </c>
      <c r="O9269" s="2">
        <f ca="1"/>
        <v>0.74728483234307419</v>
      </c>
      <c r="X9269" s="2">
        <f ca="1"/>
        <v>79.459468657909099</v>
      </c>
      <c r="AG9269" s="2">
        <f ca="1"/>
        <v>0.36270465756101156</v>
      </c>
      <c r="AH9269" s="2" t="str">
        <f ca="1"/>
        <v>OK</v>
      </c>
    </row>
    <row r="9270" spans="2:34" x14ac:dyDescent="0.2">
      <c r="B9270" s="2">
        <f ca="1"/>
        <v>0.84462322718288063</v>
      </c>
      <c r="O9270" s="2">
        <f ca="1"/>
        <v>0.52594273063141295</v>
      </c>
      <c r="X9270" s="2">
        <f ca="1"/>
        <v>78.150915950785404</v>
      </c>
      <c r="AG9270" s="2">
        <f ca="1"/>
        <v>9.6785666127967573E-2</v>
      </c>
      <c r="AH9270" s="2" t="str">
        <f ca="1"/>
        <v>OK</v>
      </c>
    </row>
    <row r="9271" spans="2:34" x14ac:dyDescent="0.2">
      <c r="B9271" s="2">
        <f ca="1"/>
        <v>0.90543600252510603</v>
      </c>
      <c r="O9271" s="2">
        <f ca="1"/>
        <v>-0.98333577459510702</v>
      </c>
      <c r="X9271" s="2">
        <f ca="1"/>
        <v>49.069747057602122</v>
      </c>
      <c r="AG9271" s="2">
        <f ca="1"/>
        <v>0.27312947605277493</v>
      </c>
      <c r="AH9271" s="2" t="str">
        <f ca="1"/>
        <v>OK</v>
      </c>
    </row>
    <row r="9272" spans="2:34" x14ac:dyDescent="0.2">
      <c r="B9272" s="2">
        <f ca="1"/>
        <v>0.5739421483995486</v>
      </c>
      <c r="O9272" s="2">
        <f ca="1"/>
        <v>0.81476115380050462</v>
      </c>
      <c r="X9272" s="2">
        <f ca="1"/>
        <v>46.612445333935625</v>
      </c>
      <c r="AG9272" s="2">
        <f ca="1"/>
        <v>0.50306453338824353</v>
      </c>
      <c r="AH9272" s="2" t="str">
        <f ca="1"/>
        <v>Bad</v>
      </c>
    </row>
    <row r="9273" spans="2:34" x14ac:dyDescent="0.2">
      <c r="B9273" s="2">
        <f ca="1"/>
        <v>0.98658248419368411</v>
      </c>
      <c r="O9273" s="2">
        <f ca="1"/>
        <v>-1.8510471924659599</v>
      </c>
      <c r="X9273" s="2">
        <f ca="1"/>
        <v>50.863120976725668</v>
      </c>
      <c r="AG9273" s="2">
        <f ca="1"/>
        <v>0.92219322461899522</v>
      </c>
      <c r="AH9273" s="2" t="str">
        <f ca="1"/>
        <v>Bad</v>
      </c>
    </row>
    <row r="9274" spans="2:34" x14ac:dyDescent="0.2">
      <c r="B9274" s="2">
        <f ca="1"/>
        <v>0.10930107715760506</v>
      </c>
      <c r="O9274" s="2">
        <f ca="1"/>
        <v>-1.4301182976225391</v>
      </c>
      <c r="X9274" s="2">
        <f ca="1"/>
        <v>62.765630485464719</v>
      </c>
      <c r="AG9274" s="2">
        <f ca="1"/>
        <v>0.76428757808553272</v>
      </c>
      <c r="AH9274" s="2" t="str">
        <f ca="1"/>
        <v>Bad</v>
      </c>
    </row>
    <row r="9275" spans="2:34" x14ac:dyDescent="0.2">
      <c r="B9275" s="2">
        <f ca="1"/>
        <v>7.4430809128669839E-2</v>
      </c>
      <c r="O9275" s="2">
        <f ca="1"/>
        <v>0.86461743243125166</v>
      </c>
      <c r="X9275" s="2">
        <f ca="1"/>
        <v>59.014521901950459</v>
      </c>
      <c r="AG9275" s="2">
        <f ca="1"/>
        <v>6.1984432164887249E-2</v>
      </c>
      <c r="AH9275" s="2" t="str">
        <f ca="1"/>
        <v>OK</v>
      </c>
    </row>
    <row r="9276" spans="2:34" x14ac:dyDescent="0.2">
      <c r="B9276" s="2">
        <f ca="1"/>
        <v>0.33694692544982097</v>
      </c>
      <c r="O9276" s="2">
        <f ca="1"/>
        <v>-0.44342640829648255</v>
      </c>
      <c r="X9276" s="2">
        <f ca="1"/>
        <v>21.154008346828292</v>
      </c>
      <c r="AG9276" s="2">
        <f ca="1"/>
        <v>0.3386402979897809</v>
      </c>
      <c r="AH9276" s="2" t="str">
        <f ca="1"/>
        <v>OK</v>
      </c>
    </row>
    <row r="9277" spans="2:34" x14ac:dyDescent="0.2">
      <c r="B9277" s="2">
        <f ca="1"/>
        <v>0.47672432804245801</v>
      </c>
      <c r="O9277" s="2">
        <f ca="1"/>
        <v>-1.8524925246187265</v>
      </c>
      <c r="X9277" s="2">
        <f ca="1"/>
        <v>65.22227681453063</v>
      </c>
      <c r="AG9277" s="2">
        <f ca="1"/>
        <v>0.51006185205724686</v>
      </c>
      <c r="AH9277" s="2" t="str">
        <f ca="1"/>
        <v>Bad</v>
      </c>
    </row>
    <row r="9278" spans="2:34" x14ac:dyDescent="0.2">
      <c r="B9278" s="2">
        <f ca="1"/>
        <v>3.7161173559243421E-2</v>
      </c>
      <c r="O9278" s="2">
        <f ca="1"/>
        <v>9.3698836217846346E-2</v>
      </c>
      <c r="X9278" s="2">
        <f ca="1"/>
        <v>26.74280701078747</v>
      </c>
      <c r="AG9278" s="2">
        <f ca="1"/>
        <v>0.45981573129141484</v>
      </c>
      <c r="AH9278" s="2" t="str">
        <f ca="1"/>
        <v>Bad</v>
      </c>
    </row>
    <row r="9279" spans="2:34" x14ac:dyDescent="0.2">
      <c r="B9279" s="2">
        <f ca="1"/>
        <v>0.64129671546432965</v>
      </c>
      <c r="O9279" s="2">
        <f ca="1"/>
        <v>-1.0345117237417099</v>
      </c>
      <c r="X9279" s="2">
        <f ca="1"/>
        <v>72.841607413842269</v>
      </c>
      <c r="AG9279" s="2">
        <f ca="1"/>
        <v>0.386376521542936</v>
      </c>
      <c r="AH9279" s="2" t="str">
        <f ca="1"/>
        <v>OK</v>
      </c>
    </row>
    <row r="9280" spans="2:34" x14ac:dyDescent="0.2">
      <c r="B9280" s="2">
        <f ca="1"/>
        <v>0.12401667353693502</v>
      </c>
      <c r="O9280" s="2">
        <f ca="1"/>
        <v>-1.6919166874685203</v>
      </c>
      <c r="X9280" s="2">
        <f ca="1"/>
        <v>65.333550651028332</v>
      </c>
      <c r="AG9280" s="2">
        <f ca="1"/>
        <v>0.19865361802311088</v>
      </c>
      <c r="AH9280" s="2" t="str">
        <f ca="1"/>
        <v>OK</v>
      </c>
    </row>
    <row r="9281" spans="2:34" x14ac:dyDescent="0.2">
      <c r="B9281" s="2">
        <f ca="1"/>
        <v>0.93280956041461094</v>
      </c>
      <c r="O9281" s="2">
        <f ca="1"/>
        <v>-0.87691899185355981</v>
      </c>
      <c r="X9281" s="2">
        <f ca="1"/>
        <v>57.582989311454433</v>
      </c>
      <c r="AG9281" s="2">
        <f ca="1"/>
        <v>0.60439545657690052</v>
      </c>
      <c r="AH9281" s="2" t="str">
        <f ca="1"/>
        <v>Bad</v>
      </c>
    </row>
    <row r="9282" spans="2:34" x14ac:dyDescent="0.2">
      <c r="B9282" s="2">
        <f ca="1"/>
        <v>8.9896445974577688E-2</v>
      </c>
      <c r="O9282" s="2">
        <f ca="1"/>
        <v>0.67743119463947243</v>
      </c>
      <c r="X9282" s="2">
        <f ca="1"/>
        <v>43.191035022488492</v>
      </c>
      <c r="AG9282" s="2">
        <f ca="1"/>
        <v>0.30783798967605525</v>
      </c>
      <c r="AH9282" s="2" t="str">
        <f ca="1"/>
        <v>OK</v>
      </c>
    </row>
    <row r="9283" spans="2:34" x14ac:dyDescent="0.2">
      <c r="B9283" s="2">
        <f ca="1"/>
        <v>0.34178190772572115</v>
      </c>
      <c r="O9283" s="2">
        <f ca="1"/>
        <v>9.1293886465705666E-3</v>
      </c>
      <c r="X9283" s="2">
        <f ca="1"/>
        <v>37.162929200130613</v>
      </c>
      <c r="AG9283" s="2">
        <f ca="1"/>
        <v>0.42522922901630911</v>
      </c>
      <c r="AH9283" s="2" t="str">
        <f ca="1"/>
        <v>Bad</v>
      </c>
    </row>
    <row r="9284" spans="2:34" x14ac:dyDescent="0.2">
      <c r="B9284" s="2">
        <f ca="1"/>
        <v>0.51063001490210502</v>
      </c>
      <c r="O9284" s="2">
        <f ca="1"/>
        <v>-0.64734082683663863</v>
      </c>
      <c r="X9284" s="2">
        <f ca="1"/>
        <v>64.937222748024524</v>
      </c>
      <c r="AG9284" s="2">
        <f ca="1"/>
        <v>0.20608278082202891</v>
      </c>
      <c r="AH9284" s="2" t="str">
        <f ca="1"/>
        <v>OK</v>
      </c>
    </row>
    <row r="9285" spans="2:34" x14ac:dyDescent="0.2">
      <c r="B9285" s="2">
        <f ca="1"/>
        <v>0.59449488007894336</v>
      </c>
      <c r="O9285" s="2">
        <f ca="1"/>
        <v>-0.99252439037984952</v>
      </c>
      <c r="X9285" s="2">
        <f ca="1"/>
        <v>35.674997321601978</v>
      </c>
      <c r="AG9285" s="2">
        <f ca="1"/>
        <v>0.83430983080991772</v>
      </c>
      <c r="AH9285" s="2" t="str">
        <f ca="1"/>
        <v>Bad</v>
      </c>
    </row>
    <row r="9286" spans="2:34" x14ac:dyDescent="0.2">
      <c r="B9286" s="2">
        <f ca="1"/>
        <v>0.95179567734698267</v>
      </c>
      <c r="O9286" s="2">
        <f ca="1"/>
        <v>-0.57130628880971168</v>
      </c>
      <c r="X9286" s="2">
        <f ca="1"/>
        <v>71.579776877955752</v>
      </c>
      <c r="AG9286" s="2">
        <f ca="1"/>
        <v>0.68610702215861763</v>
      </c>
      <c r="AH9286" s="2" t="str">
        <f ca="1"/>
        <v>Bad</v>
      </c>
    </row>
    <row r="9287" spans="2:34" x14ac:dyDescent="0.2">
      <c r="B9287" s="2">
        <f ca="1"/>
        <v>0.29266300942977397</v>
      </c>
      <c r="O9287" s="2">
        <f ca="1"/>
        <v>-0.84408183307630991</v>
      </c>
      <c r="X9287" s="2">
        <f ca="1"/>
        <v>84.22358212362326</v>
      </c>
      <c r="AG9287" s="2">
        <f ca="1"/>
        <v>0.67593154487030715</v>
      </c>
      <c r="AH9287" s="2" t="str">
        <f ca="1"/>
        <v>Bad</v>
      </c>
    </row>
    <row r="9288" spans="2:34" x14ac:dyDescent="0.2">
      <c r="B9288" s="2">
        <f ca="1"/>
        <v>0.26270831252772564</v>
      </c>
      <c r="O9288" s="2">
        <f ca="1"/>
        <v>-1.2985358787956065</v>
      </c>
      <c r="X9288" s="2">
        <f ca="1"/>
        <v>48.395076410666192</v>
      </c>
      <c r="AG9288" s="2">
        <f ca="1"/>
        <v>0.46792408983471567</v>
      </c>
      <c r="AH9288" s="2" t="str">
        <f ca="1"/>
        <v>Bad</v>
      </c>
    </row>
    <row r="9289" spans="2:34" x14ac:dyDescent="0.2">
      <c r="B9289" s="2">
        <f ca="1"/>
        <v>0.82680124982083858</v>
      </c>
      <c r="O9289" s="2">
        <f ca="1"/>
        <v>-0.28904167389243196</v>
      </c>
      <c r="X9289" s="2">
        <f ca="1"/>
        <v>52.735697195796604</v>
      </c>
      <c r="AG9289" s="2">
        <f ca="1"/>
        <v>0.16569012552328921</v>
      </c>
      <c r="AH9289" s="2" t="str">
        <f ca="1"/>
        <v>OK</v>
      </c>
    </row>
    <row r="9290" spans="2:34" x14ac:dyDescent="0.2">
      <c r="B9290" s="2">
        <f ca="1"/>
        <v>0.73073314080453566</v>
      </c>
      <c r="O9290" s="2">
        <f ca="1"/>
        <v>1.5804769811296737</v>
      </c>
      <c r="X9290" s="2">
        <f ca="1"/>
        <v>54.37758173784885</v>
      </c>
      <c r="AG9290" s="2">
        <f ca="1"/>
        <v>0.84419899479008431</v>
      </c>
      <c r="AH9290" s="2" t="str">
        <f ca="1"/>
        <v>Bad</v>
      </c>
    </row>
    <row r="9291" spans="2:34" x14ac:dyDescent="0.2">
      <c r="B9291" s="2">
        <f ca="1"/>
        <v>0.30944963382770196</v>
      </c>
      <c r="O9291" s="2">
        <f ca="1"/>
        <v>1.6115251124922167</v>
      </c>
      <c r="X9291" s="2">
        <f ca="1"/>
        <v>34.504938528134275</v>
      </c>
      <c r="AG9291" s="2">
        <f ca="1"/>
        <v>4.8185436250407498E-3</v>
      </c>
      <c r="AH9291" s="2" t="str">
        <f ca="1"/>
        <v>Good</v>
      </c>
    </row>
    <row r="9292" spans="2:34" x14ac:dyDescent="0.2">
      <c r="B9292" s="2">
        <f ca="1"/>
        <v>0.5199512230338792</v>
      </c>
      <c r="O9292" s="2">
        <f ca="1"/>
        <v>0.36661645031207235</v>
      </c>
      <c r="X9292" s="2">
        <f ca="1"/>
        <v>30.37733917886861</v>
      </c>
      <c r="AG9292" s="2">
        <f ca="1"/>
        <v>0.24302845949974405</v>
      </c>
      <c r="AH9292" s="2" t="str">
        <f ca="1"/>
        <v>OK</v>
      </c>
    </row>
    <row r="9293" spans="2:34" x14ac:dyDescent="0.2">
      <c r="B9293" s="2">
        <f ca="1"/>
        <v>0.91777595038428306</v>
      </c>
      <c r="O9293" s="2">
        <f ca="1"/>
        <v>-1.7814789294166025</v>
      </c>
      <c r="X9293" s="2">
        <f ca="1"/>
        <v>61.569230320203054</v>
      </c>
      <c r="AG9293" s="2">
        <f ca="1"/>
        <v>0.86069228779248252</v>
      </c>
      <c r="AH9293" s="2" t="str">
        <f ca="1"/>
        <v>Bad</v>
      </c>
    </row>
    <row r="9294" spans="2:34" x14ac:dyDescent="0.2">
      <c r="B9294" s="2">
        <f ca="1"/>
        <v>0.94091106523371693</v>
      </c>
      <c r="O9294" s="2">
        <f ca="1"/>
        <v>0.2129014006380624</v>
      </c>
      <c r="X9294" s="2">
        <f ca="1"/>
        <v>68.328027089400564</v>
      </c>
      <c r="AG9294" s="2">
        <f ca="1"/>
        <v>0.98310524223166174</v>
      </c>
      <c r="AH9294" s="2" t="str">
        <f ca="1"/>
        <v>Bad</v>
      </c>
    </row>
    <row r="9295" spans="2:34" x14ac:dyDescent="0.2">
      <c r="B9295" s="2">
        <f ca="1"/>
        <v>0.19240932706107006</v>
      </c>
      <c r="O9295" s="2">
        <f ca="1"/>
        <v>-2.1547598547858287</v>
      </c>
      <c r="X9295" s="2">
        <f ca="1"/>
        <v>38.973812617215643</v>
      </c>
      <c r="AG9295" s="2">
        <f ca="1"/>
        <v>0.57368144641764962</v>
      </c>
      <c r="AH9295" s="2" t="str">
        <f ca="1"/>
        <v>Bad</v>
      </c>
    </row>
    <row r="9296" spans="2:34" x14ac:dyDescent="0.2">
      <c r="B9296" s="2">
        <f ca="1"/>
        <v>0.59474226853773615</v>
      </c>
      <c r="O9296" s="2">
        <f ca="1"/>
        <v>-1.5141713662489368E-2</v>
      </c>
      <c r="X9296" s="2">
        <f ca="1"/>
        <v>62.726055840994739</v>
      </c>
      <c r="AG9296" s="2">
        <f ca="1"/>
        <v>0.99406269360779032</v>
      </c>
      <c r="AH9296" s="2" t="str">
        <f ca="1"/>
        <v>Bad</v>
      </c>
    </row>
    <row r="9297" spans="2:34" x14ac:dyDescent="0.2">
      <c r="B9297" s="2">
        <f ca="1"/>
        <v>0.35896910169756269</v>
      </c>
      <c r="O9297" s="2">
        <f ca="1"/>
        <v>-0.68418871843268447</v>
      </c>
      <c r="X9297" s="2">
        <f ca="1"/>
        <v>85.152473511782858</v>
      </c>
      <c r="AG9297" s="2">
        <f ca="1"/>
        <v>0.50153545069771721</v>
      </c>
      <c r="AH9297" s="2" t="str">
        <f ca="1"/>
        <v>Bad</v>
      </c>
    </row>
    <row r="9298" spans="2:34" x14ac:dyDescent="0.2">
      <c r="B9298" s="2">
        <f ca="1"/>
        <v>0.34230943434119587</v>
      </c>
      <c r="O9298" s="2">
        <f ca="1"/>
        <v>0.67626596428133723</v>
      </c>
      <c r="X9298" s="2">
        <f ca="1"/>
        <v>74.825428490542251</v>
      </c>
      <c r="AG9298" s="2">
        <f ca="1"/>
        <v>5.0617716938229362E-2</v>
      </c>
      <c r="AH9298" s="2" t="str">
        <f ca="1"/>
        <v>OK</v>
      </c>
    </row>
    <row r="9299" spans="2:34" x14ac:dyDescent="0.2">
      <c r="B9299" s="2">
        <f ca="1"/>
        <v>0.24847277930923761</v>
      </c>
      <c r="O9299" s="2">
        <f ca="1"/>
        <v>1.1384068358996324</v>
      </c>
      <c r="X9299" s="2">
        <f ca="1"/>
        <v>60.938032511984204</v>
      </c>
      <c r="AG9299" s="2">
        <f ca="1"/>
        <v>0.73047039421767535</v>
      </c>
      <c r="AH9299" s="2" t="str">
        <f ca="1"/>
        <v>Bad</v>
      </c>
    </row>
    <row r="9300" spans="2:34" x14ac:dyDescent="0.2">
      <c r="B9300" s="2">
        <f ca="1"/>
        <v>7.5517939748428242E-2</v>
      </c>
      <c r="O9300" s="2">
        <f ca="1"/>
        <v>-0.34242695266771084</v>
      </c>
      <c r="X9300" s="2">
        <f ca="1"/>
        <v>22.053325653502917</v>
      </c>
      <c r="AG9300" s="2">
        <f ca="1"/>
        <v>0.49682280819516</v>
      </c>
      <c r="AH9300" s="2" t="str">
        <f ca="1"/>
        <v>Bad</v>
      </c>
    </row>
    <row r="9301" spans="2:34" x14ac:dyDescent="0.2">
      <c r="B9301" s="2">
        <f ca="1"/>
        <v>3.5234450555096108E-2</v>
      </c>
      <c r="O9301" s="2">
        <f ca="1"/>
        <v>-0.45685133562659969</v>
      </c>
      <c r="X9301" s="2">
        <f ca="1"/>
        <v>67.480359413270762</v>
      </c>
      <c r="AG9301" s="2">
        <f ca="1"/>
        <v>0.75017191884911538</v>
      </c>
      <c r="AH9301" s="2" t="str">
        <f ca="1"/>
        <v>Bad</v>
      </c>
    </row>
    <row r="9302" spans="2:34" x14ac:dyDescent="0.2">
      <c r="B9302" s="2">
        <f ca="1"/>
        <v>0.8864504809817928</v>
      </c>
      <c r="O9302" s="2">
        <f ca="1"/>
        <v>-1.7014465934863092</v>
      </c>
      <c r="X9302" s="2">
        <f ca="1"/>
        <v>39.914403539525487</v>
      </c>
      <c r="AG9302" s="2">
        <f ca="1"/>
        <v>0.9619576023640608</v>
      </c>
      <c r="AH9302" s="2" t="str">
        <f ca="1"/>
        <v>Bad</v>
      </c>
    </row>
    <row r="9303" spans="2:34" x14ac:dyDescent="0.2">
      <c r="B9303" s="2">
        <f ca="1"/>
        <v>0.79172071037987979</v>
      </c>
      <c r="O9303" s="2">
        <f ca="1"/>
        <v>1.7311164984268186</v>
      </c>
      <c r="X9303" s="2">
        <f ca="1"/>
        <v>36.959661468214961</v>
      </c>
      <c r="AG9303" s="2">
        <f ca="1"/>
        <v>0.55948484298999257</v>
      </c>
      <c r="AH9303" s="2" t="str">
        <f ca="1"/>
        <v>Bad</v>
      </c>
    </row>
    <row r="9304" spans="2:34" x14ac:dyDescent="0.2">
      <c r="B9304" s="2">
        <f ca="1"/>
        <v>0.80052327659991107</v>
      </c>
      <c r="O9304" s="2">
        <f ca="1"/>
        <v>-1.0201537662975342</v>
      </c>
      <c r="X9304" s="2">
        <f ca="1"/>
        <v>64.889623897690115</v>
      </c>
      <c r="AG9304" s="2">
        <f ca="1"/>
        <v>0.71641625053087243</v>
      </c>
      <c r="AH9304" s="2" t="str">
        <f ca="1"/>
        <v>Bad</v>
      </c>
    </row>
    <row r="9305" spans="2:34" x14ac:dyDescent="0.2">
      <c r="B9305" s="2">
        <f ca="1"/>
        <v>0.1781276577212576</v>
      </c>
      <c r="O9305" s="2">
        <f ca="1"/>
        <v>-0.70014228190992733</v>
      </c>
      <c r="X9305" s="2">
        <f ca="1"/>
        <v>53.494022439053339</v>
      </c>
      <c r="AG9305" s="2">
        <f ca="1"/>
        <v>0.27372852891560395</v>
      </c>
      <c r="AH9305" s="2" t="str">
        <f ca="1"/>
        <v>OK</v>
      </c>
    </row>
    <row r="9306" spans="2:34" x14ac:dyDescent="0.2">
      <c r="B9306" s="2">
        <f ca="1"/>
        <v>0.68837815727423313</v>
      </c>
      <c r="O9306" s="2">
        <f ca="1"/>
        <v>-1.1875616409261323</v>
      </c>
      <c r="X9306" s="2">
        <f ca="1"/>
        <v>84.705497892287497</v>
      </c>
      <c r="AG9306" s="2">
        <f ca="1"/>
        <v>0.28701836433031813</v>
      </c>
      <c r="AH9306" s="2" t="str">
        <f ca="1"/>
        <v>OK</v>
      </c>
    </row>
    <row r="9307" spans="2:34" x14ac:dyDescent="0.2">
      <c r="B9307" s="2">
        <f ca="1"/>
        <v>0.44382216678187825</v>
      </c>
      <c r="O9307" s="2">
        <f ca="1"/>
        <v>-0.17279502163042021</v>
      </c>
      <c r="X9307" s="2">
        <f ca="1"/>
        <v>93.442563979761417</v>
      </c>
      <c r="AG9307" s="2">
        <f ca="1"/>
        <v>0.35132767917217289</v>
      </c>
      <c r="AH9307" s="2" t="str">
        <f ca="1"/>
        <v>OK</v>
      </c>
    </row>
    <row r="9308" spans="2:34" x14ac:dyDescent="0.2">
      <c r="B9308" s="2">
        <f ca="1"/>
        <v>0.32807448653503579</v>
      </c>
      <c r="O9308" s="2">
        <f ca="1"/>
        <v>0.80925153708539166</v>
      </c>
      <c r="X9308" s="2">
        <f ca="1"/>
        <v>37.612642665946311</v>
      </c>
      <c r="AG9308" s="2">
        <f ca="1"/>
        <v>0.43365347008225319</v>
      </c>
      <c r="AH9308" s="2" t="str">
        <f ca="1"/>
        <v>Bad</v>
      </c>
    </row>
    <row r="9309" spans="2:34" x14ac:dyDescent="0.2">
      <c r="B9309" s="2">
        <f ca="1"/>
        <v>0.39702582657513319</v>
      </c>
      <c r="O9309" s="2">
        <f ca="1"/>
        <v>0.99536305473157605</v>
      </c>
      <c r="X9309" s="2">
        <f ca="1"/>
        <v>36.894926166883543</v>
      </c>
      <c r="AG9309" s="2">
        <f ca="1"/>
        <v>0.89927637387521497</v>
      </c>
      <c r="AH9309" s="2" t="str">
        <f ca="1"/>
        <v>Bad</v>
      </c>
    </row>
    <row r="9310" spans="2:34" x14ac:dyDescent="0.2">
      <c r="B9310" s="2">
        <f ca="1"/>
        <v>0.78342810723873146</v>
      </c>
      <c r="O9310" s="2">
        <f ca="1"/>
        <v>-0.50042976351370849</v>
      </c>
      <c r="X9310" s="2">
        <f ca="1"/>
        <v>26.452009421290043</v>
      </c>
      <c r="AG9310" s="2">
        <f ca="1"/>
        <v>0.35197333254961527</v>
      </c>
      <c r="AH9310" s="2" t="str">
        <f ca="1"/>
        <v>OK</v>
      </c>
    </row>
    <row r="9311" spans="2:34" x14ac:dyDescent="0.2">
      <c r="B9311" s="2">
        <f ca="1"/>
        <v>0.16482107997756268</v>
      </c>
      <c r="O9311" s="2">
        <f ca="1"/>
        <v>6.6319631797873327E-2</v>
      </c>
      <c r="X9311" s="2">
        <f ca="1"/>
        <v>50.69142055056993</v>
      </c>
      <c r="AG9311" s="2">
        <f ca="1"/>
        <v>0.15750433680658404</v>
      </c>
      <c r="AH9311" s="2" t="str">
        <f ca="1"/>
        <v>OK</v>
      </c>
    </row>
    <row r="9312" spans="2:34" x14ac:dyDescent="0.2">
      <c r="B9312" s="2">
        <f ca="1"/>
        <v>0.90020983157686651</v>
      </c>
      <c r="O9312" s="2">
        <f ca="1"/>
        <v>1.7035286125211146</v>
      </c>
      <c r="X9312" s="2">
        <f ca="1"/>
        <v>42.345594496345171</v>
      </c>
      <c r="AG9312" s="2">
        <f ca="1"/>
        <v>0.10535906140281415</v>
      </c>
      <c r="AH9312" s="2" t="str">
        <f ca="1"/>
        <v>OK</v>
      </c>
    </row>
    <row r="9313" spans="2:34" x14ac:dyDescent="0.2">
      <c r="B9313" s="2">
        <f ca="1"/>
        <v>0.1507433723068039</v>
      </c>
      <c r="O9313" s="2">
        <f ca="1"/>
        <v>-0.69268585504284297</v>
      </c>
      <c r="X9313" s="2">
        <f ca="1"/>
        <v>28.436875491208205</v>
      </c>
      <c r="AG9313" s="2">
        <f ca="1"/>
        <v>0.93705710625576044</v>
      </c>
      <c r="AH9313" s="2" t="str">
        <f ca="1"/>
        <v>Bad</v>
      </c>
    </row>
    <row r="9314" spans="2:34" x14ac:dyDescent="0.2">
      <c r="B9314" s="2">
        <f ca="1"/>
        <v>0.77126729574783259</v>
      </c>
      <c r="O9314" s="2">
        <f ca="1"/>
        <v>0.51048653516131304</v>
      </c>
      <c r="X9314" s="2">
        <f ca="1"/>
        <v>54.479497898555465</v>
      </c>
      <c r="AG9314" s="2">
        <f ca="1"/>
        <v>0.10484438477238567</v>
      </c>
      <c r="AH9314" s="2" t="str">
        <f ca="1"/>
        <v>OK</v>
      </c>
    </row>
    <row r="9315" spans="2:34" x14ac:dyDescent="0.2">
      <c r="B9315" s="2">
        <f ca="1"/>
        <v>0.94692201169949208</v>
      </c>
      <c r="O9315" s="2">
        <f ca="1"/>
        <v>9.9867319256120482E-2</v>
      </c>
      <c r="X9315" s="2">
        <f ca="1"/>
        <v>54.569016900428828</v>
      </c>
      <c r="AG9315" s="2">
        <f ca="1"/>
        <v>0.28493264324983292</v>
      </c>
      <c r="AH9315" s="2" t="str">
        <f ca="1"/>
        <v>OK</v>
      </c>
    </row>
    <row r="9316" spans="2:34" x14ac:dyDescent="0.2">
      <c r="B9316" s="2">
        <f ca="1"/>
        <v>0.29595051133026562</v>
      </c>
      <c r="O9316" s="2">
        <f ca="1"/>
        <v>-1.5469137217028404</v>
      </c>
      <c r="X9316" s="2">
        <f ca="1"/>
        <v>50.049499857908373</v>
      </c>
      <c r="AG9316" s="2">
        <f ca="1"/>
        <v>0.70630379452337788</v>
      </c>
      <c r="AH9316" s="2" t="str">
        <f ca="1"/>
        <v>Bad</v>
      </c>
    </row>
    <row r="9317" spans="2:34" x14ac:dyDescent="0.2">
      <c r="B9317" s="2">
        <f ca="1"/>
        <v>0.6881400256015231</v>
      </c>
      <c r="O9317" s="2">
        <f ca="1"/>
        <v>-0.12446730621856684</v>
      </c>
      <c r="X9317" s="2">
        <f ca="1"/>
        <v>85.820101082340926</v>
      </c>
      <c r="AG9317" s="2">
        <f ca="1"/>
        <v>0.91498762532265143</v>
      </c>
      <c r="AH9317" s="2" t="str">
        <f ca="1"/>
        <v>Bad</v>
      </c>
    </row>
    <row r="9318" spans="2:34" x14ac:dyDescent="0.2">
      <c r="B9318" s="2">
        <f ca="1"/>
        <v>0.76824832892890549</v>
      </c>
      <c r="O9318" s="2">
        <f ca="1"/>
        <v>0.39698207004150537</v>
      </c>
      <c r="X9318" s="2">
        <f ca="1"/>
        <v>74.186851064319399</v>
      </c>
      <c r="AG9318" s="2">
        <f ca="1"/>
        <v>9.2999272037286751E-2</v>
      </c>
      <c r="AH9318" s="2" t="str">
        <f ca="1"/>
        <v>OK</v>
      </c>
    </row>
    <row r="9319" spans="2:34" x14ac:dyDescent="0.2">
      <c r="B9319" s="2">
        <f ca="1"/>
        <v>0.32020746300736636</v>
      </c>
      <c r="O9319" s="2">
        <f ca="1"/>
        <v>-0.93505462051189969</v>
      </c>
      <c r="X9319" s="2">
        <f ca="1"/>
        <v>45.795835418367119</v>
      </c>
      <c r="AG9319" s="2">
        <f ca="1"/>
        <v>0.19601159577120653</v>
      </c>
      <c r="AH9319" s="2" t="str">
        <f ca="1"/>
        <v>OK</v>
      </c>
    </row>
    <row r="9320" spans="2:34" x14ac:dyDescent="0.2">
      <c r="B9320" s="2">
        <f ca="1"/>
        <v>5.0475414141581965E-2</v>
      </c>
      <c r="O9320" s="2">
        <f ca="1"/>
        <v>-2.6590956132645776</v>
      </c>
      <c r="X9320" s="2">
        <f ca="1"/>
        <v>50.388845099336294</v>
      </c>
      <c r="AG9320" s="2">
        <f ca="1"/>
        <v>0.64171330755036915</v>
      </c>
      <c r="AH9320" s="2" t="str">
        <f ca="1"/>
        <v>Bad</v>
      </c>
    </row>
    <row r="9321" spans="2:34" x14ac:dyDescent="0.2">
      <c r="B9321" s="2">
        <f ca="1"/>
        <v>0.7676351087149349</v>
      </c>
      <c r="O9321" s="2">
        <f ca="1"/>
        <v>1.472435789449172</v>
      </c>
      <c r="X9321" s="2">
        <f ca="1"/>
        <v>52.539572346242103</v>
      </c>
      <c r="AG9321" s="2">
        <f ca="1"/>
        <v>0.25996671670248617</v>
      </c>
      <c r="AH9321" s="2" t="str">
        <f ca="1"/>
        <v>OK</v>
      </c>
    </row>
    <row r="9322" spans="2:34" x14ac:dyDescent="0.2">
      <c r="B9322" s="2">
        <f ca="1"/>
        <v>0.66921227255995319</v>
      </c>
      <c r="O9322" s="2">
        <f ca="1"/>
        <v>-1.3286232271118035</v>
      </c>
      <c r="X9322" s="2">
        <f ca="1"/>
        <v>45.226763523899166</v>
      </c>
      <c r="AG9322" s="2">
        <f ca="1"/>
        <v>0.21958772034152751</v>
      </c>
      <c r="AH9322" s="2" t="str">
        <f ca="1"/>
        <v>OK</v>
      </c>
    </row>
    <row r="9323" spans="2:34" x14ac:dyDescent="0.2">
      <c r="B9323" s="2">
        <f ca="1"/>
        <v>0.21821984302993913</v>
      </c>
      <c r="O9323" s="2">
        <f ca="1"/>
        <v>-0.73132692294631407</v>
      </c>
      <c r="X9323" s="2">
        <f ca="1"/>
        <v>49.339234980815149</v>
      </c>
      <c r="AG9323" s="2">
        <f ca="1"/>
        <v>0.32873472102967494</v>
      </c>
      <c r="AH9323" s="2" t="str">
        <f ca="1"/>
        <v>OK</v>
      </c>
    </row>
    <row r="9324" spans="2:34" x14ac:dyDescent="0.2">
      <c r="B9324" s="2">
        <f ca="1"/>
        <v>0.20132708421333301</v>
      </c>
      <c r="O9324" s="2">
        <f ca="1"/>
        <v>0.88213719890269293</v>
      </c>
      <c r="X9324" s="2">
        <f ca="1"/>
        <v>40.238353237460657</v>
      </c>
      <c r="AG9324" s="2">
        <f ca="1"/>
        <v>0.19782767899839104</v>
      </c>
      <c r="AH9324" s="2" t="str">
        <f ca="1"/>
        <v>OK</v>
      </c>
    </row>
    <row r="9325" spans="2:34" x14ac:dyDescent="0.2">
      <c r="B9325" s="2">
        <f ca="1"/>
        <v>0.1966725064524073</v>
      </c>
      <c r="O9325" s="2">
        <f ca="1"/>
        <v>-0.99598851716961689</v>
      </c>
      <c r="X9325" s="2">
        <f ca="1"/>
        <v>35.150566171630572</v>
      </c>
      <c r="AG9325" s="2">
        <f ca="1"/>
        <v>0.97510632519692275</v>
      </c>
      <c r="AH9325" s="2" t="str">
        <f ca="1"/>
        <v>Bad</v>
      </c>
    </row>
    <row r="9326" spans="2:34" x14ac:dyDescent="0.2">
      <c r="B9326" s="2">
        <f ca="1"/>
        <v>0.84735458869257818</v>
      </c>
      <c r="O9326" s="2">
        <f ca="1"/>
        <v>1.2640072318811046</v>
      </c>
      <c r="X9326" s="2">
        <f ca="1"/>
        <v>50.458608891458766</v>
      </c>
      <c r="AG9326" s="2">
        <f ca="1"/>
        <v>0.38003296042636614</v>
      </c>
      <c r="AH9326" s="2" t="str">
        <f ca="1"/>
        <v>OK</v>
      </c>
    </row>
    <row r="9327" spans="2:34" x14ac:dyDescent="0.2">
      <c r="B9327" s="2">
        <f ca="1"/>
        <v>0.60683984199959329</v>
      </c>
      <c r="O9327" s="2">
        <f ca="1"/>
        <v>1.0934943670747184</v>
      </c>
      <c r="X9327" s="2">
        <f ca="1"/>
        <v>38.164677970958827</v>
      </c>
      <c r="AG9327" s="2">
        <f ca="1"/>
        <v>9.2139707865013909E-2</v>
      </c>
      <c r="AH9327" s="2" t="str">
        <f ca="1"/>
        <v>OK</v>
      </c>
    </row>
    <row r="9328" spans="2:34" x14ac:dyDescent="0.2">
      <c r="B9328" s="2">
        <f ca="1"/>
        <v>0.18978695102378995</v>
      </c>
      <c r="O9328" s="2">
        <f ca="1"/>
        <v>0.27232216034535661</v>
      </c>
      <c r="X9328" s="2">
        <f ca="1"/>
        <v>43.053836152572565</v>
      </c>
      <c r="AG9328" s="2">
        <f ca="1"/>
        <v>0.28322003186622413</v>
      </c>
      <c r="AH9328" s="2" t="str">
        <f ca="1"/>
        <v>OK</v>
      </c>
    </row>
    <row r="9329" spans="2:34" x14ac:dyDescent="0.2">
      <c r="B9329" s="2">
        <f ca="1"/>
        <v>0.70455998214530835</v>
      </c>
      <c r="O9329" s="2">
        <f ca="1"/>
        <v>-0.42937301043842779</v>
      </c>
      <c r="X9329" s="2">
        <f ca="1"/>
        <v>59.549418777654893</v>
      </c>
      <c r="AG9329" s="2">
        <f ca="1"/>
        <v>0.45740052898207373</v>
      </c>
      <c r="AH9329" s="2" t="str">
        <f ca="1"/>
        <v>Bad</v>
      </c>
    </row>
    <row r="9330" spans="2:34" x14ac:dyDescent="0.2">
      <c r="B9330" s="2">
        <f ca="1"/>
        <v>0.28652314529373779</v>
      </c>
      <c r="O9330" s="2">
        <f ca="1"/>
        <v>-0.6704042794109879</v>
      </c>
      <c r="X9330" s="2">
        <f ca="1"/>
        <v>35.357444723034575</v>
      </c>
      <c r="AG9330" s="2">
        <f ca="1"/>
        <v>0.80232154606840855</v>
      </c>
      <c r="AH9330" s="2" t="str">
        <f ca="1"/>
        <v>Bad</v>
      </c>
    </row>
    <row r="9331" spans="2:34" x14ac:dyDescent="0.2">
      <c r="B9331" s="2">
        <f ca="1"/>
        <v>0.40259252699177295</v>
      </c>
      <c r="O9331" s="2">
        <f ca="1"/>
        <v>-0.4343331211300962</v>
      </c>
      <c r="X9331" s="2">
        <f ca="1"/>
        <v>47.426569062887268</v>
      </c>
      <c r="AG9331" s="2">
        <f ca="1"/>
        <v>0.35404761070972346</v>
      </c>
      <c r="AH9331" s="2" t="str">
        <f ca="1"/>
        <v>OK</v>
      </c>
    </row>
    <row r="9332" spans="2:34" x14ac:dyDescent="0.2">
      <c r="B9332" s="2">
        <f ca="1"/>
        <v>0.96729510219329518</v>
      </c>
      <c r="O9332" s="2">
        <f ca="1"/>
        <v>-1.0216116893863634</v>
      </c>
      <c r="X9332" s="2">
        <f ca="1"/>
        <v>46.655644648063785</v>
      </c>
      <c r="AG9332" s="2">
        <f ca="1"/>
        <v>0.79933173446571426</v>
      </c>
      <c r="AH9332" s="2" t="str">
        <f ca="1"/>
        <v>Bad</v>
      </c>
    </row>
    <row r="9333" spans="2:34" x14ac:dyDescent="0.2">
      <c r="B9333" s="2">
        <f ca="1"/>
        <v>0.74123318592834941</v>
      </c>
      <c r="O9333" s="2">
        <f ca="1"/>
        <v>0.1067752478203491</v>
      </c>
      <c r="X9333" s="2">
        <f ca="1"/>
        <v>41.599884348234433</v>
      </c>
      <c r="AG9333" s="2">
        <f ca="1"/>
        <v>0.94336362942568219</v>
      </c>
      <c r="AH9333" s="2" t="str">
        <f ca="1"/>
        <v>Bad</v>
      </c>
    </row>
    <row r="9334" spans="2:34" x14ac:dyDescent="0.2">
      <c r="B9334" s="2">
        <f ca="1"/>
        <v>1.4062947333470133E-2</v>
      </c>
      <c r="O9334" s="2">
        <f ca="1"/>
        <v>-0.1465643987704224</v>
      </c>
      <c r="X9334" s="2">
        <f ca="1"/>
        <v>98.571891935354245</v>
      </c>
      <c r="AG9334" s="2">
        <f ca="1"/>
        <v>0.86438503822009261</v>
      </c>
      <c r="AH9334" s="2" t="str">
        <f ca="1"/>
        <v>Bad</v>
      </c>
    </row>
    <row r="9335" spans="2:34" x14ac:dyDescent="0.2">
      <c r="B9335" s="2">
        <f ca="1"/>
        <v>0.95258571743749942</v>
      </c>
      <c r="O9335" s="2">
        <f ca="1"/>
        <v>0.77475080700906307</v>
      </c>
      <c r="X9335" s="2">
        <f ca="1"/>
        <v>62.793229547911046</v>
      </c>
      <c r="AG9335" s="2">
        <f ca="1"/>
        <v>0.90613116609975441</v>
      </c>
      <c r="AH9335" s="2" t="str">
        <f ca="1"/>
        <v>Bad</v>
      </c>
    </row>
    <row r="9336" spans="2:34" x14ac:dyDescent="0.2">
      <c r="B9336" s="2">
        <f ca="1"/>
        <v>0.36517874331740652</v>
      </c>
      <c r="O9336" s="2">
        <f ca="1"/>
        <v>1.7632715846057747</v>
      </c>
      <c r="X9336" s="2">
        <f ca="1"/>
        <v>64.982025830577555</v>
      </c>
      <c r="AG9336" s="2">
        <f ca="1"/>
        <v>0.48566927710661778</v>
      </c>
      <c r="AH9336" s="2" t="str">
        <f ca="1"/>
        <v>Bad</v>
      </c>
    </row>
    <row r="9337" spans="2:34" x14ac:dyDescent="0.2">
      <c r="B9337" s="2">
        <f ca="1"/>
        <v>8.9456931945354645E-2</v>
      </c>
      <c r="O9337" s="2">
        <f ca="1"/>
        <v>0.37438816130336267</v>
      </c>
      <c r="X9337" s="2">
        <f ca="1"/>
        <v>42.822528741319402</v>
      </c>
      <c r="AG9337" s="2">
        <f ca="1"/>
        <v>0.49412232727173921</v>
      </c>
      <c r="AH9337" s="2" t="str">
        <f ca="1"/>
        <v>Bad</v>
      </c>
    </row>
    <row r="9338" spans="2:34" x14ac:dyDescent="0.2">
      <c r="B9338" s="2">
        <f ca="1"/>
        <v>0.64805474426943555</v>
      </c>
      <c r="O9338" s="2">
        <f ca="1"/>
        <v>0.45603997634565274</v>
      </c>
      <c r="X9338" s="2">
        <f ca="1"/>
        <v>77.820481190564607</v>
      </c>
      <c r="AG9338" s="2">
        <f ca="1"/>
        <v>0.72521257986532994</v>
      </c>
      <c r="AH9338" s="2" t="str">
        <f ca="1"/>
        <v>Bad</v>
      </c>
    </row>
    <row r="9339" spans="2:34" x14ac:dyDescent="0.2">
      <c r="B9339" s="2">
        <f ca="1"/>
        <v>0.74550019426120162</v>
      </c>
      <c r="O9339" s="2">
        <f ca="1"/>
        <v>0.96819477953757527</v>
      </c>
      <c r="X9339" s="2">
        <f ca="1"/>
        <v>40.624373011010761</v>
      </c>
      <c r="AG9339" s="2">
        <f ca="1"/>
        <v>1.0134610866122218E-2</v>
      </c>
      <c r="AH9339" s="2" t="str">
        <f ca="1"/>
        <v>Good</v>
      </c>
    </row>
    <row r="9340" spans="2:34" x14ac:dyDescent="0.2">
      <c r="B9340" s="2">
        <f ca="1"/>
        <v>0.63711419748239306</v>
      </c>
      <c r="O9340" s="2">
        <f ca="1"/>
        <v>2.3833966498624168E-2</v>
      </c>
      <c r="X9340" s="2">
        <f ca="1"/>
        <v>42.532002786886942</v>
      </c>
      <c r="AG9340" s="2">
        <f ca="1"/>
        <v>0.70059644328241166</v>
      </c>
      <c r="AH9340" s="2" t="str">
        <f ca="1"/>
        <v>Bad</v>
      </c>
    </row>
    <row r="9341" spans="2:34" x14ac:dyDescent="0.2">
      <c r="B9341" s="2">
        <f ca="1"/>
        <v>0.79652458261060466</v>
      </c>
      <c r="O9341" s="2">
        <f ca="1"/>
        <v>0.24174836499421762</v>
      </c>
      <c r="X9341" s="2">
        <f ca="1"/>
        <v>27.243176537414286</v>
      </c>
      <c r="AG9341" s="2">
        <f ca="1"/>
        <v>0.20696709341222541</v>
      </c>
      <c r="AH9341" s="2" t="str">
        <f ca="1"/>
        <v>OK</v>
      </c>
    </row>
    <row r="9342" spans="2:34" x14ac:dyDescent="0.2">
      <c r="B9342" s="2">
        <f ca="1"/>
        <v>0.26430721042180405</v>
      </c>
      <c r="O9342" s="2">
        <f ca="1"/>
        <v>-1.0317902802289534</v>
      </c>
      <c r="X9342" s="2">
        <f ca="1"/>
        <v>33.626977904200437</v>
      </c>
      <c r="AG9342" s="2">
        <f ca="1"/>
        <v>0.12671542027071014</v>
      </c>
      <c r="AH9342" s="2" t="str">
        <f ca="1"/>
        <v>OK</v>
      </c>
    </row>
    <row r="9343" spans="2:34" x14ac:dyDescent="0.2">
      <c r="B9343" s="2">
        <f ca="1"/>
        <v>0.6461379641027174</v>
      </c>
      <c r="O9343" s="2">
        <f ca="1"/>
        <v>-0.17494234889538018</v>
      </c>
      <c r="X9343" s="2">
        <f ca="1"/>
        <v>44.830719454731174</v>
      </c>
      <c r="AG9343" s="2">
        <f ca="1"/>
        <v>0.89943466489224932</v>
      </c>
      <c r="AH9343" s="2" t="str">
        <f ca="1"/>
        <v>Bad</v>
      </c>
    </row>
    <row r="9344" spans="2:34" x14ac:dyDescent="0.2">
      <c r="B9344" s="2">
        <f ca="1"/>
        <v>0.91966727872491094</v>
      </c>
      <c r="O9344" s="2">
        <f ca="1"/>
        <v>1.2651022137957222</v>
      </c>
      <c r="X9344" s="2">
        <f ca="1"/>
        <v>30.895590653997999</v>
      </c>
      <c r="AG9344" s="2">
        <f ca="1"/>
        <v>0.49847804355347081</v>
      </c>
      <c r="AH9344" s="2" t="str">
        <f ca="1"/>
        <v>Bad</v>
      </c>
    </row>
    <row r="9345" spans="2:34" x14ac:dyDescent="0.2">
      <c r="B9345" s="2">
        <f ca="1"/>
        <v>0.11677827228173476</v>
      </c>
      <c r="O9345" s="2">
        <f ca="1"/>
        <v>0.29987311018984625</v>
      </c>
      <c r="X9345" s="2">
        <f ca="1"/>
        <v>54.434041556055973</v>
      </c>
      <c r="AG9345" s="2">
        <f ca="1"/>
        <v>0.62006848533749648</v>
      </c>
      <c r="AH9345" s="2" t="str">
        <f ca="1"/>
        <v>Bad</v>
      </c>
    </row>
    <row r="9346" spans="2:34" x14ac:dyDescent="0.2">
      <c r="B9346" s="2">
        <f ca="1"/>
        <v>0.61194838071394098</v>
      </c>
      <c r="O9346" s="2">
        <f ca="1"/>
        <v>-0.82753965804409013</v>
      </c>
      <c r="X9346" s="2">
        <f ca="1"/>
        <v>34.096951052914996</v>
      </c>
      <c r="AG9346" s="2">
        <f ca="1"/>
        <v>0.6234077503216342</v>
      </c>
      <c r="AH9346" s="2" t="str">
        <f ca="1"/>
        <v>Bad</v>
      </c>
    </row>
    <row r="9347" spans="2:34" x14ac:dyDescent="0.2">
      <c r="B9347" s="2">
        <f ca="1"/>
        <v>0.12244501117791895</v>
      </c>
      <c r="O9347" s="2">
        <f ca="1"/>
        <v>0.96677970842601124</v>
      </c>
      <c r="X9347" s="2">
        <f ca="1"/>
        <v>61.073186098547268</v>
      </c>
      <c r="AG9347" s="2">
        <f ca="1"/>
        <v>0.79940383384440405</v>
      </c>
      <c r="AH9347" s="2" t="str">
        <f ca="1"/>
        <v>Bad</v>
      </c>
    </row>
    <row r="9348" spans="2:34" x14ac:dyDescent="0.2">
      <c r="B9348" s="2">
        <f ca="1"/>
        <v>0.11257067284704725</v>
      </c>
      <c r="O9348" s="2">
        <f ca="1"/>
        <v>0.82982240653812289</v>
      </c>
      <c r="X9348" s="2">
        <f ca="1"/>
        <v>55.430597892119337</v>
      </c>
      <c r="AG9348" s="2">
        <f ca="1"/>
        <v>8.1462027846002094E-4</v>
      </c>
      <c r="AH9348" s="2" t="str">
        <f ca="1"/>
        <v>Good</v>
      </c>
    </row>
    <row r="9349" spans="2:34" x14ac:dyDescent="0.2">
      <c r="B9349" s="2">
        <f ca="1"/>
        <v>0.99977330842264078</v>
      </c>
      <c r="O9349" s="2">
        <f ca="1"/>
        <v>1.7803112846461011</v>
      </c>
      <c r="X9349" s="2">
        <f ca="1"/>
        <v>39.144830837737302</v>
      </c>
      <c r="AG9349" s="2">
        <f ca="1"/>
        <v>0.48984998842427663</v>
      </c>
      <c r="AH9349" s="2" t="str">
        <f ca="1"/>
        <v>Bad</v>
      </c>
    </row>
    <row r="9350" spans="2:34" x14ac:dyDescent="0.2">
      <c r="B9350" s="2">
        <f ca="1"/>
        <v>0.56976509103332007</v>
      </c>
      <c r="O9350" s="2">
        <f ca="1"/>
        <v>3.192318445551514E-2</v>
      </c>
      <c r="X9350" s="2">
        <f ca="1"/>
        <v>46.159613141541968</v>
      </c>
      <c r="AG9350" s="2">
        <f ca="1"/>
        <v>0.20968603625882265</v>
      </c>
      <c r="AH9350" s="2" t="str">
        <f ca="1"/>
        <v>OK</v>
      </c>
    </row>
    <row r="9351" spans="2:34" x14ac:dyDescent="0.2">
      <c r="B9351" s="2">
        <f ca="1"/>
        <v>0.48717234884335325</v>
      </c>
      <c r="O9351" s="2">
        <f ca="1"/>
        <v>-0.28213536422394442</v>
      </c>
      <c r="X9351" s="2">
        <f ca="1"/>
        <v>88.135698733019098</v>
      </c>
      <c r="AG9351" s="2">
        <f ca="1"/>
        <v>0.7037823105821146</v>
      </c>
      <c r="AH9351" s="2" t="str">
        <f ca="1"/>
        <v>Bad</v>
      </c>
    </row>
    <row r="9352" spans="2:34" x14ac:dyDescent="0.2">
      <c r="B9352" s="2">
        <f ca="1"/>
        <v>0.87957153217590789</v>
      </c>
      <c r="O9352" s="2">
        <f ca="1"/>
        <v>-0.63506596396552595</v>
      </c>
      <c r="X9352" s="2">
        <f ca="1"/>
        <v>41.626291913187771</v>
      </c>
      <c r="AG9352" s="2">
        <f ca="1"/>
        <v>1.4898012592941434E-2</v>
      </c>
      <c r="AH9352" s="2" t="str">
        <f ca="1"/>
        <v>Good</v>
      </c>
    </row>
    <row r="9353" spans="2:34" x14ac:dyDescent="0.2">
      <c r="B9353" s="2">
        <f ca="1"/>
        <v>0.89016342751257316</v>
      </c>
      <c r="O9353" s="2">
        <f ca="1"/>
        <v>1.3098227896547978</v>
      </c>
      <c r="X9353" s="2">
        <f ca="1"/>
        <v>58.961290006728035</v>
      </c>
      <c r="AG9353" s="2">
        <f ca="1"/>
        <v>0.64460336264783891</v>
      </c>
      <c r="AH9353" s="2" t="str">
        <f ca="1"/>
        <v>Bad</v>
      </c>
    </row>
    <row r="9354" spans="2:34" x14ac:dyDescent="0.2">
      <c r="B9354" s="2">
        <f ca="1"/>
        <v>0.77030819631382896</v>
      </c>
      <c r="O9354" s="2">
        <f ca="1"/>
        <v>0.96373763368093457</v>
      </c>
      <c r="X9354" s="2">
        <f ca="1"/>
        <v>57.166518671783962</v>
      </c>
      <c r="AG9354" s="2">
        <f ca="1"/>
        <v>0.54155857080472258</v>
      </c>
      <c r="AH9354" s="2" t="str">
        <f ca="1"/>
        <v>Bad</v>
      </c>
    </row>
    <row r="9355" spans="2:34" x14ac:dyDescent="0.2">
      <c r="B9355" s="2">
        <f ca="1"/>
        <v>0.86640586504629491</v>
      </c>
      <c r="O9355" s="2">
        <f ca="1"/>
        <v>-2.3107548532842674</v>
      </c>
      <c r="X9355" s="2">
        <f ca="1"/>
        <v>29.331380462417897</v>
      </c>
      <c r="AG9355" s="2">
        <f ca="1"/>
        <v>0.77896575352334474</v>
      </c>
      <c r="AH9355" s="2" t="str">
        <f ca="1"/>
        <v>Bad</v>
      </c>
    </row>
    <row r="9356" spans="2:34" x14ac:dyDescent="0.2">
      <c r="B9356" s="2">
        <f ca="1"/>
        <v>5.6169340984221439E-2</v>
      </c>
      <c r="O9356" s="2">
        <f ca="1"/>
        <v>0.62556225728299297</v>
      </c>
      <c r="X9356" s="2">
        <f ca="1"/>
        <v>36.913062576682961</v>
      </c>
      <c r="AG9356" s="2">
        <f ca="1"/>
        <v>0.19883710674840249</v>
      </c>
      <c r="AH9356" s="2" t="str">
        <f ca="1"/>
        <v>OK</v>
      </c>
    </row>
    <row r="9357" spans="2:34" x14ac:dyDescent="0.2">
      <c r="B9357" s="2">
        <f ca="1"/>
        <v>0.6236129681157454</v>
      </c>
      <c r="O9357" s="2">
        <f ca="1"/>
        <v>-0.68007508033337238</v>
      </c>
      <c r="X9357" s="2">
        <f ca="1"/>
        <v>28.419308452194791</v>
      </c>
      <c r="AG9357" s="2">
        <f ca="1"/>
        <v>0.92769014172848485</v>
      </c>
      <c r="AH9357" s="2" t="str">
        <f ca="1"/>
        <v>Bad</v>
      </c>
    </row>
    <row r="9358" spans="2:34" x14ac:dyDescent="0.2">
      <c r="B9358" s="2">
        <f ca="1"/>
        <v>9.5716843079332259E-2</v>
      </c>
      <c r="O9358" s="2">
        <f ca="1"/>
        <v>0.68751809305169298</v>
      </c>
      <c r="X9358" s="2">
        <f ca="1"/>
        <v>21.559876337983518</v>
      </c>
      <c r="AG9358" s="2">
        <f ca="1"/>
        <v>0.76931845035440971</v>
      </c>
      <c r="AH9358" s="2" t="str">
        <f ca="1"/>
        <v>Bad</v>
      </c>
    </row>
    <row r="9359" spans="2:34" x14ac:dyDescent="0.2">
      <c r="B9359" s="2">
        <f ca="1"/>
        <v>0.91206752935101476</v>
      </c>
      <c r="O9359" s="2">
        <f ca="1"/>
        <v>-8.8673217049098127E-2</v>
      </c>
      <c r="X9359" s="2">
        <f ca="1"/>
        <v>51.14588630677703</v>
      </c>
      <c r="AG9359" s="2">
        <f ca="1"/>
        <v>0.44846443694373828</v>
      </c>
      <c r="AH9359" s="2" t="str">
        <f ca="1"/>
        <v>Bad</v>
      </c>
    </row>
    <row r="9360" spans="2:34" x14ac:dyDescent="0.2">
      <c r="B9360" s="2">
        <f ca="1"/>
        <v>0.30841221388497297</v>
      </c>
      <c r="O9360" s="2">
        <f ca="1"/>
        <v>3.1086698895045024</v>
      </c>
      <c r="X9360" s="2">
        <f ca="1"/>
        <v>54.178280201196031</v>
      </c>
      <c r="AG9360" s="2">
        <f ca="1"/>
        <v>0.87636516254434627</v>
      </c>
      <c r="AH9360" s="2" t="str">
        <f ca="1"/>
        <v>Bad</v>
      </c>
    </row>
    <row r="9361" spans="2:34" x14ac:dyDescent="0.2">
      <c r="B9361" s="2">
        <f ca="1"/>
        <v>0.26952740221777605</v>
      </c>
      <c r="O9361" s="2">
        <f ca="1"/>
        <v>-0.15539762368351903</v>
      </c>
      <c r="X9361" s="2">
        <f ca="1"/>
        <v>40.879454284658351</v>
      </c>
      <c r="AG9361" s="2">
        <f ca="1"/>
        <v>0.46338850497227946</v>
      </c>
      <c r="AH9361" s="2" t="str">
        <f ca="1"/>
        <v>Bad</v>
      </c>
    </row>
    <row r="9362" spans="2:34" x14ac:dyDescent="0.2">
      <c r="B9362" s="2">
        <f ca="1"/>
        <v>0.69052446069596018</v>
      </c>
      <c r="O9362" s="2">
        <f ca="1"/>
        <v>-0.34949721205277995</v>
      </c>
      <c r="X9362" s="2">
        <f ca="1"/>
        <v>41.794206414836061</v>
      </c>
      <c r="AG9362" s="2">
        <f ca="1"/>
        <v>0.49639859060538361</v>
      </c>
      <c r="AH9362" s="2" t="str">
        <f ca="1"/>
        <v>Bad</v>
      </c>
    </row>
    <row r="9363" spans="2:34" x14ac:dyDescent="0.2">
      <c r="B9363" s="2">
        <f ca="1"/>
        <v>0.1115430071252006</v>
      </c>
      <c r="O9363" s="2">
        <f ca="1"/>
        <v>0.92764515293019767</v>
      </c>
      <c r="X9363" s="2">
        <f ca="1"/>
        <v>42.839906695587089</v>
      </c>
      <c r="AG9363" s="2">
        <f ca="1"/>
        <v>0.46859182317207471</v>
      </c>
      <c r="AH9363" s="2" t="str">
        <f ca="1"/>
        <v>Bad</v>
      </c>
    </row>
    <row r="9364" spans="2:34" x14ac:dyDescent="0.2">
      <c r="B9364" s="2">
        <f ca="1"/>
        <v>0.84572882377859071</v>
      </c>
      <c r="O9364" s="2">
        <f ca="1"/>
        <v>-1.1174692174187064</v>
      </c>
      <c r="X9364" s="2">
        <f ca="1"/>
        <v>44.856591972564431</v>
      </c>
      <c r="AG9364" s="2">
        <f ca="1"/>
        <v>0.81026895640777052</v>
      </c>
      <c r="AH9364" s="2" t="str">
        <f ca="1"/>
        <v>Bad</v>
      </c>
    </row>
    <row r="9365" spans="2:34" x14ac:dyDescent="0.2">
      <c r="B9365" s="2">
        <f ca="1"/>
        <v>0.73835855621292223</v>
      </c>
      <c r="O9365" s="2">
        <f ca="1"/>
        <v>0.80336654991758816</v>
      </c>
      <c r="X9365" s="2">
        <f ca="1"/>
        <v>59.454585380881895</v>
      </c>
      <c r="AG9365" s="2">
        <f ca="1"/>
        <v>4.028968952720513E-2</v>
      </c>
      <c r="AH9365" s="2" t="str">
        <f ca="1"/>
        <v>Good</v>
      </c>
    </row>
    <row r="9366" spans="2:34" x14ac:dyDescent="0.2">
      <c r="B9366" s="2">
        <f ca="1"/>
        <v>0.95935292301371566</v>
      </c>
      <c r="O9366" s="2">
        <f ca="1"/>
        <v>0.31943250382969607</v>
      </c>
      <c r="X9366" s="2">
        <f ca="1"/>
        <v>65.690390198963641</v>
      </c>
      <c r="AG9366" s="2">
        <f ca="1"/>
        <v>0.7776123434824016</v>
      </c>
      <c r="AH9366" s="2" t="str">
        <f ca="1"/>
        <v>Bad</v>
      </c>
    </row>
    <row r="9367" spans="2:34" x14ac:dyDescent="0.2">
      <c r="B9367" s="2">
        <f ca="1"/>
        <v>0.55766171835902045</v>
      </c>
      <c r="O9367" s="2">
        <f ca="1"/>
        <v>-1.3391451692097174</v>
      </c>
      <c r="X9367" s="2">
        <f ca="1"/>
        <v>56.069566891068504</v>
      </c>
      <c r="AG9367" s="2">
        <f ca="1"/>
        <v>5.5794680516997985E-2</v>
      </c>
      <c r="AH9367" s="2" t="str">
        <f ca="1"/>
        <v>OK</v>
      </c>
    </row>
    <row r="9368" spans="2:34" x14ac:dyDescent="0.2">
      <c r="B9368" s="2">
        <f ca="1"/>
        <v>2.0574280275807544E-2</v>
      </c>
      <c r="O9368" s="2">
        <f ca="1"/>
        <v>0.79426289128019911</v>
      </c>
      <c r="X9368" s="2">
        <f ca="1"/>
        <v>69.010260800770141</v>
      </c>
      <c r="AG9368" s="2">
        <f ca="1"/>
        <v>0.6751735100203442</v>
      </c>
      <c r="AH9368" s="2" t="str">
        <f ca="1"/>
        <v>Bad</v>
      </c>
    </row>
    <row r="9369" spans="2:34" x14ac:dyDescent="0.2">
      <c r="B9369" s="2">
        <f ca="1"/>
        <v>0.77354150769184415</v>
      </c>
      <c r="O9369" s="2">
        <f ca="1"/>
        <v>1.0584081153865514</v>
      </c>
      <c r="X9369" s="2">
        <f ca="1"/>
        <v>43.690597392076434</v>
      </c>
      <c r="AG9369" s="2">
        <f ca="1"/>
        <v>0.27081813784318287</v>
      </c>
      <c r="AH9369" s="2" t="str">
        <f ca="1"/>
        <v>OK</v>
      </c>
    </row>
    <row r="9370" spans="2:34" x14ac:dyDescent="0.2">
      <c r="B9370" s="2">
        <f ca="1"/>
        <v>0.80885790886375042</v>
      </c>
      <c r="O9370" s="2">
        <f ca="1"/>
        <v>-0.56417808888440324</v>
      </c>
      <c r="X9370" s="2">
        <f ca="1"/>
        <v>74.257323652690673</v>
      </c>
      <c r="AG9370" s="2">
        <f ca="1"/>
        <v>0.81224503240288959</v>
      </c>
      <c r="AH9370" s="2" t="str">
        <f ca="1"/>
        <v>Bad</v>
      </c>
    </row>
    <row r="9371" spans="2:34" x14ac:dyDescent="0.2">
      <c r="B9371" s="2">
        <f ca="1"/>
        <v>0.31256116344173557</v>
      </c>
      <c r="O9371" s="2">
        <f ca="1"/>
        <v>0.15885159181740524</v>
      </c>
      <c r="X9371" s="2">
        <f ca="1"/>
        <v>35.983103955021733</v>
      </c>
      <c r="AG9371" s="2">
        <f ca="1"/>
        <v>9.3900301346285575E-2</v>
      </c>
      <c r="AH9371" s="2" t="str">
        <f ca="1"/>
        <v>OK</v>
      </c>
    </row>
    <row r="9372" spans="2:34" x14ac:dyDescent="0.2">
      <c r="B9372" s="2">
        <f ca="1"/>
        <v>0.82608258456870365</v>
      </c>
      <c r="O9372" s="2">
        <f ca="1"/>
        <v>-6.2522552425354108E-2</v>
      </c>
      <c r="X9372" s="2">
        <f ca="1"/>
        <v>29.28406116648658</v>
      </c>
      <c r="AG9372" s="2">
        <f ca="1"/>
        <v>0.85085240520951477</v>
      </c>
      <c r="AH9372" s="2" t="str">
        <f ca="1"/>
        <v>Bad</v>
      </c>
    </row>
    <row r="9373" spans="2:34" x14ac:dyDescent="0.2">
      <c r="B9373" s="2">
        <f ca="1"/>
        <v>0.52057095657423136</v>
      </c>
      <c r="O9373" s="2">
        <f ca="1"/>
        <v>0.69595022875002766</v>
      </c>
      <c r="X9373" s="2">
        <f ca="1"/>
        <v>54.245930719626152</v>
      </c>
      <c r="AG9373" s="2">
        <f ca="1"/>
        <v>0.7200133447042063</v>
      </c>
      <c r="AH9373" s="2" t="str">
        <f ca="1"/>
        <v>Bad</v>
      </c>
    </row>
    <row r="9374" spans="2:34" x14ac:dyDescent="0.2">
      <c r="B9374" s="2">
        <f ca="1"/>
        <v>0.96081832561286951</v>
      </c>
      <c r="O9374" s="2">
        <f ca="1"/>
        <v>-1.0433597640527952</v>
      </c>
      <c r="X9374" s="2">
        <f ca="1"/>
        <v>34.17000007874438</v>
      </c>
      <c r="AG9374" s="2">
        <f ca="1"/>
        <v>0.56768753806672745</v>
      </c>
      <c r="AH9374" s="2" t="str">
        <f ca="1"/>
        <v>Bad</v>
      </c>
    </row>
    <row r="9375" spans="2:34" x14ac:dyDescent="0.2">
      <c r="B9375" s="2">
        <f ca="1"/>
        <v>0.97010041568607397</v>
      </c>
      <c r="O9375" s="2">
        <f ca="1"/>
        <v>0.98552764499897216</v>
      </c>
      <c r="X9375" s="2">
        <f ca="1"/>
        <v>38.382986589661577</v>
      </c>
      <c r="AG9375" s="2">
        <f ca="1"/>
        <v>0.46954118942460688</v>
      </c>
      <c r="AH9375" s="2" t="str">
        <f ca="1"/>
        <v>Bad</v>
      </c>
    </row>
    <row r="9376" spans="2:34" x14ac:dyDescent="0.2">
      <c r="B9376" s="2">
        <f ca="1"/>
        <v>0.72393542642185693</v>
      </c>
      <c r="O9376" s="2">
        <f ca="1"/>
        <v>-1.2715673201645006</v>
      </c>
      <c r="X9376" s="2">
        <f ca="1"/>
        <v>43.768197169603482</v>
      </c>
      <c r="AG9376" s="2">
        <f ca="1"/>
        <v>0.36576137855153612</v>
      </c>
      <c r="AH9376" s="2" t="str">
        <f ca="1"/>
        <v>OK</v>
      </c>
    </row>
    <row r="9377" spans="2:34" x14ac:dyDescent="0.2">
      <c r="B9377" s="2">
        <f ca="1"/>
        <v>0.28365955015563382</v>
      </c>
      <c r="O9377" s="2">
        <f ca="1"/>
        <v>-1.640002067433141</v>
      </c>
      <c r="X9377" s="2">
        <f ca="1"/>
        <v>33.519107791215561</v>
      </c>
      <c r="AG9377" s="2">
        <f ca="1"/>
        <v>0.97720452042248174</v>
      </c>
      <c r="AH9377" s="2" t="str">
        <f ca="1"/>
        <v>Bad</v>
      </c>
    </row>
    <row r="9378" spans="2:34" x14ac:dyDescent="0.2">
      <c r="B9378" s="2">
        <f ca="1"/>
        <v>0.48543670558656382</v>
      </c>
      <c r="O9378" s="2">
        <f ca="1"/>
        <v>-1.5189988478820082</v>
      </c>
      <c r="X9378" s="2">
        <f ca="1"/>
        <v>43.99604138896305</v>
      </c>
      <c r="AG9378" s="2">
        <f ca="1"/>
        <v>0.81297929489306431</v>
      </c>
      <c r="AH9378" s="2" t="str">
        <f ca="1"/>
        <v>Bad</v>
      </c>
    </row>
    <row r="9379" spans="2:34" x14ac:dyDescent="0.2">
      <c r="B9379" s="2">
        <f ca="1"/>
        <v>0.28645300279188213</v>
      </c>
      <c r="O9379" s="2">
        <f ca="1"/>
        <v>-1.1593953259239909</v>
      </c>
      <c r="X9379" s="2">
        <f ca="1"/>
        <v>55.636626494069532</v>
      </c>
      <c r="AG9379" s="2">
        <f ca="1"/>
        <v>0.80318286395647176</v>
      </c>
      <c r="AH9379" s="2" t="str">
        <f ca="1"/>
        <v>Bad</v>
      </c>
    </row>
    <row r="9380" spans="2:34" x14ac:dyDescent="0.2">
      <c r="B9380" s="2">
        <f ca="1"/>
        <v>0.54887869508617704</v>
      </c>
      <c r="O9380" s="2">
        <f ca="1"/>
        <v>1.9965204361024598</v>
      </c>
      <c r="X9380" s="2">
        <f ca="1"/>
        <v>32.109220268367054</v>
      </c>
      <c r="AG9380" s="2">
        <f ca="1"/>
        <v>0.71070840786806389</v>
      </c>
      <c r="AH9380" s="2" t="str">
        <f ca="1"/>
        <v>Bad</v>
      </c>
    </row>
    <row r="9381" spans="2:34" x14ac:dyDescent="0.2">
      <c r="B9381" s="2">
        <f ca="1"/>
        <v>0.77956321169016962</v>
      </c>
      <c r="O9381" s="2">
        <f ca="1"/>
        <v>-0.28745063665800918</v>
      </c>
      <c r="X9381" s="2">
        <f ca="1"/>
        <v>50.913807648425831</v>
      </c>
      <c r="AG9381" s="2">
        <f ca="1"/>
        <v>0.43140700503019902</v>
      </c>
      <c r="AH9381" s="2" t="str">
        <f ca="1"/>
        <v>Bad</v>
      </c>
    </row>
    <row r="9382" spans="2:34" x14ac:dyDescent="0.2">
      <c r="B9382" s="2">
        <f ca="1"/>
        <v>0.61879976910285972</v>
      </c>
      <c r="O9382" s="2">
        <f ca="1"/>
        <v>-0.41875984447640563</v>
      </c>
      <c r="X9382" s="2">
        <f ca="1"/>
        <v>55.912435706692392</v>
      </c>
      <c r="AG9382" s="2">
        <f ca="1"/>
        <v>0.68183754632749149</v>
      </c>
      <c r="AH9382" s="2" t="str">
        <f ca="1"/>
        <v>Bad</v>
      </c>
    </row>
    <row r="9383" spans="2:34" x14ac:dyDescent="0.2">
      <c r="B9383" s="2">
        <f ca="1"/>
        <v>0.42971129786403162</v>
      </c>
      <c r="O9383" s="2">
        <f ca="1"/>
        <v>0.53884029188689775</v>
      </c>
      <c r="X9383" s="2">
        <f ca="1"/>
        <v>44.637947648094197</v>
      </c>
      <c r="AG9383" s="2">
        <f ca="1"/>
        <v>0.69791926017834127</v>
      </c>
      <c r="AH9383" s="2" t="str">
        <f ca="1"/>
        <v>Bad</v>
      </c>
    </row>
    <row r="9384" spans="2:34" x14ac:dyDescent="0.2">
      <c r="B9384" s="2">
        <f ca="1"/>
        <v>0.44069486753737386</v>
      </c>
      <c r="O9384" s="2">
        <f ca="1"/>
        <v>0.98372769812262095</v>
      </c>
      <c r="X9384" s="2">
        <f ca="1"/>
        <v>36.13350183016567</v>
      </c>
      <c r="AG9384" s="2">
        <f ca="1"/>
        <v>0.9267342091277142</v>
      </c>
      <c r="AH9384" s="2" t="str">
        <f ca="1"/>
        <v>Bad</v>
      </c>
    </row>
    <row r="9385" spans="2:34" x14ac:dyDescent="0.2">
      <c r="B9385" s="2">
        <f ca="1"/>
        <v>0.57625183328179119</v>
      </c>
      <c r="O9385" s="2">
        <f ca="1"/>
        <v>-2.657459278649223</v>
      </c>
      <c r="X9385" s="2">
        <f ca="1"/>
        <v>73.381771026308641</v>
      </c>
      <c r="AG9385" s="2">
        <f ca="1"/>
        <v>7.5964624415089776E-2</v>
      </c>
      <c r="AH9385" s="2" t="str">
        <f ca="1"/>
        <v>OK</v>
      </c>
    </row>
    <row r="9386" spans="2:34" x14ac:dyDescent="0.2">
      <c r="B9386" s="2">
        <f ca="1"/>
        <v>0.18143915211897288</v>
      </c>
      <c r="O9386" s="2">
        <f ca="1"/>
        <v>-1.2345265486479058</v>
      </c>
      <c r="X9386" s="2">
        <f ca="1"/>
        <v>73.454077182494913</v>
      </c>
      <c r="AG9386" s="2">
        <f ca="1"/>
        <v>4.2655384709326061E-2</v>
      </c>
      <c r="AH9386" s="2" t="str">
        <f ca="1"/>
        <v>Good</v>
      </c>
    </row>
    <row r="9387" spans="2:34" x14ac:dyDescent="0.2">
      <c r="B9387" s="2">
        <f ca="1"/>
        <v>0.5858063690340698</v>
      </c>
      <c r="O9387" s="2">
        <f ca="1"/>
        <v>1.6636147289950087</v>
      </c>
      <c r="X9387" s="2">
        <f ca="1"/>
        <v>31.389687823967339</v>
      </c>
      <c r="AG9387" s="2">
        <f ca="1"/>
        <v>0.90532145075175019</v>
      </c>
      <c r="AH9387" s="2" t="str">
        <f ca="1"/>
        <v>Bad</v>
      </c>
    </row>
    <row r="9388" spans="2:34" x14ac:dyDescent="0.2">
      <c r="B9388" s="2">
        <f ca="1"/>
        <v>0.68227677940084641</v>
      </c>
      <c r="O9388" s="2">
        <f ca="1"/>
        <v>1.2476416579905838</v>
      </c>
      <c r="X9388" s="2">
        <f ca="1"/>
        <v>46.848705481595147</v>
      </c>
      <c r="AG9388" s="2">
        <f ca="1"/>
        <v>0.78662391417566968</v>
      </c>
      <c r="AH9388" s="2" t="str">
        <f ca="1"/>
        <v>Bad</v>
      </c>
    </row>
    <row r="9389" spans="2:34" x14ac:dyDescent="0.2">
      <c r="B9389" s="2">
        <f ca="1"/>
        <v>0.67825885999019531</v>
      </c>
      <c r="O9389" s="2">
        <f ca="1"/>
        <v>-1.3820550870880248</v>
      </c>
      <c r="X9389" s="2">
        <f ca="1"/>
        <v>71.94870931600542</v>
      </c>
      <c r="AG9389" s="2">
        <f ca="1"/>
        <v>0.97274028752157604</v>
      </c>
      <c r="AH9389" s="2" t="str">
        <f ca="1"/>
        <v>Bad</v>
      </c>
    </row>
    <row r="9390" spans="2:34" x14ac:dyDescent="0.2">
      <c r="B9390" s="2">
        <f ca="1"/>
        <v>0.12582113923168881</v>
      </c>
      <c r="O9390" s="2">
        <f ca="1"/>
        <v>-0.27904033953800822</v>
      </c>
      <c r="X9390" s="2">
        <f ca="1"/>
        <v>60.449956939579749</v>
      </c>
      <c r="AG9390" s="2">
        <f ca="1"/>
        <v>0.24470739604031677</v>
      </c>
      <c r="AH9390" s="2" t="str">
        <f ca="1"/>
        <v>OK</v>
      </c>
    </row>
    <row r="9391" spans="2:34" x14ac:dyDescent="0.2">
      <c r="B9391" s="2">
        <f ca="1"/>
        <v>0.57426501251128093</v>
      </c>
      <c r="O9391" s="2">
        <f ca="1"/>
        <v>-0.56927504361890291</v>
      </c>
      <c r="X9391" s="2">
        <f ca="1"/>
        <v>29.947083540484979</v>
      </c>
      <c r="AG9391" s="2">
        <f ca="1"/>
        <v>3.2370060525194866E-2</v>
      </c>
      <c r="AH9391" s="2" t="str">
        <f ca="1"/>
        <v>Good</v>
      </c>
    </row>
    <row r="9392" spans="2:34" x14ac:dyDescent="0.2">
      <c r="B9392" s="2">
        <f ca="1"/>
        <v>0.17077719818904424</v>
      </c>
      <c r="O9392" s="2">
        <f ca="1"/>
        <v>1.5408623290168659</v>
      </c>
      <c r="X9392" s="2">
        <f ca="1"/>
        <v>48.649553821982572</v>
      </c>
      <c r="AG9392" s="2">
        <f ca="1"/>
        <v>0.4389988355523593</v>
      </c>
      <c r="AH9392" s="2" t="str">
        <f ca="1"/>
        <v>Bad</v>
      </c>
    </row>
    <row r="9393" spans="2:34" x14ac:dyDescent="0.2">
      <c r="B9393" s="2">
        <f ca="1"/>
        <v>0.92615654823283644</v>
      </c>
      <c r="O9393" s="2">
        <f ca="1"/>
        <v>1.7535572124101213</v>
      </c>
      <c r="X9393" s="2">
        <f ca="1"/>
        <v>51.94749723714088</v>
      </c>
      <c r="AG9393" s="2">
        <f ca="1"/>
        <v>0.57305323769535055</v>
      </c>
      <c r="AH9393" s="2" t="str">
        <f ca="1"/>
        <v>Bad</v>
      </c>
    </row>
    <row r="9394" spans="2:34" x14ac:dyDescent="0.2">
      <c r="B9394" s="2">
        <f ca="1"/>
        <v>0.45292725339743489</v>
      </c>
      <c r="O9394" s="2">
        <f ca="1"/>
        <v>-0.12420564507388261</v>
      </c>
      <c r="X9394" s="2">
        <f ca="1"/>
        <v>55.056874052728595</v>
      </c>
      <c r="AG9394" s="2">
        <f ca="1"/>
        <v>0.59010832323400209</v>
      </c>
      <c r="AH9394" s="2" t="str">
        <f ca="1"/>
        <v>Bad</v>
      </c>
    </row>
    <row r="9395" spans="2:34" x14ac:dyDescent="0.2">
      <c r="B9395" s="2">
        <f ca="1"/>
        <v>0.65360902056967962</v>
      </c>
      <c r="O9395" s="2">
        <f ca="1"/>
        <v>3.225822921051098</v>
      </c>
      <c r="X9395" s="2">
        <f ca="1"/>
        <v>33.613306050550371</v>
      </c>
      <c r="AG9395" s="2">
        <f ca="1"/>
        <v>0.84591083489004881</v>
      </c>
      <c r="AH9395" s="2" t="str">
        <f ca="1"/>
        <v>Bad</v>
      </c>
    </row>
    <row r="9396" spans="2:34" x14ac:dyDescent="0.2">
      <c r="B9396" s="2">
        <f ca="1"/>
        <v>0.95601360354148635</v>
      </c>
      <c r="O9396" s="2">
        <f ca="1"/>
        <v>1.7268321779751443</v>
      </c>
      <c r="X9396" s="2">
        <f ca="1"/>
        <v>54.122238717360162</v>
      </c>
      <c r="AG9396" s="2">
        <f ca="1"/>
        <v>0.12754057109136618</v>
      </c>
      <c r="AH9396" s="2" t="str">
        <f ca="1"/>
        <v>OK</v>
      </c>
    </row>
    <row r="9397" spans="2:34" x14ac:dyDescent="0.2">
      <c r="B9397" s="2">
        <f ca="1"/>
        <v>0.32346010875835751</v>
      </c>
      <c r="O9397" s="2">
        <f ca="1"/>
        <v>-0.94150865431773212</v>
      </c>
      <c r="X9397" s="2">
        <f ca="1"/>
        <v>30.467152913103931</v>
      </c>
      <c r="AG9397" s="2">
        <f ca="1"/>
        <v>0.62740930446249199</v>
      </c>
      <c r="AH9397" s="2" t="str">
        <f ca="1"/>
        <v>Bad</v>
      </c>
    </row>
    <row r="9398" spans="2:34" x14ac:dyDescent="0.2">
      <c r="B9398" s="2">
        <f ca="1"/>
        <v>0.5858477316251085</v>
      </c>
      <c r="O9398" s="2">
        <f ca="1"/>
        <v>-0.71946425986734019</v>
      </c>
      <c r="X9398" s="2">
        <f ca="1"/>
        <v>92.774843870947564</v>
      </c>
      <c r="AG9398" s="2">
        <f ca="1"/>
        <v>0.88724966343812683</v>
      </c>
      <c r="AH9398" s="2" t="str">
        <f ca="1"/>
        <v>Bad</v>
      </c>
    </row>
    <row r="9399" spans="2:34" x14ac:dyDescent="0.2">
      <c r="B9399" s="2">
        <f ca="1"/>
        <v>8.8268062062649255E-2</v>
      </c>
      <c r="O9399" s="2">
        <f ca="1"/>
        <v>1.7780824362376333</v>
      </c>
      <c r="X9399" s="2">
        <f ca="1"/>
        <v>42.150342205716683</v>
      </c>
      <c r="AG9399" s="2">
        <f ca="1"/>
        <v>0.30283299240527706</v>
      </c>
      <c r="AH9399" s="2" t="str">
        <f ca="1"/>
        <v>OK</v>
      </c>
    </row>
    <row r="9400" spans="2:34" x14ac:dyDescent="0.2">
      <c r="B9400" s="2">
        <f ca="1"/>
        <v>0.86630379670387536</v>
      </c>
      <c r="O9400" s="2">
        <f ca="1"/>
        <v>0.1769618037685329</v>
      </c>
      <c r="X9400" s="2">
        <f ca="1"/>
        <v>48.133739674148458</v>
      </c>
      <c r="AG9400" s="2">
        <f ca="1"/>
        <v>0.89076891965302551</v>
      </c>
      <c r="AH9400" s="2" t="str">
        <f ca="1"/>
        <v>Bad</v>
      </c>
    </row>
    <row r="9401" spans="2:34" x14ac:dyDescent="0.2">
      <c r="B9401" s="2">
        <f ca="1"/>
        <v>0.52315060324623985</v>
      </c>
      <c r="O9401" s="2">
        <f ca="1"/>
        <v>0.20352711714061383</v>
      </c>
      <c r="X9401" s="2">
        <f ca="1"/>
        <v>66.009125736288155</v>
      </c>
      <c r="AG9401" s="2">
        <f ca="1"/>
        <v>0.24090494540321061</v>
      </c>
      <c r="AH9401" s="2" t="str">
        <f ca="1"/>
        <v>OK</v>
      </c>
    </row>
    <row r="9402" spans="2:34" x14ac:dyDescent="0.2">
      <c r="B9402" s="2">
        <f ca="1"/>
        <v>0.67600661452325284</v>
      </c>
      <c r="O9402" s="2">
        <f ca="1"/>
        <v>0.10115088527291299</v>
      </c>
      <c r="X9402" s="2">
        <f ca="1"/>
        <v>33.599543848605677</v>
      </c>
      <c r="AG9402" s="2">
        <f ca="1"/>
        <v>0.76889661651931718</v>
      </c>
      <c r="AH9402" s="2" t="str">
        <f ca="1"/>
        <v>Bad</v>
      </c>
    </row>
    <row r="9403" spans="2:34" x14ac:dyDescent="0.2">
      <c r="B9403" s="2">
        <f ca="1"/>
        <v>0.68527760041385233</v>
      </c>
      <c r="O9403" s="2">
        <f ca="1"/>
        <v>0.64791626465614782</v>
      </c>
      <c r="X9403" s="2">
        <f ca="1"/>
        <v>53.164284437818864</v>
      </c>
      <c r="AG9403" s="2">
        <f ca="1"/>
        <v>0.1504768540395236</v>
      </c>
      <c r="AH9403" s="2" t="str">
        <f ca="1"/>
        <v>OK</v>
      </c>
    </row>
    <row r="9404" spans="2:34" x14ac:dyDescent="0.2">
      <c r="B9404" s="2">
        <f ca="1"/>
        <v>0.35610039756181266</v>
      </c>
      <c r="O9404" s="2">
        <f ca="1"/>
        <v>-0.58860418856375141</v>
      </c>
      <c r="X9404" s="2">
        <f ca="1"/>
        <v>46.432352070785818</v>
      </c>
      <c r="AG9404" s="2">
        <f ca="1"/>
        <v>7.3879520384748432E-2</v>
      </c>
      <c r="AH9404" s="2" t="str">
        <f ca="1"/>
        <v>OK</v>
      </c>
    </row>
    <row r="9405" spans="2:34" x14ac:dyDescent="0.2">
      <c r="B9405" s="2">
        <f ca="1"/>
        <v>0.91027525645606922</v>
      </c>
      <c r="O9405" s="2">
        <f ca="1"/>
        <v>0.75316886694236873</v>
      </c>
      <c r="X9405" s="2">
        <f ca="1"/>
        <v>53.553207342505999</v>
      </c>
      <c r="AG9405" s="2">
        <f ca="1"/>
        <v>0.23113170322224819</v>
      </c>
      <c r="AH9405" s="2" t="str">
        <f ca="1"/>
        <v>OK</v>
      </c>
    </row>
    <row r="9406" spans="2:34" x14ac:dyDescent="0.2">
      <c r="B9406" s="2">
        <f ca="1"/>
        <v>0.95470686525506676</v>
      </c>
      <c r="O9406" s="2">
        <f ca="1"/>
        <v>-9.7514095990871963E-2</v>
      </c>
      <c r="X9406" s="2">
        <f ca="1"/>
        <v>38.92068643533996</v>
      </c>
      <c r="AG9406" s="2">
        <f ca="1"/>
        <v>0.67968014430043278</v>
      </c>
      <c r="AH9406" s="2" t="str">
        <f ca="1"/>
        <v>Bad</v>
      </c>
    </row>
    <row r="9407" spans="2:34" x14ac:dyDescent="0.2">
      <c r="B9407" s="2">
        <f ca="1"/>
        <v>9.6534801619183597E-3</v>
      </c>
      <c r="O9407" s="2">
        <f ca="1"/>
        <v>4.0239375995318648E-2</v>
      </c>
      <c r="X9407" s="2">
        <f ca="1"/>
        <v>54.363464198738633</v>
      </c>
      <c r="AG9407" s="2">
        <f ca="1"/>
        <v>0.92125138801797979</v>
      </c>
      <c r="AH9407" s="2" t="str">
        <f ca="1"/>
        <v>Bad</v>
      </c>
    </row>
    <row r="9408" spans="2:34" x14ac:dyDescent="0.2">
      <c r="B9408" s="2">
        <f ca="1"/>
        <v>0.2271742010499862</v>
      </c>
      <c r="O9408" s="2">
        <f ca="1"/>
        <v>0.24158112969012588</v>
      </c>
      <c r="X9408" s="2">
        <f ca="1"/>
        <v>61.095438891476306</v>
      </c>
      <c r="AG9408" s="2">
        <f ca="1"/>
        <v>0.77902116899643814</v>
      </c>
      <c r="AH9408" s="2" t="str">
        <f ca="1"/>
        <v>Bad</v>
      </c>
    </row>
    <row r="9409" spans="2:34" x14ac:dyDescent="0.2">
      <c r="B9409" s="2">
        <f ca="1"/>
        <v>0.51839391144884228</v>
      </c>
      <c r="O9409" s="2">
        <f ca="1"/>
        <v>0.51997120277668973</v>
      </c>
      <c r="X9409" s="2">
        <f ca="1"/>
        <v>18.305509841155089</v>
      </c>
      <c r="AG9409" s="2">
        <f ca="1"/>
        <v>0.76859450851040334</v>
      </c>
      <c r="AH9409" s="2" t="str">
        <f ca="1"/>
        <v>Bad</v>
      </c>
    </row>
    <row r="9410" spans="2:34" x14ac:dyDescent="0.2">
      <c r="B9410" s="2">
        <f ca="1"/>
        <v>7.8348316708937382E-2</v>
      </c>
      <c r="O9410" s="2">
        <f ca="1"/>
        <v>-1.1664899233290607</v>
      </c>
      <c r="X9410" s="2">
        <f ca="1"/>
        <v>35.088371415490151</v>
      </c>
      <c r="AG9410" s="2">
        <f ca="1"/>
        <v>5.9175824941673838E-2</v>
      </c>
      <c r="AH9410" s="2" t="str">
        <f ca="1"/>
        <v>OK</v>
      </c>
    </row>
    <row r="9411" spans="2:34" x14ac:dyDescent="0.2">
      <c r="B9411" s="2">
        <f ca="1"/>
        <v>0.54841716363358728</v>
      </c>
      <c r="O9411" s="2">
        <f ca="1"/>
        <v>0.5169738899795373</v>
      </c>
      <c r="X9411" s="2">
        <f ca="1"/>
        <v>27.922843270602527</v>
      </c>
      <c r="AG9411" s="2">
        <f ca="1"/>
        <v>0.30672198270916295</v>
      </c>
      <c r="AH9411" s="2" t="str">
        <f ca="1"/>
        <v>OK</v>
      </c>
    </row>
    <row r="9412" spans="2:34" x14ac:dyDescent="0.2">
      <c r="B9412" s="2">
        <f ca="1"/>
        <v>0.15490495965787421</v>
      </c>
      <c r="O9412" s="2">
        <f ca="1"/>
        <v>0.72144531638491582</v>
      </c>
      <c r="X9412" s="2">
        <f ca="1"/>
        <v>32.495258457992271</v>
      </c>
      <c r="AG9412" s="2">
        <f ca="1"/>
        <v>0.98862429829425169</v>
      </c>
      <c r="AH9412" s="2" t="str">
        <f ca="1"/>
        <v>Bad</v>
      </c>
    </row>
    <row r="9413" spans="2:34" x14ac:dyDescent="0.2">
      <c r="B9413" s="2">
        <f ca="1"/>
        <v>0.40818204107710887</v>
      </c>
      <c r="O9413" s="2">
        <f ca="1"/>
        <v>-8.7779461651144489E-2</v>
      </c>
      <c r="X9413" s="2">
        <f ca="1"/>
        <v>39.586534366626381</v>
      </c>
      <c r="AG9413" s="2">
        <f ca="1"/>
        <v>0.17600682817568547</v>
      </c>
      <c r="AH9413" s="2" t="str">
        <f ca="1"/>
        <v>OK</v>
      </c>
    </row>
    <row r="9414" spans="2:34" x14ac:dyDescent="0.2">
      <c r="B9414" s="2">
        <f ca="1"/>
        <v>0.10916153507036563</v>
      </c>
      <c r="O9414" s="2">
        <f ca="1"/>
        <v>-1.6164164205125024</v>
      </c>
      <c r="X9414" s="2">
        <f ca="1"/>
        <v>47.742122958139895</v>
      </c>
      <c r="AG9414" s="2">
        <f ca="1"/>
        <v>0.84795224913437717</v>
      </c>
      <c r="AH9414" s="2" t="str">
        <f ca="1"/>
        <v>Bad</v>
      </c>
    </row>
    <row r="9415" spans="2:34" x14ac:dyDescent="0.2">
      <c r="B9415" s="2">
        <f ca="1"/>
        <v>0.23271303596306625</v>
      </c>
      <c r="O9415" s="2">
        <f ca="1"/>
        <v>-0.68236611569375438</v>
      </c>
      <c r="X9415" s="2">
        <f ca="1"/>
        <v>43.674888979054209</v>
      </c>
      <c r="AG9415" s="2">
        <f ca="1"/>
        <v>0.19262650483232835</v>
      </c>
      <c r="AH9415" s="2" t="str">
        <f ca="1"/>
        <v>OK</v>
      </c>
    </row>
    <row r="9416" spans="2:34" x14ac:dyDescent="0.2">
      <c r="B9416" s="2">
        <f ca="1"/>
        <v>0.7266283587959852</v>
      </c>
      <c r="O9416" s="2">
        <f ca="1"/>
        <v>0.17431469859192034</v>
      </c>
      <c r="X9416" s="2">
        <f ca="1"/>
        <v>45.006196229278956</v>
      </c>
      <c r="AG9416" s="2">
        <f ca="1"/>
        <v>0.53363364927653656</v>
      </c>
      <c r="AH9416" s="2" t="str">
        <f ca="1"/>
        <v>Bad</v>
      </c>
    </row>
    <row r="9417" spans="2:34" x14ac:dyDescent="0.2">
      <c r="B9417" s="2">
        <f ca="1"/>
        <v>0.43629004280361783</v>
      </c>
      <c r="O9417" s="2">
        <f ca="1"/>
        <v>1.4334883077092657</v>
      </c>
      <c r="X9417" s="2">
        <f ca="1"/>
        <v>40.187261493136681</v>
      </c>
      <c r="AG9417" s="2">
        <f ca="1"/>
        <v>0.1882880312029398</v>
      </c>
      <c r="AH9417" s="2" t="str">
        <f ca="1"/>
        <v>OK</v>
      </c>
    </row>
    <row r="9418" spans="2:34" x14ac:dyDescent="0.2">
      <c r="B9418" s="2">
        <f ca="1"/>
        <v>0.99227512450921962</v>
      </c>
      <c r="O9418" s="2">
        <f ca="1"/>
        <v>-1.8036556488468061</v>
      </c>
      <c r="X9418" s="2">
        <f ca="1"/>
        <v>36.103031641162083</v>
      </c>
      <c r="AG9418" s="2">
        <f ca="1"/>
        <v>8.1058574384185178E-3</v>
      </c>
      <c r="AH9418" s="2" t="str">
        <f ca="1"/>
        <v>Good</v>
      </c>
    </row>
    <row r="9419" spans="2:34" x14ac:dyDescent="0.2">
      <c r="B9419" s="2">
        <f ca="1"/>
        <v>2.1876791562368769E-2</v>
      </c>
      <c r="O9419" s="2">
        <f ca="1"/>
        <v>-0.54338810052667053</v>
      </c>
      <c r="X9419" s="2">
        <f ca="1"/>
        <v>48.70679513683109</v>
      </c>
      <c r="AG9419" s="2">
        <f ca="1"/>
        <v>0.19995502522483966</v>
      </c>
      <c r="AH9419" s="2" t="str">
        <f ca="1"/>
        <v>OK</v>
      </c>
    </row>
    <row r="9420" spans="2:34" x14ac:dyDescent="0.2">
      <c r="B9420" s="2">
        <f ca="1"/>
        <v>0.4684183495459906</v>
      </c>
      <c r="O9420" s="2">
        <f ca="1"/>
        <v>-0.92320211081941617</v>
      </c>
      <c r="X9420" s="2">
        <f ca="1"/>
        <v>55.070888668706424</v>
      </c>
      <c r="AG9420" s="2">
        <f ca="1"/>
        <v>0.9546306856501181</v>
      </c>
      <c r="AH9420" s="2" t="str">
        <f ca="1"/>
        <v>Bad</v>
      </c>
    </row>
    <row r="9421" spans="2:34" x14ac:dyDescent="0.2">
      <c r="B9421" s="2">
        <f ca="1"/>
        <v>0.73149232861846492</v>
      </c>
      <c r="O9421" s="2">
        <f ca="1"/>
        <v>-0.63981058033663263</v>
      </c>
      <c r="X9421" s="2">
        <f ca="1"/>
        <v>63.384972086059186</v>
      </c>
      <c r="AG9421" s="2">
        <f ca="1"/>
        <v>0.60588075862995616</v>
      </c>
      <c r="AH9421" s="2" t="str">
        <f ca="1"/>
        <v>Bad</v>
      </c>
    </row>
    <row r="9422" spans="2:34" x14ac:dyDescent="0.2">
      <c r="B9422" s="2">
        <f ca="1"/>
        <v>0.25167309928477843</v>
      </c>
      <c r="O9422" s="2">
        <f ca="1"/>
        <v>-0.27729810792237908</v>
      </c>
      <c r="X9422" s="2">
        <f ca="1"/>
        <v>50.363108956887885</v>
      </c>
      <c r="AG9422" s="2">
        <f ca="1"/>
        <v>0.53300159818778448</v>
      </c>
      <c r="AH9422" s="2" t="str">
        <f ca="1"/>
        <v>Bad</v>
      </c>
    </row>
    <row r="9423" spans="2:34" x14ac:dyDescent="0.2">
      <c r="B9423" s="2">
        <f ca="1"/>
        <v>0.15705903206304206</v>
      </c>
      <c r="O9423" s="2">
        <f ca="1"/>
        <v>-4.7804833595140615E-2</v>
      </c>
      <c r="X9423" s="2">
        <f ca="1"/>
        <v>47.595946325486878</v>
      </c>
      <c r="AG9423" s="2">
        <f ca="1"/>
        <v>0.76805008233764482</v>
      </c>
      <c r="AH9423" s="2" t="str">
        <f ca="1"/>
        <v>Bad</v>
      </c>
    </row>
    <row r="9424" spans="2:34" x14ac:dyDescent="0.2">
      <c r="B9424" s="2">
        <f ca="1"/>
        <v>0.66809575939941346</v>
      </c>
      <c r="O9424" s="2">
        <f ca="1"/>
        <v>-0.26333092946909459</v>
      </c>
      <c r="X9424" s="2">
        <f ca="1"/>
        <v>42.807933925676465</v>
      </c>
      <c r="AG9424" s="2">
        <f ca="1"/>
        <v>9.6032233567393988E-2</v>
      </c>
      <c r="AH9424" s="2" t="str">
        <f ca="1"/>
        <v>OK</v>
      </c>
    </row>
    <row r="9425" spans="2:34" x14ac:dyDescent="0.2">
      <c r="B9425" s="2">
        <f ca="1"/>
        <v>0.53578249749666651</v>
      </c>
      <c r="O9425" s="2">
        <f ca="1"/>
        <v>0.18030133845664098</v>
      </c>
      <c r="X9425" s="2">
        <f ca="1"/>
        <v>52.434086659572429</v>
      </c>
      <c r="AG9425" s="2">
        <f ca="1"/>
        <v>9.4120089994474299E-2</v>
      </c>
      <c r="AH9425" s="2" t="str">
        <f ca="1"/>
        <v>OK</v>
      </c>
    </row>
    <row r="9426" spans="2:34" x14ac:dyDescent="0.2">
      <c r="B9426" s="2">
        <f ca="1"/>
        <v>0.69113303498523848</v>
      </c>
      <c r="O9426" s="2">
        <f ca="1"/>
        <v>-1.6262117684516282</v>
      </c>
      <c r="X9426" s="2">
        <f ca="1"/>
        <v>38.916149404628996</v>
      </c>
      <c r="AG9426" s="2">
        <f ca="1"/>
        <v>0.31031529681751047</v>
      </c>
      <c r="AH9426" s="2" t="str">
        <f ca="1"/>
        <v>OK</v>
      </c>
    </row>
    <row r="9427" spans="2:34" x14ac:dyDescent="0.2">
      <c r="B9427" s="2">
        <f ca="1"/>
        <v>0.99528403000249033</v>
      </c>
      <c r="O9427" s="2">
        <f ca="1"/>
        <v>0.51932209282023789</v>
      </c>
      <c r="X9427" s="2">
        <f ca="1"/>
        <v>49.186384013714097</v>
      </c>
      <c r="AG9427" s="2">
        <f ca="1"/>
        <v>0.54154544319804154</v>
      </c>
      <c r="AH9427" s="2" t="str">
        <f ca="1"/>
        <v>Bad</v>
      </c>
    </row>
    <row r="9428" spans="2:34" x14ac:dyDescent="0.2">
      <c r="B9428" s="2">
        <f ca="1"/>
        <v>0.80440763954574446</v>
      </c>
      <c r="O9428" s="2">
        <f ca="1"/>
        <v>0.5846168697229065</v>
      </c>
      <c r="X9428" s="2">
        <f ca="1"/>
        <v>46.134399784427274</v>
      </c>
      <c r="AG9428" s="2">
        <f ca="1"/>
        <v>0.67537630552519179</v>
      </c>
      <c r="AH9428" s="2" t="str">
        <f ca="1"/>
        <v>Bad</v>
      </c>
    </row>
    <row r="9429" spans="2:34" x14ac:dyDescent="0.2">
      <c r="B9429" s="2">
        <f ca="1"/>
        <v>0.75915029780943644</v>
      </c>
      <c r="O9429" s="2">
        <f ca="1"/>
        <v>0.84786164647559181</v>
      </c>
      <c r="X9429" s="2">
        <f ca="1"/>
        <v>53.166465296117984</v>
      </c>
      <c r="AG9429" s="2">
        <f ca="1"/>
        <v>0.6953694860437285</v>
      </c>
      <c r="AH9429" s="2" t="str">
        <f ca="1"/>
        <v>Bad</v>
      </c>
    </row>
    <row r="9430" spans="2:34" x14ac:dyDescent="0.2">
      <c r="B9430" s="2">
        <f ca="1"/>
        <v>0.18158534024581052</v>
      </c>
      <c r="O9430" s="2">
        <f ca="1"/>
        <v>-2.1183724247643791</v>
      </c>
      <c r="X9430" s="2">
        <f ca="1"/>
        <v>67.735751440004847</v>
      </c>
      <c r="AG9430" s="2">
        <f ca="1"/>
        <v>3.8775399471926653E-2</v>
      </c>
      <c r="AH9430" s="2" t="str">
        <f ca="1"/>
        <v>Good</v>
      </c>
    </row>
    <row r="9431" spans="2:34" x14ac:dyDescent="0.2">
      <c r="B9431" s="2">
        <f ca="1"/>
        <v>0.92756606779111794</v>
      </c>
      <c r="O9431" s="2">
        <f ca="1"/>
        <v>-0.29619855416047314</v>
      </c>
      <c r="X9431" s="2">
        <f ca="1"/>
        <v>38.505456036180384</v>
      </c>
      <c r="AG9431" s="2">
        <f ca="1"/>
        <v>4.8328754626490555E-2</v>
      </c>
      <c r="AH9431" s="2" t="str">
        <f ca="1"/>
        <v>Good</v>
      </c>
    </row>
    <row r="9432" spans="2:34" x14ac:dyDescent="0.2">
      <c r="B9432" s="2">
        <f ca="1"/>
        <v>0.89307407790030902</v>
      </c>
      <c r="O9432" s="2">
        <f ca="1"/>
        <v>2.0493773795870172E-2</v>
      </c>
      <c r="X9432" s="2">
        <f ca="1"/>
        <v>70.352950275394804</v>
      </c>
      <c r="AG9432" s="2">
        <f ca="1"/>
        <v>0.10723919882122224</v>
      </c>
      <c r="AH9432" s="2" t="str">
        <f ca="1"/>
        <v>OK</v>
      </c>
    </row>
    <row r="9433" spans="2:34" x14ac:dyDescent="0.2">
      <c r="B9433" s="2">
        <f ca="1"/>
        <v>0.79182172183522836</v>
      </c>
      <c r="O9433" s="2">
        <f ca="1"/>
        <v>0.21795231936359333</v>
      </c>
      <c r="X9433" s="2">
        <f ca="1"/>
        <v>50.944724900287042</v>
      </c>
      <c r="AG9433" s="2">
        <f ca="1"/>
        <v>0.89545952332945467</v>
      </c>
      <c r="AH9433" s="2" t="str">
        <f ca="1"/>
        <v>Bad</v>
      </c>
    </row>
    <row r="9434" spans="2:34" x14ac:dyDescent="0.2">
      <c r="B9434" s="2">
        <f ca="1"/>
        <v>5.8394312375420476E-4</v>
      </c>
      <c r="O9434" s="2">
        <f ca="1"/>
        <v>-0.26442160037310231</v>
      </c>
      <c r="X9434" s="2">
        <f ca="1"/>
        <v>43.936598733811337</v>
      </c>
      <c r="AG9434" s="2">
        <f ca="1"/>
        <v>0.39271007035815564</v>
      </c>
      <c r="AH9434" s="2" t="str">
        <f ca="1"/>
        <v>OK</v>
      </c>
    </row>
    <row r="9435" spans="2:34" x14ac:dyDescent="0.2">
      <c r="B9435" s="2">
        <f ca="1"/>
        <v>0.26196810267609516</v>
      </c>
      <c r="O9435" s="2">
        <f ca="1"/>
        <v>-0.15837595015850059</v>
      </c>
      <c r="X9435" s="2">
        <f ca="1"/>
        <v>28.389935969977703</v>
      </c>
      <c r="AG9435" s="2">
        <f ca="1"/>
        <v>0.21899930210166274</v>
      </c>
      <c r="AH9435" s="2" t="str">
        <f ca="1"/>
        <v>OK</v>
      </c>
    </row>
    <row r="9436" spans="2:34" x14ac:dyDescent="0.2">
      <c r="B9436" s="2">
        <f ca="1"/>
        <v>0.74928171419163103</v>
      </c>
      <c r="O9436" s="2">
        <f ca="1"/>
        <v>0.80779294746614128</v>
      </c>
      <c r="X9436" s="2">
        <f ca="1"/>
        <v>51.46502601478246</v>
      </c>
      <c r="AG9436" s="2">
        <f ca="1"/>
        <v>0.98418405176078982</v>
      </c>
      <c r="AH9436" s="2" t="str">
        <f ca="1"/>
        <v>Bad</v>
      </c>
    </row>
    <row r="9437" spans="2:34" x14ac:dyDescent="0.2">
      <c r="B9437" s="2">
        <f ca="1"/>
        <v>2.549553097637336E-2</v>
      </c>
      <c r="O9437" s="2">
        <f ca="1"/>
        <v>2.2592830163273261</v>
      </c>
      <c r="X9437" s="2">
        <f ca="1"/>
        <v>36.112589748458731</v>
      </c>
      <c r="AG9437" s="2">
        <f ca="1"/>
        <v>0.83759156596251017</v>
      </c>
      <c r="AH9437" s="2" t="str">
        <f ca="1"/>
        <v>Bad</v>
      </c>
    </row>
    <row r="9438" spans="2:34" x14ac:dyDescent="0.2">
      <c r="B9438" s="2">
        <f ca="1"/>
        <v>0.70883835978233467</v>
      </c>
      <c r="O9438" s="2">
        <f ca="1"/>
        <v>-0.93259337907659123</v>
      </c>
      <c r="X9438" s="2">
        <f ca="1"/>
        <v>40.50985202680927</v>
      </c>
      <c r="AG9438" s="2">
        <f ca="1"/>
        <v>0.33958153311295081</v>
      </c>
      <c r="AH9438" s="2" t="str">
        <f ca="1"/>
        <v>OK</v>
      </c>
    </row>
    <row r="9439" spans="2:34" x14ac:dyDescent="0.2">
      <c r="B9439" s="2">
        <f ca="1"/>
        <v>0.16147740317353221</v>
      </c>
      <c r="O9439" s="2">
        <f ca="1"/>
        <v>-0.16945363989814</v>
      </c>
      <c r="X9439" s="2">
        <f ca="1"/>
        <v>54.357556149198288</v>
      </c>
      <c r="AG9439" s="2">
        <f ca="1"/>
        <v>0.77887325357169779</v>
      </c>
      <c r="AH9439" s="2" t="str">
        <f ca="1"/>
        <v>Bad</v>
      </c>
    </row>
    <row r="9440" spans="2:34" x14ac:dyDescent="0.2">
      <c r="B9440" s="2">
        <f ca="1"/>
        <v>0.98417598829114095</v>
      </c>
      <c r="O9440" s="2">
        <f ca="1"/>
        <v>6.3508895617934102E-2</v>
      </c>
      <c r="X9440" s="2">
        <f ca="1"/>
        <v>40.415654349926903</v>
      </c>
      <c r="AG9440" s="2">
        <f ca="1"/>
        <v>0.1359066543927665</v>
      </c>
      <c r="AH9440" s="2" t="str">
        <f ca="1"/>
        <v>OK</v>
      </c>
    </row>
    <row r="9441" spans="2:34" x14ac:dyDescent="0.2">
      <c r="B9441" s="2">
        <f ca="1"/>
        <v>0.13212977317843877</v>
      </c>
      <c r="O9441" s="2">
        <f ca="1"/>
        <v>-0.38268309261049088</v>
      </c>
      <c r="X9441" s="2">
        <f ca="1"/>
        <v>72.51283490326081</v>
      </c>
      <c r="AG9441" s="2">
        <f ca="1"/>
        <v>0.91004701034486657</v>
      </c>
      <c r="AH9441" s="2" t="str">
        <f ca="1"/>
        <v>Bad</v>
      </c>
    </row>
    <row r="9442" spans="2:34" x14ac:dyDescent="0.2">
      <c r="B9442" s="2">
        <f ca="1"/>
        <v>0.4388382820929102</v>
      </c>
      <c r="O9442" s="2">
        <f ca="1"/>
        <v>0.17248389750373994</v>
      </c>
      <c r="X9442" s="2">
        <f ca="1"/>
        <v>42.113772340868451</v>
      </c>
      <c r="AG9442" s="2">
        <f ca="1"/>
        <v>0.65784833565319856</v>
      </c>
      <c r="AH9442" s="2" t="str">
        <f ca="1"/>
        <v>Bad</v>
      </c>
    </row>
    <row r="9443" spans="2:34" x14ac:dyDescent="0.2">
      <c r="B9443" s="2">
        <f ca="1"/>
        <v>0.18817104888653557</v>
      </c>
      <c r="O9443" s="2">
        <f ca="1"/>
        <v>-0.39647140317220048</v>
      </c>
      <c r="X9443" s="2">
        <f ca="1"/>
        <v>27.881802952892528</v>
      </c>
      <c r="AG9443" s="2">
        <f ca="1"/>
        <v>0.24550060049567235</v>
      </c>
      <c r="AH9443" s="2" t="str">
        <f ca="1"/>
        <v>OK</v>
      </c>
    </row>
    <row r="9444" spans="2:34" x14ac:dyDescent="0.2">
      <c r="B9444" s="2">
        <f ca="1"/>
        <v>0.55821142908062749</v>
      </c>
      <c r="O9444" s="2">
        <f ca="1"/>
        <v>0.27177531954192352</v>
      </c>
      <c r="X9444" s="2">
        <f ca="1"/>
        <v>51.302873276957428</v>
      </c>
      <c r="AG9444" s="2">
        <f ca="1"/>
        <v>0.28935210503900155</v>
      </c>
      <c r="AH9444" s="2" t="str">
        <f ca="1"/>
        <v>OK</v>
      </c>
    </row>
    <row r="9445" spans="2:34" x14ac:dyDescent="0.2">
      <c r="B9445" s="2">
        <f ca="1"/>
        <v>0.62805349482926531</v>
      </c>
      <c r="O9445" s="2">
        <f ca="1"/>
        <v>-0.95168082030460255</v>
      </c>
      <c r="X9445" s="2">
        <f ca="1"/>
        <v>25.155825630258303</v>
      </c>
      <c r="AG9445" s="2">
        <f ca="1"/>
        <v>0.28625352128303105</v>
      </c>
      <c r="AH9445" s="2" t="str">
        <f ca="1"/>
        <v>OK</v>
      </c>
    </row>
    <row r="9446" spans="2:34" x14ac:dyDescent="0.2">
      <c r="B9446" s="2">
        <f ca="1"/>
        <v>0.76761292223673805</v>
      </c>
      <c r="O9446" s="2">
        <f ca="1"/>
        <v>-1.4463959443618446</v>
      </c>
      <c r="X9446" s="2">
        <f ca="1"/>
        <v>57.757055212834771</v>
      </c>
      <c r="AG9446" s="2">
        <f ca="1"/>
        <v>0.26155472518645251</v>
      </c>
      <c r="AH9446" s="2" t="str">
        <f ca="1"/>
        <v>OK</v>
      </c>
    </row>
    <row r="9447" spans="2:34" x14ac:dyDescent="0.2">
      <c r="B9447" s="2">
        <f ca="1"/>
        <v>0.25085803842443455</v>
      </c>
      <c r="O9447" s="2">
        <f ca="1"/>
        <v>-0.49720464796317948</v>
      </c>
      <c r="X9447" s="2">
        <f ca="1"/>
        <v>65.437339557333004</v>
      </c>
      <c r="AG9447" s="2">
        <f ca="1"/>
        <v>0.42008804427448077</v>
      </c>
      <c r="AH9447" s="2" t="str">
        <f ca="1"/>
        <v>Bad</v>
      </c>
    </row>
    <row r="9448" spans="2:34" x14ac:dyDescent="0.2">
      <c r="B9448" s="2">
        <f ca="1"/>
        <v>0.15407736539494565</v>
      </c>
      <c r="O9448" s="2">
        <f ca="1"/>
        <v>0.62118759201377227</v>
      </c>
      <c r="X9448" s="2">
        <f ca="1"/>
        <v>36.871155054096725</v>
      </c>
      <c r="AG9448" s="2">
        <f ca="1"/>
        <v>0.16165781532498036</v>
      </c>
      <c r="AH9448" s="2" t="str">
        <f ca="1"/>
        <v>OK</v>
      </c>
    </row>
    <row r="9449" spans="2:34" x14ac:dyDescent="0.2">
      <c r="B9449" s="2">
        <f ca="1"/>
        <v>0.13403717963369788</v>
      </c>
      <c r="O9449" s="2">
        <f ca="1"/>
        <v>0.92844396116533157</v>
      </c>
      <c r="X9449" s="2">
        <f ca="1"/>
        <v>70.80927211410264</v>
      </c>
      <c r="AG9449" s="2">
        <f ca="1"/>
        <v>0.34281703016378495</v>
      </c>
      <c r="AH9449" s="2" t="str">
        <f ca="1"/>
        <v>OK</v>
      </c>
    </row>
    <row r="9450" spans="2:34" x14ac:dyDescent="0.2">
      <c r="B9450" s="2">
        <f ca="1"/>
        <v>0.5162648383173416</v>
      </c>
      <c r="O9450" s="2">
        <f ca="1"/>
        <v>1.4166891936684975</v>
      </c>
      <c r="X9450" s="2">
        <f ca="1"/>
        <v>55.922035379829225</v>
      </c>
      <c r="AG9450" s="2">
        <f ca="1"/>
        <v>9.9771415646286332E-2</v>
      </c>
      <c r="AH9450" s="2" t="str">
        <f ca="1"/>
        <v>OK</v>
      </c>
    </row>
    <row r="9451" spans="2:34" x14ac:dyDescent="0.2">
      <c r="B9451" s="2">
        <f ca="1"/>
        <v>0.91173551333260061</v>
      </c>
      <c r="O9451" s="2">
        <f ca="1"/>
        <v>0.17981430528930425</v>
      </c>
      <c r="X9451" s="2">
        <f ca="1"/>
        <v>39.620626297356928</v>
      </c>
      <c r="AG9451" s="2">
        <f ca="1"/>
        <v>0.15656742674636548</v>
      </c>
      <c r="AH9451" s="2" t="str">
        <f ca="1"/>
        <v>OK</v>
      </c>
    </row>
    <row r="9452" spans="2:34" x14ac:dyDescent="0.2">
      <c r="B9452" s="2">
        <f ca="1"/>
        <v>5.7983050409641246E-2</v>
      </c>
      <c r="O9452" s="2">
        <f ca="1"/>
        <v>-0.89321586698367583</v>
      </c>
      <c r="X9452" s="2">
        <f ca="1"/>
        <v>65.763967272785138</v>
      </c>
      <c r="AG9452" s="2">
        <f ca="1"/>
        <v>0.39570297444939695</v>
      </c>
      <c r="AH9452" s="2" t="str">
        <f ca="1"/>
        <v>OK</v>
      </c>
    </row>
    <row r="9453" spans="2:34" x14ac:dyDescent="0.2">
      <c r="B9453" s="2">
        <f ca="1"/>
        <v>0.17261260335892548</v>
      </c>
      <c r="O9453" s="2">
        <f ca="1"/>
        <v>0.23005574772008744</v>
      </c>
      <c r="X9453" s="2">
        <f ca="1"/>
        <v>42.11028159296017</v>
      </c>
      <c r="AG9453" s="2">
        <f ca="1"/>
        <v>0.58703608536050278</v>
      </c>
      <c r="AH9453" s="2" t="str">
        <f ca="1"/>
        <v>Bad</v>
      </c>
    </row>
    <row r="9454" spans="2:34" x14ac:dyDescent="0.2">
      <c r="B9454" s="2">
        <f ca="1"/>
        <v>0.45496890566551151</v>
      </c>
      <c r="O9454" s="2">
        <f ca="1"/>
        <v>-0.26285713873893057</v>
      </c>
      <c r="X9454" s="2">
        <f ca="1"/>
        <v>28.447733483525145</v>
      </c>
      <c r="AG9454" s="2">
        <f ca="1"/>
        <v>0.27044920585242815</v>
      </c>
      <c r="AH9454" s="2" t="str">
        <f ca="1"/>
        <v>OK</v>
      </c>
    </row>
    <row r="9455" spans="2:34" x14ac:dyDescent="0.2">
      <c r="B9455" s="2">
        <f ca="1"/>
        <v>9.5658133322034988E-2</v>
      </c>
      <c r="O9455" s="2">
        <f ca="1"/>
        <v>-1.219631085847164</v>
      </c>
      <c r="X9455" s="2">
        <f ca="1"/>
        <v>28.537861148605774</v>
      </c>
      <c r="AG9455" s="2">
        <f ca="1"/>
        <v>0.76470808286918035</v>
      </c>
      <c r="AH9455" s="2" t="str">
        <f ca="1"/>
        <v>Bad</v>
      </c>
    </row>
    <row r="9456" spans="2:34" x14ac:dyDescent="0.2">
      <c r="B9456" s="2">
        <f ca="1"/>
        <v>0.94578223938903294</v>
      </c>
      <c r="O9456" s="2">
        <f ca="1"/>
        <v>2.0417089537116979E-2</v>
      </c>
      <c r="X9456" s="2">
        <f ca="1"/>
        <v>42.324804079220698</v>
      </c>
      <c r="AG9456" s="2">
        <f ca="1"/>
        <v>0.88294782630148338</v>
      </c>
      <c r="AH9456" s="2" t="str">
        <f ca="1"/>
        <v>Bad</v>
      </c>
    </row>
    <row r="9457" spans="2:34" x14ac:dyDescent="0.2">
      <c r="B9457" s="2">
        <f ca="1"/>
        <v>0.943541924261738</v>
      </c>
      <c r="O9457" s="2">
        <f ca="1"/>
        <v>-0.12909311981269858</v>
      </c>
      <c r="X9457" s="2">
        <f ca="1"/>
        <v>47.852924737476812</v>
      </c>
      <c r="AG9457" s="2">
        <f ca="1"/>
        <v>0.20650334172613727</v>
      </c>
      <c r="AH9457" s="2" t="str">
        <f ca="1"/>
        <v>OK</v>
      </c>
    </row>
    <row r="9458" spans="2:34" x14ac:dyDescent="0.2">
      <c r="B9458" s="2">
        <f ca="1"/>
        <v>0.713995729016907</v>
      </c>
      <c r="O9458" s="2">
        <f ca="1"/>
        <v>4.2878041872920922E-2</v>
      </c>
      <c r="X9458" s="2">
        <f ca="1"/>
        <v>58.262968256431108</v>
      </c>
      <c r="AG9458" s="2">
        <f ca="1"/>
        <v>0.91645153754465958</v>
      </c>
      <c r="AH9458" s="2" t="str">
        <f ca="1"/>
        <v>Bad</v>
      </c>
    </row>
    <row r="9459" spans="2:34" x14ac:dyDescent="0.2">
      <c r="B9459" s="2">
        <f ca="1"/>
        <v>0.11394802646708935</v>
      </c>
      <c r="O9459" s="2">
        <f ca="1"/>
        <v>1.5835452792620868</v>
      </c>
      <c r="X9459" s="2">
        <f ca="1"/>
        <v>60.725151519136496</v>
      </c>
      <c r="AG9459" s="2">
        <f ca="1"/>
        <v>0.4781902447319204</v>
      </c>
      <c r="AH9459" s="2" t="str">
        <f ca="1"/>
        <v>Bad</v>
      </c>
    </row>
    <row r="9460" spans="2:34" x14ac:dyDescent="0.2">
      <c r="B9460" s="2">
        <f ca="1"/>
        <v>0.54749246399829277</v>
      </c>
      <c r="O9460" s="2">
        <f ca="1"/>
        <v>0.12213040706745525</v>
      </c>
      <c r="X9460" s="2">
        <f ca="1"/>
        <v>35.099761640919979</v>
      </c>
      <c r="AG9460" s="2">
        <f ca="1"/>
        <v>0.40397266434355883</v>
      </c>
      <c r="AH9460" s="2" t="str">
        <f ca="1"/>
        <v>Bad</v>
      </c>
    </row>
    <row r="9461" spans="2:34" x14ac:dyDescent="0.2">
      <c r="B9461" s="2">
        <f ca="1"/>
        <v>0.80801193799822579</v>
      </c>
      <c r="O9461" s="2">
        <f ca="1"/>
        <v>-0.24553260345563982</v>
      </c>
      <c r="X9461" s="2">
        <f ca="1"/>
        <v>33.073361894459332</v>
      </c>
      <c r="AG9461" s="2">
        <f ca="1"/>
        <v>0.9814745048011464</v>
      </c>
      <c r="AH9461" s="2" t="str">
        <f ca="1"/>
        <v>Bad</v>
      </c>
    </row>
    <row r="9462" spans="2:34" x14ac:dyDescent="0.2">
      <c r="B9462" s="2">
        <f ca="1"/>
        <v>0.61467867810182586</v>
      </c>
      <c r="O9462" s="2">
        <f ca="1"/>
        <v>1.773097191339682</v>
      </c>
      <c r="X9462" s="2">
        <f ca="1"/>
        <v>49.286085202157032</v>
      </c>
      <c r="AG9462" s="2">
        <f ca="1"/>
        <v>2.8802752819101496E-3</v>
      </c>
      <c r="AH9462" s="2" t="str">
        <f ca="1"/>
        <v>Good</v>
      </c>
    </row>
    <row r="9463" spans="2:34" x14ac:dyDescent="0.2">
      <c r="B9463" s="2">
        <f ca="1"/>
        <v>0.72711787842724784</v>
      </c>
      <c r="O9463" s="2">
        <f ca="1"/>
        <v>-0.22850214298460494</v>
      </c>
      <c r="X9463" s="2">
        <f ca="1"/>
        <v>63.657105219174774</v>
      </c>
      <c r="AG9463" s="2">
        <f ca="1"/>
        <v>0.31263154841996732</v>
      </c>
      <c r="AH9463" s="2" t="str">
        <f ca="1"/>
        <v>OK</v>
      </c>
    </row>
    <row r="9464" spans="2:34" x14ac:dyDescent="0.2">
      <c r="B9464" s="2">
        <f ca="1"/>
        <v>0.80011227056023082</v>
      </c>
      <c r="O9464" s="2">
        <f ca="1"/>
        <v>-0.84368317138700077</v>
      </c>
      <c r="X9464" s="2">
        <f ca="1"/>
        <v>56.793848959420629</v>
      </c>
      <c r="AG9464" s="2">
        <f ca="1"/>
        <v>0.9382503093615866</v>
      </c>
      <c r="AH9464" s="2" t="str">
        <f ca="1"/>
        <v>Bad</v>
      </c>
    </row>
    <row r="9465" spans="2:34" x14ac:dyDescent="0.2">
      <c r="B9465" s="2">
        <f ca="1"/>
        <v>0.49967495222068803</v>
      </c>
      <c r="O9465" s="2">
        <f ca="1"/>
        <v>-1.1987402466686232</v>
      </c>
      <c r="X9465" s="2">
        <f ca="1"/>
        <v>22.031716478728825</v>
      </c>
      <c r="AG9465" s="2">
        <f ca="1"/>
        <v>0.82611927638500471</v>
      </c>
      <c r="AH9465" s="2" t="str">
        <f ca="1"/>
        <v>Bad</v>
      </c>
    </row>
    <row r="9466" spans="2:34" x14ac:dyDescent="0.2">
      <c r="B9466" s="2">
        <f ca="1"/>
        <v>0.53613213980525498</v>
      </c>
      <c r="O9466" s="2">
        <f ca="1"/>
        <v>-1.4697837157156131</v>
      </c>
      <c r="X9466" s="2">
        <f ca="1"/>
        <v>13.990262181461926</v>
      </c>
      <c r="AG9466" s="2">
        <f ca="1"/>
        <v>0.27893347000957691</v>
      </c>
      <c r="AH9466" s="2" t="str">
        <f ca="1"/>
        <v>OK</v>
      </c>
    </row>
    <row r="9467" spans="2:34" x14ac:dyDescent="0.2">
      <c r="B9467" s="2">
        <f ca="1"/>
        <v>7.922995441275682E-2</v>
      </c>
      <c r="O9467" s="2">
        <f ca="1"/>
        <v>0.34265200876009599</v>
      </c>
      <c r="X9467" s="2">
        <f ca="1"/>
        <v>39.231799874459902</v>
      </c>
      <c r="AG9467" s="2">
        <f ca="1"/>
        <v>0.18556233560872948</v>
      </c>
      <c r="AH9467" s="2" t="str">
        <f ca="1"/>
        <v>OK</v>
      </c>
    </row>
    <row r="9468" spans="2:34" x14ac:dyDescent="0.2">
      <c r="B9468" s="2">
        <f ca="1"/>
        <v>0.52870167389231693</v>
      </c>
      <c r="O9468" s="2">
        <f ca="1"/>
        <v>0.90327843375341299</v>
      </c>
      <c r="X9468" s="2">
        <f ca="1"/>
        <v>73.022681534222968</v>
      </c>
      <c r="AG9468" s="2">
        <f ca="1"/>
        <v>0.52055570741516344</v>
      </c>
      <c r="AH9468" s="2" t="str">
        <f ca="1"/>
        <v>Bad</v>
      </c>
    </row>
    <row r="9469" spans="2:34" x14ac:dyDescent="0.2">
      <c r="B9469" s="2">
        <f ca="1"/>
        <v>0.5942546384450913</v>
      </c>
      <c r="O9469" s="2">
        <f ca="1"/>
        <v>0.32466115672588841</v>
      </c>
      <c r="X9469" s="2">
        <f ca="1"/>
        <v>79.49616186536349</v>
      </c>
      <c r="AG9469" s="2">
        <f ca="1"/>
        <v>0.78839819694250468</v>
      </c>
      <c r="AH9469" s="2" t="str">
        <f ca="1"/>
        <v>Bad</v>
      </c>
    </row>
    <row r="9470" spans="2:34" x14ac:dyDescent="0.2">
      <c r="B9470" s="2">
        <f ca="1"/>
        <v>3.6154548569219846E-2</v>
      </c>
      <c r="O9470" s="2">
        <f ca="1"/>
        <v>0.65702386130967572</v>
      </c>
      <c r="X9470" s="2">
        <f ca="1"/>
        <v>71.618746435199199</v>
      </c>
      <c r="AG9470" s="2">
        <f ca="1"/>
        <v>1.5931247115075431E-2</v>
      </c>
      <c r="AH9470" s="2" t="str">
        <f ca="1"/>
        <v>Good</v>
      </c>
    </row>
    <row r="9471" spans="2:34" x14ac:dyDescent="0.2">
      <c r="B9471" s="2">
        <f ca="1"/>
        <v>0.11268651591217904</v>
      </c>
      <c r="O9471" s="2">
        <f ca="1"/>
        <v>0.11110860291080978</v>
      </c>
      <c r="X9471" s="2">
        <f ca="1"/>
        <v>46.198986392009054</v>
      </c>
      <c r="AG9471" s="2">
        <f ca="1"/>
        <v>0.14160392958213763</v>
      </c>
      <c r="AH9471" s="2" t="str">
        <f ca="1"/>
        <v>OK</v>
      </c>
    </row>
    <row r="9472" spans="2:34" x14ac:dyDescent="0.2">
      <c r="B9472" s="2">
        <f ca="1"/>
        <v>0.3939119162607434</v>
      </c>
      <c r="O9472" s="2">
        <f ca="1"/>
        <v>-0.48078902322847145</v>
      </c>
      <c r="X9472" s="2">
        <f ca="1"/>
        <v>37.171780431555476</v>
      </c>
      <c r="AG9472" s="2">
        <f ca="1"/>
        <v>0.76345689391406424</v>
      </c>
      <c r="AH9472" s="2" t="str">
        <f ca="1"/>
        <v>Bad</v>
      </c>
    </row>
    <row r="9473" spans="2:34" x14ac:dyDescent="0.2">
      <c r="B9473" s="2">
        <f ca="1"/>
        <v>9.220541704461005E-2</v>
      </c>
      <c r="O9473" s="2">
        <f ca="1"/>
        <v>0.19606620375020739</v>
      </c>
      <c r="X9473" s="2">
        <f ca="1"/>
        <v>50.833188167798696</v>
      </c>
      <c r="AG9473" s="2">
        <f ca="1"/>
        <v>0.94873088998802091</v>
      </c>
      <c r="AH9473" s="2" t="str">
        <f ca="1"/>
        <v>Bad</v>
      </c>
    </row>
    <row r="9474" spans="2:34" x14ac:dyDescent="0.2">
      <c r="B9474" s="2">
        <f ca="1"/>
        <v>0.7934311402492058</v>
      </c>
      <c r="O9474" s="2">
        <f ca="1"/>
        <v>-0.79902078078862693</v>
      </c>
      <c r="X9474" s="2">
        <f ca="1"/>
        <v>48.209213661980392</v>
      </c>
      <c r="AG9474" s="2">
        <f ca="1"/>
        <v>0.81481627454250716</v>
      </c>
      <c r="AH9474" s="2" t="str">
        <f ca="1"/>
        <v>Bad</v>
      </c>
    </row>
    <row r="9475" spans="2:34" x14ac:dyDescent="0.2">
      <c r="B9475" s="2">
        <f ca="1"/>
        <v>0.40571794533918526</v>
      </c>
      <c r="O9475" s="2">
        <f ca="1"/>
        <v>-0.93488157968744667</v>
      </c>
      <c r="X9475" s="2">
        <f ca="1"/>
        <v>30.55888814477531</v>
      </c>
      <c r="AG9475" s="2">
        <f ca="1"/>
        <v>0.86957575408801646</v>
      </c>
      <c r="AH9475" s="2" t="str">
        <f ca="1"/>
        <v>Bad</v>
      </c>
    </row>
    <row r="9476" spans="2:34" x14ac:dyDescent="0.2">
      <c r="B9476" s="2">
        <f ca="1"/>
        <v>0.40638326943397396</v>
      </c>
      <c r="O9476" s="2">
        <f ca="1"/>
        <v>-2.1241343910761148</v>
      </c>
      <c r="X9476" s="2">
        <f ca="1"/>
        <v>53.466335124471044</v>
      </c>
      <c r="AG9476" s="2">
        <f ca="1"/>
        <v>0.87371680119831652</v>
      </c>
      <c r="AH9476" s="2" t="str">
        <f ca="1"/>
        <v>Bad</v>
      </c>
    </row>
    <row r="9477" spans="2:34" x14ac:dyDescent="0.2">
      <c r="B9477" s="2">
        <f ca="1"/>
        <v>0.36828868255040792</v>
      </c>
      <c r="O9477" s="2">
        <f ca="1"/>
        <v>-6.5504179060746348E-2</v>
      </c>
      <c r="X9477" s="2">
        <f ca="1"/>
        <v>57.090794883652372</v>
      </c>
      <c r="AG9477" s="2">
        <f ca="1"/>
        <v>3.5015143681905281E-2</v>
      </c>
      <c r="AH9477" s="2" t="str">
        <f ca="1"/>
        <v>Good</v>
      </c>
    </row>
    <row r="9478" spans="2:34" x14ac:dyDescent="0.2">
      <c r="B9478" s="2">
        <f ca="1"/>
        <v>0.48814603395556899</v>
      </c>
      <c r="O9478" s="2">
        <f ca="1"/>
        <v>-0.91540462192830274</v>
      </c>
      <c r="X9478" s="2">
        <f ca="1"/>
        <v>52.89707179516811</v>
      </c>
      <c r="AG9478" s="2">
        <f ca="1"/>
        <v>0.49958513640810498</v>
      </c>
      <c r="AH9478" s="2" t="str">
        <f ca="1"/>
        <v>Bad</v>
      </c>
    </row>
    <row r="9479" spans="2:34" x14ac:dyDescent="0.2">
      <c r="B9479" s="2">
        <f ca="1"/>
        <v>0.25849668370869017</v>
      </c>
      <c r="O9479" s="2">
        <f ca="1"/>
        <v>-0.39714426034720396</v>
      </c>
      <c r="X9479" s="2">
        <f ca="1"/>
        <v>72.581304144839237</v>
      </c>
      <c r="AG9479" s="2">
        <f ca="1"/>
        <v>0.49555973578663104</v>
      </c>
      <c r="AH9479" s="2" t="str">
        <f ca="1"/>
        <v>Bad</v>
      </c>
    </row>
    <row r="9480" spans="2:34" x14ac:dyDescent="0.2">
      <c r="B9480" s="2">
        <f ca="1"/>
        <v>0.31773688031415737</v>
      </c>
      <c r="O9480" s="2">
        <f ca="1"/>
        <v>-0.38535631804994247</v>
      </c>
      <c r="X9480" s="2">
        <f ca="1"/>
        <v>66.893224911660013</v>
      </c>
      <c r="AG9480" s="2">
        <f ca="1"/>
        <v>0.74843227303739068</v>
      </c>
      <c r="AH9480" s="2" t="str">
        <f ca="1"/>
        <v>Bad</v>
      </c>
    </row>
    <row r="9481" spans="2:34" x14ac:dyDescent="0.2">
      <c r="B9481" s="2">
        <f ca="1"/>
        <v>0.5746746488036738</v>
      </c>
      <c r="O9481" s="2">
        <f ca="1"/>
        <v>0.28303937355940223</v>
      </c>
      <c r="X9481" s="2">
        <f ca="1"/>
        <v>28.113991684260444</v>
      </c>
      <c r="AG9481" s="2">
        <f ca="1"/>
        <v>0.78171766910483309</v>
      </c>
      <c r="AH9481" s="2" t="str">
        <f ca="1"/>
        <v>Bad</v>
      </c>
    </row>
    <row r="9482" spans="2:34" x14ac:dyDescent="0.2">
      <c r="B9482" s="2">
        <f ca="1"/>
        <v>0.961224570429976</v>
      </c>
      <c r="O9482" s="2">
        <f ca="1"/>
        <v>0.62652613937755042</v>
      </c>
      <c r="X9482" s="2">
        <f ca="1"/>
        <v>59.708981250478331</v>
      </c>
      <c r="AG9482" s="2">
        <f ca="1"/>
        <v>0.17142188026047411</v>
      </c>
      <c r="AH9482" s="2" t="str">
        <f ca="1"/>
        <v>OK</v>
      </c>
    </row>
    <row r="9483" spans="2:34" x14ac:dyDescent="0.2">
      <c r="B9483" s="2">
        <f ca="1"/>
        <v>0.50110246782237544</v>
      </c>
      <c r="O9483" s="2">
        <f ca="1"/>
        <v>-0.9599917375660576</v>
      </c>
      <c r="X9483" s="2">
        <f ca="1"/>
        <v>47.389278835234592</v>
      </c>
      <c r="AG9483" s="2">
        <f ca="1"/>
        <v>0.9739499113703276</v>
      </c>
      <c r="AH9483" s="2" t="str">
        <f ca="1"/>
        <v>Bad</v>
      </c>
    </row>
    <row r="9484" spans="2:34" x14ac:dyDescent="0.2">
      <c r="B9484" s="2">
        <f ca="1"/>
        <v>0.16225065158061613</v>
      </c>
      <c r="O9484" s="2">
        <f ca="1"/>
        <v>-1.2514741475124136</v>
      </c>
      <c r="X9484" s="2">
        <f ca="1"/>
        <v>65.169910731100344</v>
      </c>
      <c r="AG9484" s="2">
        <f ca="1"/>
        <v>0.37114502071893263</v>
      </c>
      <c r="AH9484" s="2" t="str">
        <f ca="1"/>
        <v>OK</v>
      </c>
    </row>
    <row r="9485" spans="2:34" x14ac:dyDescent="0.2">
      <c r="B9485" s="2">
        <f ca="1"/>
        <v>0.68703499656324629</v>
      </c>
      <c r="O9485" s="2">
        <f ca="1"/>
        <v>0.86284995656007302</v>
      </c>
      <c r="X9485" s="2">
        <f ca="1"/>
        <v>48.940533830474486</v>
      </c>
      <c r="AG9485" s="2">
        <f ca="1"/>
        <v>0.92679769553101288</v>
      </c>
      <c r="AH9485" s="2" t="str">
        <f ca="1"/>
        <v>Bad</v>
      </c>
    </row>
    <row r="9486" spans="2:34" x14ac:dyDescent="0.2">
      <c r="B9486" s="2">
        <f ca="1"/>
        <v>0.92553414698458814</v>
      </c>
      <c r="O9486" s="2">
        <f ca="1"/>
        <v>-0.83822764130406691</v>
      </c>
      <c r="X9486" s="2">
        <f ca="1"/>
        <v>56.299141935877948</v>
      </c>
      <c r="AG9486" s="2">
        <f ca="1"/>
        <v>0.57522236606392618</v>
      </c>
      <c r="AH9486" s="2" t="str">
        <f ca="1"/>
        <v>Bad</v>
      </c>
    </row>
    <row r="9487" spans="2:34" x14ac:dyDescent="0.2">
      <c r="B9487" s="2">
        <f ca="1"/>
        <v>3.9256535909579782E-2</v>
      </c>
      <c r="O9487" s="2">
        <f ca="1"/>
        <v>-8.8730041828310513E-2</v>
      </c>
      <c r="X9487" s="2">
        <f ca="1"/>
        <v>27.75889460860283</v>
      </c>
      <c r="AG9487" s="2">
        <f ca="1"/>
        <v>0.47894618905226971</v>
      </c>
      <c r="AH9487" s="2" t="str">
        <f ca="1"/>
        <v>Bad</v>
      </c>
    </row>
    <row r="9488" spans="2:34" x14ac:dyDescent="0.2">
      <c r="B9488" s="2">
        <f ca="1"/>
        <v>0.98428666513596719</v>
      </c>
      <c r="O9488" s="2">
        <f ca="1"/>
        <v>0.96775021501864189</v>
      </c>
      <c r="X9488" s="2">
        <f ca="1"/>
        <v>62.754043980254515</v>
      </c>
      <c r="AG9488" s="2">
        <f ca="1"/>
        <v>0.22009117106336085</v>
      </c>
      <c r="AH9488" s="2" t="str">
        <f ca="1"/>
        <v>OK</v>
      </c>
    </row>
    <row r="9489" spans="2:34" x14ac:dyDescent="0.2">
      <c r="B9489" s="2">
        <f ca="1"/>
        <v>0.9846419392346677</v>
      </c>
      <c r="O9489" s="2">
        <f ca="1"/>
        <v>-1.1316062042289263</v>
      </c>
      <c r="X9489" s="2">
        <f ca="1"/>
        <v>50.9904089432642</v>
      </c>
      <c r="AG9489" s="2">
        <f ca="1"/>
        <v>0.28628368650039482</v>
      </c>
      <c r="AH9489" s="2" t="str">
        <f ca="1"/>
        <v>OK</v>
      </c>
    </row>
    <row r="9490" spans="2:34" x14ac:dyDescent="0.2">
      <c r="B9490" s="2">
        <f ca="1"/>
        <v>0.23146149581924802</v>
      </c>
      <c r="O9490" s="2">
        <f ca="1"/>
        <v>-0.4454596244425913</v>
      </c>
      <c r="X9490" s="2">
        <f ca="1"/>
        <v>82.7222380298427</v>
      </c>
      <c r="AG9490" s="2">
        <f ca="1"/>
        <v>0.87607180990283862</v>
      </c>
      <c r="AH9490" s="2" t="str">
        <f ca="1"/>
        <v>Bad</v>
      </c>
    </row>
    <row r="9491" spans="2:34" x14ac:dyDescent="0.2">
      <c r="B9491" s="2">
        <f ca="1"/>
        <v>0.47693682776472901</v>
      </c>
      <c r="O9491" s="2">
        <f ca="1"/>
        <v>-1.0754795770592278</v>
      </c>
      <c r="X9491" s="2">
        <f ca="1"/>
        <v>46.792073839136918</v>
      </c>
      <c r="AG9491" s="2">
        <f ca="1"/>
        <v>0.90996131877284281</v>
      </c>
      <c r="AH9491" s="2" t="str">
        <f ca="1"/>
        <v>Bad</v>
      </c>
    </row>
    <row r="9492" spans="2:34" x14ac:dyDescent="0.2">
      <c r="B9492" s="2">
        <f ca="1"/>
        <v>0.27071010209599344</v>
      </c>
      <c r="O9492" s="2">
        <f ca="1"/>
        <v>-0.82078862024595867</v>
      </c>
      <c r="X9492" s="2">
        <f ca="1"/>
        <v>40.6366789618166</v>
      </c>
      <c r="AG9492" s="2">
        <f ca="1"/>
        <v>0.51416992165792141</v>
      </c>
      <c r="AH9492" s="2" t="str">
        <f ca="1"/>
        <v>Bad</v>
      </c>
    </row>
    <row r="9493" spans="2:34" x14ac:dyDescent="0.2">
      <c r="B9493" s="2">
        <f ca="1"/>
        <v>0.55207571918700982</v>
      </c>
      <c r="O9493" s="2">
        <f ca="1"/>
        <v>-0.36064504550265436</v>
      </c>
      <c r="X9493" s="2">
        <f ca="1"/>
        <v>69.38966389729697</v>
      </c>
      <c r="AG9493" s="2">
        <f ca="1"/>
        <v>0.24932197320389338</v>
      </c>
      <c r="AH9493" s="2" t="str">
        <f ca="1"/>
        <v>OK</v>
      </c>
    </row>
    <row r="9494" spans="2:34" x14ac:dyDescent="0.2">
      <c r="B9494" s="2">
        <f ca="1"/>
        <v>0.52317794333776924</v>
      </c>
      <c r="O9494" s="2">
        <f ca="1"/>
        <v>0.89983463305779532</v>
      </c>
      <c r="X9494" s="2">
        <f ca="1"/>
        <v>47.386018826379484</v>
      </c>
      <c r="AG9494" s="2">
        <f ca="1"/>
        <v>0.50993221480930728</v>
      </c>
      <c r="AH9494" s="2" t="str">
        <f ca="1"/>
        <v>Bad</v>
      </c>
    </row>
    <row r="9495" spans="2:34" x14ac:dyDescent="0.2">
      <c r="B9495" s="2">
        <f ca="1"/>
        <v>1.0318084939536787E-2</v>
      </c>
      <c r="O9495" s="2">
        <f ca="1"/>
        <v>0.50345399155062265</v>
      </c>
      <c r="X9495" s="2">
        <f ca="1"/>
        <v>43.082569190906845</v>
      </c>
      <c r="AG9495" s="2">
        <f ca="1"/>
        <v>0.75646423758386883</v>
      </c>
      <c r="AH9495" s="2" t="str">
        <f ca="1"/>
        <v>Bad</v>
      </c>
    </row>
    <row r="9496" spans="2:34" x14ac:dyDescent="0.2">
      <c r="B9496" s="2">
        <f ca="1"/>
        <v>0.52648272860351297</v>
      </c>
      <c r="O9496" s="2">
        <f ca="1"/>
        <v>-0.62348318767326449</v>
      </c>
      <c r="X9496" s="2">
        <f ca="1"/>
        <v>39.669452585350513</v>
      </c>
      <c r="AG9496" s="2">
        <f ca="1"/>
        <v>0.99930493686277355</v>
      </c>
      <c r="AH9496" s="2" t="str">
        <f ca="1"/>
        <v>Bad</v>
      </c>
    </row>
    <row r="9497" spans="2:34" x14ac:dyDescent="0.2">
      <c r="B9497" s="2">
        <f ca="1"/>
        <v>0.23101847234939488</v>
      </c>
      <c r="O9497" s="2">
        <f ca="1"/>
        <v>-7.2979828451762924E-3</v>
      </c>
      <c r="X9497" s="2">
        <f ca="1"/>
        <v>68.331240602080726</v>
      </c>
      <c r="AG9497" s="2">
        <f ca="1"/>
        <v>0.27153053874651922</v>
      </c>
      <c r="AH9497" s="2" t="str">
        <f ca="1"/>
        <v>OK</v>
      </c>
    </row>
    <row r="9498" spans="2:34" x14ac:dyDescent="0.2">
      <c r="B9498" s="2">
        <f ca="1"/>
        <v>0.20085518580295902</v>
      </c>
      <c r="O9498" s="2">
        <f ca="1"/>
        <v>0.41324853849361209</v>
      </c>
      <c r="X9498" s="2">
        <f ca="1"/>
        <v>57.710131079422808</v>
      </c>
      <c r="AG9498" s="2">
        <f ca="1"/>
        <v>0.33769244329446413</v>
      </c>
      <c r="AH9498" s="2" t="str">
        <f ca="1"/>
        <v>OK</v>
      </c>
    </row>
    <row r="9499" spans="2:34" x14ac:dyDescent="0.2">
      <c r="B9499" s="2">
        <f ca="1"/>
        <v>0.75800233300801301</v>
      </c>
      <c r="O9499" s="2">
        <f ca="1"/>
        <v>1.4902209364202761</v>
      </c>
      <c r="X9499" s="2">
        <f ca="1"/>
        <v>43.291713833874972</v>
      </c>
      <c r="AG9499" s="2">
        <f ca="1"/>
        <v>0.99488292162388037</v>
      </c>
      <c r="AH9499" s="2" t="str">
        <f ca="1"/>
        <v>Bad</v>
      </c>
    </row>
    <row r="9500" spans="2:34" x14ac:dyDescent="0.2">
      <c r="B9500" s="2">
        <f ca="1"/>
        <v>0.22630019524420986</v>
      </c>
      <c r="O9500" s="2">
        <f ca="1"/>
        <v>0.43233913095708082</v>
      </c>
      <c r="X9500" s="2">
        <f ca="1"/>
        <v>57.741603455224592</v>
      </c>
      <c r="AG9500" s="2">
        <f ca="1"/>
        <v>0.67801024812621558</v>
      </c>
      <c r="AH9500" s="2" t="str">
        <f ca="1"/>
        <v>Bad</v>
      </c>
    </row>
    <row r="9501" spans="2:34" x14ac:dyDescent="0.2">
      <c r="B9501" s="2">
        <f ca="1"/>
        <v>0.61820860900622021</v>
      </c>
      <c r="O9501" s="2">
        <f ca="1"/>
        <v>2.3350866428429748</v>
      </c>
      <c r="X9501" s="2">
        <f ca="1"/>
        <v>40.381576370755887</v>
      </c>
      <c r="AG9501" s="2">
        <f ca="1"/>
        <v>0.26836066696952288</v>
      </c>
      <c r="AH9501" s="2" t="str">
        <f ca="1"/>
        <v>OK</v>
      </c>
    </row>
    <row r="9502" spans="2:34" x14ac:dyDescent="0.2">
      <c r="B9502" s="2">
        <f ca="1"/>
        <v>0.87408699381565613</v>
      </c>
      <c r="O9502" s="2">
        <f ca="1"/>
        <v>1.6867666376080508</v>
      </c>
      <c r="X9502" s="2">
        <f ca="1"/>
        <v>71.308756381271721</v>
      </c>
      <c r="AG9502" s="2">
        <f ca="1"/>
        <v>0.84594703766988544</v>
      </c>
      <c r="AH9502" s="2" t="str">
        <f ca="1"/>
        <v>Bad</v>
      </c>
    </row>
    <row r="9503" spans="2:34" x14ac:dyDescent="0.2">
      <c r="B9503" s="2">
        <f ca="1"/>
        <v>0.24263432015129172</v>
      </c>
      <c r="O9503" s="2">
        <f ca="1"/>
        <v>6.7010592493257446E-3</v>
      </c>
      <c r="X9503" s="2">
        <f ca="1"/>
        <v>64.779213070305403</v>
      </c>
      <c r="AG9503" s="2">
        <f ca="1"/>
        <v>0.57871075962255625</v>
      </c>
      <c r="AH9503" s="2" t="str">
        <f ca="1"/>
        <v>Bad</v>
      </c>
    </row>
    <row r="9504" spans="2:34" x14ac:dyDescent="0.2">
      <c r="B9504" s="2">
        <f ca="1"/>
        <v>0.86828966147139752</v>
      </c>
      <c r="O9504" s="2">
        <f ca="1"/>
        <v>-0.51360457939963455</v>
      </c>
      <c r="X9504" s="2">
        <f ca="1"/>
        <v>33.980378180491833</v>
      </c>
      <c r="AG9504" s="2">
        <f ca="1"/>
        <v>0.55474135865457863</v>
      </c>
      <c r="AH9504" s="2" t="str">
        <f ca="1"/>
        <v>Bad</v>
      </c>
    </row>
    <row r="9505" spans="2:34" x14ac:dyDescent="0.2">
      <c r="B9505" s="2">
        <f ca="1"/>
        <v>2.0054946302201282E-2</v>
      </c>
      <c r="O9505" s="2">
        <f ca="1"/>
        <v>-0.28144555856422004</v>
      </c>
      <c r="X9505" s="2">
        <f ca="1"/>
        <v>41.142304288118851</v>
      </c>
      <c r="AG9505" s="2">
        <f ca="1"/>
        <v>0.20012337270552982</v>
      </c>
      <c r="AH9505" s="2" t="str">
        <f ca="1"/>
        <v>OK</v>
      </c>
    </row>
    <row r="9506" spans="2:34" x14ac:dyDescent="0.2">
      <c r="B9506" s="2">
        <f ca="1"/>
        <v>0.57322126663801165</v>
      </c>
      <c r="O9506" s="2">
        <f ca="1"/>
        <v>0.37226759995486808</v>
      </c>
      <c r="X9506" s="2">
        <f ca="1"/>
        <v>34.811494629560599</v>
      </c>
      <c r="AG9506" s="2">
        <f ca="1"/>
        <v>0.92218673669266726</v>
      </c>
      <c r="AH9506" s="2" t="str">
        <f ca="1"/>
        <v>Bad</v>
      </c>
    </row>
    <row r="9507" spans="2:34" x14ac:dyDescent="0.2">
      <c r="B9507" s="2">
        <f ca="1"/>
        <v>0.9912973725635732</v>
      </c>
      <c r="O9507" s="2">
        <f ca="1"/>
        <v>-1.0215682384117992</v>
      </c>
      <c r="X9507" s="2">
        <f ca="1"/>
        <v>28.194473127582931</v>
      </c>
      <c r="AG9507" s="2">
        <f ca="1"/>
        <v>0.42582511057502681</v>
      </c>
      <c r="AH9507" s="2" t="str">
        <f ca="1"/>
        <v>Bad</v>
      </c>
    </row>
    <row r="9508" spans="2:34" x14ac:dyDescent="0.2">
      <c r="B9508" s="2">
        <f ca="1"/>
        <v>0.52704682188996488</v>
      </c>
      <c r="O9508" s="2">
        <f ca="1"/>
        <v>1.1751383092293708</v>
      </c>
      <c r="X9508" s="2">
        <f ca="1"/>
        <v>20.330367019400605</v>
      </c>
      <c r="AG9508" s="2">
        <f ca="1"/>
        <v>0.61999049549320406</v>
      </c>
      <c r="AH9508" s="2" t="str">
        <f ca="1"/>
        <v>Bad</v>
      </c>
    </row>
    <row r="9509" spans="2:34" x14ac:dyDescent="0.2">
      <c r="B9509" s="2">
        <f ca="1"/>
        <v>0.95664520625919658</v>
      </c>
      <c r="O9509" s="2">
        <f ca="1"/>
        <v>0.20150201883213759</v>
      </c>
      <c r="X9509" s="2">
        <f ca="1"/>
        <v>62.123611165937248</v>
      </c>
      <c r="AG9509" s="2">
        <f ca="1"/>
        <v>9.7581750790204813E-2</v>
      </c>
      <c r="AH9509" s="2" t="str">
        <f ca="1"/>
        <v>OK</v>
      </c>
    </row>
    <row r="9510" spans="2:34" x14ac:dyDescent="0.2">
      <c r="B9510" s="2">
        <f ca="1"/>
        <v>0.26752846467247982</v>
      </c>
      <c r="O9510" s="2">
        <f ca="1"/>
        <v>-0.39370519596831172</v>
      </c>
      <c r="X9510" s="2">
        <f ca="1"/>
        <v>70.598479890117289</v>
      </c>
      <c r="AG9510" s="2">
        <f ca="1"/>
        <v>0.72654098481302776</v>
      </c>
      <c r="AH9510" s="2" t="str">
        <f ca="1"/>
        <v>Bad</v>
      </c>
    </row>
    <row r="9511" spans="2:34" x14ac:dyDescent="0.2">
      <c r="B9511" s="2">
        <f ca="1"/>
        <v>0.24649933049946582</v>
      </c>
      <c r="O9511" s="2">
        <f ca="1"/>
        <v>1.3121400076800891</v>
      </c>
      <c r="X9511" s="2">
        <f ca="1"/>
        <v>64.589278826800268</v>
      </c>
      <c r="AG9511" s="2">
        <f ca="1"/>
        <v>0.78904865078361119</v>
      </c>
      <c r="AH9511" s="2" t="str">
        <f ca="1"/>
        <v>Bad</v>
      </c>
    </row>
    <row r="9512" spans="2:34" x14ac:dyDescent="0.2">
      <c r="B9512" s="2">
        <f ca="1"/>
        <v>0.67957092179229761</v>
      </c>
      <c r="O9512" s="2">
        <f ca="1"/>
        <v>-0.46339834320125722</v>
      </c>
      <c r="X9512" s="2">
        <f ca="1"/>
        <v>55.94870446002777</v>
      </c>
      <c r="AG9512" s="2">
        <f ca="1"/>
        <v>0.95027306488714847</v>
      </c>
      <c r="AH9512" s="2" t="str">
        <f ca="1"/>
        <v>Bad</v>
      </c>
    </row>
    <row r="9513" spans="2:34" x14ac:dyDescent="0.2">
      <c r="B9513" s="2">
        <f ca="1"/>
        <v>0.95844105551503289</v>
      </c>
      <c r="O9513" s="2">
        <f ca="1"/>
        <v>0.50164616511769999</v>
      </c>
      <c r="X9513" s="2">
        <f ca="1"/>
        <v>58.944114588042602</v>
      </c>
      <c r="AG9513" s="2">
        <f ca="1"/>
        <v>0.19724609341745047</v>
      </c>
      <c r="AH9513" s="2" t="str">
        <f ca="1"/>
        <v>OK</v>
      </c>
    </row>
    <row r="9514" spans="2:34" x14ac:dyDescent="0.2">
      <c r="B9514" s="2">
        <f ca="1"/>
        <v>0.48991043617643992</v>
      </c>
      <c r="O9514" s="2">
        <f ca="1"/>
        <v>-0.14726506590193431</v>
      </c>
      <c r="X9514" s="2">
        <f ca="1"/>
        <v>57.264032778285419</v>
      </c>
      <c r="AG9514" s="2">
        <f ca="1"/>
        <v>0.47792821433051724</v>
      </c>
      <c r="AH9514" s="2" t="str">
        <f ca="1"/>
        <v>Bad</v>
      </c>
    </row>
    <row r="9515" spans="2:34" x14ac:dyDescent="0.2">
      <c r="B9515" s="2">
        <f ca="1"/>
        <v>0.38095815418738987</v>
      </c>
      <c r="O9515" s="2">
        <f ca="1"/>
        <v>-0.3805799954517628</v>
      </c>
      <c r="X9515" s="2">
        <f ca="1"/>
        <v>49.655002116718222</v>
      </c>
      <c r="AG9515" s="2">
        <f ca="1"/>
        <v>0.97067462923465753</v>
      </c>
      <c r="AH9515" s="2" t="str">
        <f ca="1"/>
        <v>Bad</v>
      </c>
    </row>
    <row r="9516" spans="2:34" x14ac:dyDescent="0.2">
      <c r="B9516" s="2">
        <f ca="1"/>
        <v>0.31196633225715775</v>
      </c>
      <c r="O9516" s="2">
        <f ca="1"/>
        <v>1.925071565112253</v>
      </c>
      <c r="X9516" s="2">
        <f ca="1"/>
        <v>54.577915497578495</v>
      </c>
      <c r="AG9516" s="2">
        <f ca="1"/>
        <v>0.26738747049344846</v>
      </c>
      <c r="AH9516" s="2" t="str">
        <f ca="1"/>
        <v>OK</v>
      </c>
    </row>
    <row r="9517" spans="2:34" x14ac:dyDescent="0.2">
      <c r="B9517" s="2">
        <f ca="1"/>
        <v>0.4204387254669637</v>
      </c>
      <c r="O9517" s="2">
        <f ca="1"/>
        <v>0.38988212518029791</v>
      </c>
      <c r="X9517" s="2">
        <f ca="1"/>
        <v>51.844234971419532</v>
      </c>
      <c r="AG9517" s="2">
        <f ca="1"/>
        <v>0.1814320093139965</v>
      </c>
      <c r="AH9517" s="2" t="str">
        <f ca="1"/>
        <v>OK</v>
      </c>
    </row>
    <row r="9518" spans="2:34" x14ac:dyDescent="0.2">
      <c r="B9518" s="2">
        <f ca="1"/>
        <v>0.18773857415473705</v>
      </c>
      <c r="O9518" s="2">
        <f ca="1"/>
        <v>0.31934430928849233</v>
      </c>
      <c r="X9518" s="2">
        <f ca="1"/>
        <v>40.931556031363343</v>
      </c>
      <c r="AG9518" s="2">
        <f ca="1"/>
        <v>0.10008666097729946</v>
      </c>
      <c r="AH9518" s="2" t="str">
        <f ca="1"/>
        <v>OK</v>
      </c>
    </row>
    <row r="9519" spans="2:34" x14ac:dyDescent="0.2">
      <c r="B9519" s="2">
        <f ca="1"/>
        <v>0.55539248353401827</v>
      </c>
      <c r="O9519" s="2">
        <f ca="1"/>
        <v>-0.41966440591549886</v>
      </c>
      <c r="X9519" s="2">
        <f ca="1"/>
        <v>57.395200926408087</v>
      </c>
      <c r="AG9519" s="2">
        <f ca="1"/>
        <v>0.48345491067377688</v>
      </c>
      <c r="AH9519" s="2" t="str">
        <f ca="1"/>
        <v>Bad</v>
      </c>
    </row>
    <row r="9520" spans="2:34" x14ac:dyDescent="0.2">
      <c r="B9520" s="2">
        <f ca="1"/>
        <v>0.37793044436447332</v>
      </c>
      <c r="O9520" s="2">
        <f ca="1"/>
        <v>-0.99685293754266369</v>
      </c>
      <c r="X9520" s="2">
        <f ca="1"/>
        <v>46.666954788411914</v>
      </c>
      <c r="AG9520" s="2">
        <f ca="1"/>
        <v>0.30773694817505737</v>
      </c>
      <c r="AH9520" s="2" t="str">
        <f ca="1"/>
        <v>OK</v>
      </c>
    </row>
    <row r="9521" spans="2:34" x14ac:dyDescent="0.2">
      <c r="B9521" s="2">
        <f ca="1"/>
        <v>8.7996642988135143E-3</v>
      </c>
      <c r="O9521" s="2">
        <f ca="1"/>
        <v>0.47366402144353753</v>
      </c>
      <c r="X9521" s="2">
        <f ca="1"/>
        <v>32.005750477197815</v>
      </c>
      <c r="AG9521" s="2">
        <f ca="1"/>
        <v>0.6138354705230582</v>
      </c>
      <c r="AH9521" s="2" t="str">
        <f ca="1"/>
        <v>Bad</v>
      </c>
    </row>
    <row r="9522" spans="2:34" x14ac:dyDescent="0.2">
      <c r="B9522" s="2">
        <f ca="1"/>
        <v>9.2409829784457553E-2</v>
      </c>
      <c r="O9522" s="2">
        <f ca="1"/>
        <v>-0.19632232336581842</v>
      </c>
      <c r="X9522" s="2">
        <f ca="1"/>
        <v>26.266534683932981</v>
      </c>
      <c r="AG9522" s="2">
        <f ca="1"/>
        <v>0.44535037899259922</v>
      </c>
      <c r="AH9522" s="2" t="str">
        <f ca="1"/>
        <v>Bad</v>
      </c>
    </row>
    <row r="9523" spans="2:34" x14ac:dyDescent="0.2">
      <c r="B9523" s="2">
        <f ca="1"/>
        <v>0.82118254563584614</v>
      </c>
      <c r="O9523" s="2">
        <f ca="1"/>
        <v>-0.26254276334038806</v>
      </c>
      <c r="X9523" s="2">
        <f ca="1"/>
        <v>41.954116543716829</v>
      </c>
      <c r="AG9523" s="2">
        <f ca="1"/>
        <v>0.58140995194938005</v>
      </c>
      <c r="AH9523" s="2" t="str">
        <f ca="1"/>
        <v>Bad</v>
      </c>
    </row>
    <row r="9524" spans="2:34" x14ac:dyDescent="0.2">
      <c r="B9524" s="2">
        <f ca="1"/>
        <v>0.31577846871904347</v>
      </c>
      <c r="O9524" s="2">
        <f ca="1"/>
        <v>-0.8437633956901891</v>
      </c>
      <c r="X9524" s="2">
        <f ca="1"/>
        <v>45.112284523408555</v>
      </c>
      <c r="AG9524" s="2">
        <f ca="1"/>
        <v>0.40426452362989918</v>
      </c>
      <c r="AH9524" s="2" t="str">
        <f ca="1"/>
        <v>Bad</v>
      </c>
    </row>
    <row r="9525" spans="2:34" x14ac:dyDescent="0.2">
      <c r="B9525" s="2">
        <f ca="1"/>
        <v>0.53814644054779381</v>
      </c>
      <c r="O9525" s="2">
        <f ca="1"/>
        <v>0.48819594999576754</v>
      </c>
      <c r="X9525" s="2">
        <f ca="1"/>
        <v>32.668579220399216</v>
      </c>
      <c r="AG9525" s="2">
        <f ca="1"/>
        <v>0.31713760739639563</v>
      </c>
      <c r="AH9525" s="2" t="str">
        <f ca="1"/>
        <v>OK</v>
      </c>
    </row>
    <row r="9526" spans="2:34" x14ac:dyDescent="0.2">
      <c r="B9526" s="2">
        <f ca="1"/>
        <v>0.8628840390506618</v>
      </c>
      <c r="O9526" s="2">
        <f ca="1"/>
        <v>0.74256666137153282</v>
      </c>
      <c r="X9526" s="2">
        <f ca="1"/>
        <v>76.840943588478098</v>
      </c>
      <c r="AG9526" s="2">
        <f ca="1"/>
        <v>0.20571148982500986</v>
      </c>
      <c r="AH9526" s="2" t="str">
        <f ca="1"/>
        <v>OK</v>
      </c>
    </row>
    <row r="9527" spans="2:34" x14ac:dyDescent="0.2">
      <c r="B9527" s="2">
        <f ca="1"/>
        <v>0.76587780812308681</v>
      </c>
      <c r="O9527" s="2">
        <f ca="1"/>
        <v>-0.99752663743405556</v>
      </c>
      <c r="X9527" s="2">
        <f ca="1"/>
        <v>37.475302524310031</v>
      </c>
      <c r="AG9527" s="2">
        <f ca="1"/>
        <v>0.39680398436865594</v>
      </c>
      <c r="AH9527" s="2" t="str">
        <f ca="1"/>
        <v>OK</v>
      </c>
    </row>
    <row r="9528" spans="2:34" x14ac:dyDescent="0.2">
      <c r="B9528" s="2">
        <f ca="1"/>
        <v>0.11292494561342181</v>
      </c>
      <c r="O9528" s="2">
        <f ca="1"/>
        <v>0.20963380649898619</v>
      </c>
      <c r="X9528" s="2">
        <f ca="1"/>
        <v>38.694477035389205</v>
      </c>
      <c r="AG9528" s="2">
        <f ca="1"/>
        <v>0.92362156067292012</v>
      </c>
      <c r="AH9528" s="2" t="str">
        <f ca="1"/>
        <v>Bad</v>
      </c>
    </row>
    <row r="9529" spans="2:34" x14ac:dyDescent="0.2">
      <c r="B9529" s="2">
        <f ca="1"/>
        <v>0.58401377292247814</v>
      </c>
      <c r="O9529" s="2">
        <f ca="1"/>
        <v>-0.54793064918112633</v>
      </c>
      <c r="X9529" s="2">
        <f ca="1"/>
        <v>60.152691334593783</v>
      </c>
      <c r="AG9529" s="2">
        <f ca="1"/>
        <v>0.24815533730432815</v>
      </c>
      <c r="AH9529" s="2" t="str">
        <f ca="1"/>
        <v>OK</v>
      </c>
    </row>
    <row r="9530" spans="2:34" x14ac:dyDescent="0.2">
      <c r="B9530" s="2">
        <f ca="1"/>
        <v>0.8950029184988777</v>
      </c>
      <c r="O9530" s="2">
        <f ca="1"/>
        <v>-0.38688791179254012</v>
      </c>
      <c r="X9530" s="2">
        <f ca="1"/>
        <v>43.31078488435935</v>
      </c>
      <c r="AG9530" s="2">
        <f ca="1"/>
        <v>0.94383080154194587</v>
      </c>
      <c r="AH9530" s="2" t="str">
        <f ca="1"/>
        <v>Bad</v>
      </c>
    </row>
    <row r="9531" spans="2:34" x14ac:dyDescent="0.2">
      <c r="B9531" s="2">
        <f ca="1"/>
        <v>0.90538620640704348</v>
      </c>
      <c r="O9531" s="2">
        <f ca="1"/>
        <v>0.57441155596905347</v>
      </c>
      <c r="X9531" s="2">
        <f ca="1"/>
        <v>56.67067743310178</v>
      </c>
      <c r="AG9531" s="2">
        <f ca="1"/>
        <v>0.10022738674686171</v>
      </c>
      <c r="AH9531" s="2" t="str">
        <f ca="1"/>
        <v>OK</v>
      </c>
    </row>
    <row r="9532" spans="2:34" x14ac:dyDescent="0.2">
      <c r="B9532" s="2">
        <f ca="1"/>
        <v>0.53877748053914587</v>
      </c>
      <c r="O9532" s="2">
        <f ca="1"/>
        <v>1.3006064645012565</v>
      </c>
      <c r="X9532" s="2">
        <f ca="1"/>
        <v>42.133951606928299</v>
      </c>
      <c r="AG9532" s="2">
        <f ca="1"/>
        <v>0.28841879520912572</v>
      </c>
      <c r="AH9532" s="2" t="str">
        <f ca="1"/>
        <v>OK</v>
      </c>
    </row>
    <row r="9533" spans="2:34" x14ac:dyDescent="0.2">
      <c r="B9533" s="2">
        <f ca="1"/>
        <v>0.85571957472313498</v>
      </c>
      <c r="O9533" s="2">
        <f ca="1"/>
        <v>0.66668224759447003</v>
      </c>
      <c r="X9533" s="2">
        <f ca="1"/>
        <v>79.062892604836563</v>
      </c>
      <c r="AG9533" s="2">
        <f ca="1"/>
        <v>0.52663416774755745</v>
      </c>
      <c r="AH9533" s="2" t="str">
        <f ca="1"/>
        <v>Bad</v>
      </c>
    </row>
    <row r="9534" spans="2:34" x14ac:dyDescent="0.2">
      <c r="B9534" s="2">
        <f ca="1"/>
        <v>0.62407560475411961</v>
      </c>
      <c r="O9534" s="2">
        <f ca="1"/>
        <v>0.36271896430030565</v>
      </c>
      <c r="X9534" s="2">
        <f ca="1"/>
        <v>58.667072040921006</v>
      </c>
      <c r="AG9534" s="2">
        <f ca="1"/>
        <v>0.82226714253769995</v>
      </c>
      <c r="AH9534" s="2" t="str">
        <f ca="1"/>
        <v>Bad</v>
      </c>
    </row>
    <row r="9535" spans="2:34" x14ac:dyDescent="0.2">
      <c r="B9535" s="2">
        <f ca="1"/>
        <v>0.36076119897468195</v>
      </c>
      <c r="O9535" s="2">
        <f ca="1"/>
        <v>-0.78743783022608882</v>
      </c>
      <c r="X9535" s="2">
        <f ca="1"/>
        <v>117.84224748599846</v>
      </c>
      <c r="AG9535" s="2">
        <f ca="1"/>
        <v>0.75260065368556028</v>
      </c>
      <c r="AH9535" s="2" t="str">
        <f ca="1"/>
        <v>Bad</v>
      </c>
    </row>
    <row r="9536" spans="2:34" x14ac:dyDescent="0.2">
      <c r="B9536" s="2">
        <f ca="1"/>
        <v>0.77503347763212749</v>
      </c>
      <c r="O9536" s="2">
        <f ca="1"/>
        <v>-0.50536014331029044</v>
      </c>
      <c r="X9536" s="2">
        <f ca="1"/>
        <v>27.675889221458341</v>
      </c>
      <c r="AG9536" s="2">
        <f ca="1"/>
        <v>0.88622514067401892</v>
      </c>
      <c r="AH9536" s="2" t="str">
        <f ca="1"/>
        <v>Bad</v>
      </c>
    </row>
    <row r="9537" spans="2:34" x14ac:dyDescent="0.2">
      <c r="B9537" s="2">
        <f ca="1"/>
        <v>0.61637467722474804</v>
      </c>
      <c r="O9537" s="2">
        <f ca="1"/>
        <v>-0.10378353653598586</v>
      </c>
      <c r="X9537" s="2">
        <f ca="1"/>
        <v>51.721446665070005</v>
      </c>
      <c r="AG9537" s="2">
        <f ca="1"/>
        <v>0.18058219359147953</v>
      </c>
      <c r="AH9537" s="2" t="str">
        <f ca="1"/>
        <v>OK</v>
      </c>
    </row>
    <row r="9538" spans="2:34" x14ac:dyDescent="0.2">
      <c r="B9538" s="2">
        <f ca="1"/>
        <v>0.11931653482804494</v>
      </c>
      <c r="O9538" s="2">
        <f ca="1"/>
        <v>1.0274076449198735</v>
      </c>
      <c r="X9538" s="2">
        <f ca="1"/>
        <v>80.722737659542148</v>
      </c>
      <c r="AG9538" s="2">
        <f ca="1"/>
        <v>0.69723099775346919</v>
      </c>
      <c r="AH9538" s="2" t="str">
        <f ca="1"/>
        <v>Bad</v>
      </c>
    </row>
    <row r="9539" spans="2:34" x14ac:dyDescent="0.2">
      <c r="B9539" s="2">
        <f ca="1"/>
        <v>0.87356716327020467</v>
      </c>
      <c r="O9539" s="2">
        <f ca="1"/>
        <v>0.97097707679404732</v>
      </c>
      <c r="X9539" s="2">
        <f ca="1"/>
        <v>56.199675978936561</v>
      </c>
      <c r="AG9539" s="2">
        <f ca="1"/>
        <v>0.99814211525235197</v>
      </c>
      <c r="AH9539" s="2" t="str">
        <f ca="1"/>
        <v>Bad</v>
      </c>
    </row>
    <row r="9540" spans="2:34" x14ac:dyDescent="0.2">
      <c r="B9540" s="2">
        <f ca="1"/>
        <v>0.42139312937038054</v>
      </c>
      <c r="O9540" s="2">
        <f ca="1"/>
        <v>0.95591179727421993</v>
      </c>
      <c r="X9540" s="2">
        <f ca="1"/>
        <v>79.315414369621564</v>
      </c>
      <c r="AG9540" s="2">
        <f ca="1"/>
        <v>0.434268887549486</v>
      </c>
      <c r="AH9540" s="2" t="str">
        <f ca="1"/>
        <v>Bad</v>
      </c>
    </row>
    <row r="9541" spans="2:34" x14ac:dyDescent="0.2">
      <c r="B9541" s="2">
        <f ca="1"/>
        <v>0.31758033858808155</v>
      </c>
      <c r="O9541" s="2">
        <f ca="1"/>
        <v>0.55782616272093499</v>
      </c>
      <c r="X9541" s="2">
        <f ca="1"/>
        <v>82.927055002020623</v>
      </c>
      <c r="AG9541" s="2">
        <f ca="1"/>
        <v>0.19991647460048956</v>
      </c>
      <c r="AH9541" s="2" t="str">
        <f ca="1"/>
        <v>OK</v>
      </c>
    </row>
    <row r="9542" spans="2:34" x14ac:dyDescent="0.2">
      <c r="B9542" s="2">
        <f ca="1"/>
        <v>0.41203390112346816</v>
      </c>
      <c r="O9542" s="2">
        <f ca="1"/>
        <v>-0.3265808032778118</v>
      </c>
      <c r="X9542" s="2">
        <f ca="1"/>
        <v>61.740078358590367</v>
      </c>
      <c r="AG9542" s="2">
        <f ca="1"/>
        <v>0.16673823835088686</v>
      </c>
      <c r="AH9542" s="2" t="str">
        <f ca="1"/>
        <v>OK</v>
      </c>
    </row>
    <row r="9543" spans="2:34" x14ac:dyDescent="0.2">
      <c r="B9543" s="2">
        <f ca="1"/>
        <v>8.5569083767309762E-2</v>
      </c>
      <c r="O9543" s="2">
        <f ca="1"/>
        <v>0.96517593455917705</v>
      </c>
      <c r="X9543" s="2">
        <f ca="1"/>
        <v>33.444120057648099</v>
      </c>
      <c r="AG9543" s="2">
        <f ca="1"/>
        <v>0.56572741629647649</v>
      </c>
      <c r="AH9543" s="2" t="str">
        <f ca="1"/>
        <v>Bad</v>
      </c>
    </row>
    <row r="9544" spans="2:34" x14ac:dyDescent="0.2">
      <c r="B9544" s="2">
        <f ca="1"/>
        <v>0.54306718467561343</v>
      </c>
      <c r="O9544" s="2">
        <f ca="1"/>
        <v>-0.4282955184281631</v>
      </c>
      <c r="X9544" s="2">
        <f ca="1"/>
        <v>35.12982476918085</v>
      </c>
      <c r="AG9544" s="2">
        <f ca="1"/>
        <v>0.51759142883345688</v>
      </c>
      <c r="AH9544" s="2" t="str">
        <f ca="1"/>
        <v>Bad</v>
      </c>
    </row>
    <row r="9545" spans="2:34" x14ac:dyDescent="0.2">
      <c r="B9545" s="2">
        <f ca="1"/>
        <v>2.869111665770574E-2</v>
      </c>
      <c r="O9545" s="2">
        <f ca="1"/>
        <v>-1.6600795569977189</v>
      </c>
      <c r="X9545" s="2">
        <f ca="1"/>
        <v>53.26613219201711</v>
      </c>
      <c r="AG9545" s="2">
        <f ca="1"/>
        <v>0.46439386606120281</v>
      </c>
      <c r="AH9545" s="2" t="str">
        <f ca="1"/>
        <v>Bad</v>
      </c>
    </row>
    <row r="9546" spans="2:34" x14ac:dyDescent="0.2">
      <c r="B9546" s="2">
        <f ca="1"/>
        <v>0.45039408159765548</v>
      </c>
      <c r="O9546" s="2">
        <f ca="1"/>
        <v>9.2797480223319295E-2</v>
      </c>
      <c r="X9546" s="2">
        <f ca="1"/>
        <v>44.641264681170611</v>
      </c>
      <c r="AG9546" s="2">
        <f ca="1"/>
        <v>0.5684874445509851</v>
      </c>
      <c r="AH9546" s="2" t="str">
        <f ca="1"/>
        <v>Bad</v>
      </c>
    </row>
    <row r="9547" spans="2:34" x14ac:dyDescent="0.2">
      <c r="B9547" s="2">
        <f ca="1"/>
        <v>0.53911095899829053</v>
      </c>
      <c r="O9547" s="2">
        <f ca="1"/>
        <v>-6.7442097036950269E-2</v>
      </c>
      <c r="X9547" s="2">
        <f ca="1"/>
        <v>54.946787274691211</v>
      </c>
      <c r="AG9547" s="2">
        <f ca="1"/>
        <v>0.35510669944321172</v>
      </c>
      <c r="AH9547" s="2" t="str">
        <f ca="1"/>
        <v>OK</v>
      </c>
    </row>
    <row r="9548" spans="2:34" x14ac:dyDescent="0.2">
      <c r="B9548" s="2">
        <f ca="1"/>
        <v>0.67840375580984924</v>
      </c>
      <c r="O9548" s="2">
        <f ca="1"/>
        <v>-0.73240794275391619</v>
      </c>
      <c r="X9548" s="2">
        <f ca="1"/>
        <v>42.450141821546019</v>
      </c>
      <c r="AG9548" s="2">
        <f ca="1"/>
        <v>0.23099090902019848</v>
      </c>
      <c r="AH9548" s="2" t="str">
        <f ca="1"/>
        <v>OK</v>
      </c>
    </row>
    <row r="9549" spans="2:34" x14ac:dyDescent="0.2">
      <c r="B9549" s="2">
        <f ca="1"/>
        <v>0.19224265339749236</v>
      </c>
      <c r="O9549" s="2">
        <f ca="1"/>
        <v>1.7819224901918451</v>
      </c>
      <c r="X9549" s="2">
        <f ca="1"/>
        <v>29.636140758182727</v>
      </c>
      <c r="AG9549" s="2">
        <f ca="1"/>
        <v>0.18197744081409728</v>
      </c>
      <c r="AH9549" s="2" t="str">
        <f ca="1"/>
        <v>OK</v>
      </c>
    </row>
    <row r="9550" spans="2:34" x14ac:dyDescent="0.2">
      <c r="B9550" s="2">
        <f ca="1"/>
        <v>3.7778897835724745E-2</v>
      </c>
      <c r="O9550" s="2">
        <f ca="1"/>
        <v>0.88943504734333312</v>
      </c>
      <c r="X9550" s="2">
        <f ca="1"/>
        <v>57.800249258587961</v>
      </c>
      <c r="AG9550" s="2">
        <f ca="1"/>
        <v>0.86567338806620486</v>
      </c>
      <c r="AH9550" s="2" t="str">
        <f ca="1"/>
        <v>Bad</v>
      </c>
    </row>
    <row r="9551" spans="2:34" x14ac:dyDescent="0.2">
      <c r="B9551" s="2">
        <f ca="1"/>
        <v>0.22378853670690502</v>
      </c>
      <c r="O9551" s="2">
        <f ca="1"/>
        <v>6.8291333392976553E-3</v>
      </c>
      <c r="X9551" s="2">
        <f ca="1"/>
        <v>49.406764368987609</v>
      </c>
      <c r="AG9551" s="2">
        <f ca="1"/>
        <v>0.52438008988319962</v>
      </c>
      <c r="AH9551" s="2" t="str">
        <f ca="1"/>
        <v>Bad</v>
      </c>
    </row>
    <row r="9552" spans="2:34" x14ac:dyDescent="0.2">
      <c r="B9552" s="2">
        <f ca="1"/>
        <v>0.27782520887334106</v>
      </c>
      <c r="O9552" s="2">
        <f ca="1"/>
        <v>1.3939235362346269</v>
      </c>
      <c r="X9552" s="2">
        <f ca="1"/>
        <v>48.512090684287315</v>
      </c>
      <c r="AG9552" s="2">
        <f ca="1"/>
        <v>6.8107346098173815E-2</v>
      </c>
      <c r="AH9552" s="2" t="str">
        <f ca="1"/>
        <v>OK</v>
      </c>
    </row>
    <row r="9553" spans="2:34" x14ac:dyDescent="0.2">
      <c r="B9553" s="2">
        <f ca="1"/>
        <v>0.37633371435392271</v>
      </c>
      <c r="O9553" s="2">
        <f ca="1"/>
        <v>-0.84240909933501362</v>
      </c>
      <c r="X9553" s="2">
        <f ca="1"/>
        <v>53.957360076789875</v>
      </c>
      <c r="AG9553" s="2">
        <f ca="1"/>
        <v>0.10273024005735976</v>
      </c>
      <c r="AH9553" s="2" t="str">
        <f ca="1"/>
        <v>OK</v>
      </c>
    </row>
    <row r="9554" spans="2:34" x14ac:dyDescent="0.2">
      <c r="B9554" s="2">
        <f ca="1"/>
        <v>0.89916549675238322</v>
      </c>
      <c r="O9554" s="2">
        <f ca="1"/>
        <v>1.7022259486489213</v>
      </c>
      <c r="X9554" s="2">
        <f ca="1"/>
        <v>54.059064323504209</v>
      </c>
      <c r="AG9554" s="2">
        <f ca="1"/>
        <v>0.67572721840332806</v>
      </c>
      <c r="AH9554" s="2" t="str">
        <f ca="1"/>
        <v>Bad</v>
      </c>
    </row>
    <row r="9555" spans="2:34" x14ac:dyDescent="0.2">
      <c r="B9555" s="2">
        <f ca="1"/>
        <v>0.4066145239110377</v>
      </c>
      <c r="O9555" s="2">
        <f ca="1"/>
        <v>-0.20563624817886644</v>
      </c>
      <c r="X9555" s="2">
        <f ca="1"/>
        <v>71.421536878729086</v>
      </c>
      <c r="AG9555" s="2">
        <f ca="1"/>
        <v>0.83807701422514569</v>
      </c>
      <c r="AH9555" s="2" t="str">
        <f ca="1"/>
        <v>Bad</v>
      </c>
    </row>
    <row r="9556" spans="2:34" x14ac:dyDescent="0.2">
      <c r="B9556" s="2">
        <f ca="1"/>
        <v>0.11418062922509398</v>
      </c>
      <c r="O9556" s="2">
        <f ca="1"/>
        <v>0.19309853257213441</v>
      </c>
      <c r="X9556" s="2">
        <f ca="1"/>
        <v>57.224122946770734</v>
      </c>
      <c r="AG9556" s="2">
        <f ca="1"/>
        <v>0.70054437369308942</v>
      </c>
      <c r="AH9556" s="2" t="str">
        <f ca="1"/>
        <v>Bad</v>
      </c>
    </row>
    <row r="9557" spans="2:34" x14ac:dyDescent="0.2">
      <c r="B9557" s="2">
        <f ca="1"/>
        <v>0.52177640005037573</v>
      </c>
      <c r="O9557" s="2">
        <f ca="1"/>
        <v>0.28345344059668137</v>
      </c>
      <c r="X9557" s="2">
        <f ca="1"/>
        <v>46.872281586000035</v>
      </c>
      <c r="AG9557" s="2">
        <f ca="1"/>
        <v>0.95338302730796509</v>
      </c>
      <c r="AH9557" s="2" t="str">
        <f ca="1"/>
        <v>Bad</v>
      </c>
    </row>
    <row r="9558" spans="2:34" x14ac:dyDescent="0.2">
      <c r="B9558" s="2">
        <f ca="1"/>
        <v>5.9340503475169504E-2</v>
      </c>
      <c r="O9558" s="2">
        <f ca="1"/>
        <v>1.2543261116585662</v>
      </c>
      <c r="X9558" s="2">
        <f ca="1"/>
        <v>40.687737634365028</v>
      </c>
      <c r="AG9558" s="2">
        <f ca="1"/>
        <v>0.74839644003259687</v>
      </c>
      <c r="AH9558" s="2" t="str">
        <f ca="1"/>
        <v>Bad</v>
      </c>
    </row>
    <row r="9559" spans="2:34" x14ac:dyDescent="0.2">
      <c r="B9559" s="2">
        <f ca="1"/>
        <v>0.1749747555839487</v>
      </c>
      <c r="O9559" s="2">
        <f ca="1"/>
        <v>-0.47827986470149575</v>
      </c>
      <c r="X9559" s="2">
        <f ca="1"/>
        <v>68.689745614407343</v>
      </c>
      <c r="AG9559" s="2">
        <f ca="1"/>
        <v>0.82301754889793277</v>
      </c>
      <c r="AH9559" s="2" t="str">
        <f ca="1"/>
        <v>Bad</v>
      </c>
    </row>
    <row r="9560" spans="2:34" x14ac:dyDescent="0.2">
      <c r="B9560" s="2">
        <f ca="1"/>
        <v>0.69291397758825801</v>
      </c>
      <c r="O9560" s="2">
        <f ca="1"/>
        <v>-0.31743478873902725</v>
      </c>
      <c r="X9560" s="2">
        <f ca="1"/>
        <v>63.799856099198266</v>
      </c>
      <c r="AG9560" s="2">
        <f ca="1"/>
        <v>0.10042954104506263</v>
      </c>
      <c r="AH9560" s="2" t="str">
        <f ca="1"/>
        <v>OK</v>
      </c>
    </row>
    <row r="9561" spans="2:34" x14ac:dyDescent="0.2">
      <c r="B9561" s="2">
        <f ca="1"/>
        <v>0.93599898189145692</v>
      </c>
      <c r="O9561" s="2">
        <f ca="1"/>
        <v>0.35753837390682197</v>
      </c>
      <c r="X9561" s="2">
        <f ca="1"/>
        <v>47.955176127957088</v>
      </c>
      <c r="AG9561" s="2">
        <f ca="1"/>
        <v>0.82520074370407914</v>
      </c>
      <c r="AH9561" s="2" t="str">
        <f ca="1"/>
        <v>Bad</v>
      </c>
    </row>
    <row r="9562" spans="2:34" x14ac:dyDescent="0.2">
      <c r="B9562" s="2">
        <f ca="1"/>
        <v>0.11226612120535773</v>
      </c>
      <c r="O9562" s="2">
        <f ca="1"/>
        <v>-0.11115128871144202</v>
      </c>
      <c r="X9562" s="2">
        <f ca="1"/>
        <v>102.65457204281685</v>
      </c>
      <c r="AG9562" s="2">
        <f ca="1"/>
        <v>0.92089182293434435</v>
      </c>
      <c r="AH9562" s="2" t="str">
        <f ca="1"/>
        <v>Bad</v>
      </c>
    </row>
    <row r="9563" spans="2:34" x14ac:dyDescent="0.2">
      <c r="B9563" s="2">
        <f ca="1"/>
        <v>0.11992396203276012</v>
      </c>
      <c r="O9563" s="2">
        <f ca="1"/>
        <v>0.86815581934303887</v>
      </c>
      <c r="X9563" s="2">
        <f ca="1"/>
        <v>36.615859048671375</v>
      </c>
      <c r="AG9563" s="2">
        <f ca="1"/>
        <v>0.96227386984176788</v>
      </c>
      <c r="AH9563" s="2" t="str">
        <f ca="1"/>
        <v>Bad</v>
      </c>
    </row>
    <row r="9564" spans="2:34" x14ac:dyDescent="0.2">
      <c r="B9564" s="2">
        <f ca="1"/>
        <v>0.13431830252344712</v>
      </c>
      <c r="O9564" s="2">
        <f ca="1"/>
        <v>-0.61346033004397471</v>
      </c>
      <c r="X9564" s="2">
        <f ca="1"/>
        <v>49.821500616387901</v>
      </c>
      <c r="AG9564" s="2">
        <f ca="1"/>
        <v>0.86023355825376946</v>
      </c>
      <c r="AH9564" s="2" t="str">
        <f ca="1"/>
        <v>Bad</v>
      </c>
    </row>
    <row r="9565" spans="2:34" x14ac:dyDescent="0.2">
      <c r="B9565" s="2">
        <f ca="1"/>
        <v>0.89325733098048188</v>
      </c>
      <c r="O9565" s="2">
        <f ca="1"/>
        <v>0.51486206650485</v>
      </c>
      <c r="X9565" s="2">
        <f ca="1"/>
        <v>39.748416304652444</v>
      </c>
      <c r="AG9565" s="2">
        <f ca="1"/>
        <v>0.5432950893385482</v>
      </c>
      <c r="AH9565" s="2" t="str">
        <f ca="1"/>
        <v>Bad</v>
      </c>
    </row>
    <row r="9566" spans="2:34" x14ac:dyDescent="0.2">
      <c r="B9566" s="2">
        <f ca="1"/>
        <v>0.13505226575994289</v>
      </c>
      <c r="O9566" s="2">
        <f ca="1"/>
        <v>-0.33469492875921969</v>
      </c>
      <c r="X9566" s="2">
        <f ca="1"/>
        <v>47.517219130514349</v>
      </c>
      <c r="AG9566" s="2">
        <f ca="1"/>
        <v>0.84163995619800946</v>
      </c>
      <c r="AH9566" s="2" t="str">
        <f ca="1"/>
        <v>Bad</v>
      </c>
    </row>
    <row r="9567" spans="2:34" x14ac:dyDescent="0.2">
      <c r="B9567" s="2">
        <f ca="1"/>
        <v>0.80043656197963098</v>
      </c>
      <c r="O9567" s="2">
        <f ca="1"/>
        <v>0.31812244930393418</v>
      </c>
      <c r="X9567" s="2">
        <f ca="1"/>
        <v>48.111653260317922</v>
      </c>
      <c r="AG9567" s="2">
        <f ca="1"/>
        <v>0.63099535739098744</v>
      </c>
      <c r="AH9567" s="2" t="str">
        <f ca="1"/>
        <v>Bad</v>
      </c>
    </row>
    <row r="9568" spans="2:34" x14ac:dyDescent="0.2">
      <c r="B9568" s="2">
        <f ca="1"/>
        <v>0.81373866390232208</v>
      </c>
      <c r="O9568" s="2">
        <f ca="1"/>
        <v>0.10296718686417794</v>
      </c>
      <c r="X9568" s="2">
        <f ca="1"/>
        <v>58.894854500645629</v>
      </c>
      <c r="AG9568" s="2">
        <f ca="1"/>
        <v>0.68669721782301751</v>
      </c>
      <c r="AH9568" s="2" t="str">
        <f ca="1"/>
        <v>Bad</v>
      </c>
    </row>
    <row r="9569" spans="2:34" x14ac:dyDescent="0.2">
      <c r="B9569" s="2">
        <f ca="1"/>
        <v>0.78770184215464956</v>
      </c>
      <c r="O9569" s="2">
        <f ca="1"/>
        <v>0.75956801732914037</v>
      </c>
      <c r="X9569" s="2">
        <f ca="1"/>
        <v>57.03089623427509</v>
      </c>
      <c r="AG9569" s="2">
        <f ca="1"/>
        <v>0.21420282583733341</v>
      </c>
      <c r="AH9569" s="2" t="str">
        <f ca="1"/>
        <v>OK</v>
      </c>
    </row>
    <row r="9570" spans="2:34" x14ac:dyDescent="0.2">
      <c r="B9570" s="2">
        <f ca="1"/>
        <v>0.74532905430892482</v>
      </c>
      <c r="O9570" s="2">
        <f ca="1"/>
        <v>-1.0793257036735675</v>
      </c>
      <c r="X9570" s="2">
        <f ca="1"/>
        <v>33.132271804899233</v>
      </c>
      <c r="AG9570" s="2">
        <f ca="1"/>
        <v>0.13031464322894393</v>
      </c>
      <c r="AH9570" s="2" t="str">
        <f ca="1"/>
        <v>OK</v>
      </c>
    </row>
    <row r="9571" spans="2:34" x14ac:dyDescent="0.2">
      <c r="B9571" s="2">
        <f ca="1"/>
        <v>0.14349479586542535</v>
      </c>
      <c r="O9571" s="2">
        <f ca="1"/>
        <v>0.12065578498459016</v>
      </c>
      <c r="X9571" s="2">
        <f ca="1"/>
        <v>56.775321503609192</v>
      </c>
      <c r="AG9571" s="2">
        <f ca="1"/>
        <v>0.52674085971415407</v>
      </c>
      <c r="AH9571" s="2" t="str">
        <f ca="1"/>
        <v>Bad</v>
      </c>
    </row>
    <row r="9572" spans="2:34" x14ac:dyDescent="0.2">
      <c r="B9572" s="2">
        <f ca="1"/>
        <v>0.54723491969374694</v>
      </c>
      <c r="O9572" s="2">
        <f ca="1"/>
        <v>-0.14150368567599095</v>
      </c>
      <c r="X9572" s="2">
        <f ca="1"/>
        <v>35.724792569432594</v>
      </c>
      <c r="AG9572" s="2">
        <f ca="1"/>
        <v>0.9790291600191765</v>
      </c>
      <c r="AH9572" s="2" t="str">
        <f ca="1"/>
        <v>Bad</v>
      </c>
    </row>
    <row r="9573" spans="2:34" x14ac:dyDescent="0.2">
      <c r="B9573" s="2">
        <f ca="1"/>
        <v>0.30028168237785247</v>
      </c>
      <c r="O9573" s="2">
        <f ca="1"/>
        <v>-0.51947084618614947</v>
      </c>
      <c r="X9573" s="2">
        <f ca="1"/>
        <v>67.580007081187389</v>
      </c>
      <c r="AG9573" s="2">
        <f ca="1"/>
        <v>0.98457650224794957</v>
      </c>
      <c r="AH9573" s="2" t="str">
        <f ca="1"/>
        <v>Bad</v>
      </c>
    </row>
    <row r="9574" spans="2:34" x14ac:dyDescent="0.2">
      <c r="B9574" s="2">
        <f ca="1"/>
        <v>0.61619228623989231</v>
      </c>
      <c r="O9574" s="2">
        <f ca="1"/>
        <v>-1.2264939213357993</v>
      </c>
      <c r="X9574" s="2">
        <f ca="1"/>
        <v>41.13060125308035</v>
      </c>
      <c r="AG9574" s="2">
        <f ca="1"/>
        <v>0.19609955075964658</v>
      </c>
      <c r="AH9574" s="2" t="str">
        <f ca="1"/>
        <v>OK</v>
      </c>
    </row>
    <row r="9575" spans="2:34" x14ac:dyDescent="0.2">
      <c r="B9575" s="2">
        <f ca="1"/>
        <v>0.74550387565542997</v>
      </c>
      <c r="O9575" s="2">
        <f ca="1"/>
        <v>-0.5596072729664493</v>
      </c>
      <c r="X9575" s="2">
        <f ca="1"/>
        <v>56.073418952293196</v>
      </c>
      <c r="AG9575" s="2">
        <f ca="1"/>
        <v>9.7273112701654174E-2</v>
      </c>
      <c r="AH9575" s="2" t="str">
        <f ca="1"/>
        <v>OK</v>
      </c>
    </row>
    <row r="9576" spans="2:34" x14ac:dyDescent="0.2">
      <c r="B9576" s="2">
        <f ca="1"/>
        <v>0.99581282826378548</v>
      </c>
      <c r="O9576" s="2">
        <f ca="1"/>
        <v>0.24672086891090092</v>
      </c>
      <c r="X9576" s="2">
        <f ca="1"/>
        <v>53.826975659444606</v>
      </c>
      <c r="AG9576" s="2">
        <f ca="1"/>
        <v>0.66210048886993333</v>
      </c>
      <c r="AH9576" s="2" t="str">
        <f ca="1"/>
        <v>Bad</v>
      </c>
    </row>
    <row r="9577" spans="2:34" x14ac:dyDescent="0.2">
      <c r="B9577" s="2">
        <f ca="1"/>
        <v>0.57535469073449508</v>
      </c>
      <c r="O9577" s="2">
        <f ca="1"/>
        <v>-0.64197623150169869</v>
      </c>
      <c r="X9577" s="2">
        <f ca="1"/>
        <v>40.098477614145985</v>
      </c>
      <c r="AG9577" s="2">
        <f ca="1"/>
        <v>0.26017935605869913</v>
      </c>
      <c r="AH9577" s="2" t="str">
        <f ca="1"/>
        <v>OK</v>
      </c>
    </row>
    <row r="9578" spans="2:34" x14ac:dyDescent="0.2">
      <c r="B9578" s="2">
        <f ca="1"/>
        <v>0.15943022731614587</v>
      </c>
      <c r="O9578" s="2">
        <f ca="1"/>
        <v>0.36783977053808398</v>
      </c>
      <c r="X9578" s="2">
        <f ca="1"/>
        <v>93.079001288522321</v>
      </c>
      <c r="AG9578" s="2">
        <f ca="1"/>
        <v>0.90432287682474843</v>
      </c>
      <c r="AH9578" s="2" t="str">
        <f ca="1"/>
        <v>Bad</v>
      </c>
    </row>
    <row r="9579" spans="2:34" x14ac:dyDescent="0.2">
      <c r="B9579" s="2">
        <f ca="1"/>
        <v>0.61418945672770286</v>
      </c>
      <c r="O9579" s="2">
        <f ca="1"/>
        <v>2.9131204374107855</v>
      </c>
      <c r="X9579" s="2">
        <f ca="1"/>
        <v>60.104218067191965</v>
      </c>
      <c r="AG9579" s="2">
        <f ca="1"/>
        <v>0.60445768370480901</v>
      </c>
      <c r="AH9579" s="2" t="str">
        <f ca="1"/>
        <v>Bad</v>
      </c>
    </row>
    <row r="9580" spans="2:34" x14ac:dyDescent="0.2">
      <c r="B9580" s="2">
        <f ca="1"/>
        <v>0.36835632251715156</v>
      </c>
      <c r="O9580" s="2">
        <f ca="1"/>
        <v>-1.2837942497170765</v>
      </c>
      <c r="X9580" s="2">
        <f ca="1"/>
        <v>56.861941068998846</v>
      </c>
      <c r="AG9580" s="2">
        <f ca="1"/>
        <v>0.89549640358188576</v>
      </c>
      <c r="AH9580" s="2" t="str">
        <f ca="1"/>
        <v>Bad</v>
      </c>
    </row>
    <row r="9581" spans="2:34" x14ac:dyDescent="0.2">
      <c r="B9581" s="2">
        <f ca="1"/>
        <v>9.4384872984927037E-2</v>
      </c>
      <c r="O9581" s="2">
        <f ca="1"/>
        <v>-0.58863652187999693</v>
      </c>
      <c r="X9581" s="2">
        <f ca="1"/>
        <v>52.032915304190695</v>
      </c>
      <c r="AG9581" s="2">
        <f ca="1"/>
        <v>0.26383526255831313</v>
      </c>
      <c r="AH9581" s="2" t="str">
        <f ca="1"/>
        <v>OK</v>
      </c>
    </row>
    <row r="9582" spans="2:34" x14ac:dyDescent="0.2">
      <c r="B9582" s="2">
        <f ca="1"/>
        <v>0.16273722184647332</v>
      </c>
      <c r="O9582" s="2">
        <f ca="1"/>
        <v>-0.11186040279253989</v>
      </c>
      <c r="X9582" s="2">
        <f ca="1"/>
        <v>39.385237136393584</v>
      </c>
      <c r="AG9582" s="2">
        <f ca="1"/>
        <v>0.34598599806997532</v>
      </c>
      <c r="AH9582" s="2" t="str">
        <f ca="1"/>
        <v>OK</v>
      </c>
    </row>
    <row r="9583" spans="2:34" x14ac:dyDescent="0.2">
      <c r="B9583" s="2">
        <f ca="1"/>
        <v>0.21918181506410583</v>
      </c>
      <c r="O9583" s="2">
        <f ca="1"/>
        <v>-0.35019385248633766</v>
      </c>
      <c r="X9583" s="2">
        <f ca="1"/>
        <v>36.308118344747548</v>
      </c>
      <c r="AG9583" s="2">
        <f ca="1"/>
        <v>0.94352889858909306</v>
      </c>
      <c r="AH9583" s="2" t="str">
        <f ca="1"/>
        <v>Bad</v>
      </c>
    </row>
    <row r="9584" spans="2:34" x14ac:dyDescent="0.2">
      <c r="B9584" s="2">
        <f ca="1"/>
        <v>0.44133380038264702</v>
      </c>
      <c r="O9584" s="2">
        <f ca="1"/>
        <v>-1.4925344234944202</v>
      </c>
      <c r="X9584" s="2">
        <f ca="1"/>
        <v>51.249514600990395</v>
      </c>
      <c r="AG9584" s="2">
        <f ca="1"/>
        <v>0.44412348080445407</v>
      </c>
      <c r="AH9584" s="2" t="str">
        <f ca="1"/>
        <v>Bad</v>
      </c>
    </row>
    <row r="9585" spans="2:34" x14ac:dyDescent="0.2">
      <c r="B9585" s="2">
        <f ca="1"/>
        <v>0.3090629372109317</v>
      </c>
      <c r="O9585" s="2">
        <f ca="1"/>
        <v>-2.4492954117046666</v>
      </c>
      <c r="X9585" s="2">
        <f ca="1"/>
        <v>35.84998783758823</v>
      </c>
      <c r="AG9585" s="2">
        <f ca="1"/>
        <v>0.92566979058599008</v>
      </c>
      <c r="AH9585" s="2" t="str">
        <f ca="1"/>
        <v>Bad</v>
      </c>
    </row>
    <row r="9586" spans="2:34" x14ac:dyDescent="0.2">
      <c r="B9586" s="2">
        <f ca="1"/>
        <v>0.28237471950617832</v>
      </c>
      <c r="O9586" s="2">
        <f ca="1"/>
        <v>0.3697717504218872</v>
      </c>
      <c r="X9586" s="2">
        <f ca="1"/>
        <v>45.674628891618525</v>
      </c>
      <c r="AG9586" s="2">
        <f ca="1"/>
        <v>0.66119779089833508</v>
      </c>
      <c r="AH9586" s="2" t="str">
        <f ca="1"/>
        <v>Bad</v>
      </c>
    </row>
    <row r="9587" spans="2:34" x14ac:dyDescent="0.2">
      <c r="B9587" s="2">
        <f ca="1"/>
        <v>0.16948535413694255</v>
      </c>
      <c r="O9587" s="2">
        <f ca="1"/>
        <v>0.69454581235225898</v>
      </c>
      <c r="X9587" s="2">
        <f ca="1"/>
        <v>27.795623908363595</v>
      </c>
      <c r="AG9587" s="2">
        <f ca="1"/>
        <v>0.93076020771053547</v>
      </c>
      <c r="AH9587" s="2" t="str">
        <f ca="1"/>
        <v>Bad</v>
      </c>
    </row>
    <row r="9588" spans="2:34" x14ac:dyDescent="0.2">
      <c r="B9588" s="2">
        <f ca="1"/>
        <v>0.81325054867793733</v>
      </c>
      <c r="O9588" s="2">
        <f ca="1"/>
        <v>-0.85175916910679683</v>
      </c>
      <c r="X9588" s="2">
        <f ca="1"/>
        <v>42.711788476837718</v>
      </c>
      <c r="AG9588" s="2">
        <f ca="1"/>
        <v>0.27966528165025406</v>
      </c>
      <c r="AH9588" s="2" t="str">
        <f ca="1"/>
        <v>OK</v>
      </c>
    </row>
    <row r="9589" spans="2:34" x14ac:dyDescent="0.2">
      <c r="B9589" s="2">
        <f ca="1"/>
        <v>0.22862257359269078</v>
      </c>
      <c r="O9589" s="2">
        <f ca="1"/>
        <v>1.3668215440593119</v>
      </c>
      <c r="X9589" s="2">
        <f ca="1"/>
        <v>60.00238602773144</v>
      </c>
      <c r="AG9589" s="2">
        <f ca="1"/>
        <v>0.64440227112974124</v>
      </c>
      <c r="AH9589" s="2" t="str">
        <f ca="1"/>
        <v>Bad</v>
      </c>
    </row>
    <row r="9590" spans="2:34" x14ac:dyDescent="0.2">
      <c r="B9590" s="2">
        <f ca="1"/>
        <v>0.8347662257875692</v>
      </c>
      <c r="O9590" s="2">
        <f ca="1"/>
        <v>-1.1861379410376622</v>
      </c>
      <c r="X9590" s="2">
        <f ca="1"/>
        <v>44.300152731070611</v>
      </c>
      <c r="AG9590" s="2">
        <f ca="1"/>
        <v>0.20684488595682504</v>
      </c>
      <c r="AH9590" s="2" t="str">
        <f ca="1"/>
        <v>OK</v>
      </c>
    </row>
    <row r="9591" spans="2:34" x14ac:dyDescent="0.2">
      <c r="B9591" s="2">
        <f ca="1"/>
        <v>8.2354419202977258E-2</v>
      </c>
      <c r="O9591" s="2">
        <f ca="1"/>
        <v>-0.44387504963498731</v>
      </c>
      <c r="X9591" s="2">
        <f ca="1"/>
        <v>50.686897385462359</v>
      </c>
      <c r="AG9591" s="2">
        <f ca="1"/>
        <v>2.7476628857696639E-3</v>
      </c>
      <c r="AH9591" s="2" t="str">
        <f ca="1"/>
        <v>Good</v>
      </c>
    </row>
    <row r="9592" spans="2:34" x14ac:dyDescent="0.2">
      <c r="B9592" s="2">
        <f ca="1"/>
        <v>0.95812806289670838</v>
      </c>
      <c r="O9592" s="2">
        <f ca="1"/>
        <v>-0.2289694461773546</v>
      </c>
      <c r="X9592" s="2">
        <f ca="1"/>
        <v>54.384189152142454</v>
      </c>
      <c r="AG9592" s="2">
        <f ca="1"/>
        <v>0.47495348394550096</v>
      </c>
      <c r="AH9592" s="2" t="str">
        <f ca="1"/>
        <v>Bad</v>
      </c>
    </row>
    <row r="9593" spans="2:34" x14ac:dyDescent="0.2">
      <c r="B9593" s="2">
        <f ca="1"/>
        <v>0.63917687437588966</v>
      </c>
      <c r="O9593" s="2">
        <f ca="1"/>
        <v>0.32751676002356778</v>
      </c>
      <c r="X9593" s="2">
        <f ca="1"/>
        <v>45.110380268677346</v>
      </c>
      <c r="AG9593" s="2">
        <f ca="1"/>
        <v>0.44191263257046898</v>
      </c>
      <c r="AH9593" s="2" t="str">
        <f ca="1"/>
        <v>Bad</v>
      </c>
    </row>
    <row r="9594" spans="2:34" x14ac:dyDescent="0.2">
      <c r="B9594" s="2">
        <f ca="1"/>
        <v>0.50240796328850967</v>
      </c>
      <c r="O9594" s="2">
        <f ca="1"/>
        <v>0.16461739589646565</v>
      </c>
      <c r="X9594" s="2">
        <f ca="1"/>
        <v>31.108474686689963</v>
      </c>
      <c r="AG9594" s="2">
        <f ca="1"/>
        <v>0.5384215740267051</v>
      </c>
      <c r="AH9594" s="2" t="str">
        <f ca="1"/>
        <v>Bad</v>
      </c>
    </row>
    <row r="9595" spans="2:34" x14ac:dyDescent="0.2">
      <c r="B9595" s="2">
        <f ca="1"/>
        <v>0.47030460458269463</v>
      </c>
      <c r="O9595" s="2">
        <f ca="1"/>
        <v>-0.99713345307693091</v>
      </c>
      <c r="X9595" s="2">
        <f ca="1"/>
        <v>41.249318989748417</v>
      </c>
      <c r="AG9595" s="2">
        <f ca="1"/>
        <v>0.59514637555891703</v>
      </c>
      <c r="AH9595" s="2" t="str">
        <f ca="1"/>
        <v>Bad</v>
      </c>
    </row>
    <row r="9596" spans="2:34" x14ac:dyDescent="0.2">
      <c r="B9596" s="2">
        <f ca="1"/>
        <v>0.94327936586171468</v>
      </c>
      <c r="O9596" s="2">
        <f ca="1"/>
        <v>0.4460760287626927</v>
      </c>
      <c r="X9596" s="2">
        <f ca="1"/>
        <v>39.612092268340888</v>
      </c>
      <c r="AG9596" s="2">
        <f ca="1"/>
        <v>0.90719156146073021</v>
      </c>
      <c r="AH9596" s="2" t="str">
        <f ca="1"/>
        <v>Bad</v>
      </c>
    </row>
    <row r="9597" spans="2:34" x14ac:dyDescent="0.2">
      <c r="B9597" s="2">
        <f ca="1"/>
        <v>0.4794483781874912</v>
      </c>
      <c r="O9597" s="2">
        <f ca="1"/>
        <v>-1.8590500513843107</v>
      </c>
      <c r="X9597" s="2">
        <f ca="1"/>
        <v>28.759268657129248</v>
      </c>
      <c r="AG9597" s="2">
        <f ca="1"/>
        <v>7.4741444210892682E-2</v>
      </c>
      <c r="AH9597" s="2" t="str">
        <f ca="1"/>
        <v>OK</v>
      </c>
    </row>
    <row r="9598" spans="2:34" x14ac:dyDescent="0.2">
      <c r="B9598" s="2">
        <f ca="1"/>
        <v>0.84286887389960263</v>
      </c>
      <c r="O9598" s="2">
        <f ca="1"/>
        <v>-0.54114617919541252</v>
      </c>
      <c r="X9598" s="2">
        <f ca="1"/>
        <v>38.838261762576387</v>
      </c>
      <c r="AG9598" s="2">
        <f ca="1"/>
        <v>0.42603420136732795</v>
      </c>
      <c r="AH9598" s="2" t="str">
        <f ca="1"/>
        <v>Bad</v>
      </c>
    </row>
    <row r="9599" spans="2:34" x14ac:dyDescent="0.2">
      <c r="B9599" s="2">
        <f ca="1"/>
        <v>0.33539990565241551</v>
      </c>
      <c r="O9599" s="2">
        <f ca="1"/>
        <v>-2.0594027503004204</v>
      </c>
      <c r="X9599" s="2">
        <f ca="1"/>
        <v>60.089082947435266</v>
      </c>
      <c r="AG9599" s="2">
        <f ca="1"/>
        <v>0.76073054878776669</v>
      </c>
      <c r="AH9599" s="2" t="str">
        <f ca="1"/>
        <v>Bad</v>
      </c>
    </row>
    <row r="9600" spans="2:34" x14ac:dyDescent="0.2">
      <c r="B9600" s="2">
        <f ca="1"/>
        <v>0.58600971355399034</v>
      </c>
      <c r="O9600" s="2">
        <f ca="1"/>
        <v>0.7415015858124544</v>
      </c>
      <c r="X9600" s="2">
        <f ca="1"/>
        <v>45.953089157837496</v>
      </c>
      <c r="AG9600" s="2">
        <f ca="1"/>
        <v>0.70571624421024226</v>
      </c>
      <c r="AH9600" s="2" t="str">
        <f ca="1"/>
        <v>Bad</v>
      </c>
    </row>
    <row r="9601" spans="2:34" x14ac:dyDescent="0.2">
      <c r="B9601" s="2">
        <f ca="1"/>
        <v>0.6404932094763216</v>
      </c>
      <c r="O9601" s="2">
        <f ca="1"/>
        <v>-0.3997533438603813</v>
      </c>
      <c r="X9601" s="2">
        <f ca="1"/>
        <v>55.444081338739878</v>
      </c>
      <c r="AG9601" s="2">
        <f ca="1"/>
        <v>0.58660093879147279</v>
      </c>
      <c r="AH9601" s="2" t="str">
        <f ca="1"/>
        <v>Bad</v>
      </c>
    </row>
    <row r="9602" spans="2:34" x14ac:dyDescent="0.2">
      <c r="B9602" s="2">
        <f ca="1"/>
        <v>0.43769093359958888</v>
      </c>
      <c r="O9602" s="2">
        <f ca="1"/>
        <v>-8.8399896277555318E-2</v>
      </c>
      <c r="X9602" s="2">
        <f ca="1"/>
        <v>56.615033301084523</v>
      </c>
      <c r="AG9602" s="2">
        <f ca="1"/>
        <v>0.56198999111463399</v>
      </c>
      <c r="AH9602" s="2" t="str">
        <f ca="1"/>
        <v>Bad</v>
      </c>
    </row>
    <row r="9603" spans="2:34" x14ac:dyDescent="0.2">
      <c r="B9603" s="2">
        <f ca="1"/>
        <v>0.52389287844095889</v>
      </c>
      <c r="O9603" s="2">
        <f ca="1"/>
        <v>-0.39735287160427984</v>
      </c>
      <c r="X9603" s="2">
        <f ca="1"/>
        <v>43.070966086570451</v>
      </c>
      <c r="AG9603" s="2">
        <f ca="1"/>
        <v>0.81675374729393768</v>
      </c>
      <c r="AH9603" s="2" t="str">
        <f ca="1"/>
        <v>Bad</v>
      </c>
    </row>
    <row r="9604" spans="2:34" x14ac:dyDescent="0.2">
      <c r="B9604" s="2">
        <f ca="1"/>
        <v>0.84912532873850743</v>
      </c>
      <c r="O9604" s="2">
        <f ca="1"/>
        <v>-2.4745286766723216</v>
      </c>
      <c r="X9604" s="2">
        <f ca="1"/>
        <v>43.267073084152372</v>
      </c>
      <c r="AG9604" s="2">
        <f ca="1"/>
        <v>0.89040042864887781</v>
      </c>
      <c r="AH9604" s="2" t="str">
        <f ca="1"/>
        <v>Bad</v>
      </c>
    </row>
    <row r="9605" spans="2:34" x14ac:dyDescent="0.2">
      <c r="B9605" s="2">
        <f ca="1"/>
        <v>0.70427494042990579</v>
      </c>
      <c r="O9605" s="2">
        <f ca="1"/>
        <v>0.21594800103267844</v>
      </c>
      <c r="X9605" s="2">
        <f ca="1"/>
        <v>40.66876149521476</v>
      </c>
      <c r="AG9605" s="2">
        <f ca="1"/>
        <v>0.1696834549578663</v>
      </c>
      <c r="AH9605" s="2" t="str">
        <f ca="1"/>
        <v>OK</v>
      </c>
    </row>
    <row r="9606" spans="2:34" x14ac:dyDescent="0.2">
      <c r="B9606" s="2">
        <f ca="1"/>
        <v>0.34149321159952684</v>
      </c>
      <c r="O9606" s="2">
        <f ca="1"/>
        <v>0.59508981761029112</v>
      </c>
      <c r="X9606" s="2">
        <f ca="1"/>
        <v>53.141126272201888</v>
      </c>
      <c r="AG9606" s="2">
        <f ca="1"/>
        <v>0.19532928249386949</v>
      </c>
      <c r="AH9606" s="2" t="str">
        <f ca="1"/>
        <v>OK</v>
      </c>
    </row>
    <row r="9607" spans="2:34" x14ac:dyDescent="0.2">
      <c r="B9607" s="2">
        <f ca="1"/>
        <v>0.689960532528892</v>
      </c>
      <c r="O9607" s="2">
        <f ca="1"/>
        <v>0.7168697323841059</v>
      </c>
      <c r="X9607" s="2">
        <f ca="1"/>
        <v>45.14594164219443</v>
      </c>
      <c r="AG9607" s="2">
        <f ca="1"/>
        <v>6.5081855788342802E-2</v>
      </c>
      <c r="AH9607" s="2" t="str">
        <f ca="1"/>
        <v>OK</v>
      </c>
    </row>
    <row r="9608" spans="2:34" x14ac:dyDescent="0.2">
      <c r="B9608" s="2">
        <f ca="1"/>
        <v>0.84175654516828469</v>
      </c>
      <c r="O9608" s="2">
        <f ca="1"/>
        <v>0.40573614068438946</v>
      </c>
      <c r="X9608" s="2">
        <f ca="1"/>
        <v>35.594788108681726</v>
      </c>
      <c r="AG9608" s="2">
        <f ca="1"/>
        <v>6.7143970283857657E-2</v>
      </c>
      <c r="AH9608" s="2" t="str">
        <f ca="1"/>
        <v>OK</v>
      </c>
    </row>
    <row r="9609" spans="2:34" x14ac:dyDescent="0.2">
      <c r="B9609" s="2">
        <f ca="1"/>
        <v>0.69132393256044877</v>
      </c>
      <c r="O9609" s="2">
        <f ca="1"/>
        <v>-0.66647464990062155</v>
      </c>
      <c r="X9609" s="2">
        <f ca="1"/>
        <v>70.475640613024382</v>
      </c>
      <c r="AG9609" s="2">
        <f ca="1"/>
        <v>0.64428380609391644</v>
      </c>
      <c r="AH9609" s="2" t="str">
        <f ca="1"/>
        <v>Bad</v>
      </c>
    </row>
    <row r="9610" spans="2:34" x14ac:dyDescent="0.2">
      <c r="B9610" s="2">
        <f ca="1"/>
        <v>0.60255805936825979</v>
      </c>
      <c r="O9610" s="2">
        <f ca="1"/>
        <v>-0.82936015730161317</v>
      </c>
      <c r="X9610" s="2">
        <f ca="1"/>
        <v>33.174628102160987</v>
      </c>
      <c r="AG9610" s="2">
        <f ca="1"/>
        <v>0.49810523560853026</v>
      </c>
      <c r="AH9610" s="2" t="str">
        <f ca="1"/>
        <v>Bad</v>
      </c>
    </row>
    <row r="9611" spans="2:34" x14ac:dyDescent="0.2">
      <c r="B9611" s="2">
        <f ca="1"/>
        <v>0.67648619295773216</v>
      </c>
      <c r="O9611" s="2">
        <f ca="1"/>
        <v>-1.0419903115766018</v>
      </c>
      <c r="X9611" s="2">
        <f ca="1"/>
        <v>46.747008876213712</v>
      </c>
      <c r="AG9611" s="2">
        <f ca="1"/>
        <v>0.76483153767103129</v>
      </c>
      <c r="AH9611" s="2" t="str">
        <f ca="1"/>
        <v>Bad</v>
      </c>
    </row>
    <row r="9612" spans="2:34" x14ac:dyDescent="0.2">
      <c r="B9612" s="2">
        <f ca="1"/>
        <v>0.69960816304357931</v>
      </c>
      <c r="O9612" s="2">
        <f ca="1"/>
        <v>-2.2544688042066507</v>
      </c>
      <c r="X9612" s="2">
        <f ca="1"/>
        <v>25.726074382701832</v>
      </c>
      <c r="AG9612" s="2">
        <f ca="1"/>
        <v>0.45541904620436302</v>
      </c>
      <c r="AH9612" s="2" t="str">
        <f ca="1"/>
        <v>Bad</v>
      </c>
    </row>
    <row r="9613" spans="2:34" x14ac:dyDescent="0.2">
      <c r="B9613" s="2">
        <f ca="1"/>
        <v>0.5897624193042581</v>
      </c>
      <c r="O9613" s="2">
        <f ca="1"/>
        <v>2.9250526538045909E-2</v>
      </c>
      <c r="X9613" s="2">
        <f ca="1"/>
        <v>22.84921317556163</v>
      </c>
      <c r="AG9613" s="2">
        <f ca="1"/>
        <v>0.32168411807370001</v>
      </c>
      <c r="AH9613" s="2" t="str">
        <f ca="1"/>
        <v>OK</v>
      </c>
    </row>
    <row r="9614" spans="2:34" x14ac:dyDescent="0.2">
      <c r="B9614" s="2">
        <f ca="1"/>
        <v>6.6568036485166182E-3</v>
      </c>
      <c r="O9614" s="2">
        <f ca="1"/>
        <v>-1.5096941466158054</v>
      </c>
      <c r="X9614" s="2">
        <f ca="1"/>
        <v>34.128306109571646</v>
      </c>
      <c r="AG9614" s="2">
        <f ca="1"/>
        <v>0.348353061965337</v>
      </c>
      <c r="AH9614" s="2" t="str">
        <f ca="1"/>
        <v>OK</v>
      </c>
    </row>
    <row r="9615" spans="2:34" x14ac:dyDescent="0.2">
      <c r="B9615" s="2">
        <f ca="1"/>
        <v>0.34910910323810485</v>
      </c>
      <c r="O9615" s="2">
        <f ca="1"/>
        <v>0.3080637923536696</v>
      </c>
      <c r="X9615" s="2">
        <f ca="1"/>
        <v>37.768114695737289</v>
      </c>
      <c r="AG9615" s="2">
        <f ca="1"/>
        <v>0.82772067279737849</v>
      </c>
      <c r="AH9615" s="2" t="str">
        <f ca="1"/>
        <v>Bad</v>
      </c>
    </row>
    <row r="9616" spans="2:34" x14ac:dyDescent="0.2">
      <c r="B9616" s="2">
        <f ca="1"/>
        <v>0.47990073546503909</v>
      </c>
      <c r="O9616" s="2">
        <f ca="1"/>
        <v>-0.55760427913856325</v>
      </c>
      <c r="X9616" s="2">
        <f ca="1"/>
        <v>24.640265124767254</v>
      </c>
      <c r="AG9616" s="2">
        <f ca="1"/>
        <v>0.25178271354964377</v>
      </c>
      <c r="AH9616" s="2" t="str">
        <f ca="1"/>
        <v>OK</v>
      </c>
    </row>
    <row r="9617" spans="2:34" x14ac:dyDescent="0.2">
      <c r="B9617" s="2">
        <f ca="1"/>
        <v>0.14079017994445042</v>
      </c>
      <c r="O9617" s="2">
        <f ca="1"/>
        <v>-0.74903471058003102</v>
      </c>
      <c r="X9617" s="2">
        <f ca="1"/>
        <v>54.921424133128902</v>
      </c>
      <c r="AG9617" s="2">
        <f ca="1"/>
        <v>0.83741986039647109</v>
      </c>
      <c r="AH9617" s="2" t="str">
        <f ca="1"/>
        <v>Bad</v>
      </c>
    </row>
    <row r="9618" spans="2:34" x14ac:dyDescent="0.2">
      <c r="B9618" s="2">
        <f ca="1"/>
        <v>0.12849774198577935</v>
      </c>
      <c r="O9618" s="2">
        <f ca="1"/>
        <v>1.1296668320600018</v>
      </c>
      <c r="X9618" s="2">
        <f ca="1"/>
        <v>36.357522447804008</v>
      </c>
      <c r="AG9618" s="2">
        <f ca="1"/>
        <v>0.79915156237963547</v>
      </c>
      <c r="AH9618" s="2" t="str">
        <f ca="1"/>
        <v>Bad</v>
      </c>
    </row>
    <row r="9619" spans="2:34" x14ac:dyDescent="0.2">
      <c r="B9619" s="2">
        <f ca="1"/>
        <v>0.61734467984503061</v>
      </c>
      <c r="O9619" s="2">
        <f ca="1"/>
        <v>0.87968950211961172</v>
      </c>
      <c r="X9619" s="2">
        <f ca="1"/>
        <v>58.767095361881587</v>
      </c>
      <c r="AG9619" s="2">
        <f ca="1"/>
        <v>0.87144064534701959</v>
      </c>
      <c r="AH9619" s="2" t="str">
        <f ca="1"/>
        <v>Bad</v>
      </c>
    </row>
    <row r="9620" spans="2:34" x14ac:dyDescent="0.2">
      <c r="B9620" s="2">
        <f ca="1"/>
        <v>0.72948945453132241</v>
      </c>
      <c r="O9620" s="2">
        <f ca="1"/>
        <v>-0.41335796534107044</v>
      </c>
      <c r="X9620" s="2">
        <f ca="1"/>
        <v>37.599365619564004</v>
      </c>
      <c r="AG9620" s="2">
        <f ca="1"/>
        <v>0.15633522312813408</v>
      </c>
      <c r="AH9620" s="2" t="str">
        <f ca="1"/>
        <v>OK</v>
      </c>
    </row>
    <row r="9621" spans="2:34" x14ac:dyDescent="0.2">
      <c r="B9621" s="2">
        <f ca="1"/>
        <v>0.41721648303127989</v>
      </c>
      <c r="O9621" s="2">
        <f ca="1"/>
        <v>1.111741011854207</v>
      </c>
      <c r="X9621" s="2">
        <f ca="1"/>
        <v>65.110682089620241</v>
      </c>
      <c r="AG9621" s="2">
        <f ca="1"/>
        <v>0.75633327110225324</v>
      </c>
      <c r="AH9621" s="2" t="str">
        <f ca="1"/>
        <v>Bad</v>
      </c>
    </row>
    <row r="9622" spans="2:34" x14ac:dyDescent="0.2">
      <c r="B9622" s="2">
        <f ca="1"/>
        <v>0.3665947509885521</v>
      </c>
      <c r="O9622" s="2">
        <f ca="1"/>
        <v>0.79598112983082792</v>
      </c>
      <c r="X9622" s="2">
        <f ca="1"/>
        <v>104.16753326716707</v>
      </c>
      <c r="AG9622" s="2">
        <f ca="1"/>
        <v>0.88828929570811632</v>
      </c>
      <c r="AH9622" s="2" t="str">
        <f ca="1"/>
        <v>Bad</v>
      </c>
    </row>
    <row r="9623" spans="2:34" x14ac:dyDescent="0.2">
      <c r="B9623" s="2">
        <f ca="1"/>
        <v>0.78366250151817773</v>
      </c>
      <c r="O9623" s="2">
        <f ca="1"/>
        <v>-0.82948480787369705</v>
      </c>
      <c r="X9623" s="2">
        <f ca="1"/>
        <v>61.636096723234949</v>
      </c>
      <c r="AG9623" s="2">
        <f ca="1"/>
        <v>0.16588744099295738</v>
      </c>
      <c r="AH9623" s="2" t="str">
        <f ca="1"/>
        <v>OK</v>
      </c>
    </row>
    <row r="9624" spans="2:34" x14ac:dyDescent="0.2">
      <c r="B9624" s="2">
        <f ca="1"/>
        <v>0.13970413654580405</v>
      </c>
      <c r="O9624" s="2">
        <f ca="1"/>
        <v>6.3761613038848461E-2</v>
      </c>
      <c r="X9624" s="2">
        <f ca="1"/>
        <v>38.07254387663879</v>
      </c>
      <c r="AG9624" s="2">
        <f ca="1"/>
        <v>0.4960454027628971</v>
      </c>
      <c r="AH9624" s="2" t="str">
        <f ca="1"/>
        <v>Bad</v>
      </c>
    </row>
    <row r="9625" spans="2:34" x14ac:dyDescent="0.2">
      <c r="B9625" s="2">
        <f ca="1"/>
        <v>0.33604197866677699</v>
      </c>
      <c r="O9625" s="2">
        <f ca="1"/>
        <v>-0.81577999885528341</v>
      </c>
      <c r="X9625" s="2">
        <f ca="1"/>
        <v>43.258462953405882</v>
      </c>
      <c r="AG9625" s="2">
        <f ca="1"/>
        <v>0.93480801302212169</v>
      </c>
      <c r="AH9625" s="2" t="str">
        <f ca="1"/>
        <v>Bad</v>
      </c>
    </row>
    <row r="9626" spans="2:34" x14ac:dyDescent="0.2">
      <c r="B9626" s="2">
        <f ca="1"/>
        <v>0.60283245086784865</v>
      </c>
      <c r="O9626" s="2">
        <f ca="1"/>
        <v>-0.77682710097466545</v>
      </c>
      <c r="X9626" s="2">
        <f ca="1"/>
        <v>35.253898248338082</v>
      </c>
      <c r="AG9626" s="2">
        <f ca="1"/>
        <v>0.22811075681667736</v>
      </c>
      <c r="AH9626" s="2" t="str">
        <f ca="1"/>
        <v>OK</v>
      </c>
    </row>
    <row r="9627" spans="2:34" x14ac:dyDescent="0.2">
      <c r="B9627" s="2">
        <f ca="1"/>
        <v>0.79011001818488635</v>
      </c>
      <c r="O9627" s="2">
        <f ca="1"/>
        <v>-0.43858956354669326</v>
      </c>
      <c r="X9627" s="2">
        <f ca="1"/>
        <v>57.517454180322929</v>
      </c>
      <c r="AG9627" s="2">
        <f ca="1"/>
        <v>0.46825352000863241</v>
      </c>
      <c r="AH9627" s="2" t="str">
        <f ca="1"/>
        <v>Bad</v>
      </c>
    </row>
    <row r="9628" spans="2:34" x14ac:dyDescent="0.2">
      <c r="B9628" s="2">
        <f ca="1"/>
        <v>0.25064559062780023</v>
      </c>
      <c r="O9628" s="2">
        <f ca="1"/>
        <v>-0.66960228094632457</v>
      </c>
      <c r="X9628" s="2">
        <f ca="1"/>
        <v>43.618913284646041</v>
      </c>
      <c r="AG9628" s="2">
        <f ca="1"/>
        <v>0.88020197982017967</v>
      </c>
      <c r="AH9628" s="2" t="str">
        <f ca="1"/>
        <v>Bad</v>
      </c>
    </row>
    <row r="9629" spans="2:34" x14ac:dyDescent="0.2">
      <c r="B9629" s="2">
        <f ca="1"/>
        <v>0.54689184356054499</v>
      </c>
      <c r="O9629" s="2">
        <f ca="1"/>
        <v>-0.4746563596182492</v>
      </c>
      <c r="X9629" s="2">
        <f ca="1"/>
        <v>46.916107983981014</v>
      </c>
      <c r="AG9629" s="2">
        <f ca="1"/>
        <v>2.4118922778691987E-2</v>
      </c>
      <c r="AH9629" s="2" t="str">
        <f ca="1"/>
        <v>Good</v>
      </c>
    </row>
    <row r="9630" spans="2:34" x14ac:dyDescent="0.2">
      <c r="B9630" s="2">
        <f ca="1"/>
        <v>0.28709831027215982</v>
      </c>
      <c r="O9630" s="2">
        <f ca="1"/>
        <v>-0.39806950549670478</v>
      </c>
      <c r="X9630" s="2">
        <f ca="1"/>
        <v>55.728599314151921</v>
      </c>
      <c r="AG9630" s="2">
        <f ca="1"/>
        <v>0.19212189339018848</v>
      </c>
      <c r="AH9630" s="2" t="str">
        <f ca="1"/>
        <v>OK</v>
      </c>
    </row>
    <row r="9631" spans="2:34" x14ac:dyDescent="0.2">
      <c r="B9631" s="2">
        <f ca="1"/>
        <v>0.56192890017102304</v>
      </c>
      <c r="O9631" s="2">
        <f ca="1"/>
        <v>-1.9682025862981887</v>
      </c>
      <c r="X9631" s="2">
        <f ca="1"/>
        <v>54.845827240351454</v>
      </c>
      <c r="AG9631" s="2">
        <f ca="1"/>
        <v>0.55387631734814136</v>
      </c>
      <c r="AH9631" s="2" t="str">
        <f ca="1"/>
        <v>Bad</v>
      </c>
    </row>
    <row r="9632" spans="2:34" x14ac:dyDescent="0.2">
      <c r="B9632" s="2">
        <f ca="1"/>
        <v>5.8034749888739912E-2</v>
      </c>
      <c r="O9632" s="2">
        <f ca="1"/>
        <v>-2.1309823797911021</v>
      </c>
      <c r="X9632" s="2">
        <f ca="1"/>
        <v>48.621153011329881</v>
      </c>
      <c r="AG9632" s="2">
        <f ca="1"/>
        <v>0.69229970500955695</v>
      </c>
      <c r="AH9632" s="2" t="str">
        <f ca="1"/>
        <v>Bad</v>
      </c>
    </row>
    <row r="9633" spans="2:34" x14ac:dyDescent="0.2">
      <c r="B9633" s="2">
        <f ca="1"/>
        <v>0.70608904777421944</v>
      </c>
      <c r="O9633" s="2">
        <f ca="1"/>
        <v>0.90785366901167996</v>
      </c>
      <c r="X9633" s="2">
        <f ca="1"/>
        <v>32.247374607259253</v>
      </c>
      <c r="AG9633" s="2">
        <f ca="1"/>
        <v>0.34790477047393242</v>
      </c>
      <c r="AH9633" s="2" t="str">
        <f ca="1"/>
        <v>OK</v>
      </c>
    </row>
    <row r="9634" spans="2:34" x14ac:dyDescent="0.2">
      <c r="B9634" s="2">
        <f ca="1"/>
        <v>0.49798641597684212</v>
      </c>
      <c r="O9634" s="2">
        <f ca="1"/>
        <v>-1.0106364257965084</v>
      </c>
      <c r="X9634" s="2">
        <f ca="1"/>
        <v>52.350974714171279</v>
      </c>
      <c r="AG9634" s="2">
        <f ca="1"/>
        <v>0.9149912684893915</v>
      </c>
      <c r="AH9634" s="2" t="str">
        <f ca="1"/>
        <v>Bad</v>
      </c>
    </row>
    <row r="9635" spans="2:34" x14ac:dyDescent="0.2">
      <c r="B9635" s="2">
        <f ca="1"/>
        <v>0.48404086154317283</v>
      </c>
      <c r="O9635" s="2">
        <f ca="1"/>
        <v>-3.0080344148592553</v>
      </c>
      <c r="X9635" s="2">
        <f ca="1"/>
        <v>72.249785069571132</v>
      </c>
      <c r="AG9635" s="2">
        <f ca="1"/>
        <v>0.32784135120913116</v>
      </c>
      <c r="AH9635" s="2" t="str">
        <f ca="1"/>
        <v>OK</v>
      </c>
    </row>
    <row r="9636" spans="2:34" x14ac:dyDescent="0.2">
      <c r="B9636" s="2">
        <f ca="1"/>
        <v>0.50772824853128196</v>
      </c>
      <c r="O9636" s="2">
        <f ca="1"/>
        <v>0.38365782583551161</v>
      </c>
      <c r="X9636" s="2">
        <f ca="1"/>
        <v>48.130261900433887</v>
      </c>
      <c r="AG9636" s="2">
        <f ca="1"/>
        <v>0.22911681810242723</v>
      </c>
      <c r="AH9636" s="2" t="str">
        <f ca="1"/>
        <v>OK</v>
      </c>
    </row>
    <row r="9637" spans="2:34" x14ac:dyDescent="0.2">
      <c r="B9637" s="2">
        <f ca="1"/>
        <v>0.52970140181180159</v>
      </c>
      <c r="O9637" s="2">
        <f ca="1"/>
        <v>-1.2579808273051041</v>
      </c>
      <c r="X9637" s="2">
        <f ca="1"/>
        <v>58.164884695695463</v>
      </c>
      <c r="AG9637" s="2">
        <f ca="1"/>
        <v>0.89758347419164375</v>
      </c>
      <c r="AH9637" s="2" t="str">
        <f ca="1"/>
        <v>Bad</v>
      </c>
    </row>
    <row r="9638" spans="2:34" x14ac:dyDescent="0.2">
      <c r="B9638" s="2">
        <f ca="1"/>
        <v>0.79051756149813635</v>
      </c>
      <c r="O9638" s="2">
        <f ca="1"/>
        <v>1.3254023420304091</v>
      </c>
      <c r="X9638" s="2">
        <f ca="1"/>
        <v>50.947086847877479</v>
      </c>
      <c r="AG9638" s="2">
        <f ca="1"/>
        <v>0.25867012630242336</v>
      </c>
      <c r="AH9638" s="2" t="str">
        <f ca="1"/>
        <v>OK</v>
      </c>
    </row>
    <row r="9639" spans="2:34" x14ac:dyDescent="0.2">
      <c r="B9639" s="2">
        <f ca="1"/>
        <v>9.0031746934303714E-2</v>
      </c>
      <c r="O9639" s="2">
        <f ca="1"/>
        <v>5.7407633462492044E-2</v>
      </c>
      <c r="X9639" s="2">
        <f ca="1"/>
        <v>21.535471866598613</v>
      </c>
      <c r="AG9639" s="2">
        <f ca="1"/>
        <v>0.57599492900821403</v>
      </c>
      <c r="AH9639" s="2" t="str">
        <f ca="1"/>
        <v>Bad</v>
      </c>
    </row>
    <row r="9640" spans="2:34" x14ac:dyDescent="0.2">
      <c r="B9640" s="2">
        <f ca="1"/>
        <v>0.45175276266614683</v>
      </c>
      <c r="O9640" s="2">
        <f ca="1"/>
        <v>-8.4598314425178942E-2</v>
      </c>
      <c r="X9640" s="2">
        <f ca="1"/>
        <v>25.213269470705264</v>
      </c>
      <c r="AG9640" s="2">
        <f ca="1"/>
        <v>0.6298283994809406</v>
      </c>
      <c r="AH9640" s="2" t="str">
        <f ca="1"/>
        <v>Bad</v>
      </c>
    </row>
    <row r="9641" spans="2:34" x14ac:dyDescent="0.2">
      <c r="B9641" s="2">
        <f ca="1"/>
        <v>0.59231619678085234</v>
      </c>
      <c r="O9641" s="2">
        <f ca="1"/>
        <v>-1.1196974401720508</v>
      </c>
      <c r="X9641" s="2">
        <f ca="1"/>
        <v>58.774291350297538</v>
      </c>
      <c r="AG9641" s="2">
        <f ca="1"/>
        <v>0.11753649931163146</v>
      </c>
      <c r="AH9641" s="2" t="str">
        <f ca="1"/>
        <v>OK</v>
      </c>
    </row>
    <row r="9642" spans="2:34" x14ac:dyDescent="0.2">
      <c r="B9642" s="2">
        <f ca="1"/>
        <v>0.36772818573465171</v>
      </c>
      <c r="O9642" s="2">
        <f ca="1"/>
        <v>-5.0604770374723079E-2</v>
      </c>
      <c r="X9642" s="2">
        <f ca="1"/>
        <v>80.500132652025826</v>
      </c>
      <c r="AG9642" s="2">
        <f ca="1"/>
        <v>0.94686459409004509</v>
      </c>
      <c r="AH9642" s="2" t="str">
        <f ca="1"/>
        <v>Bad</v>
      </c>
    </row>
    <row r="9643" spans="2:34" x14ac:dyDescent="0.2">
      <c r="B9643" s="2">
        <f ca="1"/>
        <v>0.36103041613728659</v>
      </c>
      <c r="O9643" s="2">
        <f ca="1"/>
        <v>-0.46117700312038801</v>
      </c>
      <c r="X9643" s="2">
        <f ca="1"/>
        <v>43.510866633886174</v>
      </c>
      <c r="AG9643" s="2">
        <f ca="1"/>
        <v>0.24674872441052331</v>
      </c>
      <c r="AH9643" s="2" t="str">
        <f ca="1"/>
        <v>OK</v>
      </c>
    </row>
    <row r="9644" spans="2:34" x14ac:dyDescent="0.2">
      <c r="B9644" s="2">
        <f ca="1"/>
        <v>0.2503493064813691</v>
      </c>
      <c r="O9644" s="2">
        <f ca="1"/>
        <v>0.90455941393036043</v>
      </c>
      <c r="X9644" s="2">
        <f ca="1"/>
        <v>48.522716494909531</v>
      </c>
      <c r="AG9644" s="2">
        <f ca="1"/>
        <v>0.14220311920039252</v>
      </c>
      <c r="AH9644" s="2" t="str">
        <f ca="1"/>
        <v>OK</v>
      </c>
    </row>
    <row r="9645" spans="2:34" x14ac:dyDescent="0.2">
      <c r="B9645" s="2">
        <f ca="1"/>
        <v>0.82853771691158107</v>
      </c>
      <c r="O9645" s="2">
        <f ca="1"/>
        <v>-0.41282612238380539</v>
      </c>
      <c r="X9645" s="2">
        <f ca="1"/>
        <v>63.960732261933998</v>
      </c>
      <c r="AG9645" s="2">
        <f ca="1"/>
        <v>0.88962141730848243</v>
      </c>
      <c r="AH9645" s="2" t="str">
        <f ca="1"/>
        <v>Bad</v>
      </c>
    </row>
    <row r="9646" spans="2:34" x14ac:dyDescent="0.2">
      <c r="B9646" s="2">
        <f ca="1"/>
        <v>0.78773281401056972</v>
      </c>
      <c r="O9646" s="2">
        <f ca="1"/>
        <v>-1.8717709197758365</v>
      </c>
      <c r="X9646" s="2">
        <f ca="1"/>
        <v>59.80596457425969</v>
      </c>
      <c r="AG9646" s="2">
        <f ca="1"/>
        <v>0.62768447518941195</v>
      </c>
      <c r="AH9646" s="2" t="str">
        <f ca="1"/>
        <v>Bad</v>
      </c>
    </row>
    <row r="9647" spans="2:34" x14ac:dyDescent="0.2">
      <c r="B9647" s="2">
        <f ca="1"/>
        <v>0.80808057895198893</v>
      </c>
      <c r="O9647" s="2">
        <f ca="1"/>
        <v>0.19950740160049907</v>
      </c>
      <c r="X9647" s="2">
        <f ca="1"/>
        <v>49.235048547984952</v>
      </c>
      <c r="AG9647" s="2">
        <f ca="1"/>
        <v>0.29922353462401619</v>
      </c>
      <c r="AH9647" s="2" t="str">
        <f ca="1"/>
        <v>OK</v>
      </c>
    </row>
    <row r="9648" spans="2:34" x14ac:dyDescent="0.2">
      <c r="B9648" s="2">
        <f ca="1"/>
        <v>7.616324716435785E-2</v>
      </c>
      <c r="O9648" s="2">
        <f ca="1"/>
        <v>-0.74302076866137123</v>
      </c>
      <c r="X9648" s="2">
        <f ca="1"/>
        <v>55.564072760225223</v>
      </c>
      <c r="AG9648" s="2">
        <f ca="1"/>
        <v>0.15739354900710567</v>
      </c>
      <c r="AH9648" s="2" t="str">
        <f ca="1"/>
        <v>OK</v>
      </c>
    </row>
    <row r="9649" spans="2:34" x14ac:dyDescent="0.2">
      <c r="B9649" s="2">
        <f ca="1"/>
        <v>0.90851735448960413</v>
      </c>
      <c r="O9649" s="2">
        <f ca="1"/>
        <v>0.478460936024169</v>
      </c>
      <c r="X9649" s="2">
        <f ca="1"/>
        <v>55.37495076623852</v>
      </c>
      <c r="AG9649" s="2">
        <f ca="1"/>
        <v>0.90929594746364617</v>
      </c>
      <c r="AH9649" s="2" t="str">
        <f ca="1"/>
        <v>Bad</v>
      </c>
    </row>
    <row r="9650" spans="2:34" x14ac:dyDescent="0.2">
      <c r="B9650" s="2">
        <f ca="1"/>
        <v>0.75820255153104732</v>
      </c>
      <c r="O9650" s="2">
        <f ca="1"/>
        <v>-0.98157808663764656</v>
      </c>
      <c r="X9650" s="2">
        <f ca="1"/>
        <v>54.345229167804085</v>
      </c>
      <c r="AG9650" s="2">
        <f ca="1"/>
        <v>0.59964451521081186</v>
      </c>
      <c r="AH9650" s="2" t="str">
        <f ca="1"/>
        <v>Bad</v>
      </c>
    </row>
    <row r="9651" spans="2:34" x14ac:dyDescent="0.2">
      <c r="B9651" s="2">
        <f ca="1"/>
        <v>0.24200005843219485</v>
      </c>
      <c r="O9651" s="2">
        <f ca="1"/>
        <v>0.22942851370686362</v>
      </c>
      <c r="X9651" s="2">
        <f ca="1"/>
        <v>50.475520836276679</v>
      </c>
      <c r="AG9651" s="2">
        <f ca="1"/>
        <v>0.28772243115873231</v>
      </c>
      <c r="AH9651" s="2" t="str">
        <f ca="1"/>
        <v>OK</v>
      </c>
    </row>
    <row r="9652" spans="2:34" x14ac:dyDescent="0.2">
      <c r="B9652" s="2">
        <f ca="1"/>
        <v>0.69098532074967367</v>
      </c>
      <c r="O9652" s="2">
        <f ca="1"/>
        <v>1.149458137872422</v>
      </c>
      <c r="X9652" s="2">
        <f ca="1"/>
        <v>53.122572539255174</v>
      </c>
      <c r="AG9652" s="2">
        <f ca="1"/>
        <v>0.98341339263679606</v>
      </c>
      <c r="AH9652" s="2" t="str">
        <f ca="1"/>
        <v>Bad</v>
      </c>
    </row>
    <row r="9653" spans="2:34" x14ac:dyDescent="0.2">
      <c r="B9653" s="2">
        <f ca="1"/>
        <v>0.65128411384878038</v>
      </c>
      <c r="O9653" s="2">
        <f ca="1"/>
        <v>-0.27773711024285702</v>
      </c>
      <c r="X9653" s="2">
        <f ca="1"/>
        <v>35.570543870650539</v>
      </c>
      <c r="AG9653" s="2">
        <f ca="1"/>
        <v>0.74489889241124163</v>
      </c>
      <c r="AH9653" s="2" t="str">
        <f ca="1"/>
        <v>Bad</v>
      </c>
    </row>
    <row r="9654" spans="2:34" x14ac:dyDescent="0.2">
      <c r="B9654" s="2">
        <f ca="1"/>
        <v>6.6022291275856126E-2</v>
      </c>
      <c r="O9654" s="2">
        <f ca="1"/>
        <v>-0.23006891162642376</v>
      </c>
      <c r="X9654" s="2">
        <f ca="1"/>
        <v>44.065168017569825</v>
      </c>
      <c r="AG9654" s="2">
        <f ca="1"/>
        <v>0.99040555828518628</v>
      </c>
      <c r="AH9654" s="2" t="str">
        <f ca="1"/>
        <v>Bad</v>
      </c>
    </row>
    <row r="9655" spans="2:34" x14ac:dyDescent="0.2">
      <c r="B9655" s="2">
        <f ca="1"/>
        <v>0.18243939391297626</v>
      </c>
      <c r="O9655" s="2">
        <f ca="1"/>
        <v>-0.20845482599822468</v>
      </c>
      <c r="X9655" s="2">
        <f ca="1"/>
        <v>54.473230974598579</v>
      </c>
      <c r="AG9655" s="2">
        <f ca="1"/>
        <v>0.38826379691279</v>
      </c>
      <c r="AH9655" s="2" t="str">
        <f ca="1"/>
        <v>OK</v>
      </c>
    </row>
    <row r="9656" spans="2:34" x14ac:dyDescent="0.2">
      <c r="B9656" s="2">
        <f ca="1"/>
        <v>0.1958777886544254</v>
      </c>
      <c r="O9656" s="2">
        <f ca="1"/>
        <v>0.11938076418948151</v>
      </c>
      <c r="X9656" s="2">
        <f ca="1"/>
        <v>36.883179079238879</v>
      </c>
      <c r="AG9656" s="2">
        <f ca="1"/>
        <v>0.88013513561548629</v>
      </c>
      <c r="AH9656" s="2" t="str">
        <f ca="1"/>
        <v>Bad</v>
      </c>
    </row>
    <row r="9657" spans="2:34" x14ac:dyDescent="0.2">
      <c r="B9657" s="2">
        <f ca="1"/>
        <v>0.78369551903660084</v>
      </c>
      <c r="O9657" s="2">
        <f ca="1"/>
        <v>1.3748471746206363</v>
      </c>
      <c r="X9657" s="2">
        <f ca="1"/>
        <v>44.314931321509818</v>
      </c>
      <c r="AG9657" s="2">
        <f ca="1"/>
        <v>0.50678101969194289</v>
      </c>
      <c r="AH9657" s="2" t="str">
        <f ca="1"/>
        <v>Bad</v>
      </c>
    </row>
    <row r="9658" spans="2:34" x14ac:dyDescent="0.2">
      <c r="B9658" s="2">
        <f ca="1"/>
        <v>1.6100491725581589E-2</v>
      </c>
      <c r="O9658" s="2">
        <f ca="1"/>
        <v>-0.60484905698063707</v>
      </c>
      <c r="X9658" s="2">
        <f ca="1"/>
        <v>57.270028775984542</v>
      </c>
      <c r="AG9658" s="2">
        <f ca="1"/>
        <v>0.94833913850444351</v>
      </c>
      <c r="AH9658" s="2" t="str">
        <f ca="1"/>
        <v>Bad</v>
      </c>
    </row>
    <row r="9659" spans="2:34" x14ac:dyDescent="0.2">
      <c r="B9659" s="2">
        <f ca="1"/>
        <v>0.57484695937523611</v>
      </c>
      <c r="O9659" s="2">
        <f ca="1"/>
        <v>0.23642250444666058</v>
      </c>
      <c r="X9659" s="2">
        <f ca="1"/>
        <v>46.639258231287172</v>
      </c>
      <c r="AG9659" s="2">
        <f ca="1"/>
        <v>1.3113217901882912E-2</v>
      </c>
      <c r="AH9659" s="2" t="str">
        <f ca="1"/>
        <v>Good</v>
      </c>
    </row>
    <row r="9660" spans="2:34" x14ac:dyDescent="0.2">
      <c r="B9660" s="2">
        <f ca="1"/>
        <v>0.73169814892713836</v>
      </c>
      <c r="O9660" s="2">
        <f ca="1"/>
        <v>0.84538287241540899</v>
      </c>
      <c r="X9660" s="2">
        <f ca="1"/>
        <v>47.056507647650051</v>
      </c>
      <c r="AG9660" s="2">
        <f ca="1"/>
        <v>0.10985822255956301</v>
      </c>
      <c r="AH9660" s="2" t="str">
        <f ca="1"/>
        <v>OK</v>
      </c>
    </row>
    <row r="9661" spans="2:34" x14ac:dyDescent="0.2">
      <c r="B9661" s="2">
        <f ca="1"/>
        <v>0.22617038737562889</v>
      </c>
      <c r="O9661" s="2">
        <f ca="1"/>
        <v>-0.44434861666475783</v>
      </c>
      <c r="X9661" s="2">
        <f ca="1"/>
        <v>29.59028644943125</v>
      </c>
      <c r="AG9661" s="2">
        <f ca="1"/>
        <v>0.43231529409439973</v>
      </c>
      <c r="AH9661" s="2" t="str">
        <f ca="1"/>
        <v>Bad</v>
      </c>
    </row>
    <row r="9662" spans="2:34" x14ac:dyDescent="0.2">
      <c r="B9662" s="2">
        <f ca="1"/>
        <v>0.98679923492903399</v>
      </c>
      <c r="O9662" s="2">
        <f ca="1"/>
        <v>1.1514947649889953</v>
      </c>
      <c r="X9662" s="2">
        <f ca="1"/>
        <v>32.441493248150138</v>
      </c>
      <c r="AG9662" s="2">
        <f ca="1"/>
        <v>0.19597221628712824</v>
      </c>
      <c r="AH9662" s="2" t="str">
        <f ca="1"/>
        <v>OK</v>
      </c>
    </row>
    <row r="9663" spans="2:34" x14ac:dyDescent="0.2">
      <c r="B9663" s="2">
        <f ca="1"/>
        <v>0.85280389332390727</v>
      </c>
      <c r="O9663" s="2">
        <f ca="1"/>
        <v>-1.8303316705550157</v>
      </c>
      <c r="X9663" s="2">
        <f ca="1"/>
        <v>63.610259669362527</v>
      </c>
      <c r="AG9663" s="2">
        <f ca="1"/>
        <v>0.27183141498619778</v>
      </c>
      <c r="AH9663" s="2" t="str">
        <f ca="1"/>
        <v>OK</v>
      </c>
    </row>
    <row r="9664" spans="2:34" x14ac:dyDescent="0.2">
      <c r="B9664" s="2">
        <f ca="1"/>
        <v>0.9854864656153659</v>
      </c>
      <c r="O9664" s="2">
        <f ca="1"/>
        <v>-0.21786179327750571</v>
      </c>
      <c r="X9664" s="2">
        <f ca="1"/>
        <v>80.385337989790301</v>
      </c>
      <c r="AG9664" s="2">
        <f ca="1"/>
        <v>0.53434572939986857</v>
      </c>
      <c r="AH9664" s="2" t="str">
        <f ca="1"/>
        <v>Bad</v>
      </c>
    </row>
    <row r="9665" spans="2:34" x14ac:dyDescent="0.2">
      <c r="B9665" s="2">
        <f ca="1"/>
        <v>0.99936630463896692</v>
      </c>
      <c r="O9665" s="2">
        <f ca="1"/>
        <v>-0.98555256429929772</v>
      </c>
      <c r="X9665" s="2">
        <f ca="1"/>
        <v>53.470917294367382</v>
      </c>
      <c r="AG9665" s="2">
        <f ca="1"/>
        <v>0.41302743286145294</v>
      </c>
      <c r="AH9665" s="2" t="str">
        <f ca="1"/>
        <v>Bad</v>
      </c>
    </row>
    <row r="9666" spans="2:34" x14ac:dyDescent="0.2">
      <c r="B9666" s="2">
        <f ca="1"/>
        <v>0.81415382817219784</v>
      </c>
      <c r="O9666" s="2">
        <f ca="1"/>
        <v>-0.74709148304793349</v>
      </c>
      <c r="X9666" s="2">
        <f ca="1"/>
        <v>50.537306577363765</v>
      </c>
      <c r="AG9666" s="2">
        <f ca="1"/>
        <v>0.90991647852056956</v>
      </c>
      <c r="AH9666" s="2" t="str">
        <f ca="1"/>
        <v>Bad</v>
      </c>
    </row>
    <row r="9667" spans="2:34" x14ac:dyDescent="0.2">
      <c r="B9667" s="2">
        <f ca="1"/>
        <v>0.15998959671613155</v>
      </c>
      <c r="O9667" s="2">
        <f ca="1"/>
        <v>1.8297552221055717</v>
      </c>
      <c r="X9667" s="2">
        <f ca="1"/>
        <v>51.157830804905018</v>
      </c>
      <c r="AG9667" s="2">
        <f ca="1"/>
        <v>1.7756375441588812E-3</v>
      </c>
      <c r="AH9667" s="2" t="str">
        <f ca="1"/>
        <v>Good</v>
      </c>
    </row>
    <row r="9668" spans="2:34" x14ac:dyDescent="0.2">
      <c r="B9668" s="2">
        <f ca="1"/>
        <v>0.64242974376312989</v>
      </c>
      <c r="O9668" s="2">
        <f ca="1"/>
        <v>1.9574932981055828</v>
      </c>
      <c r="X9668" s="2">
        <f ca="1"/>
        <v>84.247932183693862</v>
      </c>
      <c r="AG9668" s="2">
        <f ca="1"/>
        <v>0.7437262283407915</v>
      </c>
      <c r="AH9668" s="2" t="str">
        <f ca="1"/>
        <v>Bad</v>
      </c>
    </row>
    <row r="9669" spans="2:34" x14ac:dyDescent="0.2">
      <c r="B9669" s="2">
        <f ca="1"/>
        <v>0.77179467901661547</v>
      </c>
      <c r="O9669" s="2">
        <f ca="1"/>
        <v>-0.12911829067309302</v>
      </c>
      <c r="X9669" s="2">
        <f ca="1"/>
        <v>71.586028139734438</v>
      </c>
      <c r="AG9669" s="2">
        <f ca="1"/>
        <v>0.98911207553269986</v>
      </c>
      <c r="AH9669" s="2" t="str">
        <f ca="1"/>
        <v>Bad</v>
      </c>
    </row>
    <row r="9670" spans="2:34" x14ac:dyDescent="0.2">
      <c r="B9670" s="2">
        <f ca="1"/>
        <v>0.24077687063323694</v>
      </c>
      <c r="O9670" s="2">
        <f ca="1"/>
        <v>1.1411101405018891</v>
      </c>
      <c r="X9670" s="2">
        <f ca="1"/>
        <v>58.327589869797066</v>
      </c>
      <c r="AG9670" s="2">
        <f ca="1"/>
        <v>0.9511285546361945</v>
      </c>
      <c r="AH9670" s="2" t="str">
        <f ca="1"/>
        <v>Bad</v>
      </c>
    </row>
    <row r="9671" spans="2:34" x14ac:dyDescent="0.2">
      <c r="B9671" s="2">
        <f ca="1"/>
        <v>0.32253775906182458</v>
      </c>
      <c r="O9671" s="2">
        <f ca="1"/>
        <v>0.55941221705055377</v>
      </c>
      <c r="X9671" s="2">
        <f ca="1"/>
        <v>55.124265944309172</v>
      </c>
      <c r="AG9671" s="2">
        <f ca="1"/>
        <v>0.52308546622346097</v>
      </c>
      <c r="AH9671" s="2" t="str">
        <f ca="1"/>
        <v>Bad</v>
      </c>
    </row>
    <row r="9672" spans="2:34" x14ac:dyDescent="0.2">
      <c r="B9672" s="2">
        <f ca="1"/>
        <v>0.72473602708107454</v>
      </c>
      <c r="O9672" s="2">
        <f ca="1"/>
        <v>0.37356756776252537</v>
      </c>
      <c r="X9672" s="2">
        <f ca="1"/>
        <v>59.036992458227232</v>
      </c>
      <c r="AG9672" s="2">
        <f ca="1"/>
        <v>0.70968001864585051</v>
      </c>
      <c r="AH9672" s="2" t="str">
        <f ca="1"/>
        <v>Bad</v>
      </c>
    </row>
    <row r="9673" spans="2:34" x14ac:dyDescent="0.2">
      <c r="B9673" s="2">
        <f ca="1"/>
        <v>0.15476494774150251</v>
      </c>
      <c r="O9673" s="2">
        <f ca="1"/>
        <v>-0.17555802377542681</v>
      </c>
      <c r="X9673" s="2">
        <f ca="1"/>
        <v>25.310848291429139</v>
      </c>
      <c r="AG9673" s="2">
        <f ca="1"/>
        <v>0.67808006405943</v>
      </c>
      <c r="AH9673" s="2" t="str">
        <f ca="1"/>
        <v>Bad</v>
      </c>
    </row>
    <row r="9674" spans="2:34" x14ac:dyDescent="0.2">
      <c r="B9674" s="2">
        <f ca="1"/>
        <v>0.707984365150641</v>
      </c>
      <c r="O9674" s="2">
        <f ca="1"/>
        <v>1.5559873829048356</v>
      </c>
      <c r="X9674" s="2">
        <f ca="1"/>
        <v>36.405358293592485</v>
      </c>
      <c r="AG9674" s="2">
        <f ca="1"/>
        <v>0.53913938103898484</v>
      </c>
      <c r="AH9674" s="2" t="str">
        <f ca="1"/>
        <v>Bad</v>
      </c>
    </row>
    <row r="9675" spans="2:34" x14ac:dyDescent="0.2">
      <c r="B9675" s="2">
        <f ca="1"/>
        <v>0.69279679485070744</v>
      </c>
      <c r="O9675" s="2">
        <f ca="1"/>
        <v>1.4562417794575169</v>
      </c>
      <c r="X9675" s="2">
        <f ca="1"/>
        <v>34.78168071767157</v>
      </c>
      <c r="AG9675" s="2">
        <f ca="1"/>
        <v>0.3669048425034922</v>
      </c>
      <c r="AH9675" s="2" t="str">
        <f ca="1"/>
        <v>OK</v>
      </c>
    </row>
    <row r="9676" spans="2:34" x14ac:dyDescent="0.2">
      <c r="B9676" s="2">
        <f ca="1"/>
        <v>0.50965179550800377</v>
      </c>
      <c r="O9676" s="2">
        <f ca="1"/>
        <v>0.21020035051300512</v>
      </c>
      <c r="X9676" s="2">
        <f ca="1"/>
        <v>27.392982533005966</v>
      </c>
      <c r="AG9676" s="2">
        <f ca="1"/>
        <v>0.31452666660864281</v>
      </c>
      <c r="AH9676" s="2" t="str">
        <f ca="1"/>
        <v>OK</v>
      </c>
    </row>
    <row r="9677" spans="2:34" x14ac:dyDescent="0.2">
      <c r="B9677" s="2">
        <f ca="1"/>
        <v>0.89966137527953682</v>
      </c>
      <c r="O9677" s="2">
        <f ca="1"/>
        <v>0.18539234150218029</v>
      </c>
      <c r="X9677" s="2">
        <f ca="1"/>
        <v>61.49422400265226</v>
      </c>
      <c r="AG9677" s="2">
        <f ca="1"/>
        <v>0.40066756952921456</v>
      </c>
      <c r="AH9677" s="2" t="str">
        <f ca="1"/>
        <v>Bad</v>
      </c>
    </row>
    <row r="9678" spans="2:34" x14ac:dyDescent="0.2">
      <c r="B9678" s="2">
        <f ca="1"/>
        <v>0.17570695287528215</v>
      </c>
      <c r="O9678" s="2">
        <f ca="1"/>
        <v>-0.84482567602324588</v>
      </c>
      <c r="X9678" s="2">
        <f ca="1"/>
        <v>30.008635992741752</v>
      </c>
      <c r="AG9678" s="2">
        <f ca="1"/>
        <v>0.10580083091930415</v>
      </c>
      <c r="AH9678" s="2" t="str">
        <f ca="1"/>
        <v>OK</v>
      </c>
    </row>
    <row r="9679" spans="2:34" x14ac:dyDescent="0.2">
      <c r="B9679" s="2">
        <f ca="1"/>
        <v>0.44384906696509963</v>
      </c>
      <c r="O9679" s="2">
        <f ca="1"/>
        <v>0.16584019487198395</v>
      </c>
      <c r="X9679" s="2">
        <f ca="1"/>
        <v>36.817793210302547</v>
      </c>
      <c r="AG9679" s="2">
        <f ca="1"/>
        <v>0.15420207174512468</v>
      </c>
      <c r="AH9679" s="2" t="str">
        <f ca="1"/>
        <v>OK</v>
      </c>
    </row>
    <row r="9680" spans="2:34" x14ac:dyDescent="0.2">
      <c r="B9680" s="2">
        <f ca="1"/>
        <v>0.13330579330571957</v>
      </c>
      <c r="O9680" s="2">
        <f ca="1"/>
        <v>1.3503926330467477</v>
      </c>
      <c r="X9680" s="2">
        <f ca="1"/>
        <v>51.771507501857386</v>
      </c>
      <c r="AG9680" s="2">
        <f ca="1"/>
        <v>0.77716001689644432</v>
      </c>
      <c r="AH9680" s="2" t="str">
        <f ca="1"/>
        <v>Bad</v>
      </c>
    </row>
    <row r="9681" spans="2:34" x14ac:dyDescent="0.2">
      <c r="B9681" s="2">
        <f ca="1"/>
        <v>7.2189124402781468E-2</v>
      </c>
      <c r="O9681" s="2">
        <f ca="1"/>
        <v>0.29152822451944493</v>
      </c>
      <c r="X9681" s="2">
        <f ca="1"/>
        <v>43.596202927536247</v>
      </c>
      <c r="AG9681" s="2">
        <f ca="1"/>
        <v>0.52371650849492912</v>
      </c>
      <c r="AH9681" s="2" t="str">
        <f ca="1"/>
        <v>Bad</v>
      </c>
    </row>
    <row r="9682" spans="2:34" x14ac:dyDescent="0.2">
      <c r="B9682" s="2">
        <f ca="1"/>
        <v>0.9315857856556069</v>
      </c>
      <c r="O9682" s="2">
        <f ca="1"/>
        <v>-0.85317390730233555</v>
      </c>
      <c r="X9682" s="2">
        <f ca="1"/>
        <v>39.451402624943327</v>
      </c>
      <c r="AG9682" s="2">
        <f ca="1"/>
        <v>0.11643343630655667</v>
      </c>
      <c r="AH9682" s="2" t="str">
        <f ca="1"/>
        <v>OK</v>
      </c>
    </row>
    <row r="9683" spans="2:34" x14ac:dyDescent="0.2">
      <c r="B9683" s="2">
        <f ca="1"/>
        <v>0.21805658354966928</v>
      </c>
      <c r="O9683" s="2">
        <f ca="1"/>
        <v>-1.2409914553532981</v>
      </c>
      <c r="X9683" s="2">
        <f ca="1"/>
        <v>78.329300733929088</v>
      </c>
      <c r="AG9683" s="2">
        <f ca="1"/>
        <v>0.89454044900350382</v>
      </c>
      <c r="AH9683" s="2" t="str">
        <f ca="1"/>
        <v>Bad</v>
      </c>
    </row>
    <row r="9684" spans="2:34" x14ac:dyDescent="0.2">
      <c r="B9684" s="2">
        <f ca="1"/>
        <v>0.92225989926699126</v>
      </c>
      <c r="O9684" s="2">
        <f ca="1"/>
        <v>0.10172015269047585</v>
      </c>
      <c r="X9684" s="2">
        <f ca="1"/>
        <v>29.259487613188323</v>
      </c>
      <c r="AG9684" s="2">
        <f ca="1"/>
        <v>0.18917186172157696</v>
      </c>
      <c r="AH9684" s="2" t="str">
        <f ca="1"/>
        <v>OK</v>
      </c>
    </row>
    <row r="9685" spans="2:34" x14ac:dyDescent="0.2">
      <c r="B9685" s="2">
        <f ca="1"/>
        <v>0.47195004570194032</v>
      </c>
      <c r="O9685" s="2">
        <f ca="1"/>
        <v>-1.7130438689284306</v>
      </c>
      <c r="X9685" s="2">
        <f ca="1"/>
        <v>36.743649530061056</v>
      </c>
      <c r="AG9685" s="2">
        <f ca="1"/>
        <v>0.74710141274639685</v>
      </c>
      <c r="AH9685" s="2" t="str">
        <f ca="1"/>
        <v>Bad</v>
      </c>
    </row>
    <row r="9686" spans="2:34" x14ac:dyDescent="0.2">
      <c r="B9686" s="2">
        <f ca="1"/>
        <v>0.50809602204164817</v>
      </c>
      <c r="O9686" s="2">
        <f ca="1"/>
        <v>-0.93808233941972619</v>
      </c>
      <c r="X9686" s="2">
        <f ca="1"/>
        <v>47.094187491005492</v>
      </c>
      <c r="AG9686" s="2">
        <f ca="1"/>
        <v>0.37708350183454131</v>
      </c>
      <c r="AH9686" s="2" t="str">
        <f ca="1"/>
        <v>OK</v>
      </c>
    </row>
    <row r="9687" spans="2:34" x14ac:dyDescent="0.2">
      <c r="B9687" s="2">
        <f ca="1"/>
        <v>0.1356783375030024</v>
      </c>
      <c r="O9687" s="2">
        <f ca="1"/>
        <v>-1.2293207762257699</v>
      </c>
      <c r="X9687" s="2">
        <f ca="1"/>
        <v>46.446443886549275</v>
      </c>
      <c r="AG9687" s="2">
        <f ca="1"/>
        <v>0.54136553632970141</v>
      </c>
      <c r="AH9687" s="2" t="str">
        <f ca="1"/>
        <v>Bad</v>
      </c>
    </row>
    <row r="9688" spans="2:34" x14ac:dyDescent="0.2">
      <c r="B9688" s="2">
        <f ca="1"/>
        <v>0.25586589221028366</v>
      </c>
      <c r="O9688" s="2">
        <f ca="1"/>
        <v>-1.0741408053041852</v>
      </c>
      <c r="X9688" s="2">
        <f ca="1"/>
        <v>41.666208399283072</v>
      </c>
      <c r="AG9688" s="2">
        <f ca="1"/>
        <v>0.3529086474727956</v>
      </c>
      <c r="AH9688" s="2" t="str">
        <f ca="1"/>
        <v>OK</v>
      </c>
    </row>
    <row r="9689" spans="2:34" x14ac:dyDescent="0.2">
      <c r="B9689" s="2">
        <f ca="1"/>
        <v>0.58088248375261164</v>
      </c>
      <c r="O9689" s="2">
        <f ca="1"/>
        <v>2.1082579061648087E-2</v>
      </c>
      <c r="X9689" s="2">
        <f ca="1"/>
        <v>32.344709804302738</v>
      </c>
      <c r="AG9689" s="2">
        <f ca="1"/>
        <v>0.17496398032765526</v>
      </c>
      <c r="AH9689" s="2" t="str">
        <f ca="1"/>
        <v>OK</v>
      </c>
    </row>
    <row r="9690" spans="2:34" x14ac:dyDescent="0.2">
      <c r="B9690" s="2">
        <f ca="1"/>
        <v>0.25592288317933654</v>
      </c>
      <c r="O9690" s="2">
        <f ca="1"/>
        <v>0.84750896354747129</v>
      </c>
      <c r="X9690" s="2">
        <f ca="1"/>
        <v>50.089684221514744</v>
      </c>
      <c r="AG9690" s="2">
        <f ca="1"/>
        <v>0.80842493732727538</v>
      </c>
      <c r="AH9690" s="2" t="str">
        <f ca="1"/>
        <v>Bad</v>
      </c>
    </row>
    <row r="9691" spans="2:34" x14ac:dyDescent="0.2">
      <c r="B9691" s="2">
        <f ca="1"/>
        <v>0.20889937866106312</v>
      </c>
      <c r="O9691" s="2">
        <f ca="1"/>
        <v>-4.4578762669449483E-2</v>
      </c>
      <c r="X9691" s="2">
        <f ca="1"/>
        <v>32.233881990730715</v>
      </c>
      <c r="AG9691" s="2">
        <f ca="1"/>
        <v>0.60623733453105855</v>
      </c>
      <c r="AH9691" s="2" t="str">
        <f ca="1"/>
        <v>Bad</v>
      </c>
    </row>
    <row r="9692" spans="2:34" x14ac:dyDescent="0.2">
      <c r="B9692" s="2">
        <f ca="1"/>
        <v>0.8131246771185392</v>
      </c>
      <c r="O9692" s="2">
        <f ca="1"/>
        <v>0.94751082818939392</v>
      </c>
      <c r="X9692" s="2">
        <f ca="1"/>
        <v>37.608427646153899</v>
      </c>
      <c r="AG9692" s="2">
        <f ca="1"/>
        <v>0.21084774788420146</v>
      </c>
      <c r="AH9692" s="2" t="str">
        <f ca="1"/>
        <v>OK</v>
      </c>
    </row>
    <row r="9693" spans="2:34" x14ac:dyDescent="0.2">
      <c r="B9693" s="2">
        <f ca="1"/>
        <v>0.83727338132147255</v>
      </c>
      <c r="O9693" s="2">
        <f ca="1"/>
        <v>1.1519626423143796</v>
      </c>
      <c r="X9693" s="2">
        <f ca="1"/>
        <v>50.491577515350571</v>
      </c>
      <c r="AG9693" s="2">
        <f ca="1"/>
        <v>0.84857501494824161</v>
      </c>
      <c r="AH9693" s="2" t="str">
        <f ca="1"/>
        <v>Bad</v>
      </c>
    </row>
    <row r="9694" spans="2:34" x14ac:dyDescent="0.2">
      <c r="B9694" s="2">
        <f ca="1"/>
        <v>0.99060381600163927</v>
      </c>
      <c r="O9694" s="2">
        <f ca="1"/>
        <v>-1.2014118627495813</v>
      </c>
      <c r="X9694" s="2">
        <f ca="1"/>
        <v>62.09722179105907</v>
      </c>
      <c r="AG9694" s="2">
        <f ca="1"/>
        <v>0.37157852486135523</v>
      </c>
      <c r="AH9694" s="2" t="str">
        <f ca="1"/>
        <v>OK</v>
      </c>
    </row>
    <row r="9695" spans="2:34" x14ac:dyDescent="0.2">
      <c r="B9695" s="2">
        <f ca="1"/>
        <v>0.51143191780859065</v>
      </c>
      <c r="O9695" s="2">
        <f ca="1"/>
        <v>-2.3129460462053393</v>
      </c>
      <c r="X9695" s="2">
        <f ca="1"/>
        <v>50.39168612004417</v>
      </c>
      <c r="AG9695" s="2">
        <f ca="1"/>
        <v>0.67039451962807806</v>
      </c>
      <c r="AH9695" s="2" t="str">
        <f ca="1"/>
        <v>Bad</v>
      </c>
    </row>
    <row r="9696" spans="2:34" x14ac:dyDescent="0.2">
      <c r="B9696" s="2">
        <f ca="1"/>
        <v>0.93180259849504021</v>
      </c>
      <c r="O9696" s="2">
        <f ca="1"/>
        <v>-2.3531993093704066E-2</v>
      </c>
      <c r="X9696" s="2">
        <f ca="1"/>
        <v>29.94832449143582</v>
      </c>
      <c r="AG9696" s="2">
        <f ca="1"/>
        <v>0.44025849355382562</v>
      </c>
      <c r="AH9696" s="2" t="str">
        <f ca="1"/>
        <v>Bad</v>
      </c>
    </row>
    <row r="9697" spans="2:34" x14ac:dyDescent="0.2">
      <c r="B9697" s="2">
        <f ca="1"/>
        <v>0.19119217199026184</v>
      </c>
      <c r="O9697" s="2">
        <f ca="1"/>
        <v>-0.82032321191340019</v>
      </c>
      <c r="X9697" s="2">
        <f ca="1"/>
        <v>71.54080282479535</v>
      </c>
      <c r="AG9697" s="2">
        <f ca="1"/>
        <v>0.27512710134513796</v>
      </c>
      <c r="AH9697" s="2" t="str">
        <f ca="1"/>
        <v>OK</v>
      </c>
    </row>
    <row r="9698" spans="2:34" x14ac:dyDescent="0.2">
      <c r="B9698" s="2">
        <f ca="1"/>
        <v>0.17305970352964128</v>
      </c>
      <c r="O9698" s="2">
        <f ca="1"/>
        <v>-0.48077792675978642</v>
      </c>
      <c r="X9698" s="2">
        <f ca="1"/>
        <v>50.58245971012407</v>
      </c>
      <c r="AG9698" s="2">
        <f ca="1"/>
        <v>0.68426331968394383</v>
      </c>
      <c r="AH9698" s="2" t="str">
        <f ca="1"/>
        <v>Bad</v>
      </c>
    </row>
    <row r="9699" spans="2:34" x14ac:dyDescent="0.2">
      <c r="B9699" s="2">
        <f ca="1"/>
        <v>0.29226410092964006</v>
      </c>
      <c r="O9699" s="2">
        <f ca="1"/>
        <v>-0.63355449468425096</v>
      </c>
      <c r="X9699" s="2">
        <f ca="1"/>
        <v>56.828263972064676</v>
      </c>
      <c r="AG9699" s="2">
        <f ca="1"/>
        <v>0.89542140651523638</v>
      </c>
      <c r="AH9699" s="2" t="str">
        <f ca="1"/>
        <v>Bad</v>
      </c>
    </row>
    <row r="9700" spans="2:34" x14ac:dyDescent="0.2">
      <c r="B9700" s="2">
        <f ca="1"/>
        <v>0.77807649571996418</v>
      </c>
      <c r="O9700" s="2">
        <f ca="1"/>
        <v>-1.6582721492707746</v>
      </c>
      <c r="X9700" s="2">
        <f ca="1"/>
        <v>44.452434789922613</v>
      </c>
      <c r="AG9700" s="2">
        <f ca="1"/>
        <v>0.32909825655688496</v>
      </c>
      <c r="AH9700" s="2" t="str">
        <f ca="1"/>
        <v>OK</v>
      </c>
    </row>
    <row r="9701" spans="2:34" x14ac:dyDescent="0.2">
      <c r="B9701" s="2">
        <f ca="1"/>
        <v>0.99748845314802637</v>
      </c>
      <c r="O9701" s="2">
        <f ca="1"/>
        <v>0.48553916446235318</v>
      </c>
      <c r="X9701" s="2">
        <f ca="1"/>
        <v>54.812432490999157</v>
      </c>
      <c r="AG9701" s="2">
        <f ca="1"/>
        <v>0.46823020224154144</v>
      </c>
      <c r="AH9701" s="2" t="str">
        <f ca="1"/>
        <v>Bad</v>
      </c>
    </row>
    <row r="9702" spans="2:34" x14ac:dyDescent="0.2">
      <c r="B9702" s="2">
        <f ca="1"/>
        <v>0.19748792024122785</v>
      </c>
      <c r="O9702" s="2">
        <f ca="1"/>
        <v>0.39707849931933997</v>
      </c>
      <c r="X9702" s="2">
        <f ca="1"/>
        <v>47.029733231944412</v>
      </c>
      <c r="AG9702" s="2">
        <f ca="1"/>
        <v>0.96601156933885179</v>
      </c>
      <c r="AH9702" s="2" t="str">
        <f ca="1"/>
        <v>Bad</v>
      </c>
    </row>
    <row r="9703" spans="2:34" x14ac:dyDescent="0.2">
      <c r="B9703" s="2">
        <f ca="1"/>
        <v>0.24879332218630035</v>
      </c>
      <c r="O9703" s="2">
        <f ca="1"/>
        <v>0.77020519498855189</v>
      </c>
      <c r="X9703" s="2">
        <f ca="1"/>
        <v>29.543827167723574</v>
      </c>
      <c r="AG9703" s="2">
        <f ca="1"/>
        <v>0.92735924278503967</v>
      </c>
      <c r="AH9703" s="2" t="str">
        <f ca="1"/>
        <v>Bad</v>
      </c>
    </row>
    <row r="9704" spans="2:34" x14ac:dyDescent="0.2">
      <c r="B9704" s="2">
        <f ca="1"/>
        <v>0.30143138157899196</v>
      </c>
      <c r="O9704" s="2">
        <f ca="1"/>
        <v>0.24874520405625353</v>
      </c>
      <c r="X9704" s="2">
        <f ca="1"/>
        <v>59.021555923724797</v>
      </c>
      <c r="AG9704" s="2">
        <f ca="1"/>
        <v>0.5770111390067989</v>
      </c>
      <c r="AH9704" s="2" t="str">
        <f ca="1"/>
        <v>Bad</v>
      </c>
    </row>
    <row r="9705" spans="2:34" x14ac:dyDescent="0.2">
      <c r="B9705" s="2">
        <f ca="1"/>
        <v>0.90708330629947054</v>
      </c>
      <c r="O9705" s="2">
        <f ca="1"/>
        <v>-0.48026013239796705</v>
      </c>
      <c r="X9705" s="2">
        <f ca="1"/>
        <v>42.760398835310525</v>
      </c>
      <c r="AG9705" s="2">
        <f ca="1"/>
        <v>0.68283053749067557</v>
      </c>
      <c r="AH9705" s="2" t="str">
        <f ca="1"/>
        <v>Bad</v>
      </c>
    </row>
    <row r="9706" spans="2:34" x14ac:dyDescent="0.2">
      <c r="B9706" s="2">
        <f ca="1"/>
        <v>0.59085785293789761</v>
      </c>
      <c r="O9706" s="2">
        <f ca="1"/>
        <v>-0.68421754034695692</v>
      </c>
      <c r="X9706" s="2">
        <f ca="1"/>
        <v>52.185097303302442</v>
      </c>
      <c r="AG9706" s="2">
        <f ca="1"/>
        <v>0.9278728927661859</v>
      </c>
      <c r="AH9706" s="2" t="str">
        <f ca="1"/>
        <v>Bad</v>
      </c>
    </row>
    <row r="9707" spans="2:34" x14ac:dyDescent="0.2">
      <c r="B9707" s="2">
        <f ca="1"/>
        <v>0.35992780539818625</v>
      </c>
      <c r="O9707" s="2">
        <f ca="1"/>
        <v>-6.1917975243093615E-2</v>
      </c>
      <c r="X9707" s="2">
        <f ca="1"/>
        <v>49.938520196067053</v>
      </c>
      <c r="AG9707" s="2">
        <f ca="1"/>
        <v>0.21762144764526159</v>
      </c>
      <c r="AH9707" s="2" t="str">
        <f ca="1"/>
        <v>OK</v>
      </c>
    </row>
    <row r="9708" spans="2:34" x14ac:dyDescent="0.2">
      <c r="B9708" s="2">
        <f ca="1"/>
        <v>5.4386199037134375E-2</v>
      </c>
      <c r="O9708" s="2">
        <f ca="1"/>
        <v>1.5332305810117495</v>
      </c>
      <c r="X9708" s="2">
        <f ca="1"/>
        <v>47.141570518841078</v>
      </c>
      <c r="AG9708" s="2">
        <f ca="1"/>
        <v>0.41742692934100289</v>
      </c>
      <c r="AH9708" s="2" t="str">
        <f ca="1"/>
        <v>Bad</v>
      </c>
    </row>
    <row r="9709" spans="2:34" x14ac:dyDescent="0.2">
      <c r="B9709" s="2">
        <f ca="1"/>
        <v>0.91053900012763567</v>
      </c>
      <c r="O9709" s="2">
        <f ca="1"/>
        <v>1.4812430931649998</v>
      </c>
      <c r="X9709" s="2">
        <f ca="1"/>
        <v>55.050755905024587</v>
      </c>
      <c r="AG9709" s="2">
        <f ca="1"/>
        <v>0.2853339365321248</v>
      </c>
      <c r="AH9709" s="2" t="str">
        <f ca="1"/>
        <v>OK</v>
      </c>
    </row>
    <row r="9710" spans="2:34" x14ac:dyDescent="0.2">
      <c r="B9710" s="2">
        <f ca="1"/>
        <v>0.24289165833504334</v>
      </c>
      <c r="O9710" s="2">
        <f ca="1"/>
        <v>0.21568118623886209</v>
      </c>
      <c r="X9710" s="2">
        <f ca="1"/>
        <v>33.989445909724843</v>
      </c>
      <c r="AG9710" s="2">
        <f ca="1"/>
        <v>0.47535572551748939</v>
      </c>
      <c r="AH9710" s="2" t="str">
        <f ca="1"/>
        <v>Bad</v>
      </c>
    </row>
    <row r="9711" spans="2:34" x14ac:dyDescent="0.2">
      <c r="B9711" s="2">
        <f ca="1"/>
        <v>0.26127587582230904</v>
      </c>
      <c r="O9711" s="2">
        <f ca="1"/>
        <v>-0.11762101407558338</v>
      </c>
      <c r="X9711" s="2">
        <f ca="1"/>
        <v>56.35792293798491</v>
      </c>
      <c r="AG9711" s="2">
        <f ca="1"/>
        <v>0.29598304631275663</v>
      </c>
      <c r="AH9711" s="2" t="str">
        <f ca="1"/>
        <v>OK</v>
      </c>
    </row>
    <row r="9712" spans="2:34" x14ac:dyDescent="0.2">
      <c r="B9712" s="2">
        <f ca="1"/>
        <v>0.24353351808736301</v>
      </c>
      <c r="O9712" s="2">
        <f ca="1"/>
        <v>0.864464787877394</v>
      </c>
      <c r="X9712" s="2">
        <f ca="1"/>
        <v>34.360690495354092</v>
      </c>
      <c r="AG9712" s="2">
        <f ca="1"/>
        <v>0.92432966603678768</v>
      </c>
      <c r="AH9712" s="2" t="str">
        <f ca="1"/>
        <v>Bad</v>
      </c>
    </row>
    <row r="9713" spans="2:34" x14ac:dyDescent="0.2">
      <c r="B9713" s="2">
        <f ca="1"/>
        <v>0.93966851077421354</v>
      </c>
      <c r="O9713" s="2">
        <f ca="1"/>
        <v>-0.15027984368295932</v>
      </c>
      <c r="X9713" s="2">
        <f ca="1"/>
        <v>46.118248384632665</v>
      </c>
      <c r="AG9713" s="2">
        <f ca="1"/>
        <v>0.37609455494411059</v>
      </c>
      <c r="AH9713" s="2" t="str">
        <f ca="1"/>
        <v>OK</v>
      </c>
    </row>
    <row r="9714" spans="2:34" x14ac:dyDescent="0.2">
      <c r="B9714" s="2">
        <f ca="1"/>
        <v>0.70489387111718904</v>
      </c>
      <c r="O9714" s="2">
        <f ca="1"/>
        <v>0.19261345771963842</v>
      </c>
      <c r="X9714" s="2">
        <f ca="1"/>
        <v>16.761909669936355</v>
      </c>
      <c r="AG9714" s="2">
        <f ca="1"/>
        <v>0.52562881156658436</v>
      </c>
      <c r="AH9714" s="2" t="str">
        <f ca="1"/>
        <v>Bad</v>
      </c>
    </row>
    <row r="9715" spans="2:34" x14ac:dyDescent="0.2">
      <c r="B9715" s="2">
        <f ca="1"/>
        <v>7.1004047028857098E-2</v>
      </c>
      <c r="O9715" s="2">
        <f ca="1"/>
        <v>-0.23199552203436374</v>
      </c>
      <c r="X9715" s="2">
        <f ca="1"/>
        <v>75.906906461931257</v>
      </c>
      <c r="AG9715" s="2">
        <f ca="1"/>
        <v>0.78861894481250006</v>
      </c>
      <c r="AH9715" s="2" t="str">
        <f ca="1"/>
        <v>Bad</v>
      </c>
    </row>
    <row r="9716" spans="2:34" x14ac:dyDescent="0.2">
      <c r="B9716" s="2">
        <f ca="1"/>
        <v>0.42382615661637835</v>
      </c>
      <c r="O9716" s="2">
        <f ca="1"/>
        <v>-0.13139540529992536</v>
      </c>
      <c r="X9716" s="2">
        <f ca="1"/>
        <v>44.670428110534068</v>
      </c>
      <c r="AG9716" s="2">
        <f ca="1"/>
        <v>0.41178872415656631</v>
      </c>
      <c r="AH9716" s="2" t="str">
        <f ca="1"/>
        <v>Bad</v>
      </c>
    </row>
    <row r="9717" spans="2:34" x14ac:dyDescent="0.2">
      <c r="B9717" s="2">
        <f ca="1"/>
        <v>0.86423097065879229</v>
      </c>
      <c r="O9717" s="2">
        <f ca="1"/>
        <v>-0.31224266846749121</v>
      </c>
      <c r="X9717" s="2">
        <f ca="1"/>
        <v>79.573821276062247</v>
      </c>
      <c r="AG9717" s="2">
        <f ca="1"/>
        <v>0.699790257762265</v>
      </c>
      <c r="AH9717" s="2" t="str">
        <f ca="1"/>
        <v>Bad</v>
      </c>
    </row>
    <row r="9718" spans="2:34" x14ac:dyDescent="0.2">
      <c r="B9718" s="2">
        <f ca="1"/>
        <v>0.50609896422340217</v>
      </c>
      <c r="O9718" s="2">
        <f ca="1"/>
        <v>7.897289567111157E-2</v>
      </c>
      <c r="X9718" s="2">
        <f ca="1"/>
        <v>45.034930833854304</v>
      </c>
      <c r="AG9718" s="2">
        <f ca="1"/>
        <v>0.73852360142971896</v>
      </c>
      <c r="AH9718" s="2" t="str">
        <f ca="1"/>
        <v>Bad</v>
      </c>
    </row>
    <row r="9719" spans="2:34" x14ac:dyDescent="0.2">
      <c r="B9719" s="2">
        <f ca="1"/>
        <v>0.81262988489257282</v>
      </c>
      <c r="O9719" s="2">
        <f ca="1"/>
        <v>0.51643727483013668</v>
      </c>
      <c r="X9719" s="2">
        <f ca="1"/>
        <v>34.748527037633444</v>
      </c>
      <c r="AG9719" s="2">
        <f ca="1"/>
        <v>0.51076714486675834</v>
      </c>
      <c r="AH9719" s="2" t="str">
        <f ca="1"/>
        <v>Bad</v>
      </c>
    </row>
    <row r="9720" spans="2:34" x14ac:dyDescent="0.2">
      <c r="B9720" s="2">
        <f ca="1"/>
        <v>0.49212611511753912</v>
      </c>
      <c r="O9720" s="2">
        <f ca="1"/>
        <v>1.1592131905776846</v>
      </c>
      <c r="X9720" s="2">
        <f ca="1"/>
        <v>43.108892780747112</v>
      </c>
      <c r="AG9720" s="2">
        <f ca="1"/>
        <v>0.54698456547324903</v>
      </c>
      <c r="AH9720" s="2" t="str">
        <f ca="1"/>
        <v>Bad</v>
      </c>
    </row>
    <row r="9721" spans="2:34" x14ac:dyDescent="0.2">
      <c r="B9721" s="2">
        <f ca="1"/>
        <v>0.83007295143503868</v>
      </c>
      <c r="O9721" s="2">
        <f ca="1"/>
        <v>-0.45190450479306343</v>
      </c>
      <c r="X9721" s="2">
        <f ca="1"/>
        <v>50.600574942056141</v>
      </c>
      <c r="AG9721" s="2">
        <f ca="1"/>
        <v>0.19526514283976115</v>
      </c>
      <c r="AH9721" s="2" t="str">
        <f ca="1"/>
        <v>OK</v>
      </c>
    </row>
    <row r="9722" spans="2:34" x14ac:dyDescent="0.2">
      <c r="B9722" s="2">
        <f ca="1"/>
        <v>0.37002404105066788</v>
      </c>
      <c r="O9722" s="2">
        <f ca="1"/>
        <v>1.3859313077279471</v>
      </c>
      <c r="X9722" s="2">
        <f ca="1"/>
        <v>83.793687872190532</v>
      </c>
      <c r="AG9722" s="2">
        <f ca="1"/>
        <v>0.29559698058345929</v>
      </c>
      <c r="AH9722" s="2" t="str">
        <f ca="1"/>
        <v>OK</v>
      </c>
    </row>
    <row r="9723" spans="2:34" x14ac:dyDescent="0.2">
      <c r="B9723" s="2">
        <f ca="1"/>
        <v>0.20356635620544838</v>
      </c>
      <c r="O9723" s="2">
        <f ca="1"/>
        <v>0.16278017524368868</v>
      </c>
      <c r="X9723" s="2">
        <f ca="1"/>
        <v>56.94947643492894</v>
      </c>
      <c r="AG9723" s="2">
        <f ca="1"/>
        <v>0.44477208070886864</v>
      </c>
      <c r="AH9723" s="2" t="str">
        <f ca="1"/>
        <v>Bad</v>
      </c>
    </row>
    <row r="9724" spans="2:34" x14ac:dyDescent="0.2">
      <c r="B9724" s="2">
        <f ca="1"/>
        <v>0.9254075836426594</v>
      </c>
      <c r="O9724" s="2">
        <f ca="1"/>
        <v>-0.83779301073004575</v>
      </c>
      <c r="X9724" s="2">
        <f ca="1"/>
        <v>46.095225500001639</v>
      </c>
      <c r="AG9724" s="2">
        <f ca="1"/>
        <v>0.74608117508074079</v>
      </c>
      <c r="AH9724" s="2" t="str">
        <f ca="1"/>
        <v>Bad</v>
      </c>
    </row>
    <row r="9725" spans="2:34" x14ac:dyDescent="0.2">
      <c r="B9725" s="2">
        <f ca="1"/>
        <v>0.4301216635669689</v>
      </c>
      <c r="O9725" s="2">
        <f ca="1"/>
        <v>0.68673460100450034</v>
      </c>
      <c r="X9725" s="2">
        <f ca="1"/>
        <v>34.620359731358555</v>
      </c>
      <c r="AG9725" s="2">
        <f ca="1"/>
        <v>0.67042870310094926</v>
      </c>
      <c r="AH9725" s="2" t="str">
        <f ca="1"/>
        <v>Bad</v>
      </c>
    </row>
    <row r="9726" spans="2:34" x14ac:dyDescent="0.2">
      <c r="B9726" s="2">
        <f ca="1"/>
        <v>0.98174084059679534</v>
      </c>
      <c r="O9726" s="2">
        <f ca="1"/>
        <v>1.1695285289206887</v>
      </c>
      <c r="X9726" s="2">
        <f ca="1"/>
        <v>52.989153882361933</v>
      </c>
      <c r="AG9726" s="2">
        <f ca="1"/>
        <v>5.0662729484398206E-2</v>
      </c>
      <c r="AH9726" s="2" t="str">
        <f ca="1"/>
        <v>OK</v>
      </c>
    </row>
    <row r="9727" spans="2:34" x14ac:dyDescent="0.2">
      <c r="B9727" s="2">
        <f ca="1"/>
        <v>0.33746150084569559</v>
      </c>
      <c r="O9727" s="2">
        <f ca="1"/>
        <v>0.30553455504355415</v>
      </c>
      <c r="X9727" s="2">
        <f ca="1"/>
        <v>20.112505594338266</v>
      </c>
      <c r="AG9727" s="2">
        <f ca="1"/>
        <v>0.20815893591044587</v>
      </c>
      <c r="AH9727" s="2" t="str">
        <f ca="1"/>
        <v>OK</v>
      </c>
    </row>
    <row r="9728" spans="2:34" x14ac:dyDescent="0.2">
      <c r="B9728" s="2">
        <f ca="1"/>
        <v>0.314263761506544</v>
      </c>
      <c r="O9728" s="2">
        <f ca="1"/>
        <v>-1.7126725655574375</v>
      </c>
      <c r="X9728" s="2">
        <f ca="1"/>
        <v>42.112093662805528</v>
      </c>
      <c r="AG9728" s="2">
        <f ca="1"/>
        <v>0.60113181437659202</v>
      </c>
      <c r="AH9728" s="2" t="str">
        <f ca="1"/>
        <v>Bad</v>
      </c>
    </row>
    <row r="9729" spans="2:34" x14ac:dyDescent="0.2">
      <c r="B9729" s="2">
        <f ca="1"/>
        <v>0.23389761965388267</v>
      </c>
      <c r="O9729" s="2">
        <f ca="1"/>
        <v>0.42920654637817823</v>
      </c>
      <c r="X9729" s="2">
        <f ca="1"/>
        <v>41.812315167529874</v>
      </c>
      <c r="AG9729" s="2">
        <f ca="1"/>
        <v>0.90424434474533655</v>
      </c>
      <c r="AH9729" s="2" t="str">
        <f ca="1"/>
        <v>Bad</v>
      </c>
    </row>
    <row r="9730" spans="2:34" x14ac:dyDescent="0.2">
      <c r="B9730" s="2">
        <f ca="1"/>
        <v>0.81003084067954512</v>
      </c>
      <c r="O9730" s="2">
        <f ca="1"/>
        <v>0.34018156460633231</v>
      </c>
      <c r="X9730" s="2">
        <f ca="1"/>
        <v>40.010225419096592</v>
      </c>
      <c r="AG9730" s="2">
        <f ca="1"/>
        <v>0.12316109579369749</v>
      </c>
      <c r="AH9730" s="2" t="str">
        <f ca="1"/>
        <v>OK</v>
      </c>
    </row>
    <row r="9731" spans="2:34" x14ac:dyDescent="0.2">
      <c r="B9731" s="2">
        <f ca="1"/>
        <v>0.75772975722683267</v>
      </c>
      <c r="O9731" s="2">
        <f ca="1"/>
        <v>-0.11833743848308306</v>
      </c>
      <c r="X9731" s="2">
        <f ca="1"/>
        <v>45.371195037266219</v>
      </c>
      <c r="AG9731" s="2">
        <f ca="1"/>
        <v>0.70707632530365472</v>
      </c>
      <c r="AH9731" s="2" t="str">
        <f ca="1"/>
        <v>Bad</v>
      </c>
    </row>
    <row r="9732" spans="2:34" x14ac:dyDescent="0.2">
      <c r="B9732" s="2">
        <f ca="1"/>
        <v>0.86052277153122247</v>
      </c>
      <c r="O9732" s="2">
        <f ca="1"/>
        <v>-0.64303442742754313</v>
      </c>
      <c r="X9732" s="2">
        <f ca="1"/>
        <v>92.96200127522782</v>
      </c>
      <c r="AG9732" s="2">
        <f ca="1"/>
        <v>0.24898823872837395</v>
      </c>
      <c r="AH9732" s="2" t="str">
        <f ca="1"/>
        <v>OK</v>
      </c>
    </row>
    <row r="9733" spans="2:34" x14ac:dyDescent="0.2">
      <c r="B9733" s="2">
        <f ca="1"/>
        <v>0.88170853636669499</v>
      </c>
      <c r="O9733" s="2">
        <f ca="1"/>
        <v>0.47356304730206877</v>
      </c>
      <c r="X9733" s="2">
        <f ca="1"/>
        <v>60.112509556671966</v>
      </c>
      <c r="AG9733" s="2">
        <f ca="1"/>
        <v>0.5232049410306403</v>
      </c>
      <c r="AH9733" s="2" t="str">
        <f ca="1"/>
        <v>Bad</v>
      </c>
    </row>
    <row r="9734" spans="2:34" x14ac:dyDescent="0.2">
      <c r="B9734" s="2">
        <f ca="1"/>
        <v>0.3191386085858543</v>
      </c>
      <c r="O9734" s="2">
        <f ca="1"/>
        <v>-1.7548496107209051</v>
      </c>
      <c r="X9734" s="2">
        <f ca="1"/>
        <v>72.471939495847337</v>
      </c>
      <c r="AG9734" s="2">
        <f ca="1"/>
        <v>0.32766382945065842</v>
      </c>
      <c r="AH9734" s="2" t="str">
        <f ca="1"/>
        <v>OK</v>
      </c>
    </row>
    <row r="9735" spans="2:34" x14ac:dyDescent="0.2">
      <c r="B9735" s="2">
        <f ca="1"/>
        <v>0.35471238034841801</v>
      </c>
      <c r="O9735" s="2">
        <f ca="1"/>
        <v>-0.41741720974622337</v>
      </c>
      <c r="X9735" s="2">
        <f ca="1"/>
        <v>44.764339898980069</v>
      </c>
      <c r="AG9735" s="2">
        <f ca="1"/>
        <v>0.67255052229684531</v>
      </c>
      <c r="AH9735" s="2" t="str">
        <f ca="1"/>
        <v>Bad</v>
      </c>
    </row>
    <row r="9736" spans="2:34" x14ac:dyDescent="0.2">
      <c r="B9736" s="2">
        <f ca="1"/>
        <v>0.33406361225680636</v>
      </c>
      <c r="O9736" s="2">
        <f ca="1"/>
        <v>0.87420799732824273</v>
      </c>
      <c r="X9736" s="2">
        <f ca="1"/>
        <v>69.128004543603637</v>
      </c>
      <c r="AG9736" s="2">
        <f ca="1"/>
        <v>0.74808754679013068</v>
      </c>
      <c r="AH9736" s="2" t="str">
        <f ca="1"/>
        <v>Bad</v>
      </c>
    </row>
    <row r="9737" spans="2:34" x14ac:dyDescent="0.2">
      <c r="B9737" s="2">
        <f ca="1"/>
        <v>0.81892844649362195</v>
      </c>
      <c r="O9737" s="2">
        <f ca="1"/>
        <v>0.79267899313753543</v>
      </c>
      <c r="X9737" s="2">
        <f ca="1"/>
        <v>44.376349921793519</v>
      </c>
      <c r="AG9737" s="2">
        <f ca="1"/>
        <v>0.23845082780682358</v>
      </c>
      <c r="AH9737" s="2" t="str">
        <f ca="1"/>
        <v>OK</v>
      </c>
    </row>
    <row r="9738" spans="2:34" x14ac:dyDescent="0.2">
      <c r="B9738" s="2">
        <f ca="1"/>
        <v>0.89685637693627696</v>
      </c>
      <c r="O9738" s="2">
        <f ca="1"/>
        <v>0.56472675983689857</v>
      </c>
      <c r="X9738" s="2">
        <f ca="1"/>
        <v>32.325393844362353</v>
      </c>
      <c r="AG9738" s="2">
        <f ca="1"/>
        <v>0.95173892374252067</v>
      </c>
      <c r="AH9738" s="2" t="str">
        <f ca="1"/>
        <v>Bad</v>
      </c>
    </row>
    <row r="9739" spans="2:34" x14ac:dyDescent="0.2">
      <c r="B9739" s="2">
        <f ca="1"/>
        <v>0.19216845229515367</v>
      </c>
      <c r="O9739" s="2">
        <f ca="1"/>
        <v>0.45788373606707339</v>
      </c>
      <c r="X9739" s="2">
        <f ca="1"/>
        <v>46.410995563496236</v>
      </c>
      <c r="AG9739" s="2">
        <f ca="1"/>
        <v>0.31670325029955126</v>
      </c>
      <c r="AH9739" s="2" t="str">
        <f ca="1"/>
        <v>OK</v>
      </c>
    </row>
    <row r="9740" spans="2:34" x14ac:dyDescent="0.2">
      <c r="B9740" s="2">
        <f ca="1"/>
        <v>0.10856630767573439</v>
      </c>
      <c r="O9740" s="2">
        <f ca="1"/>
        <v>-1.440411841973025</v>
      </c>
      <c r="X9740" s="2">
        <f ca="1"/>
        <v>90.835604222808129</v>
      </c>
      <c r="AG9740" s="2">
        <f ca="1"/>
        <v>0.71291694872640221</v>
      </c>
      <c r="AH9740" s="2" t="str">
        <f ca="1"/>
        <v>Bad</v>
      </c>
    </row>
    <row r="9741" spans="2:34" x14ac:dyDescent="0.2">
      <c r="B9741" s="2">
        <f ca="1"/>
        <v>6.1721794066350588E-2</v>
      </c>
      <c r="O9741" s="2">
        <f ca="1"/>
        <v>1.2295719302714765</v>
      </c>
      <c r="X9741" s="2">
        <f ca="1"/>
        <v>32.296400049708403</v>
      </c>
      <c r="AG9741" s="2">
        <f ca="1"/>
        <v>0.19219950578841538</v>
      </c>
      <c r="AH9741" s="2" t="str">
        <f ca="1"/>
        <v>OK</v>
      </c>
    </row>
    <row r="9742" spans="2:34" x14ac:dyDescent="0.2">
      <c r="B9742" s="2">
        <f ca="1"/>
        <v>0.66346723626491255</v>
      </c>
      <c r="O9742" s="2">
        <f ca="1"/>
        <v>-1.1240311493936972</v>
      </c>
      <c r="X9742" s="2">
        <f ca="1"/>
        <v>54.939208994335189</v>
      </c>
      <c r="AG9742" s="2">
        <f ca="1"/>
        <v>0.70914331054793323</v>
      </c>
      <c r="AH9742" s="2" t="str">
        <f ca="1"/>
        <v>Bad</v>
      </c>
    </row>
    <row r="9743" spans="2:34" x14ac:dyDescent="0.2">
      <c r="B9743" s="2">
        <f ca="1"/>
        <v>0.57693810750455188</v>
      </c>
      <c r="O9743" s="2">
        <f ca="1"/>
        <v>1.5959243140474182</v>
      </c>
      <c r="X9743" s="2">
        <f ca="1"/>
        <v>82.581207315004008</v>
      </c>
      <c r="AG9743" s="2">
        <f ca="1"/>
        <v>0.26113997013242818</v>
      </c>
      <c r="AH9743" s="2" t="str">
        <f ca="1"/>
        <v>OK</v>
      </c>
    </row>
    <row r="9744" spans="2:34" x14ac:dyDescent="0.2">
      <c r="B9744" s="2">
        <f ca="1"/>
        <v>0.91190390788344944</v>
      </c>
      <c r="O9744" s="2">
        <f ca="1"/>
        <v>0.49400982334114946</v>
      </c>
      <c r="X9744" s="2">
        <f ca="1"/>
        <v>61.008468887517218</v>
      </c>
      <c r="AG9744" s="2">
        <f ca="1"/>
        <v>0.71992548283060742</v>
      </c>
      <c r="AH9744" s="2" t="str">
        <f ca="1"/>
        <v>Bad</v>
      </c>
    </row>
    <row r="9745" spans="2:34" x14ac:dyDescent="0.2">
      <c r="B9745" s="2">
        <f ca="1"/>
        <v>0.10220167785064138</v>
      </c>
      <c r="O9745" s="2">
        <f ca="1"/>
        <v>-0.16017390562246606</v>
      </c>
      <c r="X9745" s="2">
        <f ca="1"/>
        <v>37.489893350043076</v>
      </c>
      <c r="AG9745" s="2">
        <f ca="1"/>
        <v>0.29080400587303412</v>
      </c>
      <c r="AH9745" s="2" t="str">
        <f ca="1"/>
        <v>OK</v>
      </c>
    </row>
    <row r="9746" spans="2:34" x14ac:dyDescent="0.2">
      <c r="B9746" s="2">
        <f ca="1"/>
        <v>0.12392463942814747</v>
      </c>
      <c r="O9746" s="2">
        <f ca="1"/>
        <v>-1.1280269070099005</v>
      </c>
      <c r="X9746" s="2">
        <f ca="1"/>
        <v>57.374787600284705</v>
      </c>
      <c r="AG9746" s="2">
        <f ca="1"/>
        <v>0.58900016632420571</v>
      </c>
      <c r="AH9746" s="2" t="str">
        <f ca="1"/>
        <v>Bad</v>
      </c>
    </row>
    <row r="9747" spans="2:34" x14ac:dyDescent="0.2">
      <c r="B9747" s="2">
        <f ca="1"/>
        <v>0.11628951971119594</v>
      </c>
      <c r="O9747" s="2">
        <f ca="1"/>
        <v>-0.69258359912957002</v>
      </c>
      <c r="X9747" s="2">
        <f ca="1"/>
        <v>47.495795848211074</v>
      </c>
      <c r="AG9747" s="2">
        <f ca="1"/>
        <v>0.13034899802041977</v>
      </c>
      <c r="AH9747" s="2" t="str">
        <f ca="1"/>
        <v>OK</v>
      </c>
    </row>
    <row r="9748" spans="2:34" x14ac:dyDescent="0.2">
      <c r="B9748" s="2">
        <f ca="1"/>
        <v>0.58282348552549657</v>
      </c>
      <c r="O9748" s="2">
        <f ca="1"/>
        <v>0.15286876510743649</v>
      </c>
      <c r="X9748" s="2">
        <f ca="1"/>
        <v>79.708798380920797</v>
      </c>
      <c r="AG9748" s="2">
        <f ca="1"/>
        <v>0.97106814735524427</v>
      </c>
      <c r="AH9748" s="2" t="str">
        <f ca="1"/>
        <v>Bad</v>
      </c>
    </row>
    <row r="9749" spans="2:34" x14ac:dyDescent="0.2">
      <c r="B9749" s="2">
        <f ca="1"/>
        <v>0.39878803511513494</v>
      </c>
      <c r="O9749" s="2">
        <f ca="1"/>
        <v>0.45353746372498888</v>
      </c>
      <c r="X9749" s="2">
        <f ca="1"/>
        <v>37.34942309314328</v>
      </c>
      <c r="AG9749" s="2">
        <f ca="1"/>
        <v>3.2963888010486331E-2</v>
      </c>
      <c r="AH9749" s="2" t="str">
        <f ca="1"/>
        <v>Good</v>
      </c>
    </row>
    <row r="9750" spans="2:34" x14ac:dyDescent="0.2">
      <c r="B9750" s="2">
        <f ca="1"/>
        <v>0.82906541507357145</v>
      </c>
      <c r="O9750" s="2">
        <f ca="1"/>
        <v>2.0302517884308404</v>
      </c>
      <c r="X9750" s="2">
        <f ca="1"/>
        <v>28.110121926543776</v>
      </c>
      <c r="AG9750" s="2">
        <f ca="1"/>
        <v>0.30051963573771645</v>
      </c>
      <c r="AH9750" s="2" t="str">
        <f ca="1"/>
        <v>OK</v>
      </c>
    </row>
    <row r="9751" spans="2:34" x14ac:dyDescent="0.2">
      <c r="B9751" s="2">
        <f ca="1"/>
        <v>0.32635449456090959</v>
      </c>
      <c r="O9751" s="2">
        <f ca="1"/>
        <v>0.80836698105020732</v>
      </c>
      <c r="X9751" s="2">
        <f ca="1"/>
        <v>54.250015441503933</v>
      </c>
      <c r="AG9751" s="2">
        <f ca="1"/>
        <v>0.12502559658311974</v>
      </c>
      <c r="AH9751" s="2" t="str">
        <f ca="1"/>
        <v>OK</v>
      </c>
    </row>
    <row r="9752" spans="2:34" x14ac:dyDescent="0.2">
      <c r="B9752" s="2">
        <f ca="1"/>
        <v>0.41307183134652203</v>
      </c>
      <c r="O9752" s="2">
        <f ca="1"/>
        <v>-0.46661947134075238</v>
      </c>
      <c r="X9752" s="2">
        <f ca="1"/>
        <v>58.493839305194442</v>
      </c>
      <c r="AG9752" s="2">
        <f ca="1"/>
        <v>0.45113740387385604</v>
      </c>
      <c r="AH9752" s="2" t="str">
        <f ca="1"/>
        <v>Bad</v>
      </c>
    </row>
    <row r="9753" spans="2:34" x14ac:dyDescent="0.2">
      <c r="B9753" s="2">
        <f ca="1"/>
        <v>0.74480957830925498</v>
      </c>
      <c r="O9753" s="2">
        <f ca="1"/>
        <v>7.1266529013140595E-2</v>
      </c>
      <c r="X9753" s="2">
        <f ca="1"/>
        <v>25.433804969430561</v>
      </c>
      <c r="AG9753" s="2">
        <f ca="1"/>
        <v>0.45925189304864111</v>
      </c>
      <c r="AH9753" s="2" t="str">
        <f ca="1"/>
        <v>Bad</v>
      </c>
    </row>
    <row r="9754" spans="2:34" x14ac:dyDescent="0.2">
      <c r="B9754" s="2">
        <f ca="1"/>
        <v>0.41061808926529486</v>
      </c>
      <c r="O9754" s="2">
        <f ca="1"/>
        <v>0.66965314314298197</v>
      </c>
      <c r="X9754" s="2">
        <f ca="1"/>
        <v>44.6306377004816</v>
      </c>
      <c r="AG9754" s="2">
        <f ca="1"/>
        <v>0.62021471683342932</v>
      </c>
      <c r="AH9754" s="2" t="str">
        <f ca="1"/>
        <v>Bad</v>
      </c>
    </row>
    <row r="9755" spans="2:34" x14ac:dyDescent="0.2">
      <c r="B9755" s="2">
        <f ca="1"/>
        <v>0.52637710264404913</v>
      </c>
      <c r="O9755" s="2">
        <f ca="1"/>
        <v>-1.1830808154193566</v>
      </c>
      <c r="X9755" s="2">
        <f ca="1"/>
        <v>51.647371307424322</v>
      </c>
      <c r="AG9755" s="2">
        <f ca="1"/>
        <v>0.74865121541296031</v>
      </c>
      <c r="AH9755" s="2" t="str">
        <f ca="1"/>
        <v>Bad</v>
      </c>
    </row>
    <row r="9756" spans="2:34" x14ac:dyDescent="0.2">
      <c r="B9756" s="2">
        <f ca="1"/>
        <v>0.11175476613234503</v>
      </c>
      <c r="O9756" s="2">
        <f ca="1"/>
        <v>-0.72611166156337581</v>
      </c>
      <c r="X9756" s="2">
        <f ca="1"/>
        <v>85.108434422164137</v>
      </c>
      <c r="AG9756" s="2">
        <f ca="1"/>
        <v>0.4294679694002006</v>
      </c>
      <c r="AH9756" s="2" t="str">
        <f ca="1"/>
        <v>Bad</v>
      </c>
    </row>
    <row r="9757" spans="2:34" x14ac:dyDescent="0.2">
      <c r="B9757" s="2">
        <f ca="1"/>
        <v>0.62214144078735623</v>
      </c>
      <c r="O9757" s="2">
        <f ca="1"/>
        <v>-1.2296905894468995</v>
      </c>
      <c r="X9757" s="2">
        <f ca="1"/>
        <v>43.219154325539073</v>
      </c>
      <c r="AG9757" s="2">
        <f ca="1"/>
        <v>0.33381351346525623</v>
      </c>
      <c r="AH9757" s="2" t="str">
        <f ca="1"/>
        <v>OK</v>
      </c>
    </row>
    <row r="9758" spans="2:34" x14ac:dyDescent="0.2">
      <c r="B9758" s="2">
        <f ca="1"/>
        <v>0.88887725857821231</v>
      </c>
      <c r="O9758" s="2">
        <f ca="1"/>
        <v>1.3853051977204898</v>
      </c>
      <c r="X9758" s="2">
        <f ca="1"/>
        <v>39.624930008272081</v>
      </c>
      <c r="AG9758" s="2">
        <f ca="1"/>
        <v>0.74203396680407474</v>
      </c>
      <c r="AH9758" s="2" t="str">
        <f ca="1"/>
        <v>Bad</v>
      </c>
    </row>
    <row r="9759" spans="2:34" x14ac:dyDescent="0.2">
      <c r="B9759" s="2">
        <f ca="1"/>
        <v>0.83555077910342157</v>
      </c>
      <c r="O9759" s="2">
        <f ca="1"/>
        <v>-0.97710902604975369</v>
      </c>
      <c r="X9759" s="2">
        <f ca="1"/>
        <v>54.01804750840892</v>
      </c>
      <c r="AG9759" s="2">
        <f ca="1"/>
        <v>0.50706772807806155</v>
      </c>
      <c r="AH9759" s="2" t="str">
        <f ca="1"/>
        <v>Bad</v>
      </c>
    </row>
    <row r="9760" spans="2:34" x14ac:dyDescent="0.2">
      <c r="B9760" s="2">
        <f ca="1"/>
        <v>0.36787199135541049</v>
      </c>
      <c r="O9760" s="2">
        <f ca="1"/>
        <v>0.20557617851412571</v>
      </c>
      <c r="X9760" s="2">
        <f ca="1"/>
        <v>43.375810785077476</v>
      </c>
      <c r="AG9760" s="2">
        <f ca="1"/>
        <v>0.65195302534948807</v>
      </c>
      <c r="AH9760" s="2" t="str">
        <f ca="1"/>
        <v>Bad</v>
      </c>
    </row>
    <row r="9761" spans="2:34" x14ac:dyDescent="0.2">
      <c r="B9761" s="2">
        <f ca="1"/>
        <v>0.26456490158688184</v>
      </c>
      <c r="O9761" s="2">
        <f ca="1"/>
        <v>-0.23728270125987994</v>
      </c>
      <c r="X9761" s="2">
        <f ca="1"/>
        <v>45.665535561613183</v>
      </c>
      <c r="AG9761" s="2">
        <f ca="1"/>
        <v>0.71298026260144609</v>
      </c>
      <c r="AH9761" s="2" t="str">
        <f ca="1"/>
        <v>Bad</v>
      </c>
    </row>
    <row r="9762" spans="2:34" x14ac:dyDescent="0.2">
      <c r="B9762" s="2">
        <f ca="1"/>
        <v>0.63719836048982259</v>
      </c>
      <c r="O9762" s="2">
        <f ca="1"/>
        <v>1.6512549874590763</v>
      </c>
      <c r="X9762" s="2">
        <f ca="1"/>
        <v>58.052503380337022</v>
      </c>
      <c r="AG9762" s="2">
        <f ca="1"/>
        <v>0.98894004145138403</v>
      </c>
      <c r="AH9762" s="2" t="str">
        <f ca="1"/>
        <v>Bad</v>
      </c>
    </row>
    <row r="9763" spans="2:34" x14ac:dyDescent="0.2">
      <c r="B9763" s="2">
        <f ca="1"/>
        <v>0.27356004913043575</v>
      </c>
      <c r="O9763" s="2">
        <f ca="1"/>
        <v>8.4254006472225265E-2</v>
      </c>
      <c r="X9763" s="2">
        <f ca="1"/>
        <v>62.291985922902299</v>
      </c>
      <c r="AG9763" s="2">
        <f ca="1"/>
        <v>0.47246989422241392</v>
      </c>
      <c r="AH9763" s="2" t="str">
        <f ca="1"/>
        <v>Bad</v>
      </c>
    </row>
    <row r="9764" spans="2:34" x14ac:dyDescent="0.2">
      <c r="B9764" s="2">
        <f ca="1"/>
        <v>0.82312491971646251</v>
      </c>
      <c r="O9764" s="2">
        <f ca="1"/>
        <v>0.60108123128635649</v>
      </c>
      <c r="X9764" s="2">
        <f ca="1"/>
        <v>52.757822106370739</v>
      </c>
      <c r="AG9764" s="2">
        <f ca="1"/>
        <v>0.36883270603488638</v>
      </c>
      <c r="AH9764" s="2" t="str">
        <f ca="1"/>
        <v>OK</v>
      </c>
    </row>
    <row r="9765" spans="2:34" x14ac:dyDescent="0.2">
      <c r="B9765" s="2">
        <f ca="1"/>
        <v>0.88236388830578671</v>
      </c>
      <c r="O9765" s="2">
        <f ca="1"/>
        <v>0.11391697262071683</v>
      </c>
      <c r="X9765" s="2">
        <f ca="1"/>
        <v>71.502210650870808</v>
      </c>
      <c r="AG9765" s="2">
        <f ca="1"/>
        <v>0.77760833028558474</v>
      </c>
      <c r="AH9765" s="2" t="str">
        <f ca="1"/>
        <v>Bad</v>
      </c>
    </row>
    <row r="9766" spans="2:34" x14ac:dyDescent="0.2">
      <c r="B9766" s="2">
        <f ca="1"/>
        <v>0.15091585996076984</v>
      </c>
      <c r="O9766" s="2">
        <f ca="1"/>
        <v>-0.32961603485999602</v>
      </c>
      <c r="X9766" s="2">
        <f ca="1"/>
        <v>25.115684109536044</v>
      </c>
      <c r="AG9766" s="2">
        <f ca="1"/>
        <v>0.56750014599279153</v>
      </c>
      <c r="AH9766" s="2" t="str">
        <f ca="1"/>
        <v>Bad</v>
      </c>
    </row>
    <row r="9767" spans="2:34" x14ac:dyDescent="0.2">
      <c r="B9767" s="2">
        <f ca="1"/>
        <v>0.91138419206542154</v>
      </c>
      <c r="O9767" s="2">
        <f ca="1"/>
        <v>-1.0116750475786089</v>
      </c>
      <c r="X9767" s="2">
        <f ca="1"/>
        <v>25.267343552773745</v>
      </c>
      <c r="AG9767" s="2">
        <f ca="1"/>
        <v>0.38601289935500338</v>
      </c>
      <c r="AH9767" s="2" t="str">
        <f ca="1"/>
        <v>OK</v>
      </c>
    </row>
    <row r="9768" spans="2:34" x14ac:dyDescent="0.2">
      <c r="B9768" s="2">
        <f ca="1"/>
        <v>0.34307460700998438</v>
      </c>
      <c r="O9768" s="2">
        <f ca="1"/>
        <v>1.8016268995109959</v>
      </c>
      <c r="X9768" s="2">
        <f ca="1"/>
        <v>46.684263525531705</v>
      </c>
      <c r="AG9768" s="2">
        <f ca="1"/>
        <v>0.75875308981291423</v>
      </c>
      <c r="AH9768" s="2" t="str">
        <f ca="1"/>
        <v>Bad</v>
      </c>
    </row>
    <row r="9769" spans="2:34" x14ac:dyDescent="0.2">
      <c r="B9769" s="2">
        <f ca="1"/>
        <v>0.73806763842273204</v>
      </c>
      <c r="O9769" s="2">
        <f ca="1"/>
        <v>0.45426654506573866</v>
      </c>
      <c r="X9769" s="2">
        <f ca="1"/>
        <v>46.284732084508391</v>
      </c>
      <c r="AG9769" s="2">
        <f ca="1"/>
        <v>0.87632984455657037</v>
      </c>
      <c r="AH9769" s="2" t="str">
        <f ca="1"/>
        <v>Bad</v>
      </c>
    </row>
    <row r="9770" spans="2:34" x14ac:dyDescent="0.2">
      <c r="B9770" s="2">
        <f ca="1"/>
        <v>0.67846194757047362</v>
      </c>
      <c r="O9770" s="2">
        <f ca="1"/>
        <v>0.71486661449916544</v>
      </c>
      <c r="X9770" s="2">
        <f ca="1"/>
        <v>36.166543836524625</v>
      </c>
      <c r="AG9770" s="2">
        <f ca="1"/>
        <v>0.69344700302505968</v>
      </c>
      <c r="AH9770" s="2" t="str">
        <f ca="1"/>
        <v>Bad</v>
      </c>
    </row>
    <row r="9771" spans="2:34" x14ac:dyDescent="0.2">
      <c r="B9771" s="2">
        <f ca="1"/>
        <v>7.2469461891579545E-2</v>
      </c>
      <c r="O9771" s="2">
        <f ca="1"/>
        <v>-0.36623003656136471</v>
      </c>
      <c r="X9771" s="2">
        <f ca="1"/>
        <v>52.261952100307703</v>
      </c>
      <c r="AG9771" s="2">
        <f ca="1"/>
        <v>0.57140680318810122</v>
      </c>
      <c r="AH9771" s="2" t="str">
        <f ca="1"/>
        <v>Bad</v>
      </c>
    </row>
    <row r="9772" spans="2:34" x14ac:dyDescent="0.2">
      <c r="B9772" s="2">
        <f ca="1"/>
        <v>2.1003428602695662E-2</v>
      </c>
      <c r="O9772" s="2">
        <f ca="1"/>
        <v>-2.1875541560389964</v>
      </c>
      <c r="X9772" s="2">
        <f ca="1"/>
        <v>25.823320823456765</v>
      </c>
      <c r="AG9772" s="2">
        <f ca="1"/>
        <v>0.16268064476643707</v>
      </c>
      <c r="AH9772" s="2" t="str">
        <f ca="1"/>
        <v>OK</v>
      </c>
    </row>
    <row r="9773" spans="2:34" x14ac:dyDescent="0.2">
      <c r="B9773" s="2">
        <f ca="1"/>
        <v>0.5483059551495193</v>
      </c>
      <c r="O9773" s="2">
        <f ca="1"/>
        <v>-1.6672485622735931</v>
      </c>
      <c r="X9773" s="2">
        <f ca="1"/>
        <v>45.800693509793895</v>
      </c>
      <c r="AG9773" s="2">
        <f ca="1"/>
        <v>0.23601484695509267</v>
      </c>
      <c r="AH9773" s="2" t="str">
        <f ca="1"/>
        <v>OK</v>
      </c>
    </row>
    <row r="9774" spans="2:34" x14ac:dyDescent="0.2">
      <c r="B9774" s="2">
        <f ca="1"/>
        <v>0.16445761854231522</v>
      </c>
      <c r="O9774" s="2">
        <f ca="1"/>
        <v>-0.10070980439040324</v>
      </c>
      <c r="X9774" s="2">
        <f ca="1"/>
        <v>45.433902439304404</v>
      </c>
      <c r="AG9774" s="2">
        <f ca="1"/>
        <v>0.62288938896851764</v>
      </c>
      <c r="AH9774" s="2" t="str">
        <f ca="1"/>
        <v>Bad</v>
      </c>
    </row>
    <row r="9775" spans="2:34" x14ac:dyDescent="0.2">
      <c r="B9775" s="2">
        <f ca="1"/>
        <v>0.52061390257650286</v>
      </c>
      <c r="O9775" s="2">
        <f ca="1"/>
        <v>0.40000648662999838</v>
      </c>
      <c r="X9775" s="2">
        <f ca="1"/>
        <v>54.948586718606776</v>
      </c>
      <c r="AG9775" s="2">
        <f ca="1"/>
        <v>0.53317438509619275</v>
      </c>
      <c r="AH9775" s="2" t="str">
        <f ca="1"/>
        <v>Bad</v>
      </c>
    </row>
    <row r="9776" spans="2:34" x14ac:dyDescent="0.2">
      <c r="B9776" s="2">
        <f ca="1"/>
        <v>0.77136162698444477</v>
      </c>
      <c r="O9776" s="2">
        <f ca="1"/>
        <v>0.68502334640977225</v>
      </c>
      <c r="X9776" s="2">
        <f ca="1"/>
        <v>48.572650534252645</v>
      </c>
      <c r="AG9776" s="2">
        <f ca="1"/>
        <v>3.7503898820608228E-2</v>
      </c>
      <c r="AH9776" s="2" t="str">
        <f ca="1"/>
        <v>Good</v>
      </c>
    </row>
    <row r="9777" spans="2:34" x14ac:dyDescent="0.2">
      <c r="B9777" s="2">
        <f ca="1"/>
        <v>0.2371811284631129</v>
      </c>
      <c r="O9777" s="2">
        <f ca="1"/>
        <v>-0.82300193890740103</v>
      </c>
      <c r="X9777" s="2">
        <f ca="1"/>
        <v>30.901860410934351</v>
      </c>
      <c r="AG9777" s="2">
        <f ca="1"/>
        <v>0.22484682122061295</v>
      </c>
      <c r="AH9777" s="2" t="str">
        <f ca="1"/>
        <v>OK</v>
      </c>
    </row>
    <row r="9778" spans="2:34" x14ac:dyDescent="0.2">
      <c r="B9778" s="2">
        <f ca="1"/>
        <v>0.76897149966988043</v>
      </c>
      <c r="O9778" s="2">
        <f ca="1"/>
        <v>-0.73901998239154232</v>
      </c>
      <c r="X9778" s="2">
        <f ca="1"/>
        <v>35.924247798165702</v>
      </c>
      <c r="AG9778" s="2">
        <f ca="1"/>
        <v>0.40734149746330184</v>
      </c>
      <c r="AH9778" s="2" t="str">
        <f ca="1"/>
        <v>Bad</v>
      </c>
    </row>
    <row r="9779" spans="2:34" x14ac:dyDescent="0.2">
      <c r="B9779" s="2">
        <f ca="1"/>
        <v>0.27132807794484348</v>
      </c>
      <c r="O9779" s="2">
        <f ca="1"/>
        <v>0.38686588890416129</v>
      </c>
      <c r="X9779" s="2">
        <f ca="1"/>
        <v>47.507450824656765</v>
      </c>
      <c r="AG9779" s="2">
        <f ca="1"/>
        <v>0.64050308338752604</v>
      </c>
      <c r="AH9779" s="2" t="str">
        <f ca="1"/>
        <v>Bad</v>
      </c>
    </row>
    <row r="9780" spans="2:34" x14ac:dyDescent="0.2">
      <c r="B9780" s="2">
        <f ca="1"/>
        <v>3.6607465986463916E-2</v>
      </c>
      <c r="O9780" s="2">
        <f ca="1"/>
        <v>-0.10280533161883687</v>
      </c>
      <c r="X9780" s="2">
        <f ca="1"/>
        <v>45.009689823838059</v>
      </c>
      <c r="AG9780" s="2">
        <f ca="1"/>
        <v>0.26081933909093191</v>
      </c>
      <c r="AH9780" s="2" t="str">
        <f ca="1"/>
        <v>OK</v>
      </c>
    </row>
    <row r="9781" spans="2:34" x14ac:dyDescent="0.2">
      <c r="B9781" s="2">
        <f ca="1"/>
        <v>0.81245571667622674</v>
      </c>
      <c r="O9781" s="2">
        <f ca="1"/>
        <v>1.1232657208719443</v>
      </c>
      <c r="X9781" s="2">
        <f ca="1"/>
        <v>31.530976539642303</v>
      </c>
      <c r="AG9781" s="2">
        <f ca="1"/>
        <v>0.71907443477930078</v>
      </c>
      <c r="AH9781" s="2" t="str">
        <f ca="1"/>
        <v>Bad</v>
      </c>
    </row>
    <row r="9782" spans="2:34" x14ac:dyDescent="0.2">
      <c r="B9782" s="2">
        <f ca="1"/>
        <v>0.50857297791149669</v>
      </c>
      <c r="O9782" s="2">
        <f ca="1"/>
        <v>-0.74496450189941676</v>
      </c>
      <c r="X9782" s="2">
        <f ca="1"/>
        <v>38.483805794796211</v>
      </c>
      <c r="AG9782" s="2">
        <f ca="1"/>
        <v>0.87282946983303478</v>
      </c>
      <c r="AH9782" s="2" t="str">
        <f ca="1"/>
        <v>Bad</v>
      </c>
    </row>
    <row r="9783" spans="2:34" x14ac:dyDescent="0.2">
      <c r="B9783" s="2">
        <f ca="1"/>
        <v>0.74555212661604298</v>
      </c>
      <c r="O9783" s="2">
        <f ca="1"/>
        <v>-1.1061727594543402</v>
      </c>
      <c r="X9783" s="2">
        <f ca="1"/>
        <v>73.715730658157582</v>
      </c>
      <c r="AG9783" s="2">
        <f ca="1"/>
        <v>0.53476089874116028</v>
      </c>
      <c r="AH9783" s="2" t="str">
        <f ca="1"/>
        <v>Bad</v>
      </c>
    </row>
    <row r="9784" spans="2:34" x14ac:dyDescent="0.2">
      <c r="B9784" s="2">
        <f ca="1"/>
        <v>0.30867433407104694</v>
      </c>
      <c r="O9784" s="2">
        <f ca="1"/>
        <v>-0.55927319424229238</v>
      </c>
      <c r="X9784" s="2">
        <f ca="1"/>
        <v>27.947032456274439</v>
      </c>
      <c r="AG9784" s="2">
        <f ca="1"/>
        <v>0.13118837072727896</v>
      </c>
      <c r="AH9784" s="2" t="str">
        <f ca="1"/>
        <v>OK</v>
      </c>
    </row>
    <row r="9785" spans="2:34" x14ac:dyDescent="0.2">
      <c r="B9785" s="2">
        <f ca="1"/>
        <v>0.51533830881325882</v>
      </c>
      <c r="O9785" s="2">
        <f ca="1"/>
        <v>-1.950967219688309</v>
      </c>
      <c r="X9785" s="2">
        <f ca="1"/>
        <v>77.215394533370713</v>
      </c>
      <c r="AG9785" s="2">
        <f ca="1"/>
        <v>0.40864962033902463</v>
      </c>
      <c r="AH9785" s="2" t="str">
        <f ca="1"/>
        <v>Bad</v>
      </c>
    </row>
    <row r="9786" spans="2:34" x14ac:dyDescent="0.2">
      <c r="B9786" s="2">
        <f ca="1"/>
        <v>0.5274737674562513</v>
      </c>
      <c r="O9786" s="2">
        <f ca="1"/>
        <v>-0.80199537971600743</v>
      </c>
      <c r="X9786" s="2">
        <f ca="1"/>
        <v>42.890974629084894</v>
      </c>
      <c r="AG9786" s="2">
        <f ca="1"/>
        <v>8.5424981530203947E-2</v>
      </c>
      <c r="AH9786" s="2" t="str">
        <f ca="1"/>
        <v>OK</v>
      </c>
    </row>
    <row r="9787" spans="2:34" x14ac:dyDescent="0.2">
      <c r="B9787" s="2">
        <f ca="1"/>
        <v>0.76492730442727419</v>
      </c>
      <c r="O9787" s="2">
        <f ca="1"/>
        <v>-1.160532842022076</v>
      </c>
      <c r="X9787" s="2">
        <f ca="1"/>
        <v>43.249809891949447</v>
      </c>
      <c r="AG9787" s="2">
        <f ca="1"/>
        <v>0.59641860604989705</v>
      </c>
      <c r="AH9787" s="2" t="str">
        <f ca="1"/>
        <v>Bad</v>
      </c>
    </row>
    <row r="9788" spans="2:34" x14ac:dyDescent="0.2">
      <c r="B9788" s="2">
        <f ca="1"/>
        <v>0.19945890613435124</v>
      </c>
      <c r="O9788" s="2">
        <f ca="1"/>
        <v>-0.21689537355213592</v>
      </c>
      <c r="X9788" s="2">
        <f ca="1"/>
        <v>50.23844459834811</v>
      </c>
      <c r="AG9788" s="2">
        <f ca="1"/>
        <v>0.91366873928592707</v>
      </c>
      <c r="AH9788" s="2" t="str">
        <f ca="1"/>
        <v>Bad</v>
      </c>
    </row>
    <row r="9789" spans="2:34" x14ac:dyDescent="0.2">
      <c r="B9789" s="2">
        <f ca="1"/>
        <v>0.7125262692475911</v>
      </c>
      <c r="O9789" s="2">
        <f ca="1"/>
        <v>-8.9693494940241522E-2</v>
      </c>
      <c r="X9789" s="2">
        <f ca="1"/>
        <v>21.844617699796043</v>
      </c>
      <c r="AG9789" s="2">
        <f ca="1"/>
        <v>5.0145481233758948E-2</v>
      </c>
      <c r="AH9789" s="2" t="str">
        <f ca="1"/>
        <v>OK</v>
      </c>
    </row>
    <row r="9790" spans="2:34" x14ac:dyDescent="0.2">
      <c r="B9790" s="2">
        <f ca="1"/>
        <v>9.1282681005737887E-2</v>
      </c>
      <c r="O9790" s="2">
        <f ca="1"/>
        <v>0.36227760833024808</v>
      </c>
      <c r="X9790" s="2">
        <f ca="1"/>
        <v>34.036901213893046</v>
      </c>
      <c r="AG9790" s="2">
        <f ca="1"/>
        <v>0.20526303644523347</v>
      </c>
      <c r="AH9790" s="2" t="str">
        <f ca="1"/>
        <v>OK</v>
      </c>
    </row>
    <row r="9791" spans="2:34" x14ac:dyDescent="0.2">
      <c r="B9791" s="2">
        <f ca="1"/>
        <v>0.71264453263064254</v>
      </c>
      <c r="O9791" s="2">
        <f ca="1"/>
        <v>0.43110556091207303</v>
      </c>
      <c r="X9791" s="2">
        <f ca="1"/>
        <v>67.169257942900217</v>
      </c>
      <c r="AG9791" s="2">
        <f ca="1"/>
        <v>0.44581088668030677</v>
      </c>
      <c r="AH9791" s="2" t="str">
        <f ca="1"/>
        <v>Bad</v>
      </c>
    </row>
    <row r="9792" spans="2:34" x14ac:dyDescent="0.2">
      <c r="B9792" s="2">
        <f ca="1"/>
        <v>0.35074102077598202</v>
      </c>
      <c r="O9792" s="2">
        <f ca="1"/>
        <v>-0.74124245651421017</v>
      </c>
      <c r="X9792" s="2">
        <f ca="1"/>
        <v>49.041044801188356</v>
      </c>
      <c r="AG9792" s="2">
        <f ca="1"/>
        <v>0.48259119898662028</v>
      </c>
      <c r="AH9792" s="2" t="str">
        <f ca="1"/>
        <v>Bad</v>
      </c>
    </row>
    <row r="9793" spans="2:34" x14ac:dyDescent="0.2">
      <c r="B9793" s="2">
        <f ca="1"/>
        <v>0.84404171627574764</v>
      </c>
      <c r="O9793" s="2">
        <f ca="1"/>
        <v>0.40748488454092413</v>
      </c>
      <c r="X9793" s="2">
        <f ca="1"/>
        <v>40.98029527076487</v>
      </c>
      <c r="AG9793" s="2">
        <f ca="1"/>
        <v>0.25139905157227749</v>
      </c>
      <c r="AH9793" s="2" t="str">
        <f ca="1"/>
        <v>OK</v>
      </c>
    </row>
    <row r="9794" spans="2:34" x14ac:dyDescent="0.2">
      <c r="B9794" s="2">
        <f ca="1"/>
        <v>0.31448022801785869</v>
      </c>
      <c r="O9794" s="2">
        <f ca="1"/>
        <v>0.82877307472552553</v>
      </c>
      <c r="X9794" s="2">
        <f ca="1"/>
        <v>45.118274044406007</v>
      </c>
      <c r="AG9794" s="2">
        <f ca="1"/>
        <v>0.46935074390996956</v>
      </c>
      <c r="AH9794" s="2" t="str">
        <f ca="1"/>
        <v>Bad</v>
      </c>
    </row>
    <row r="9795" spans="2:34" x14ac:dyDescent="0.2">
      <c r="B9795" s="2">
        <f ca="1"/>
        <v>0.20187531905219158</v>
      </c>
      <c r="O9795" s="2">
        <f ca="1"/>
        <v>-0.3652819470890753</v>
      </c>
      <c r="X9795" s="2">
        <f ca="1"/>
        <v>48.236004813841411</v>
      </c>
      <c r="AG9795" s="2">
        <f ca="1"/>
        <v>1.2239362835444467E-2</v>
      </c>
      <c r="AH9795" s="2" t="str">
        <f ca="1"/>
        <v>Good</v>
      </c>
    </row>
    <row r="9796" spans="2:34" x14ac:dyDescent="0.2">
      <c r="B9796" s="2">
        <f ca="1"/>
        <v>0.85384420965490282</v>
      </c>
      <c r="O9796" s="2">
        <f ca="1"/>
        <v>0.10147456301672875</v>
      </c>
      <c r="X9796" s="2">
        <f ca="1"/>
        <v>59.528958859837402</v>
      </c>
      <c r="AG9796" s="2">
        <f ca="1"/>
        <v>0.45253323500390619</v>
      </c>
      <c r="AH9796" s="2" t="str">
        <f ca="1"/>
        <v>Bad</v>
      </c>
    </row>
    <row r="9797" spans="2:34" x14ac:dyDescent="0.2">
      <c r="B9797" s="2">
        <f ca="1"/>
        <v>0.64291744557965402</v>
      </c>
      <c r="O9797" s="2">
        <f ca="1"/>
        <v>-0.7473331197364701</v>
      </c>
      <c r="X9797" s="2">
        <f ca="1"/>
        <v>36.985558895143683</v>
      </c>
      <c r="AG9797" s="2">
        <f ca="1"/>
        <v>1.403219924904886E-2</v>
      </c>
      <c r="AH9797" s="2" t="str">
        <f ca="1"/>
        <v>Good</v>
      </c>
    </row>
    <row r="9798" spans="2:34" x14ac:dyDescent="0.2">
      <c r="B9798" s="2">
        <f ca="1"/>
        <v>0.21988242847444739</v>
      </c>
      <c r="O9798" s="2">
        <f ca="1"/>
        <v>0.1936285881963089</v>
      </c>
      <c r="X9798" s="2">
        <f ca="1"/>
        <v>38.004317936602391</v>
      </c>
      <c r="AG9798" s="2">
        <f ca="1"/>
        <v>0.15861691656946686</v>
      </c>
      <c r="AH9798" s="2" t="str">
        <f ca="1"/>
        <v>OK</v>
      </c>
    </row>
    <row r="9799" spans="2:34" x14ac:dyDescent="0.2">
      <c r="B9799" s="2">
        <f ca="1"/>
        <v>0.590857582158552</v>
      </c>
      <c r="O9799" s="2">
        <f ca="1"/>
        <v>-1.0941408837044477</v>
      </c>
      <c r="X9799" s="2">
        <f ca="1"/>
        <v>49.745911422134618</v>
      </c>
      <c r="AG9799" s="2">
        <f ca="1"/>
        <v>0.65663937208482492</v>
      </c>
      <c r="AH9799" s="2" t="str">
        <f ca="1"/>
        <v>Bad</v>
      </c>
    </row>
    <row r="9800" spans="2:34" x14ac:dyDescent="0.2">
      <c r="B9800" s="2">
        <f ca="1"/>
        <v>0.64121308129667343</v>
      </c>
      <c r="O9800" s="2">
        <f ca="1"/>
        <v>-0.61881054939108449</v>
      </c>
      <c r="X9800" s="2">
        <f ca="1"/>
        <v>87.141121361392479</v>
      </c>
      <c r="AG9800" s="2">
        <f ca="1"/>
        <v>0.78515885900280513</v>
      </c>
      <c r="AH9800" s="2" t="str">
        <f ca="1"/>
        <v>Bad</v>
      </c>
    </row>
    <row r="9801" spans="2:34" x14ac:dyDescent="0.2">
      <c r="B9801" s="2">
        <f ca="1"/>
        <v>0.28217897754192278</v>
      </c>
      <c r="O9801" s="2">
        <f ca="1"/>
        <v>0.18565293940893041</v>
      </c>
      <c r="X9801" s="2">
        <f ca="1"/>
        <v>38.884335633878784</v>
      </c>
      <c r="AG9801" s="2">
        <f ca="1"/>
        <v>4.9308909849754556E-2</v>
      </c>
      <c r="AH9801" s="2" t="str">
        <f ca="1"/>
        <v>Good</v>
      </c>
    </row>
    <row r="9802" spans="2:34" x14ac:dyDescent="0.2">
      <c r="B9802" s="2">
        <f ca="1"/>
        <v>0.41379977666859813</v>
      </c>
      <c r="O9802" s="2">
        <f ca="1"/>
        <v>0.96623152321981154</v>
      </c>
      <c r="X9802" s="2">
        <f ca="1"/>
        <v>67.820828318893405</v>
      </c>
      <c r="AG9802" s="2">
        <f ca="1"/>
        <v>0.68235358593111983</v>
      </c>
      <c r="AH9802" s="2" t="str">
        <f ca="1"/>
        <v>Bad</v>
      </c>
    </row>
    <row r="9803" spans="2:34" x14ac:dyDescent="0.2">
      <c r="B9803" s="2">
        <f ca="1"/>
        <v>0.6053358390975494</v>
      </c>
      <c r="O9803" s="2">
        <f ca="1"/>
        <v>-0.1718021231635686</v>
      </c>
      <c r="X9803" s="2">
        <f ca="1"/>
        <v>41.081120998792613</v>
      </c>
      <c r="AG9803" s="2">
        <f ca="1"/>
        <v>0.45360946628565491</v>
      </c>
      <c r="AH9803" s="2" t="str">
        <f ca="1"/>
        <v>Bad</v>
      </c>
    </row>
    <row r="9804" spans="2:34" x14ac:dyDescent="0.2">
      <c r="B9804" s="2">
        <f ca="1"/>
        <v>0.10830436089707463</v>
      </c>
      <c r="O9804" s="2">
        <f ca="1"/>
        <v>-1.5617615433409402</v>
      </c>
      <c r="X9804" s="2">
        <f ca="1"/>
        <v>27.260525203946855</v>
      </c>
      <c r="AG9804" s="2">
        <f ca="1"/>
        <v>0.42948209959991357</v>
      </c>
      <c r="AH9804" s="2" t="str">
        <f ca="1"/>
        <v>Bad</v>
      </c>
    </row>
    <row r="9805" spans="2:34" x14ac:dyDescent="0.2">
      <c r="B9805" s="2">
        <f ca="1"/>
        <v>0.36292525883682236</v>
      </c>
      <c r="O9805" s="2">
        <f ca="1"/>
        <v>0.22925554354218217</v>
      </c>
      <c r="X9805" s="2">
        <f ca="1"/>
        <v>28.909733067212933</v>
      </c>
      <c r="AG9805" s="2">
        <f ca="1"/>
        <v>0.77472996868770716</v>
      </c>
      <c r="AH9805" s="2" t="str">
        <f ca="1"/>
        <v>Bad</v>
      </c>
    </row>
    <row r="9806" spans="2:34" x14ac:dyDescent="0.2">
      <c r="B9806" s="2">
        <f ca="1"/>
        <v>0.40960670724807891</v>
      </c>
      <c r="O9806" s="2">
        <f ca="1"/>
        <v>-0.61544225651367179</v>
      </c>
      <c r="X9806" s="2">
        <f ca="1"/>
        <v>52.132229702470461</v>
      </c>
      <c r="AG9806" s="2">
        <f ca="1"/>
        <v>0.24479204872529747</v>
      </c>
      <c r="AH9806" s="2" t="str">
        <f ca="1"/>
        <v>OK</v>
      </c>
    </row>
    <row r="9807" spans="2:34" x14ac:dyDescent="0.2">
      <c r="B9807" s="2">
        <f ca="1"/>
        <v>0.12294987616588382</v>
      </c>
      <c r="O9807" s="2">
        <f ca="1"/>
        <v>0.38362704155669625</v>
      </c>
      <c r="X9807" s="2">
        <f ca="1"/>
        <v>107.01789485661212</v>
      </c>
      <c r="AG9807" s="2">
        <f ca="1"/>
        <v>9.2983903760304631E-2</v>
      </c>
      <c r="AH9807" s="2" t="str">
        <f ca="1"/>
        <v>OK</v>
      </c>
    </row>
    <row r="9808" spans="2:34" x14ac:dyDescent="0.2">
      <c r="B9808" s="2">
        <f ca="1"/>
        <v>0.49244216154505693</v>
      </c>
      <c r="O9808" s="2">
        <f ca="1"/>
        <v>0.3152832243351259</v>
      </c>
      <c r="X9808" s="2">
        <f ca="1"/>
        <v>65.605481878366845</v>
      </c>
      <c r="AG9808" s="2">
        <f ca="1"/>
        <v>0.44058310311745319</v>
      </c>
      <c r="AH9808" s="2" t="str">
        <f ca="1"/>
        <v>Bad</v>
      </c>
    </row>
    <row r="9809" spans="2:34" x14ac:dyDescent="0.2">
      <c r="B9809" s="2">
        <f ca="1"/>
        <v>0.44355336809775103</v>
      </c>
      <c r="O9809" s="2">
        <f ca="1"/>
        <v>-0.27998142913480084</v>
      </c>
      <c r="X9809" s="2">
        <f ca="1"/>
        <v>45.246996157594225</v>
      </c>
      <c r="AG9809" s="2">
        <f ca="1"/>
        <v>0.61544591674116789</v>
      </c>
      <c r="AH9809" s="2" t="str">
        <f ca="1"/>
        <v>Bad</v>
      </c>
    </row>
    <row r="9810" spans="2:34" x14ac:dyDescent="0.2">
      <c r="B9810" s="2">
        <f ca="1"/>
        <v>1.1488170186078506E-2</v>
      </c>
      <c r="O9810" s="2">
        <f ca="1"/>
        <v>-1.0074049673074696</v>
      </c>
      <c r="X9810" s="2">
        <f ca="1"/>
        <v>55.820698900238419</v>
      </c>
      <c r="AG9810" s="2">
        <f ca="1"/>
        <v>0.32813325093078127</v>
      </c>
      <c r="AH9810" s="2" t="str">
        <f ca="1"/>
        <v>OK</v>
      </c>
    </row>
    <row r="9811" spans="2:34" x14ac:dyDescent="0.2">
      <c r="B9811" s="2">
        <f ca="1"/>
        <v>0.77991894013471064</v>
      </c>
      <c r="O9811" s="2">
        <f ca="1"/>
        <v>2.0823779164598055</v>
      </c>
      <c r="X9811" s="2">
        <f ca="1"/>
        <v>61.581400670556761</v>
      </c>
      <c r="AG9811" s="2">
        <f ca="1"/>
        <v>0.64988956162009193</v>
      </c>
      <c r="AH9811" s="2" t="str">
        <f ca="1"/>
        <v>Bad</v>
      </c>
    </row>
    <row r="9812" spans="2:34" x14ac:dyDescent="0.2">
      <c r="B9812" s="2">
        <f ca="1"/>
        <v>0.92553573954067292</v>
      </c>
      <c r="O9812" s="2">
        <f ca="1"/>
        <v>-0.14798153557888999</v>
      </c>
      <c r="X9812" s="2">
        <f ca="1"/>
        <v>21.949624433457139</v>
      </c>
      <c r="AG9812" s="2">
        <f ca="1"/>
        <v>0.46714914259698137</v>
      </c>
      <c r="AH9812" s="2" t="str">
        <f ca="1"/>
        <v>Bad</v>
      </c>
    </row>
    <row r="9813" spans="2:34" x14ac:dyDescent="0.2">
      <c r="B9813" s="2">
        <f ca="1"/>
        <v>0.61493028551955087</v>
      </c>
      <c r="O9813" s="2">
        <f ca="1"/>
        <v>0.91533965388579375</v>
      </c>
      <c r="X9813" s="2">
        <f ca="1"/>
        <v>48.827560248241866</v>
      </c>
      <c r="AG9813" s="2">
        <f ca="1"/>
        <v>0.38768145493431128</v>
      </c>
      <c r="AH9813" s="2" t="str">
        <f ca="1"/>
        <v>OK</v>
      </c>
    </row>
    <row r="9814" spans="2:34" x14ac:dyDescent="0.2">
      <c r="B9814" s="2">
        <f ca="1"/>
        <v>0.43586190507489553</v>
      </c>
      <c r="O9814" s="2">
        <f ca="1"/>
        <v>-0.21891549158328788</v>
      </c>
      <c r="X9814" s="2">
        <f ca="1"/>
        <v>65.670123597412484</v>
      </c>
      <c r="AG9814" s="2">
        <f ca="1"/>
        <v>0.27962877673695119</v>
      </c>
      <c r="AH9814" s="2" t="str">
        <f ca="1"/>
        <v>OK</v>
      </c>
    </row>
    <row r="9815" spans="2:34" x14ac:dyDescent="0.2">
      <c r="B9815" s="2">
        <f ca="1"/>
        <v>0.51092453613958311</v>
      </c>
      <c r="O9815" s="2">
        <f ca="1"/>
        <v>-0.20047828873273002</v>
      </c>
      <c r="X9815" s="2">
        <f ca="1"/>
        <v>102.7289410751485</v>
      </c>
      <c r="AG9815" s="2">
        <f ca="1"/>
        <v>0.70434238092046142</v>
      </c>
      <c r="AH9815" s="2" t="str">
        <f ca="1"/>
        <v>Bad</v>
      </c>
    </row>
    <row r="9816" spans="2:34" x14ac:dyDescent="0.2">
      <c r="B9816" s="2">
        <f ca="1"/>
        <v>0.27715649978722712</v>
      </c>
      <c r="O9816" s="2">
        <f ca="1"/>
        <v>-1.3551818170601342</v>
      </c>
      <c r="X9816" s="2">
        <f ca="1"/>
        <v>34.310011587555024</v>
      </c>
      <c r="AG9816" s="2">
        <f ca="1"/>
        <v>0.66063302631748266</v>
      </c>
      <c r="AH9816" s="2" t="str">
        <f ca="1"/>
        <v>Bad</v>
      </c>
    </row>
    <row r="9817" spans="2:34" x14ac:dyDescent="0.2">
      <c r="B9817" s="2">
        <f ca="1"/>
        <v>0.61396899470501842</v>
      </c>
      <c r="O9817" s="2">
        <f ca="1"/>
        <v>-0.50937278411000453</v>
      </c>
      <c r="X9817" s="2">
        <f ca="1"/>
        <v>29.224803318362657</v>
      </c>
      <c r="AG9817" s="2">
        <f ca="1"/>
        <v>0.95012566079612037</v>
      </c>
      <c r="AH9817" s="2" t="str">
        <f ca="1"/>
        <v>Bad</v>
      </c>
    </row>
    <row r="9818" spans="2:34" x14ac:dyDescent="0.2">
      <c r="B9818" s="2">
        <f ca="1"/>
        <v>0.45657827291489306</v>
      </c>
      <c r="O9818" s="2">
        <f ca="1"/>
        <v>-0.23596148365276606</v>
      </c>
      <c r="X9818" s="2">
        <f ca="1"/>
        <v>55.994233832821713</v>
      </c>
      <c r="AG9818" s="2">
        <f ca="1"/>
        <v>0.63793865012958517</v>
      </c>
      <c r="AH9818" s="2" t="str">
        <f ca="1"/>
        <v>Bad</v>
      </c>
    </row>
    <row r="9819" spans="2:34" x14ac:dyDescent="0.2">
      <c r="B9819" s="2">
        <f ca="1"/>
        <v>0.52216046172030417</v>
      </c>
      <c r="O9819" s="2">
        <f ca="1"/>
        <v>0.53368894483702412</v>
      </c>
      <c r="X9819" s="2">
        <f ca="1"/>
        <v>50.558679626975589</v>
      </c>
      <c r="AG9819" s="2">
        <f ca="1"/>
        <v>0.95347235571550804</v>
      </c>
      <c r="AH9819" s="2" t="str">
        <f ca="1"/>
        <v>Bad</v>
      </c>
    </row>
    <row r="9820" spans="2:34" x14ac:dyDescent="0.2">
      <c r="B9820" s="2">
        <f ca="1"/>
        <v>0.87411394712172541</v>
      </c>
      <c r="O9820" s="2">
        <f ca="1"/>
        <v>-1.0753913669530168</v>
      </c>
      <c r="X9820" s="2">
        <f ca="1"/>
        <v>60.16185901052279</v>
      </c>
      <c r="AG9820" s="2">
        <f ca="1"/>
        <v>0.54273131679355169</v>
      </c>
      <c r="AH9820" s="2" t="str">
        <f ca="1"/>
        <v>Bad</v>
      </c>
    </row>
    <row r="9821" spans="2:34" x14ac:dyDescent="0.2">
      <c r="B9821" s="2">
        <f ca="1"/>
        <v>0.22596246978833889</v>
      </c>
      <c r="O9821" s="2">
        <f ca="1"/>
        <v>-0.14996138174058443</v>
      </c>
      <c r="X9821" s="2">
        <f ca="1"/>
        <v>63.38455704128873</v>
      </c>
      <c r="AG9821" s="2">
        <f ca="1"/>
        <v>0.97531401256213135</v>
      </c>
      <c r="AH9821" s="2" t="str">
        <f ca="1"/>
        <v>Bad</v>
      </c>
    </row>
    <row r="9822" spans="2:34" x14ac:dyDescent="0.2">
      <c r="B9822" s="2">
        <f ca="1"/>
        <v>0.58920749165307473</v>
      </c>
      <c r="O9822" s="2">
        <f ca="1"/>
        <v>0.14926219396927293</v>
      </c>
      <c r="X9822" s="2">
        <f ca="1"/>
        <v>77.944217580772133</v>
      </c>
      <c r="AG9822" s="2">
        <f ca="1"/>
        <v>0.10294706866079673</v>
      </c>
      <c r="AH9822" s="2" t="str">
        <f ca="1"/>
        <v>OK</v>
      </c>
    </row>
    <row r="9823" spans="2:34" x14ac:dyDescent="0.2">
      <c r="B9823" s="2">
        <f ca="1"/>
        <v>0.54435816940659265</v>
      </c>
      <c r="O9823" s="2">
        <f ca="1"/>
        <v>1.1192888941641201</v>
      </c>
      <c r="X9823" s="2">
        <f ca="1"/>
        <v>61.642787494067626</v>
      </c>
      <c r="AG9823" s="2">
        <f ca="1"/>
        <v>0.83193450457862683</v>
      </c>
      <c r="AH9823" s="2" t="str">
        <f ca="1"/>
        <v>Bad</v>
      </c>
    </row>
    <row r="9824" spans="2:34" x14ac:dyDescent="0.2">
      <c r="B9824" s="2">
        <f ca="1"/>
        <v>0.35405691808010209</v>
      </c>
      <c r="O9824" s="2">
        <f ca="1"/>
        <v>5.0867901853237314E-2</v>
      </c>
      <c r="X9824" s="2">
        <f ca="1"/>
        <v>50.941650448357095</v>
      </c>
      <c r="AG9824" s="2">
        <f ca="1"/>
        <v>0.55114237692063472</v>
      </c>
      <c r="AH9824" s="2" t="str">
        <f ca="1"/>
        <v>Bad</v>
      </c>
    </row>
    <row r="9825" spans="2:34" x14ac:dyDescent="0.2">
      <c r="B9825" s="2">
        <f ca="1"/>
        <v>0.59378004028807663</v>
      </c>
      <c r="O9825" s="2">
        <f ca="1"/>
        <v>0.72815018573741508</v>
      </c>
      <c r="X9825" s="2">
        <f ca="1"/>
        <v>77.669675924478042</v>
      </c>
      <c r="AG9825" s="2">
        <f ca="1"/>
        <v>0.29344591500887351</v>
      </c>
      <c r="AH9825" s="2" t="str">
        <f ca="1"/>
        <v>OK</v>
      </c>
    </row>
    <row r="9826" spans="2:34" x14ac:dyDescent="0.2">
      <c r="B9826" s="2">
        <f ca="1"/>
        <v>0.75249309223957472</v>
      </c>
      <c r="O9826" s="2">
        <f ca="1"/>
        <v>-2.2634261123167869</v>
      </c>
      <c r="X9826" s="2">
        <f ca="1"/>
        <v>45.025827960368773</v>
      </c>
      <c r="AG9826" s="2">
        <f ca="1"/>
        <v>0.90185119364365351</v>
      </c>
      <c r="AH9826" s="2" t="str">
        <f ca="1"/>
        <v>Bad</v>
      </c>
    </row>
    <row r="9827" spans="2:34" x14ac:dyDescent="0.2">
      <c r="B9827" s="2">
        <f ca="1"/>
        <v>0.59045962536955776</v>
      </c>
      <c r="O9827" s="2">
        <f ca="1"/>
        <v>-0.25073915748851189</v>
      </c>
      <c r="X9827" s="2">
        <f ca="1"/>
        <v>49.692697289776937</v>
      </c>
      <c r="AG9827" s="2">
        <f ca="1"/>
        <v>0.98300516979864816</v>
      </c>
      <c r="AH9827" s="2" t="str">
        <f ca="1"/>
        <v>Bad</v>
      </c>
    </row>
    <row r="9828" spans="2:34" x14ac:dyDescent="0.2">
      <c r="B9828" s="2">
        <f ca="1"/>
        <v>1.2743495596954757E-2</v>
      </c>
      <c r="O9828" s="2">
        <f ca="1"/>
        <v>1.5768775200277272</v>
      </c>
      <c r="X9828" s="2">
        <f ca="1"/>
        <v>33.966364143985906</v>
      </c>
      <c r="AG9828" s="2">
        <f ca="1"/>
        <v>0.45736445738016251</v>
      </c>
      <c r="AH9828" s="2" t="str">
        <f ca="1"/>
        <v>Bad</v>
      </c>
    </row>
    <row r="9829" spans="2:34" x14ac:dyDescent="0.2">
      <c r="B9829" s="2">
        <f ca="1"/>
        <v>0.28938256198095003</v>
      </c>
      <c r="O9829" s="2">
        <f ca="1"/>
        <v>1.5940287028926912</v>
      </c>
      <c r="X9829" s="2">
        <f ca="1"/>
        <v>33.068342994444798</v>
      </c>
      <c r="AG9829" s="2">
        <f ca="1"/>
        <v>0.41515903091356665</v>
      </c>
      <c r="AH9829" s="2" t="str">
        <f ca="1"/>
        <v>Bad</v>
      </c>
    </row>
    <row r="9830" spans="2:34" x14ac:dyDescent="0.2">
      <c r="B9830" s="2">
        <f ca="1"/>
        <v>0.27229795923205247</v>
      </c>
      <c r="O9830" s="2">
        <f ca="1"/>
        <v>0.28845429853774546</v>
      </c>
      <c r="X9830" s="2">
        <f ca="1"/>
        <v>26.7819801256795</v>
      </c>
      <c r="AG9830" s="2">
        <f ca="1"/>
        <v>9.0708978155654707E-2</v>
      </c>
      <c r="AH9830" s="2" t="str">
        <f ca="1"/>
        <v>OK</v>
      </c>
    </row>
    <row r="9831" spans="2:34" x14ac:dyDescent="0.2">
      <c r="B9831" s="2">
        <f ca="1"/>
        <v>0.72044383854909322</v>
      </c>
      <c r="O9831" s="2">
        <f ca="1"/>
        <v>0.20917155538784726</v>
      </c>
      <c r="X9831" s="2">
        <f ca="1"/>
        <v>57.747789636888754</v>
      </c>
      <c r="AG9831" s="2">
        <f ca="1"/>
        <v>0.76583639364906175</v>
      </c>
      <c r="AH9831" s="2" t="str">
        <f ca="1"/>
        <v>Bad</v>
      </c>
    </row>
    <row r="9832" spans="2:34" x14ac:dyDescent="0.2">
      <c r="B9832" s="2">
        <f ca="1"/>
        <v>0.18381155803255167</v>
      </c>
      <c r="O9832" s="2">
        <f ca="1"/>
        <v>-0.47852404577616425</v>
      </c>
      <c r="X9832" s="2">
        <f ca="1"/>
        <v>44.820377358614188</v>
      </c>
      <c r="AG9832" s="2">
        <f ca="1"/>
        <v>0.25682960829643364</v>
      </c>
      <c r="AH9832" s="2" t="str">
        <f ca="1"/>
        <v>OK</v>
      </c>
    </row>
    <row r="9833" spans="2:34" x14ac:dyDescent="0.2">
      <c r="B9833" s="2">
        <f ca="1"/>
        <v>0.11250916140552447</v>
      </c>
      <c r="O9833" s="2">
        <f ca="1"/>
        <v>0.82123865120861472</v>
      </c>
      <c r="X9833" s="2">
        <f ca="1"/>
        <v>65.605225223309958</v>
      </c>
      <c r="AG9833" s="2">
        <f ca="1"/>
        <v>8.2964435510413104E-4</v>
      </c>
      <c r="AH9833" s="2" t="str">
        <f ca="1"/>
        <v>Good</v>
      </c>
    </row>
    <row r="9834" spans="2:34" x14ac:dyDescent="0.2">
      <c r="B9834" s="2">
        <f ca="1"/>
        <v>0.14278133097849599</v>
      </c>
      <c r="O9834" s="2">
        <f ca="1"/>
        <v>-4.2788720401326884E-2</v>
      </c>
      <c r="X9834" s="2">
        <f ca="1"/>
        <v>49.748066505744227</v>
      </c>
      <c r="AG9834" s="2">
        <f ca="1"/>
        <v>0.21863036336271735</v>
      </c>
      <c r="AH9834" s="2" t="str">
        <f ca="1"/>
        <v>OK</v>
      </c>
    </row>
    <row r="9835" spans="2:34" x14ac:dyDescent="0.2">
      <c r="B9835" s="2">
        <f ca="1"/>
        <v>0.76181712296928428</v>
      </c>
      <c r="O9835" s="2">
        <f ca="1"/>
        <v>0.83094150658903132</v>
      </c>
      <c r="X9835" s="2">
        <f ca="1"/>
        <v>69.16935911369211</v>
      </c>
      <c r="AG9835" s="2">
        <f ca="1"/>
        <v>0.88888759959871999</v>
      </c>
      <c r="AH9835" s="2" t="str">
        <f ca="1"/>
        <v>Bad</v>
      </c>
    </row>
    <row r="9836" spans="2:34" x14ac:dyDescent="0.2">
      <c r="B9836" s="2">
        <f ca="1"/>
        <v>0.76152835779482442</v>
      </c>
      <c r="O9836" s="2">
        <f ca="1"/>
        <v>-0.38109082748859996</v>
      </c>
      <c r="X9836" s="2">
        <f ca="1"/>
        <v>44.687381895540028</v>
      </c>
      <c r="AG9836" s="2">
        <f ca="1"/>
        <v>0.64125873975278869</v>
      </c>
      <c r="AH9836" s="2" t="str">
        <f ca="1"/>
        <v>Bad</v>
      </c>
    </row>
    <row r="9837" spans="2:34" x14ac:dyDescent="0.2">
      <c r="B9837" s="2">
        <f ca="1"/>
        <v>0.78392689888381706</v>
      </c>
      <c r="O9837" s="2">
        <f ca="1"/>
        <v>-0.81636863151754535</v>
      </c>
      <c r="X9837" s="2">
        <f ca="1"/>
        <v>31.84162712437448</v>
      </c>
      <c r="AG9837" s="2">
        <f ca="1"/>
        <v>0.82628348692472331</v>
      </c>
      <c r="AH9837" s="2" t="str">
        <f ca="1"/>
        <v>Bad</v>
      </c>
    </row>
    <row r="9838" spans="2:34" x14ac:dyDescent="0.2">
      <c r="B9838" s="2">
        <f ca="1"/>
        <v>0.77020267550166976</v>
      </c>
      <c r="O9838" s="2">
        <f ca="1"/>
        <v>0.51613433519706087</v>
      </c>
      <c r="X9838" s="2">
        <f ca="1"/>
        <v>58.018132855401319</v>
      </c>
      <c r="AG9838" s="2">
        <f ca="1"/>
        <v>0.33526485392224736</v>
      </c>
      <c r="AH9838" s="2" t="str">
        <f ca="1"/>
        <v>OK</v>
      </c>
    </row>
    <row r="9839" spans="2:34" x14ac:dyDescent="0.2">
      <c r="B9839" s="2">
        <f ca="1"/>
        <v>0.90169190578980851</v>
      </c>
      <c r="O9839" s="2">
        <f ca="1"/>
        <v>2.5958845517077092</v>
      </c>
      <c r="X9839" s="2">
        <f ca="1"/>
        <v>56.481674080684783</v>
      </c>
      <c r="AG9839" s="2">
        <f ca="1"/>
        <v>0.6258494287634373</v>
      </c>
      <c r="AH9839" s="2" t="str">
        <f ca="1"/>
        <v>Bad</v>
      </c>
    </row>
    <row r="9840" spans="2:34" x14ac:dyDescent="0.2">
      <c r="B9840" s="2">
        <f ca="1"/>
        <v>0.62739158378476412</v>
      </c>
      <c r="O9840" s="2">
        <f ca="1"/>
        <v>-1.8571316188042568</v>
      </c>
      <c r="X9840" s="2">
        <f ca="1"/>
        <v>51.255265307785685</v>
      </c>
      <c r="AG9840" s="2">
        <f ca="1"/>
        <v>0.27158502555757091</v>
      </c>
      <c r="AH9840" s="2" t="str">
        <f ca="1"/>
        <v>OK</v>
      </c>
    </row>
    <row r="9841" spans="2:34" x14ac:dyDescent="0.2">
      <c r="B9841" s="2">
        <f ca="1"/>
        <v>0.82145332705485985</v>
      </c>
      <c r="O9841" s="2">
        <f ca="1"/>
        <v>0.28550877855158441</v>
      </c>
      <c r="X9841" s="2">
        <f ca="1"/>
        <v>26.427910514531256</v>
      </c>
      <c r="AG9841" s="2">
        <f ca="1"/>
        <v>0.85589851858241772</v>
      </c>
      <c r="AH9841" s="2" t="str">
        <f ca="1"/>
        <v>Bad</v>
      </c>
    </row>
    <row r="9842" spans="2:34" x14ac:dyDescent="0.2">
      <c r="B9842" s="2">
        <f ca="1"/>
        <v>0.80970183837548215</v>
      </c>
      <c r="O9842" s="2">
        <f ca="1"/>
        <v>-0.19208168730378689</v>
      </c>
      <c r="X9842" s="2">
        <f ca="1"/>
        <v>53.883150207464318</v>
      </c>
      <c r="AG9842" s="2">
        <f ca="1"/>
        <v>0.12608894230374879</v>
      </c>
      <c r="AH9842" s="2" t="str">
        <f ca="1"/>
        <v>OK</v>
      </c>
    </row>
    <row r="9843" spans="2:34" x14ac:dyDescent="0.2">
      <c r="B9843" s="2">
        <f ca="1"/>
        <v>0.85398774933766131</v>
      </c>
      <c r="O9843" s="2">
        <f ca="1"/>
        <v>0.27853266702032786</v>
      </c>
      <c r="X9843" s="2">
        <f ca="1"/>
        <v>46.64759937613978</v>
      </c>
      <c r="AG9843" s="2">
        <f ca="1"/>
        <v>0.83665674455806904</v>
      </c>
      <c r="AH9843" s="2" t="str">
        <f ca="1"/>
        <v>Bad</v>
      </c>
    </row>
    <row r="9844" spans="2:34" x14ac:dyDescent="0.2">
      <c r="B9844" s="2">
        <f ca="1"/>
        <v>0.14490255188426904</v>
      </c>
      <c r="O9844" s="2">
        <f ca="1"/>
        <v>0.21757923845844443</v>
      </c>
      <c r="X9844" s="2">
        <f ca="1"/>
        <v>29.202996235739779</v>
      </c>
      <c r="AG9844" s="2">
        <f ca="1"/>
        <v>0.70966610178397982</v>
      </c>
      <c r="AH9844" s="2" t="str">
        <f ca="1"/>
        <v>Bad</v>
      </c>
    </row>
    <row r="9845" spans="2:34" x14ac:dyDescent="0.2">
      <c r="B9845" s="2">
        <f ca="1"/>
        <v>0.66704685971932332</v>
      </c>
      <c r="O9845" s="2">
        <f ca="1"/>
        <v>-1.5847784849957292</v>
      </c>
      <c r="X9845" s="2">
        <f ca="1"/>
        <v>66.967959002524381</v>
      </c>
      <c r="AG9845" s="2">
        <f ca="1"/>
        <v>0.30784808095910421</v>
      </c>
      <c r="AH9845" s="2" t="str">
        <f ca="1"/>
        <v>OK</v>
      </c>
    </row>
    <row r="9846" spans="2:34" x14ac:dyDescent="0.2">
      <c r="B9846" s="2">
        <f ca="1"/>
        <v>0.34058486227256601</v>
      </c>
      <c r="O9846" s="2">
        <f ca="1"/>
        <v>-0.73270898196146428</v>
      </c>
      <c r="X9846" s="2">
        <f ca="1"/>
        <v>73.02797944001216</v>
      </c>
      <c r="AG9846" s="2">
        <f ca="1"/>
        <v>0.81708511064335299</v>
      </c>
      <c r="AH9846" s="2" t="str">
        <f ca="1"/>
        <v>Bad</v>
      </c>
    </row>
    <row r="9847" spans="2:34" x14ac:dyDescent="0.2">
      <c r="B9847" s="2">
        <f ca="1"/>
        <v>0.12234390555600139</v>
      </c>
      <c r="O9847" s="2">
        <f ca="1"/>
        <v>-0.39118481081535977</v>
      </c>
      <c r="X9847" s="2">
        <f ca="1"/>
        <v>55.201767147672705</v>
      </c>
      <c r="AG9847" s="2">
        <f ca="1"/>
        <v>0.80397469941170119</v>
      </c>
      <c r="AH9847" s="2" t="str">
        <f ca="1"/>
        <v>Bad</v>
      </c>
    </row>
    <row r="9848" spans="2:34" x14ac:dyDescent="0.2">
      <c r="B9848" s="2">
        <f ca="1"/>
        <v>0.33979162857620104</v>
      </c>
      <c r="O9848" s="2">
        <f ca="1"/>
        <v>0.20139943168719968</v>
      </c>
      <c r="X9848" s="2">
        <f ca="1"/>
        <v>65.410476745235073</v>
      </c>
      <c r="AG9848" s="2">
        <f ca="1"/>
        <v>0.59054308225948016</v>
      </c>
      <c r="AH9848" s="2" t="str">
        <f ca="1"/>
        <v>Bad</v>
      </c>
    </row>
    <row r="9849" spans="2:34" x14ac:dyDescent="0.2">
      <c r="B9849" s="2">
        <f ca="1"/>
        <v>0.55070293269738224</v>
      </c>
      <c r="O9849" s="2">
        <f ca="1"/>
        <v>-0.77413898392129876</v>
      </c>
      <c r="X9849" s="2">
        <f ca="1"/>
        <v>38.96451049262879</v>
      </c>
      <c r="AG9849" s="2">
        <f ca="1"/>
        <v>5.3358797566458893E-2</v>
      </c>
      <c r="AH9849" s="2" t="str">
        <f ca="1"/>
        <v>OK</v>
      </c>
    </row>
    <row r="9850" spans="2:34" x14ac:dyDescent="0.2">
      <c r="B9850" s="2">
        <f ca="1"/>
        <v>6.1792204651127225E-2</v>
      </c>
      <c r="O9850" s="2">
        <f ca="1"/>
        <v>-0.78799299810429657</v>
      </c>
      <c r="X9850" s="2">
        <f ca="1"/>
        <v>14.626068113198329</v>
      </c>
      <c r="AG9850" s="2">
        <f ca="1"/>
        <v>0.78821838139014488</v>
      </c>
      <c r="AH9850" s="2" t="str">
        <f ca="1"/>
        <v>Bad</v>
      </c>
    </row>
    <row r="9851" spans="2:34" x14ac:dyDescent="0.2">
      <c r="B9851" s="2">
        <f ca="1"/>
        <v>0.66953012439127013</v>
      </c>
      <c r="O9851" s="2">
        <f ca="1"/>
        <v>0.65998526028981142</v>
      </c>
      <c r="X9851" s="2">
        <f ca="1"/>
        <v>73.603113452564287</v>
      </c>
      <c r="AG9851" s="2">
        <f ca="1"/>
        <v>0.94757525264952247</v>
      </c>
      <c r="AH9851" s="2" t="str">
        <f ca="1"/>
        <v>Bad</v>
      </c>
    </row>
    <row r="9852" spans="2:34" x14ac:dyDescent="0.2">
      <c r="B9852" s="2">
        <f ca="1"/>
        <v>0.26350191016490365</v>
      </c>
      <c r="O9852" s="2">
        <f ca="1"/>
        <v>0.57636962077443632</v>
      </c>
      <c r="X9852" s="2">
        <f ca="1"/>
        <v>31.605050946351611</v>
      </c>
      <c r="AG9852" s="2">
        <f ca="1"/>
        <v>4.7301555145917495E-2</v>
      </c>
      <c r="AH9852" s="2" t="str">
        <f ca="1"/>
        <v>Good</v>
      </c>
    </row>
    <row r="9853" spans="2:34" x14ac:dyDescent="0.2">
      <c r="B9853" s="2">
        <f ca="1"/>
        <v>0.91171644450817491</v>
      </c>
      <c r="O9853" s="2">
        <f ca="1"/>
        <v>0.22581402713994325</v>
      </c>
      <c r="X9853" s="2">
        <f ca="1"/>
        <v>39.263335867477814</v>
      </c>
      <c r="AG9853" s="2">
        <f ca="1"/>
        <v>0.92375194085655332</v>
      </c>
      <c r="AH9853" s="2" t="str">
        <f ca="1"/>
        <v>Bad</v>
      </c>
    </row>
    <row r="9854" spans="2:34" x14ac:dyDescent="0.2">
      <c r="B9854" s="2">
        <f ca="1"/>
        <v>0.74581496237620959</v>
      </c>
      <c r="O9854" s="2">
        <f ca="1"/>
        <v>2.4183385267564872</v>
      </c>
      <c r="X9854" s="2">
        <f ca="1"/>
        <v>50.569951473358998</v>
      </c>
      <c r="AG9854" s="2">
        <f ca="1"/>
        <v>0.44326490866667223</v>
      </c>
      <c r="AH9854" s="2" t="str">
        <f ca="1"/>
        <v>Bad</v>
      </c>
    </row>
    <row r="9855" spans="2:34" x14ac:dyDescent="0.2">
      <c r="B9855" s="2">
        <f ca="1"/>
        <v>0.23292096007159913</v>
      </c>
      <c r="O9855" s="2">
        <f ca="1"/>
        <v>1.3565748674326366</v>
      </c>
      <c r="X9855" s="2">
        <f ca="1"/>
        <v>55.690469601079599</v>
      </c>
      <c r="AG9855" s="2">
        <f ca="1"/>
        <v>3.3760152264348697E-2</v>
      </c>
      <c r="AH9855" s="2" t="str">
        <f ca="1"/>
        <v>Good</v>
      </c>
    </row>
    <row r="9856" spans="2:34" x14ac:dyDescent="0.2">
      <c r="B9856" s="2">
        <f ca="1"/>
        <v>7.7947320582627544E-2</v>
      </c>
      <c r="O9856" s="2">
        <f ca="1"/>
        <v>0.8953377387719158</v>
      </c>
      <c r="X9856" s="2">
        <f ca="1"/>
        <v>23.706554485167249</v>
      </c>
      <c r="AG9856" s="2">
        <f ca="1"/>
        <v>0.76566077372263686</v>
      </c>
      <c r="AH9856" s="2" t="str">
        <f ca="1"/>
        <v>Bad</v>
      </c>
    </row>
    <row r="9857" spans="2:34" x14ac:dyDescent="0.2">
      <c r="B9857" s="2">
        <f ca="1"/>
        <v>0.10660632992353114</v>
      </c>
      <c r="O9857" s="2">
        <f ca="1"/>
        <v>0.67064452107555728</v>
      </c>
      <c r="X9857" s="2">
        <f ca="1"/>
        <v>74.517985933239586</v>
      </c>
      <c r="AG9857" s="2">
        <f ca="1"/>
        <v>0.64623934737518507</v>
      </c>
      <c r="AH9857" s="2" t="str">
        <f ca="1"/>
        <v>Bad</v>
      </c>
    </row>
    <row r="9858" spans="2:34" x14ac:dyDescent="0.2">
      <c r="B9858" s="2">
        <f ca="1"/>
        <v>0.14092185139512248</v>
      </c>
      <c r="O9858" s="2">
        <f ca="1"/>
        <v>0.17561804130636485</v>
      </c>
      <c r="X9858" s="2">
        <f ca="1"/>
        <v>45.04890728018627</v>
      </c>
      <c r="AG9858" s="2">
        <f ca="1"/>
        <v>0.1991503363176248</v>
      </c>
      <c r="AH9858" s="2" t="str">
        <f ca="1"/>
        <v>OK</v>
      </c>
    </row>
    <row r="9859" spans="2:34" x14ac:dyDescent="0.2">
      <c r="B9859" s="2">
        <f ca="1"/>
        <v>0.2757545921771114</v>
      </c>
      <c r="O9859" s="2">
        <f ca="1"/>
        <v>-0.62587756957984109</v>
      </c>
      <c r="X9859" s="2">
        <f ca="1"/>
        <v>38.808792081740791</v>
      </c>
      <c r="AG9859" s="2">
        <f ca="1"/>
        <v>0.70531889071527298</v>
      </c>
      <c r="AH9859" s="2" t="str">
        <f ca="1"/>
        <v>Bad</v>
      </c>
    </row>
    <row r="9860" spans="2:34" x14ac:dyDescent="0.2">
      <c r="B9860" s="2">
        <f ca="1"/>
        <v>0.59795673156265794</v>
      </c>
      <c r="O9860" s="2">
        <f ca="1"/>
        <v>0.44451931218832597</v>
      </c>
      <c r="X9860" s="2">
        <f ca="1"/>
        <v>46.494078842045532</v>
      </c>
      <c r="AG9860" s="2">
        <f ca="1"/>
        <v>0.11018284891695518</v>
      </c>
      <c r="AH9860" s="2" t="str">
        <f ca="1"/>
        <v>OK</v>
      </c>
    </row>
    <row r="9861" spans="2:34" x14ac:dyDescent="0.2">
      <c r="B9861" s="2">
        <f ca="1"/>
        <v>0.30186203626910735</v>
      </c>
      <c r="O9861" s="2">
        <f ca="1"/>
        <v>1.0879242133307112</v>
      </c>
      <c r="X9861" s="2">
        <f ca="1"/>
        <v>77.193428755978573</v>
      </c>
      <c r="AG9861" s="2">
        <f ca="1"/>
        <v>0.53104121198854637</v>
      </c>
      <c r="AH9861" s="2" t="str">
        <f ca="1"/>
        <v>Bad</v>
      </c>
    </row>
    <row r="9862" spans="2:34" x14ac:dyDescent="0.2">
      <c r="B9862" s="2">
        <f ca="1"/>
        <v>0.98731023417665287</v>
      </c>
      <c r="O9862" s="2">
        <f ca="1"/>
        <v>1.2884766537025725</v>
      </c>
      <c r="X9862" s="2">
        <f ca="1"/>
        <v>20.946770530572529</v>
      </c>
      <c r="AG9862" s="2">
        <f ca="1"/>
        <v>0.77498901751924087</v>
      </c>
      <c r="AH9862" s="2" t="str">
        <f ca="1"/>
        <v>Bad</v>
      </c>
    </row>
    <row r="9863" spans="2:34" x14ac:dyDescent="0.2">
      <c r="B9863" s="2">
        <f ca="1"/>
        <v>0.74024990998469131</v>
      </c>
      <c r="O9863" s="2">
        <f ca="1"/>
        <v>2.1540878422590297</v>
      </c>
      <c r="X9863" s="2">
        <f ca="1"/>
        <v>43.139804928216478</v>
      </c>
      <c r="AG9863" s="2">
        <f ca="1"/>
        <v>0.2379884665087344</v>
      </c>
      <c r="AH9863" s="2" t="str">
        <f ca="1"/>
        <v>OK</v>
      </c>
    </row>
    <row r="9864" spans="2:34" x14ac:dyDescent="0.2">
      <c r="B9864" s="2">
        <f ca="1"/>
        <v>0.38464778244408504</v>
      </c>
      <c r="O9864" s="2">
        <f ca="1"/>
        <v>-0.16428159207576937</v>
      </c>
      <c r="X9864" s="2">
        <f ca="1"/>
        <v>47.235834511321286</v>
      </c>
      <c r="AG9864" s="2">
        <f ca="1"/>
        <v>0.77935548491428741</v>
      </c>
      <c r="AH9864" s="2" t="str">
        <f ca="1"/>
        <v>Bad</v>
      </c>
    </row>
    <row r="9865" spans="2:34" x14ac:dyDescent="0.2">
      <c r="B9865" s="2">
        <f ca="1"/>
        <v>0.91863787737316382</v>
      </c>
      <c r="O9865" s="2">
        <f ca="1"/>
        <v>-0.3036467480812407</v>
      </c>
      <c r="X9865" s="2">
        <f ca="1"/>
        <v>77.170116738469332</v>
      </c>
      <c r="AG9865" s="2">
        <f ca="1"/>
        <v>0.2401543559608792</v>
      </c>
      <c r="AH9865" s="2" t="str">
        <f ca="1"/>
        <v>OK</v>
      </c>
    </row>
    <row r="9866" spans="2:34" x14ac:dyDescent="0.2">
      <c r="B9866" s="2">
        <f ca="1"/>
        <v>0.9047797052721851</v>
      </c>
      <c r="O9866" s="2">
        <f ca="1"/>
        <v>8.3266575305014398E-2</v>
      </c>
      <c r="X9866" s="2">
        <f ca="1"/>
        <v>44.056341861322366</v>
      </c>
      <c r="AG9866" s="2">
        <f ca="1"/>
        <v>0.84867963021352533</v>
      </c>
      <c r="AH9866" s="2" t="str">
        <f ca="1"/>
        <v>Bad</v>
      </c>
    </row>
    <row r="9867" spans="2:34" x14ac:dyDescent="0.2">
      <c r="B9867" s="2">
        <f ca="1"/>
        <v>0.90800910257964018</v>
      </c>
      <c r="O9867" s="2">
        <f ca="1"/>
        <v>0.31419204194144873</v>
      </c>
      <c r="X9867" s="2">
        <f ca="1"/>
        <v>31.961932322729613</v>
      </c>
      <c r="AG9867" s="2">
        <f ca="1"/>
        <v>0.76226703720297073</v>
      </c>
      <c r="AH9867" s="2" t="str">
        <f ca="1"/>
        <v>Bad</v>
      </c>
    </row>
    <row r="9868" spans="2:34" x14ac:dyDescent="0.2">
      <c r="B9868" s="2">
        <f ca="1"/>
        <v>6.1155383282072817E-2</v>
      </c>
      <c r="O9868" s="2">
        <f ca="1"/>
        <v>-1.8904327773161624E-2</v>
      </c>
      <c r="X9868" s="2">
        <f ca="1"/>
        <v>35.725975059189551</v>
      </c>
      <c r="AG9868" s="2">
        <f ca="1"/>
        <v>0.93548870388352912</v>
      </c>
      <c r="AH9868" s="2" t="str">
        <f ca="1"/>
        <v>Bad</v>
      </c>
    </row>
    <row r="9869" spans="2:34" x14ac:dyDescent="0.2">
      <c r="B9869" s="2">
        <f ca="1"/>
        <v>0.43303310038358078</v>
      </c>
      <c r="O9869" s="2">
        <f ca="1"/>
        <v>-1.5411531103005542</v>
      </c>
      <c r="X9869" s="2">
        <f ca="1"/>
        <v>68.605591383437542</v>
      </c>
      <c r="AG9869" s="2">
        <f ca="1"/>
        <v>0.55091661978657158</v>
      </c>
      <c r="AH9869" s="2" t="str">
        <f ca="1"/>
        <v>Bad</v>
      </c>
    </row>
    <row r="9870" spans="2:34" x14ac:dyDescent="0.2">
      <c r="B9870" s="2">
        <f ca="1"/>
        <v>0.65575899718303132</v>
      </c>
      <c r="O9870" s="2">
        <f ca="1"/>
        <v>-1.5834314767433868</v>
      </c>
      <c r="X9870" s="2">
        <f ca="1"/>
        <v>29.509747135971338</v>
      </c>
      <c r="AG9870" s="2">
        <f ca="1"/>
        <v>0.76170335781348331</v>
      </c>
      <c r="AH9870" s="2" t="str">
        <f ca="1"/>
        <v>Bad</v>
      </c>
    </row>
    <row r="9871" spans="2:34" x14ac:dyDescent="0.2">
      <c r="B9871" s="2">
        <f ca="1"/>
        <v>0.48994535854106691</v>
      </c>
      <c r="O9871" s="2">
        <f ca="1"/>
        <v>0.17256153402236019</v>
      </c>
      <c r="X9871" s="2">
        <f ca="1"/>
        <v>58.344146578317236</v>
      </c>
      <c r="AG9871" s="2">
        <f ca="1"/>
        <v>0.10099477658406686</v>
      </c>
      <c r="AH9871" s="2" t="str">
        <f ca="1"/>
        <v>OK</v>
      </c>
    </row>
    <row r="9872" spans="2:34" x14ac:dyDescent="0.2">
      <c r="B9872" s="2">
        <f ca="1"/>
        <v>0.55776817813135815</v>
      </c>
      <c r="O9872" s="2">
        <f ca="1"/>
        <v>-0.50916819746189623</v>
      </c>
      <c r="X9872" s="2">
        <f ca="1"/>
        <v>33.546716710483089</v>
      </c>
      <c r="AG9872" s="2">
        <f ca="1"/>
        <v>0.91428727854939318</v>
      </c>
      <c r="AH9872" s="2" t="str">
        <f ca="1"/>
        <v>Bad</v>
      </c>
    </row>
    <row r="9873" spans="2:34" x14ac:dyDescent="0.2">
      <c r="B9873" s="2">
        <f ca="1"/>
        <v>0.35953489253940329</v>
      </c>
      <c r="O9873" s="2">
        <f ca="1"/>
        <v>0.76577050172103445</v>
      </c>
      <c r="X9873" s="2">
        <f ca="1"/>
        <v>71.703284205564557</v>
      </c>
      <c r="AG9873" s="2">
        <f ca="1"/>
        <v>4.9440739204708262E-2</v>
      </c>
      <c r="AH9873" s="2" t="str">
        <f ca="1"/>
        <v>Good</v>
      </c>
    </row>
    <row r="9874" spans="2:34" x14ac:dyDescent="0.2">
      <c r="B9874" s="2">
        <f ca="1"/>
        <v>0.36409457646000876</v>
      </c>
      <c r="O9874" s="2">
        <f ca="1"/>
        <v>-1.9645557328779064</v>
      </c>
      <c r="X9874" s="2">
        <f ca="1"/>
        <v>44.360247162518021</v>
      </c>
      <c r="AG9874" s="2">
        <f ca="1"/>
        <v>0.24758364316933634</v>
      </c>
      <c r="AH9874" s="2" t="str">
        <f ca="1"/>
        <v>OK</v>
      </c>
    </row>
    <row r="9875" spans="2:34" x14ac:dyDescent="0.2">
      <c r="B9875" s="2">
        <f ca="1"/>
        <v>0.16562688097886857</v>
      </c>
      <c r="O9875" s="2">
        <f ca="1"/>
        <v>0.57887608168044657</v>
      </c>
      <c r="X9875" s="2">
        <f ca="1"/>
        <v>51.407210281266288</v>
      </c>
      <c r="AG9875" s="2">
        <f ca="1"/>
        <v>0.85207032236977298</v>
      </c>
      <c r="AH9875" s="2" t="str">
        <f ca="1"/>
        <v>Bad</v>
      </c>
    </row>
    <row r="9876" spans="2:34" x14ac:dyDescent="0.2">
      <c r="B9876" s="2">
        <f ca="1"/>
        <v>0.60334075105875651</v>
      </c>
      <c r="O9876" s="2">
        <f ca="1"/>
        <v>0.73979711479832133</v>
      </c>
      <c r="X9876" s="2">
        <f ca="1"/>
        <v>60.758467109473116</v>
      </c>
      <c r="AG9876" s="2">
        <f ca="1"/>
        <v>0.84338869761506019</v>
      </c>
      <c r="AH9876" s="2" t="str">
        <f ca="1"/>
        <v>Bad</v>
      </c>
    </row>
    <row r="9877" spans="2:34" x14ac:dyDescent="0.2">
      <c r="B9877" s="2">
        <f ca="1"/>
        <v>0.11594758293044394</v>
      </c>
      <c r="O9877" s="2">
        <f ca="1"/>
        <v>1.5742361787553207</v>
      </c>
      <c r="X9877" s="2">
        <f ca="1"/>
        <v>24.064090085713829</v>
      </c>
      <c r="AG9877" s="2">
        <f ca="1"/>
        <v>0.54871500879708002</v>
      </c>
      <c r="AH9877" s="2" t="str">
        <f ca="1"/>
        <v>Bad</v>
      </c>
    </row>
    <row r="9878" spans="2:34" x14ac:dyDescent="0.2">
      <c r="B9878" s="2">
        <f ca="1"/>
        <v>0.30950792950490236</v>
      </c>
      <c r="O9878" s="2">
        <f ca="1"/>
        <v>0.76331056597727676</v>
      </c>
      <c r="X9878" s="2">
        <f ca="1"/>
        <v>26.886977679664717</v>
      </c>
      <c r="AG9878" s="2">
        <f ca="1"/>
        <v>0.77563584690963294</v>
      </c>
      <c r="AH9878" s="2" t="str">
        <f ca="1"/>
        <v>Bad</v>
      </c>
    </row>
    <row r="9879" spans="2:34" x14ac:dyDescent="0.2">
      <c r="B9879" s="2">
        <f ca="1"/>
        <v>0.95809154644645633</v>
      </c>
      <c r="O9879" s="2">
        <f ca="1"/>
        <v>-1.3440434729037614</v>
      </c>
      <c r="X9879" s="2">
        <f ca="1"/>
        <v>51.355128146126496</v>
      </c>
      <c r="AG9879" s="2">
        <f ca="1"/>
        <v>0.30646122635536943</v>
      </c>
      <c r="AH9879" s="2" t="str">
        <f ca="1"/>
        <v>OK</v>
      </c>
    </row>
    <row r="9880" spans="2:34" x14ac:dyDescent="0.2">
      <c r="B9880" s="2">
        <f ca="1"/>
        <v>0.97275896765073444</v>
      </c>
      <c r="O9880" s="2">
        <f ca="1"/>
        <v>7.1133014882277676E-2</v>
      </c>
      <c r="X9880" s="2">
        <f ca="1"/>
        <v>20.989824120970955</v>
      </c>
      <c r="AG9880" s="2">
        <f ca="1"/>
        <v>0.25797432783894192</v>
      </c>
      <c r="AH9880" s="2" t="str">
        <f ca="1"/>
        <v>OK</v>
      </c>
    </row>
    <row r="9881" spans="2:34" x14ac:dyDescent="0.2">
      <c r="B9881" s="2">
        <f ca="1"/>
        <v>0.45794814358333968</v>
      </c>
      <c r="O9881" s="2">
        <f ca="1"/>
        <v>-0.95114174821405539</v>
      </c>
      <c r="X9881" s="2">
        <f ca="1"/>
        <v>26.545256140652317</v>
      </c>
      <c r="AG9881" s="2">
        <f ca="1"/>
        <v>2.597724845392424E-2</v>
      </c>
      <c r="AH9881" s="2" t="str">
        <f ca="1"/>
        <v>Good</v>
      </c>
    </row>
    <row r="9882" spans="2:34" x14ac:dyDescent="0.2">
      <c r="B9882" s="2">
        <f ca="1"/>
        <v>0.43399277750887411</v>
      </c>
      <c r="O9882" s="2">
        <f ca="1"/>
        <v>0.79687079717196185</v>
      </c>
      <c r="X9882" s="2">
        <f ca="1"/>
        <v>35.830796515758394</v>
      </c>
      <c r="AG9882" s="2">
        <f ca="1"/>
        <v>0.34334726053999942</v>
      </c>
      <c r="AH9882" s="2" t="str">
        <f ca="1"/>
        <v>OK</v>
      </c>
    </row>
    <row r="9883" spans="2:34" x14ac:dyDescent="0.2">
      <c r="B9883" s="2">
        <f ca="1"/>
        <v>0.75509153468711077</v>
      </c>
      <c r="O9883" s="2">
        <f ca="1"/>
        <v>0.7007906625253445</v>
      </c>
      <c r="X9883" s="2">
        <f ca="1"/>
        <v>61.626785515599572</v>
      </c>
      <c r="AG9883" s="2">
        <f ca="1"/>
        <v>3.8909996526399038E-2</v>
      </c>
      <c r="AH9883" s="2" t="str">
        <f ca="1"/>
        <v>Good</v>
      </c>
    </row>
    <row r="9884" spans="2:34" x14ac:dyDescent="0.2">
      <c r="B9884" s="2">
        <f ca="1"/>
        <v>0.82660322270914222</v>
      </c>
      <c r="O9884" s="2">
        <f ca="1"/>
        <v>-0.60884577489406011</v>
      </c>
      <c r="X9884" s="2">
        <f ca="1"/>
        <v>48.07536533015967</v>
      </c>
      <c r="AG9884" s="2">
        <f ca="1"/>
        <v>0.94584452576987399</v>
      </c>
      <c r="AH9884" s="2" t="str">
        <f ca="1"/>
        <v>Bad</v>
      </c>
    </row>
    <row r="9885" spans="2:34" x14ac:dyDescent="0.2">
      <c r="B9885" s="2">
        <f ca="1"/>
        <v>0.65598479592480974</v>
      </c>
      <c r="O9885" s="2">
        <f ca="1"/>
        <v>0.54662630567377202</v>
      </c>
      <c r="X9885" s="2">
        <f ca="1"/>
        <v>44.06968714785593</v>
      </c>
      <c r="AG9885" s="2">
        <f ca="1"/>
        <v>0.6925212628952031</v>
      </c>
      <c r="AH9885" s="2" t="str">
        <f ca="1"/>
        <v>Bad</v>
      </c>
    </row>
    <row r="9886" spans="2:34" x14ac:dyDescent="0.2">
      <c r="B9886" s="2">
        <f ca="1"/>
        <v>0.35933886647963509</v>
      </c>
      <c r="O9886" s="2">
        <f ca="1"/>
        <v>-2.1120428338452277</v>
      </c>
      <c r="X9886" s="2">
        <f ca="1"/>
        <v>40.070031237714836</v>
      </c>
      <c r="AG9886" s="2">
        <f ca="1"/>
        <v>0.92431007645489571</v>
      </c>
      <c r="AH9886" s="2" t="str">
        <f ca="1"/>
        <v>Bad</v>
      </c>
    </row>
    <row r="9887" spans="2:34" x14ac:dyDescent="0.2">
      <c r="B9887" s="2">
        <f ca="1"/>
        <v>0.65335201478007843</v>
      </c>
      <c r="O9887" s="2">
        <f ca="1"/>
        <v>0.38123281900557204</v>
      </c>
      <c r="X9887" s="2">
        <f ca="1"/>
        <v>40.184224677994315</v>
      </c>
      <c r="AG9887" s="2">
        <f ca="1"/>
        <v>0.82662339657871153</v>
      </c>
      <c r="AH9887" s="2" t="str">
        <f ca="1"/>
        <v>Bad</v>
      </c>
    </row>
    <row r="9888" spans="2:34" x14ac:dyDescent="0.2">
      <c r="B9888" s="2">
        <f ca="1"/>
        <v>0.95700901738131061</v>
      </c>
      <c r="O9888" s="2">
        <f ca="1"/>
        <v>-0.38601379483542481</v>
      </c>
      <c r="X9888" s="2">
        <f ca="1"/>
        <v>36.782035283743554</v>
      </c>
      <c r="AG9888" s="2">
        <f ca="1"/>
        <v>0.28974208732166518</v>
      </c>
      <c r="AH9888" s="2" t="str">
        <f ca="1"/>
        <v>OK</v>
      </c>
    </row>
    <row r="9889" spans="2:34" x14ac:dyDescent="0.2">
      <c r="B9889" s="2">
        <f ca="1"/>
        <v>0.42864471150472205</v>
      </c>
      <c r="O9889" s="2">
        <f ca="1"/>
        <v>0.65212050286865852</v>
      </c>
      <c r="X9889" s="2">
        <f ca="1"/>
        <v>51.990607390567682</v>
      </c>
      <c r="AG9889" s="2">
        <f ca="1"/>
        <v>0.50337198176549336</v>
      </c>
      <c r="AH9889" s="2" t="str">
        <f ca="1"/>
        <v>Bad</v>
      </c>
    </row>
    <row r="9890" spans="2:34" x14ac:dyDescent="0.2">
      <c r="B9890" s="2">
        <f ca="1"/>
        <v>1.7508437108897379E-3</v>
      </c>
      <c r="O9890" s="2">
        <f ca="1"/>
        <v>1.7187299062834003</v>
      </c>
      <c r="X9890" s="2">
        <f ca="1"/>
        <v>56.208781491598607</v>
      </c>
      <c r="AG9890" s="2">
        <f ca="1"/>
        <v>0.80511091052320838</v>
      </c>
      <c r="AH9890" s="2" t="str">
        <f ca="1"/>
        <v>Bad</v>
      </c>
    </row>
    <row r="9891" spans="2:34" x14ac:dyDescent="0.2">
      <c r="B9891" s="2">
        <f ca="1"/>
        <v>0.12654814215254739</v>
      </c>
      <c r="O9891" s="2">
        <f ca="1"/>
        <v>-1.2772104043707451</v>
      </c>
      <c r="X9891" s="2">
        <f ca="1"/>
        <v>48.827307837969911</v>
      </c>
      <c r="AG9891" s="2">
        <f ca="1"/>
        <v>0.10462066558622407</v>
      </c>
      <c r="AH9891" s="2" t="str">
        <f ca="1"/>
        <v>OK</v>
      </c>
    </row>
    <row r="9892" spans="2:34" x14ac:dyDescent="0.2">
      <c r="B9892" s="2">
        <f ca="1"/>
        <v>0.97813904090263959</v>
      </c>
      <c r="O9892" s="2">
        <f ca="1"/>
        <v>1.0732582601756875</v>
      </c>
      <c r="X9892" s="2">
        <f ca="1"/>
        <v>58.169844517073884</v>
      </c>
      <c r="AG9892" s="2">
        <f ca="1"/>
        <v>0.99262864865284461</v>
      </c>
      <c r="AH9892" s="2" t="str">
        <f ca="1"/>
        <v>Bad</v>
      </c>
    </row>
    <row r="9893" spans="2:34" x14ac:dyDescent="0.2">
      <c r="B9893" s="2">
        <f ca="1"/>
        <v>0.85243168949552861</v>
      </c>
      <c r="O9893" s="2">
        <f ca="1"/>
        <v>-0.28329478669920694</v>
      </c>
      <c r="X9893" s="2">
        <f ca="1"/>
        <v>58.134991931959945</v>
      </c>
      <c r="AG9893" s="2">
        <f ca="1"/>
        <v>0.37175968287635741</v>
      </c>
      <c r="AH9893" s="2" t="str">
        <f ca="1"/>
        <v>OK</v>
      </c>
    </row>
    <row r="9894" spans="2:34" x14ac:dyDescent="0.2">
      <c r="B9894" s="2">
        <f ca="1"/>
        <v>0.4661196676019872</v>
      </c>
      <c r="O9894" s="2">
        <f ca="1"/>
        <v>0.86552198557618809</v>
      </c>
      <c r="X9894" s="2">
        <f ca="1"/>
        <v>78.706460948536844</v>
      </c>
      <c r="AG9894" s="2">
        <f ca="1"/>
        <v>0.63977831348639302</v>
      </c>
      <c r="AH9894" s="2" t="str">
        <f ca="1"/>
        <v>Bad</v>
      </c>
    </row>
    <row r="9895" spans="2:34" x14ac:dyDescent="0.2">
      <c r="B9895" s="2">
        <f ca="1"/>
        <v>0.64635526642178376</v>
      </c>
      <c r="O9895" s="2">
        <f ca="1"/>
        <v>1.3833502597809193</v>
      </c>
      <c r="X9895" s="2">
        <f ca="1"/>
        <v>39.940422148890406</v>
      </c>
      <c r="AG9895" s="2">
        <f ca="1"/>
        <v>0.89789900139458823</v>
      </c>
      <c r="AH9895" s="2" t="str">
        <f ca="1"/>
        <v>Bad</v>
      </c>
    </row>
    <row r="9896" spans="2:34" x14ac:dyDescent="0.2">
      <c r="B9896" s="2">
        <f ca="1"/>
        <v>0.21981974194103771</v>
      </c>
      <c r="O9896" s="2">
        <f ca="1"/>
        <v>2.0871319260859389</v>
      </c>
      <c r="X9896" s="2">
        <f ca="1"/>
        <v>42.966085172635843</v>
      </c>
      <c r="AG9896" s="2">
        <f ca="1"/>
        <v>0.54355695492664435</v>
      </c>
      <c r="AH9896" s="2" t="str">
        <f ca="1"/>
        <v>Bad</v>
      </c>
    </row>
    <row r="9897" spans="2:34" x14ac:dyDescent="0.2">
      <c r="B9897" s="2">
        <f ca="1"/>
        <v>0.87631316976320339</v>
      </c>
      <c r="O9897" s="2">
        <f ca="1"/>
        <v>1.1974708993054233</v>
      </c>
      <c r="X9897" s="2">
        <f ca="1"/>
        <v>90.818535437748494</v>
      </c>
      <c r="AG9897" s="2">
        <f ca="1"/>
        <v>0.67957278884016326</v>
      </c>
      <c r="AH9897" s="2" t="str">
        <f ca="1"/>
        <v>Bad</v>
      </c>
    </row>
    <row r="9898" spans="2:34" x14ac:dyDescent="0.2">
      <c r="B9898" s="2">
        <f ca="1"/>
        <v>0.22634413174197099</v>
      </c>
      <c r="O9898" s="2">
        <f ca="1"/>
        <v>0.4524472986606175</v>
      </c>
      <c r="X9898" s="2">
        <f ca="1"/>
        <v>43.505262846019761</v>
      </c>
      <c r="AG9898" s="2">
        <f ca="1"/>
        <v>0.8889222451899621</v>
      </c>
      <c r="AH9898" s="2" t="str">
        <f ca="1"/>
        <v>Bad</v>
      </c>
    </row>
    <row r="9899" spans="2:34" x14ac:dyDescent="0.2">
      <c r="B9899" s="2">
        <f ca="1"/>
        <v>0.63477126451885346</v>
      </c>
      <c r="O9899" s="2">
        <f ca="1"/>
        <v>-0.26045001237260806</v>
      </c>
      <c r="X9899" s="2">
        <f ca="1"/>
        <v>48.063632902045299</v>
      </c>
      <c r="AG9899" s="2">
        <f ca="1"/>
        <v>4.2142570462835538E-2</v>
      </c>
      <c r="AH9899" s="2" t="str">
        <f ca="1"/>
        <v>Good</v>
      </c>
    </row>
    <row r="9900" spans="2:34" x14ac:dyDescent="0.2">
      <c r="B9900" s="2">
        <f ca="1"/>
        <v>1.4431432281796219E-2</v>
      </c>
      <c r="O9900" s="2">
        <f ca="1"/>
        <v>-0.57676657837244472</v>
      </c>
      <c r="X9900" s="2">
        <f ca="1"/>
        <v>49.50047882530253</v>
      </c>
      <c r="AG9900" s="2">
        <f ca="1"/>
        <v>0.88486994052753642</v>
      </c>
      <c r="AH9900" s="2" t="str">
        <f ca="1"/>
        <v>Bad</v>
      </c>
    </row>
    <row r="9901" spans="2:34" x14ac:dyDescent="0.2">
      <c r="B9901" s="2">
        <f ca="1"/>
        <v>0.21462255314805234</v>
      </c>
      <c r="O9901" s="2">
        <f ca="1"/>
        <v>0.28751039826938024</v>
      </c>
      <c r="X9901" s="2">
        <f ca="1"/>
        <v>62.64947461802879</v>
      </c>
      <c r="AG9901" s="2">
        <f ca="1"/>
        <v>0.96938225365652864</v>
      </c>
      <c r="AH9901" s="2" t="str">
        <f ca="1"/>
        <v>Bad</v>
      </c>
    </row>
    <row r="9902" spans="2:34" x14ac:dyDescent="0.2">
      <c r="B9902" s="2">
        <f ca="1"/>
        <v>0.7162962678566509</v>
      </c>
      <c r="O9902" s="2">
        <f ca="1"/>
        <v>-0.48920495076134085</v>
      </c>
      <c r="X9902" s="2">
        <f ca="1"/>
        <v>40.94858361356502</v>
      </c>
      <c r="AG9902" s="2">
        <f ca="1"/>
        <v>0.19354952357888644</v>
      </c>
      <c r="AH9902" s="2" t="str">
        <f ca="1"/>
        <v>OK</v>
      </c>
    </row>
    <row r="9903" spans="2:34" x14ac:dyDescent="0.2">
      <c r="B9903" s="2">
        <f ca="1"/>
        <v>0.60562244713241498</v>
      </c>
      <c r="O9903" s="2">
        <f ca="1"/>
        <v>1.2109236539386952</v>
      </c>
      <c r="X9903" s="2">
        <f ca="1"/>
        <v>27.549229418915896</v>
      </c>
      <c r="AG9903" s="2">
        <f ca="1"/>
        <v>0.72990517203681282</v>
      </c>
      <c r="AH9903" s="2" t="str">
        <f ca="1"/>
        <v>Bad</v>
      </c>
    </row>
    <row r="9904" spans="2:34" x14ac:dyDescent="0.2">
      <c r="B9904" s="2">
        <f ca="1"/>
        <v>0.68200412832236701</v>
      </c>
      <c r="O9904" s="2">
        <f ca="1"/>
        <v>-0.73102929935902317</v>
      </c>
      <c r="X9904" s="2">
        <f ca="1"/>
        <v>26.409187492515148</v>
      </c>
      <c r="AG9904" s="2">
        <f ca="1"/>
        <v>0.9695529440046502</v>
      </c>
      <c r="AH9904" s="2" t="str">
        <f ca="1"/>
        <v>Bad</v>
      </c>
    </row>
    <row r="9905" spans="2:34" x14ac:dyDescent="0.2">
      <c r="B9905" s="2">
        <f ca="1"/>
        <v>6.493950053948816E-2</v>
      </c>
      <c r="O9905" s="2">
        <f ca="1"/>
        <v>-1.091651598006657</v>
      </c>
      <c r="X9905" s="2">
        <f ca="1"/>
        <v>101.46071918343083</v>
      </c>
      <c r="AG9905" s="2">
        <f ca="1"/>
        <v>0.47990844792004861</v>
      </c>
      <c r="AH9905" s="2" t="str">
        <f ca="1"/>
        <v>Bad</v>
      </c>
    </row>
    <row r="9906" spans="2:34" x14ac:dyDescent="0.2">
      <c r="B9906" s="2">
        <f ca="1"/>
        <v>5.9372338487645004E-2</v>
      </c>
      <c r="O9906" s="2">
        <f ca="1"/>
        <v>-0.28061043790395995</v>
      </c>
      <c r="X9906" s="2">
        <f ca="1"/>
        <v>41.341392056197897</v>
      </c>
      <c r="AG9906" s="2">
        <f ca="1"/>
        <v>0.54957396236327427</v>
      </c>
      <c r="AH9906" s="2" t="str">
        <f ca="1"/>
        <v>Bad</v>
      </c>
    </row>
    <row r="9907" spans="2:34" x14ac:dyDescent="0.2">
      <c r="B9907" s="2">
        <f ca="1"/>
        <v>0.18311463588554533</v>
      </c>
      <c r="O9907" s="2">
        <f ca="1"/>
        <v>1.0151701719800492</v>
      </c>
      <c r="X9907" s="2">
        <f ca="1"/>
        <v>54.525555027626879</v>
      </c>
      <c r="AG9907" s="2">
        <f ca="1"/>
        <v>0.29290367356246527</v>
      </c>
      <c r="AH9907" s="2" t="str">
        <f ca="1"/>
        <v>OK</v>
      </c>
    </row>
    <row r="9908" spans="2:34" x14ac:dyDescent="0.2">
      <c r="B9908" s="2">
        <f ca="1"/>
        <v>0.31515891315365163</v>
      </c>
      <c r="O9908" s="2">
        <f ca="1"/>
        <v>-0.22072635025170367</v>
      </c>
      <c r="X9908" s="2">
        <f ca="1"/>
        <v>46.56333630758995</v>
      </c>
      <c r="AG9908" s="2">
        <f ca="1"/>
        <v>0.19588972666195947</v>
      </c>
      <c r="AH9908" s="2" t="str">
        <f ca="1"/>
        <v>OK</v>
      </c>
    </row>
    <row r="9909" spans="2:34" x14ac:dyDescent="0.2">
      <c r="B9909" s="2">
        <f ca="1"/>
        <v>0.47302054950993777</v>
      </c>
      <c r="O9909" s="2">
        <f ca="1"/>
        <v>-4.5176257667691004E-3</v>
      </c>
      <c r="X9909" s="2">
        <f ca="1"/>
        <v>70.593383100718341</v>
      </c>
      <c r="AG9909" s="2">
        <f ca="1"/>
        <v>0.93460445988445917</v>
      </c>
      <c r="AH9909" s="2" t="str">
        <f ca="1"/>
        <v>Bad</v>
      </c>
    </row>
    <row r="9910" spans="2:34" x14ac:dyDescent="0.2">
      <c r="B9910" s="2">
        <f ca="1"/>
        <v>0.77297323517043082</v>
      </c>
      <c r="O9910" s="2">
        <f ca="1"/>
        <v>0.54329411543669814</v>
      </c>
      <c r="X9910" s="2">
        <f ca="1"/>
        <v>36.707360649007867</v>
      </c>
      <c r="AG9910" s="2">
        <f ca="1"/>
        <v>0.41784498178597573</v>
      </c>
      <c r="AH9910" s="2" t="str">
        <f ca="1"/>
        <v>Bad</v>
      </c>
    </row>
    <row r="9911" spans="2:34" x14ac:dyDescent="0.2">
      <c r="B9911" s="2">
        <f ca="1"/>
        <v>0.69080696303319122</v>
      </c>
      <c r="O9911" s="2">
        <f ca="1"/>
        <v>0.69967917907746202</v>
      </c>
      <c r="X9911" s="2">
        <f ca="1"/>
        <v>39.182124516104636</v>
      </c>
      <c r="AG9911" s="2">
        <f ca="1"/>
        <v>0.96638181343395546</v>
      </c>
      <c r="AH9911" s="2" t="str">
        <f ca="1"/>
        <v>Bad</v>
      </c>
    </row>
    <row r="9912" spans="2:34" x14ac:dyDescent="0.2">
      <c r="B9912" s="2">
        <f ca="1"/>
        <v>0.48509536091917682</v>
      </c>
      <c r="O9912" s="2">
        <f ca="1"/>
        <v>0.13963885755532621</v>
      </c>
      <c r="X9912" s="2">
        <f ca="1"/>
        <v>38.202044765143818</v>
      </c>
      <c r="AG9912" s="2">
        <f ca="1"/>
        <v>0.67236650650970065</v>
      </c>
      <c r="AH9912" s="2" t="str">
        <f ca="1"/>
        <v>Bad</v>
      </c>
    </row>
    <row r="9913" spans="2:34" x14ac:dyDescent="0.2">
      <c r="B9913" s="2">
        <f ca="1"/>
        <v>0.20026590159845847</v>
      </c>
      <c r="O9913" s="2">
        <f ca="1"/>
        <v>0.44327800069760298</v>
      </c>
      <c r="X9913" s="2">
        <f ca="1"/>
        <v>37.548596558022062</v>
      </c>
      <c r="AG9913" s="2">
        <f ca="1"/>
        <v>0.44957741835092468</v>
      </c>
      <c r="AH9913" s="2" t="str">
        <f ca="1"/>
        <v>Bad</v>
      </c>
    </row>
    <row r="9914" spans="2:34" x14ac:dyDescent="0.2">
      <c r="B9914" s="2">
        <f ca="1"/>
        <v>0.33936279068877595</v>
      </c>
      <c r="O9914" s="2">
        <f ca="1"/>
        <v>0.17496341548257677</v>
      </c>
      <c r="X9914" s="2">
        <f ca="1"/>
        <v>30.043211240420909</v>
      </c>
      <c r="AG9914" s="2">
        <f ca="1"/>
        <v>0.90524420663089633</v>
      </c>
      <c r="AH9914" s="2" t="str">
        <f ca="1"/>
        <v>Bad</v>
      </c>
    </row>
    <row r="9915" spans="2:34" x14ac:dyDescent="0.2">
      <c r="B9915" s="2">
        <f ca="1"/>
        <v>0.72530703720001766</v>
      </c>
      <c r="O9915" s="2">
        <f ca="1"/>
        <v>0.10658548803715095</v>
      </c>
      <c r="X9915" s="2">
        <f ca="1"/>
        <v>68.50209416867915</v>
      </c>
      <c r="AG9915" s="2">
        <f ca="1"/>
        <v>0.51423736910959161</v>
      </c>
      <c r="AH9915" s="2" t="str">
        <f ca="1"/>
        <v>Bad</v>
      </c>
    </row>
    <row r="9916" spans="2:34" x14ac:dyDescent="0.2">
      <c r="B9916" s="2">
        <f ca="1"/>
        <v>0.78811100845639648</v>
      </c>
      <c r="O9916" s="2">
        <f ca="1"/>
        <v>-3.1195695860541145E-3</v>
      </c>
      <c r="X9916" s="2">
        <f ca="1"/>
        <v>42.094241999162385</v>
      </c>
      <c r="AG9916" s="2">
        <f ca="1"/>
        <v>0.41324532364952771</v>
      </c>
      <c r="AH9916" s="2" t="str">
        <f ca="1"/>
        <v>Bad</v>
      </c>
    </row>
    <row r="9917" spans="2:34" x14ac:dyDescent="0.2">
      <c r="B9917" s="2">
        <f ca="1"/>
        <v>0.74855299615560944</v>
      </c>
      <c r="O9917" s="2">
        <f ca="1"/>
        <v>2.0416048598888423</v>
      </c>
      <c r="X9917" s="2">
        <f ca="1"/>
        <v>60.580664651888654</v>
      </c>
      <c r="AG9917" s="2">
        <f ca="1"/>
        <v>0.8325456012550656</v>
      </c>
      <c r="AH9917" s="2" t="str">
        <f ca="1"/>
        <v>Bad</v>
      </c>
    </row>
    <row r="9918" spans="2:34" x14ac:dyDescent="0.2">
      <c r="B9918" s="2">
        <f ca="1"/>
        <v>0.49902048799713339</v>
      </c>
      <c r="O9918" s="2">
        <f ca="1"/>
        <v>0.15393271342751938</v>
      </c>
      <c r="X9918" s="2">
        <f ca="1"/>
        <v>41.792881067538943</v>
      </c>
      <c r="AG9918" s="2">
        <f ca="1"/>
        <v>0.56752574478986939</v>
      </c>
      <c r="AH9918" s="2" t="str">
        <f ca="1"/>
        <v>Bad</v>
      </c>
    </row>
    <row r="9919" spans="2:34" x14ac:dyDescent="0.2">
      <c r="B9919" s="2">
        <f ca="1"/>
        <v>0.62285263422858317</v>
      </c>
      <c r="O9919" s="2">
        <f ca="1"/>
        <v>0.94066569822308932</v>
      </c>
      <c r="X9919" s="2">
        <f ca="1"/>
        <v>61.520285224815225</v>
      </c>
      <c r="AG9919" s="2">
        <f ca="1"/>
        <v>0.52425155134227719</v>
      </c>
      <c r="AH9919" s="2" t="str">
        <f ca="1"/>
        <v>Bad</v>
      </c>
    </row>
    <row r="9920" spans="2:34" x14ac:dyDescent="0.2">
      <c r="B9920" s="2">
        <f ca="1"/>
        <v>0.57349932924589409</v>
      </c>
      <c r="O9920" s="2">
        <f ca="1"/>
        <v>1.2635269545799028</v>
      </c>
      <c r="X9920" s="2">
        <f ca="1"/>
        <v>53.084869355114648</v>
      </c>
      <c r="AG9920" s="2">
        <f ca="1"/>
        <v>0.46700740324219026</v>
      </c>
      <c r="AH9920" s="2" t="str">
        <f ca="1"/>
        <v>Bad</v>
      </c>
    </row>
    <row r="9921" spans="2:34" x14ac:dyDescent="0.2">
      <c r="B9921" s="2">
        <f ca="1"/>
        <v>0.95962795058367889</v>
      </c>
      <c r="O9921" s="2">
        <f ca="1"/>
        <v>-1.6487163639598645</v>
      </c>
      <c r="X9921" s="2">
        <f ca="1"/>
        <v>76.424772014853772</v>
      </c>
      <c r="AG9921" s="2">
        <f ca="1"/>
        <v>0.1275773441320498</v>
      </c>
      <c r="AH9921" s="2" t="str">
        <f ca="1"/>
        <v>OK</v>
      </c>
    </row>
    <row r="9922" spans="2:34" x14ac:dyDescent="0.2">
      <c r="B9922" s="2">
        <f ca="1"/>
        <v>0.47462504753507062</v>
      </c>
      <c r="O9922" s="2">
        <f ca="1"/>
        <v>-0.44317052217373942</v>
      </c>
      <c r="X9922" s="2">
        <f ca="1"/>
        <v>29.602858559530535</v>
      </c>
      <c r="AG9922" s="2">
        <f ca="1"/>
        <v>2.4443682886135409E-2</v>
      </c>
      <c r="AH9922" s="2" t="str">
        <f ca="1"/>
        <v>Good</v>
      </c>
    </row>
    <row r="9923" spans="2:34" x14ac:dyDescent="0.2">
      <c r="B9923" s="2">
        <f ca="1"/>
        <v>0.80146576437606054</v>
      </c>
      <c r="O9923" s="2">
        <f ca="1"/>
        <v>8.3441742226960783E-2</v>
      </c>
      <c r="X9923" s="2">
        <f ca="1"/>
        <v>57.448576889240655</v>
      </c>
      <c r="AG9923" s="2">
        <f ca="1"/>
        <v>2.2708395658342262E-2</v>
      </c>
      <c r="AH9923" s="2" t="str">
        <f ca="1"/>
        <v>Good</v>
      </c>
    </row>
    <row r="9924" spans="2:34" x14ac:dyDescent="0.2">
      <c r="B9924" s="2">
        <f ca="1"/>
        <v>0.80092158144262693</v>
      </c>
      <c r="O9924" s="2">
        <f ca="1"/>
        <v>5.9292415386297148E-2</v>
      </c>
      <c r="X9924" s="2">
        <f ca="1"/>
        <v>42.752238720535416</v>
      </c>
      <c r="AG9924" s="2">
        <f ca="1"/>
        <v>0.28818022816608879</v>
      </c>
      <c r="AH9924" s="2" t="str">
        <f ca="1"/>
        <v>OK</v>
      </c>
    </row>
    <row r="9925" spans="2:34" x14ac:dyDescent="0.2">
      <c r="B9925" s="2">
        <f ca="1"/>
        <v>0.58615613120122534</v>
      </c>
      <c r="O9925" s="2">
        <f ca="1"/>
        <v>2.0547290748038036</v>
      </c>
      <c r="X9925" s="2">
        <f ca="1"/>
        <v>58.544250114515435</v>
      </c>
      <c r="AG9925" s="2">
        <f ca="1"/>
        <v>0.95040482556401629</v>
      </c>
      <c r="AH9925" s="2" t="str">
        <f ca="1"/>
        <v>Bad</v>
      </c>
    </row>
    <row r="9926" spans="2:34" x14ac:dyDescent="0.2">
      <c r="B9926" s="2">
        <f ca="1"/>
        <v>0.36498108047173972</v>
      </c>
      <c r="O9926" s="2">
        <f ca="1"/>
        <v>-0.75416944784888973</v>
      </c>
      <c r="X9926" s="2">
        <f ca="1"/>
        <v>45.946208316368612</v>
      </c>
      <c r="AG9926" s="2">
        <f ca="1"/>
        <v>0.67920021836151268</v>
      </c>
      <c r="AH9926" s="2" t="str">
        <f ca="1"/>
        <v>Bad</v>
      </c>
    </row>
    <row r="9927" spans="2:34" x14ac:dyDescent="0.2">
      <c r="B9927" s="2">
        <f ca="1"/>
        <v>0.32096597021198248</v>
      </c>
      <c r="O9927" s="2">
        <f ca="1"/>
        <v>-0.77849628146955974</v>
      </c>
      <c r="X9927" s="2">
        <f ca="1"/>
        <v>66.096575565501482</v>
      </c>
      <c r="AG9927" s="2">
        <f ca="1"/>
        <v>0.45470373176094125</v>
      </c>
      <c r="AH9927" s="2" t="str">
        <f ca="1"/>
        <v>Bad</v>
      </c>
    </row>
    <row r="9928" spans="2:34" x14ac:dyDescent="0.2">
      <c r="B9928" s="2">
        <f ca="1"/>
        <v>9.8108142106126728E-2</v>
      </c>
      <c r="O9928" s="2">
        <f ca="1"/>
        <v>-1.3070547271688095</v>
      </c>
      <c r="X9928" s="2">
        <f ca="1"/>
        <v>54.039469173360139</v>
      </c>
      <c r="AG9928" s="2">
        <f ca="1"/>
        <v>0.99165197032918528</v>
      </c>
      <c r="AH9928" s="2" t="str">
        <f ca="1"/>
        <v>Bad</v>
      </c>
    </row>
    <row r="9929" spans="2:34" x14ac:dyDescent="0.2">
      <c r="B9929" s="2">
        <f ca="1"/>
        <v>1.2153870046257564E-2</v>
      </c>
      <c r="O9929" s="2">
        <f ca="1"/>
        <v>-0.14165705319447774</v>
      </c>
      <c r="X9929" s="2">
        <f ca="1"/>
        <v>21.192206357632443</v>
      </c>
      <c r="AG9929" s="2">
        <f ca="1"/>
        <v>0.8559547606629625</v>
      </c>
      <c r="AH9929" s="2" t="str">
        <f ca="1"/>
        <v>Bad</v>
      </c>
    </row>
    <row r="9930" spans="2:34" x14ac:dyDescent="0.2">
      <c r="B9930" s="2">
        <f ca="1"/>
        <v>0.55983693071274376</v>
      </c>
      <c r="O9930" s="2">
        <f ca="1"/>
        <v>8.3196535084197984E-2</v>
      </c>
      <c r="X9930" s="2">
        <f ca="1"/>
        <v>34.898507852931665</v>
      </c>
      <c r="AG9930" s="2">
        <f ca="1"/>
        <v>0.16263926253000682</v>
      </c>
      <c r="AH9930" s="2" t="str">
        <f ca="1"/>
        <v>OK</v>
      </c>
    </row>
    <row r="9931" spans="2:34" x14ac:dyDescent="0.2">
      <c r="B9931" s="2">
        <f ca="1"/>
        <v>4.6690659476407603E-2</v>
      </c>
      <c r="O9931" s="2">
        <f ca="1"/>
        <v>0.31225078665691153</v>
      </c>
      <c r="X9931" s="2">
        <f ca="1"/>
        <v>62.38139682214446</v>
      </c>
      <c r="AG9931" s="2">
        <f ca="1"/>
        <v>0.66314156279802261</v>
      </c>
      <c r="AH9931" s="2" t="str">
        <f ca="1"/>
        <v>Bad</v>
      </c>
    </row>
    <row r="9932" spans="2:34" x14ac:dyDescent="0.2">
      <c r="B9932" s="2">
        <f ca="1"/>
        <v>0.86103692863498926</v>
      </c>
      <c r="O9932" s="2">
        <f ca="1"/>
        <v>7.5349442029203087E-2</v>
      </c>
      <c r="X9932" s="2">
        <f ca="1"/>
        <v>42.458135085606791</v>
      </c>
      <c r="AG9932" s="2">
        <f ca="1"/>
        <v>0.71635353664634538</v>
      </c>
      <c r="AH9932" s="2" t="str">
        <f ca="1"/>
        <v>Bad</v>
      </c>
    </row>
    <row r="9933" spans="2:34" x14ac:dyDescent="0.2">
      <c r="B9933" s="2">
        <f ca="1"/>
        <v>0.77688427689445794</v>
      </c>
      <c r="O9933" s="2">
        <f ca="1"/>
        <v>0.40068078695423576</v>
      </c>
      <c r="X9933" s="2">
        <f ca="1"/>
        <v>35.48052013112752</v>
      </c>
      <c r="AG9933" s="2">
        <f ca="1"/>
        <v>0.71020710876318494</v>
      </c>
      <c r="AH9933" s="2" t="str">
        <f ca="1"/>
        <v>Bad</v>
      </c>
    </row>
    <row r="9934" spans="2:34" x14ac:dyDescent="0.2">
      <c r="B9934" s="2">
        <f ca="1"/>
        <v>0.38278229235298555</v>
      </c>
      <c r="O9934" s="2">
        <f ca="1"/>
        <v>0.93729899701425745</v>
      </c>
      <c r="X9934" s="2">
        <f ca="1"/>
        <v>63.664870313215673</v>
      </c>
      <c r="AG9934" s="2">
        <f ca="1"/>
        <v>0.56263738070743163</v>
      </c>
      <c r="AH9934" s="2" t="str">
        <f ca="1"/>
        <v>Bad</v>
      </c>
    </row>
    <row r="9935" spans="2:34" x14ac:dyDescent="0.2">
      <c r="B9935" s="2">
        <f ca="1"/>
        <v>8.8628800699989352E-2</v>
      </c>
      <c r="O9935" s="2">
        <f ca="1"/>
        <v>0.1022859560361923</v>
      </c>
      <c r="X9935" s="2">
        <f ca="1"/>
        <v>31.288811300444905</v>
      </c>
      <c r="AG9935" s="2">
        <f ca="1"/>
        <v>0.75222423334505684</v>
      </c>
      <c r="AH9935" s="2" t="str">
        <f ca="1"/>
        <v>Bad</v>
      </c>
    </row>
    <row r="9936" spans="2:34" x14ac:dyDescent="0.2">
      <c r="B9936" s="2">
        <f ca="1"/>
        <v>0.61091057438003737</v>
      </c>
      <c r="O9936" s="2">
        <f ca="1"/>
        <v>1.4279957457140615</v>
      </c>
      <c r="X9936" s="2">
        <f ca="1"/>
        <v>53.031929528227188</v>
      </c>
      <c r="AG9936" s="2">
        <f ca="1"/>
        <v>0.27727602973784515</v>
      </c>
      <c r="AH9936" s="2" t="str">
        <f ca="1"/>
        <v>OK</v>
      </c>
    </row>
    <row r="9937" spans="2:34" x14ac:dyDescent="0.2">
      <c r="B9937" s="2">
        <f ca="1"/>
        <v>0.84359165405683045</v>
      </c>
      <c r="O9937" s="2">
        <f ca="1"/>
        <v>1.4298271224579893</v>
      </c>
      <c r="X9937" s="2">
        <f ca="1"/>
        <v>42.597964310495165</v>
      </c>
      <c r="AG9937" s="2">
        <f ca="1"/>
        <v>0.44820498931595298</v>
      </c>
      <c r="AH9937" s="2" t="str">
        <f ca="1"/>
        <v>Bad</v>
      </c>
    </row>
    <row r="9938" spans="2:34" x14ac:dyDescent="0.2">
      <c r="B9938" s="2">
        <f ca="1"/>
        <v>0.19745990249575129</v>
      </c>
      <c r="O9938" s="2">
        <f ca="1"/>
        <v>-0.71168168475104809</v>
      </c>
      <c r="X9938" s="2">
        <f ca="1"/>
        <v>67.78006691718484</v>
      </c>
      <c r="AG9938" s="2">
        <f ca="1"/>
        <v>0.93045517076936224</v>
      </c>
      <c r="AH9938" s="2" t="str">
        <f ca="1"/>
        <v>Bad</v>
      </c>
    </row>
    <row r="9939" spans="2:34" x14ac:dyDescent="0.2">
      <c r="B9939" s="2">
        <f ca="1"/>
        <v>0.42268702438616201</v>
      </c>
      <c r="O9939" s="2">
        <f ca="1"/>
        <v>-1.2306732812039793</v>
      </c>
      <c r="X9939" s="2">
        <f ca="1"/>
        <v>50.829744399696601</v>
      </c>
      <c r="AG9939" s="2">
        <f ca="1"/>
        <v>0.11721688399242791</v>
      </c>
      <c r="AH9939" s="2" t="str">
        <f ca="1"/>
        <v>OK</v>
      </c>
    </row>
    <row r="9940" spans="2:34" x14ac:dyDescent="0.2">
      <c r="B9940" s="2">
        <f ca="1"/>
        <v>0.57819716920067799</v>
      </c>
      <c r="O9940" s="2">
        <f ca="1"/>
        <v>2.8879295863315884</v>
      </c>
      <c r="X9940" s="2">
        <f ca="1"/>
        <v>100.26678819345537</v>
      </c>
      <c r="AG9940" s="2">
        <f ca="1"/>
        <v>0.12082346236387997</v>
      </c>
      <c r="AH9940" s="2" t="str">
        <f ca="1"/>
        <v>OK</v>
      </c>
    </row>
    <row r="9941" spans="2:34" x14ac:dyDescent="0.2">
      <c r="B9941" s="2">
        <f ca="1"/>
        <v>0.88965528209752676</v>
      </c>
      <c r="O9941" s="2">
        <f ca="1"/>
        <v>-0.64051081300132828</v>
      </c>
      <c r="X9941" s="2">
        <f ca="1"/>
        <v>55.823893261712101</v>
      </c>
      <c r="AG9941" s="2">
        <f ca="1"/>
        <v>0.82907516170819284</v>
      </c>
      <c r="AH9941" s="2" t="str">
        <f ca="1"/>
        <v>Bad</v>
      </c>
    </row>
    <row r="9942" spans="2:34" x14ac:dyDescent="0.2">
      <c r="B9942" s="2">
        <f ca="1"/>
        <v>0.77205755514393992</v>
      </c>
      <c r="O9942" s="2">
        <f ca="1"/>
        <v>0.16260405076126916</v>
      </c>
      <c r="X9942" s="2">
        <f ca="1"/>
        <v>36.111436042348885</v>
      </c>
      <c r="AG9942" s="2">
        <f ca="1"/>
        <v>0.57791308010518794</v>
      </c>
      <c r="AH9942" s="2" t="str">
        <f ca="1"/>
        <v>Bad</v>
      </c>
    </row>
    <row r="9943" spans="2:34" x14ac:dyDescent="0.2">
      <c r="B9943" s="2">
        <f ca="1"/>
        <v>0.23356623111252928</v>
      </c>
      <c r="O9943" s="2">
        <f ca="1"/>
        <v>-2.3358373674554476</v>
      </c>
      <c r="X9943" s="2">
        <f ca="1"/>
        <v>52.38849972563014</v>
      </c>
      <c r="AG9943" s="2">
        <f ca="1"/>
        <v>0.48951278422380495</v>
      </c>
      <c r="AH9943" s="2" t="str">
        <f ca="1"/>
        <v>Bad</v>
      </c>
    </row>
    <row r="9944" spans="2:34" x14ac:dyDescent="0.2">
      <c r="B9944" s="2">
        <f ca="1"/>
        <v>0.2918765186864587</v>
      </c>
      <c r="O9944" s="2">
        <f ca="1"/>
        <v>-0.2034616056479453</v>
      </c>
      <c r="X9944" s="2">
        <f ca="1"/>
        <v>45.18413508939534</v>
      </c>
      <c r="AG9944" s="2">
        <f ca="1"/>
        <v>0.47864393225640134</v>
      </c>
      <c r="AH9944" s="2" t="str">
        <f ca="1"/>
        <v>Bad</v>
      </c>
    </row>
    <row r="9945" spans="2:34" x14ac:dyDescent="0.2">
      <c r="B9945" s="2">
        <f ca="1"/>
        <v>0.86843993078512094</v>
      </c>
      <c r="O9945" s="2">
        <f ca="1"/>
        <v>1.8624528386218748</v>
      </c>
      <c r="X9945" s="2">
        <f ca="1"/>
        <v>53.058137886565092</v>
      </c>
      <c r="AG9945" s="2">
        <f ca="1"/>
        <v>3.2569467420267006E-2</v>
      </c>
      <c r="AH9945" s="2" t="str">
        <f ca="1"/>
        <v>Good</v>
      </c>
    </row>
    <row r="9946" spans="2:34" x14ac:dyDescent="0.2">
      <c r="B9946" s="2">
        <f ca="1"/>
        <v>6.7618638463688097E-2</v>
      </c>
      <c r="O9946" s="2">
        <f ca="1"/>
        <v>-1.2144929979535892</v>
      </c>
      <c r="X9946" s="2">
        <f ca="1"/>
        <v>42.438996262707704</v>
      </c>
      <c r="AG9946" s="2">
        <f ca="1"/>
        <v>0.88225967128665217</v>
      </c>
      <c r="AH9946" s="2" t="str">
        <f ca="1"/>
        <v>Bad</v>
      </c>
    </row>
    <row r="9947" spans="2:34" x14ac:dyDescent="0.2">
      <c r="B9947" s="2">
        <f ca="1"/>
        <v>0.62734958989724565</v>
      </c>
      <c r="O9947" s="2">
        <f ca="1"/>
        <v>-0.64696655203735631</v>
      </c>
      <c r="X9947" s="2">
        <f ca="1"/>
        <v>47.497299814548711</v>
      </c>
      <c r="AG9947" s="2">
        <f ca="1"/>
        <v>0.65344495819453852</v>
      </c>
      <c r="AH9947" s="2" t="str">
        <f ca="1"/>
        <v>Bad</v>
      </c>
    </row>
    <row r="9948" spans="2:34" x14ac:dyDescent="0.2">
      <c r="B9948" s="2">
        <f ca="1"/>
        <v>0.92103436581526665</v>
      </c>
      <c r="O9948" s="2">
        <f ca="1"/>
        <v>2.569836729287613</v>
      </c>
      <c r="X9948" s="2">
        <f ca="1"/>
        <v>35.614223895827777</v>
      </c>
      <c r="AG9948" s="2">
        <f ca="1"/>
        <v>1.6846997370043582E-3</v>
      </c>
      <c r="AH9948" s="2" t="str">
        <f ca="1"/>
        <v>Good</v>
      </c>
    </row>
    <row r="9949" spans="2:34" x14ac:dyDescent="0.2">
      <c r="B9949" s="2">
        <f ca="1"/>
        <v>0.25282422961864159</v>
      </c>
      <c r="O9949" s="2">
        <f ca="1"/>
        <v>0.52587372779272534</v>
      </c>
      <c r="X9949" s="2">
        <f ca="1"/>
        <v>43.653500588975113</v>
      </c>
      <c r="AG9949" s="2">
        <f ca="1"/>
        <v>0.77875337854633653</v>
      </c>
      <c r="AH9949" s="2" t="str">
        <f ca="1"/>
        <v>Bad</v>
      </c>
    </row>
    <row r="9950" spans="2:34" x14ac:dyDescent="0.2">
      <c r="B9950" s="2">
        <f ca="1"/>
        <v>0.31171938050079473</v>
      </c>
      <c r="O9950" s="2">
        <f ca="1"/>
        <v>0.48997372185244348</v>
      </c>
      <c r="X9950" s="2">
        <f ca="1"/>
        <v>63.653082297891359</v>
      </c>
      <c r="AG9950" s="2">
        <f ca="1"/>
        <v>0.40551387740295874</v>
      </c>
      <c r="AH9950" s="2" t="str">
        <f ca="1"/>
        <v>Bad</v>
      </c>
    </row>
    <row r="9951" spans="2:34" x14ac:dyDescent="0.2">
      <c r="B9951" s="2">
        <f ca="1"/>
        <v>0.52611332602420724</v>
      </c>
      <c r="O9951" s="2">
        <f ca="1"/>
        <v>-0.50714303642941705</v>
      </c>
      <c r="X9951" s="2">
        <f ca="1"/>
        <v>31.918374069835785</v>
      </c>
      <c r="AG9951" s="2">
        <f ca="1"/>
        <v>1.2117104445090732E-3</v>
      </c>
      <c r="AH9951" s="2" t="str">
        <f ca="1"/>
        <v>Good</v>
      </c>
    </row>
    <row r="9952" spans="2:34" x14ac:dyDescent="0.2">
      <c r="B9952" s="2">
        <f ca="1"/>
        <v>0.40799114577485018</v>
      </c>
      <c r="O9952" s="2">
        <f ca="1"/>
        <v>-0.44686321998139727</v>
      </c>
      <c r="X9952" s="2">
        <f ca="1"/>
        <v>72.288669951286863</v>
      </c>
      <c r="AG9952" s="2">
        <f ca="1"/>
        <v>0.77499063856304651</v>
      </c>
      <c r="AH9952" s="2" t="str">
        <f ca="1"/>
        <v>Bad</v>
      </c>
    </row>
    <row r="9953" spans="2:34" x14ac:dyDescent="0.2">
      <c r="B9953" s="2">
        <f ca="1"/>
        <v>0.7197331957391162</v>
      </c>
      <c r="O9953" s="2">
        <f ca="1"/>
        <v>-0.96984603577985962</v>
      </c>
      <c r="X9953" s="2">
        <f ca="1"/>
        <v>67.606502945356695</v>
      </c>
      <c r="AG9953" s="2">
        <f ca="1"/>
        <v>7.9854894286128131E-2</v>
      </c>
      <c r="AH9953" s="2" t="str">
        <f ca="1"/>
        <v>OK</v>
      </c>
    </row>
    <row r="9954" spans="2:34" x14ac:dyDescent="0.2">
      <c r="B9954" s="2">
        <f ca="1"/>
        <v>0.17004589655749891</v>
      </c>
      <c r="O9954" s="2">
        <f ca="1"/>
        <v>1.3750231900686252</v>
      </c>
      <c r="X9954" s="2">
        <f ca="1"/>
        <v>48.564372717754054</v>
      </c>
      <c r="AG9954" s="2">
        <f ca="1"/>
        <v>0.19278495934917728</v>
      </c>
      <c r="AH9954" s="2" t="str">
        <f ca="1"/>
        <v>OK</v>
      </c>
    </row>
    <row r="9955" spans="2:34" x14ac:dyDescent="0.2">
      <c r="B9955" s="2">
        <f ca="1"/>
        <v>0.5162326772811987</v>
      </c>
      <c r="O9955" s="2">
        <f ca="1"/>
        <v>-0.5359262104043867</v>
      </c>
      <c r="X9955" s="2">
        <f ca="1"/>
        <v>41.120025167277738</v>
      </c>
      <c r="AG9955" s="2">
        <f ca="1"/>
        <v>0.45273111227667306</v>
      </c>
      <c r="AH9955" s="2" t="str">
        <f ca="1"/>
        <v>Bad</v>
      </c>
    </row>
    <row r="9956" spans="2:34" x14ac:dyDescent="0.2">
      <c r="B9956" s="2">
        <f ca="1"/>
        <v>0.27942971726875721</v>
      </c>
      <c r="O9956" s="2">
        <f ca="1"/>
        <v>0.93683666327269377</v>
      </c>
      <c r="X9956" s="2">
        <f ca="1"/>
        <v>38.765878879668769</v>
      </c>
      <c r="AG9956" s="2">
        <f ca="1"/>
        <v>0.48222885391169434</v>
      </c>
      <c r="AH9956" s="2" t="str">
        <f ca="1"/>
        <v>Bad</v>
      </c>
    </row>
    <row r="9957" spans="2:34" x14ac:dyDescent="0.2">
      <c r="B9957" s="2">
        <f ca="1"/>
        <v>0.74426999302223096</v>
      </c>
      <c r="O9957" s="2">
        <f ca="1"/>
        <v>-0.27029751424710013</v>
      </c>
      <c r="X9957" s="2">
        <f ca="1"/>
        <v>55.795668863304229</v>
      </c>
      <c r="AG9957" s="2">
        <f ca="1"/>
        <v>0.88997361685370402</v>
      </c>
      <c r="AH9957" s="2" t="str">
        <f ca="1"/>
        <v>Bad</v>
      </c>
    </row>
    <row r="9958" spans="2:34" x14ac:dyDescent="0.2">
      <c r="B9958" s="2">
        <f ca="1"/>
        <v>0.38282216151001913</v>
      </c>
      <c r="O9958" s="2">
        <f ca="1"/>
        <v>-0.40092820486232594</v>
      </c>
      <c r="X9958" s="2">
        <f ca="1"/>
        <v>45.17865888025419</v>
      </c>
      <c r="AG9958" s="2">
        <f ca="1"/>
        <v>0.99638847567826905</v>
      </c>
      <c r="AH9958" s="2" t="str">
        <f ca="1"/>
        <v>Bad</v>
      </c>
    </row>
    <row r="9959" spans="2:34" x14ac:dyDescent="0.2">
      <c r="B9959" s="2">
        <f ca="1"/>
        <v>0.58676800364229709</v>
      </c>
      <c r="O9959" s="2">
        <f ca="1"/>
        <v>-1.003312743643145</v>
      </c>
      <c r="X9959" s="2">
        <f ca="1"/>
        <v>33.896713447653376</v>
      </c>
      <c r="AG9959" s="2">
        <f ca="1"/>
        <v>0.65868056298279964</v>
      </c>
      <c r="AH9959" s="2" t="str">
        <f ca="1"/>
        <v>Bad</v>
      </c>
    </row>
    <row r="9960" spans="2:34" x14ac:dyDescent="0.2">
      <c r="B9960" s="2">
        <f ca="1"/>
        <v>0.84630529533346599</v>
      </c>
      <c r="O9960" s="2">
        <f ca="1"/>
        <v>0.96054031899601644</v>
      </c>
      <c r="X9960" s="2">
        <f ca="1"/>
        <v>46.260912883613557</v>
      </c>
      <c r="AG9960" s="2">
        <f ca="1"/>
        <v>0.87502769151632331</v>
      </c>
      <c r="AH9960" s="2" t="str">
        <f ca="1"/>
        <v>Bad</v>
      </c>
    </row>
    <row r="9961" spans="2:34" x14ac:dyDescent="0.2">
      <c r="B9961" s="2">
        <f ca="1"/>
        <v>0.77999699948550094</v>
      </c>
      <c r="O9961" s="2">
        <f ca="1"/>
        <v>-0.99437541311085897</v>
      </c>
      <c r="X9961" s="2">
        <f ca="1"/>
        <v>66.916585686236161</v>
      </c>
      <c r="AG9961" s="2">
        <f ca="1"/>
        <v>0.25147863904232759</v>
      </c>
      <c r="AH9961" s="2" t="str">
        <f ca="1"/>
        <v>OK</v>
      </c>
    </row>
    <row r="9962" spans="2:34" x14ac:dyDescent="0.2">
      <c r="B9962" s="2">
        <f ca="1"/>
        <v>0.14984413872753422</v>
      </c>
      <c r="O9962" s="2">
        <f ca="1"/>
        <v>-0.33420459203433939</v>
      </c>
      <c r="X9962" s="2">
        <f ca="1"/>
        <v>63.155843865898049</v>
      </c>
      <c r="AG9962" s="2">
        <f ca="1"/>
        <v>0.41452737936041428</v>
      </c>
      <c r="AH9962" s="2" t="str">
        <f ca="1"/>
        <v>Bad</v>
      </c>
    </row>
    <row r="9963" spans="2:34" x14ac:dyDescent="0.2">
      <c r="B9963" s="2">
        <f ca="1"/>
        <v>0.15763418962669973</v>
      </c>
      <c r="O9963" s="2">
        <f ca="1"/>
        <v>-1.4235370207713547</v>
      </c>
      <c r="X9963" s="2">
        <f ca="1"/>
        <v>51.436015567429429</v>
      </c>
      <c r="AG9963" s="2">
        <f ca="1"/>
        <v>0.35334500801433899</v>
      </c>
      <c r="AH9963" s="2" t="str">
        <f ca="1"/>
        <v>OK</v>
      </c>
    </row>
    <row r="9964" spans="2:34" x14ac:dyDescent="0.2">
      <c r="B9964" s="2">
        <f ca="1"/>
        <v>8.6832562586676598E-2</v>
      </c>
      <c r="O9964" s="2">
        <f ca="1"/>
        <v>0.94956338181461342</v>
      </c>
      <c r="X9964" s="2">
        <f ca="1"/>
        <v>53.21964533222485</v>
      </c>
      <c r="AG9964" s="2">
        <f ca="1"/>
        <v>0.3751213120682777</v>
      </c>
      <c r="AH9964" s="2" t="str">
        <f ca="1"/>
        <v>OK</v>
      </c>
    </row>
    <row r="9965" spans="2:34" x14ac:dyDescent="0.2">
      <c r="B9965" s="2">
        <f ca="1"/>
        <v>0.85372435370488509</v>
      </c>
      <c r="O9965" s="2">
        <f ca="1"/>
        <v>0.58821658007658439</v>
      </c>
      <c r="X9965" s="2">
        <f ca="1"/>
        <v>60.403757311539948</v>
      </c>
      <c r="AG9965" s="2">
        <f ca="1"/>
        <v>0.30362489819990102</v>
      </c>
      <c r="AH9965" s="2" t="str">
        <f ca="1"/>
        <v>OK</v>
      </c>
    </row>
    <row r="9966" spans="2:34" x14ac:dyDescent="0.2">
      <c r="B9966" s="2">
        <f ca="1"/>
        <v>8.2454651165303261E-2</v>
      </c>
      <c r="O9966" s="2">
        <f ca="1"/>
        <v>-1.3823571527456748</v>
      </c>
      <c r="X9966" s="2">
        <f ca="1"/>
        <v>20.994974760003306</v>
      </c>
      <c r="AG9966" s="2">
        <f ca="1"/>
        <v>0.78975055528608396</v>
      </c>
      <c r="AH9966" s="2" t="str">
        <f ca="1"/>
        <v>Bad</v>
      </c>
    </row>
    <row r="9967" spans="2:34" x14ac:dyDescent="0.2">
      <c r="B9967" s="2">
        <f ca="1"/>
        <v>0.35996144293387466</v>
      </c>
      <c r="O9967" s="2">
        <f ca="1"/>
        <v>-0.74422401111447034</v>
      </c>
      <c r="X9967" s="2">
        <f ca="1"/>
        <v>32.618882054978641</v>
      </c>
      <c r="AG9967" s="2">
        <f ca="1"/>
        <v>0.26907722291019009</v>
      </c>
      <c r="AH9967" s="2" t="str">
        <f ca="1"/>
        <v>OK</v>
      </c>
    </row>
    <row r="9968" spans="2:34" x14ac:dyDescent="0.2">
      <c r="B9968" s="2">
        <f ca="1"/>
        <v>0.44546609876280652</v>
      </c>
      <c r="O9968" s="2">
        <f ca="1"/>
        <v>2.0870892103899923</v>
      </c>
      <c r="X9968" s="2">
        <f ca="1"/>
        <v>53.055395650637251</v>
      </c>
      <c r="AG9968" s="2">
        <f ca="1"/>
        <v>5.5637368905322226E-2</v>
      </c>
      <c r="AH9968" s="2" t="str">
        <f ca="1"/>
        <v>OK</v>
      </c>
    </row>
    <row r="9969" spans="2:34" x14ac:dyDescent="0.2">
      <c r="B9969" s="2">
        <f ca="1"/>
        <v>0.31632052302961444</v>
      </c>
      <c r="O9969" s="2">
        <f ca="1"/>
        <v>-0.49340965089401473</v>
      </c>
      <c r="X9969" s="2">
        <f ca="1"/>
        <v>58.684933300684435</v>
      </c>
      <c r="AG9969" s="2">
        <f ca="1"/>
        <v>8.049094902049081E-3</v>
      </c>
      <c r="AH9969" s="2" t="str">
        <f ca="1"/>
        <v>Good</v>
      </c>
    </row>
    <row r="9970" spans="2:34" x14ac:dyDescent="0.2">
      <c r="B9970" s="2">
        <f ca="1"/>
        <v>0.31075794688173164</v>
      </c>
      <c r="O9970" s="2">
        <f ca="1"/>
        <v>0.39114606454904427</v>
      </c>
      <c r="X9970" s="2">
        <f ca="1"/>
        <v>40.299735171247221</v>
      </c>
      <c r="AG9970" s="2">
        <f ca="1"/>
        <v>0.44403785332572654</v>
      </c>
      <c r="AH9970" s="2" t="str">
        <f ca="1"/>
        <v>Bad</v>
      </c>
    </row>
    <row r="9971" spans="2:34" x14ac:dyDescent="0.2">
      <c r="B9971" s="2">
        <f ca="1"/>
        <v>0.57399642973880138</v>
      </c>
      <c r="O9971" s="2">
        <f ca="1"/>
        <v>-2.1160793037474659</v>
      </c>
      <c r="X9971" s="2">
        <f ca="1"/>
        <v>59.390622045100727</v>
      </c>
      <c r="AG9971" s="2">
        <f ca="1"/>
        <v>0.50034468005027644</v>
      </c>
      <c r="AH9971" s="2" t="str">
        <f ca="1"/>
        <v>Bad</v>
      </c>
    </row>
    <row r="9972" spans="2:34" x14ac:dyDescent="0.2">
      <c r="B9972" s="2">
        <f ca="1"/>
        <v>0.73868380753959428</v>
      </c>
      <c r="O9972" s="2">
        <f ca="1"/>
        <v>-0.96282248970803119</v>
      </c>
      <c r="X9972" s="2">
        <f ca="1"/>
        <v>56.358941987710679</v>
      </c>
      <c r="AG9972" s="2">
        <f ca="1"/>
        <v>0.10065007959918848</v>
      </c>
      <c r="AH9972" s="2" t="str">
        <f ca="1"/>
        <v>OK</v>
      </c>
    </row>
    <row r="9973" spans="2:34" x14ac:dyDescent="0.2">
      <c r="B9973" s="2">
        <f ca="1"/>
        <v>0.4608057733832942</v>
      </c>
      <c r="O9973" s="2">
        <f ca="1"/>
        <v>-2.0963128690923716</v>
      </c>
      <c r="X9973" s="2">
        <f ca="1"/>
        <v>53.241778724129638</v>
      </c>
      <c r="AG9973" s="2">
        <f ca="1"/>
        <v>0.7034826992968386</v>
      </c>
      <c r="AH9973" s="2" t="str">
        <f ca="1"/>
        <v>Bad</v>
      </c>
    </row>
    <row r="9974" spans="2:34" x14ac:dyDescent="0.2">
      <c r="B9974" s="2">
        <f ca="1"/>
        <v>0.24549778781149878</v>
      </c>
      <c r="O9974" s="2">
        <f ca="1"/>
        <v>-2.6741658571328335</v>
      </c>
      <c r="X9974" s="2">
        <f ca="1"/>
        <v>41.101648667328242</v>
      </c>
      <c r="AG9974" s="2">
        <f ca="1"/>
        <v>8.0382078874975837E-2</v>
      </c>
      <c r="AH9974" s="2" t="str">
        <f ca="1"/>
        <v>OK</v>
      </c>
    </row>
    <row r="9975" spans="2:34" x14ac:dyDescent="0.2">
      <c r="B9975" s="2">
        <f ca="1"/>
        <v>0.11814865877802538</v>
      </c>
      <c r="O9975" s="2">
        <f ca="1"/>
        <v>-0.75348667605438435</v>
      </c>
      <c r="X9975" s="2">
        <f ca="1"/>
        <v>34.705437318299346</v>
      </c>
      <c r="AG9975" s="2">
        <f ca="1"/>
        <v>0.16178254774727696</v>
      </c>
      <c r="AH9975" s="2" t="str">
        <f ca="1"/>
        <v>OK</v>
      </c>
    </row>
    <row r="9976" spans="2:34" x14ac:dyDescent="0.2">
      <c r="B9976" s="2">
        <f ca="1"/>
        <v>0.99937723607456896</v>
      </c>
      <c r="O9976" s="2">
        <f ca="1"/>
        <v>-0.51082790644319909</v>
      </c>
      <c r="X9976" s="2">
        <f ca="1"/>
        <v>34.545922719363894</v>
      </c>
      <c r="AG9976" s="2">
        <f ca="1"/>
        <v>2.2979078192188362E-2</v>
      </c>
      <c r="AH9976" s="2" t="str">
        <f ca="1"/>
        <v>Good</v>
      </c>
    </row>
    <row r="9977" spans="2:34" x14ac:dyDescent="0.2">
      <c r="B9977" s="2">
        <f ca="1"/>
        <v>0.40007902998804235</v>
      </c>
      <c r="O9977" s="2">
        <f ca="1"/>
        <v>-0.40723232027476264</v>
      </c>
      <c r="X9977" s="2">
        <f ca="1"/>
        <v>49.131372623607433</v>
      </c>
      <c r="AG9977" s="2">
        <f ca="1"/>
        <v>0.86255405237471439</v>
      </c>
      <c r="AH9977" s="2" t="str">
        <f ca="1"/>
        <v>Bad</v>
      </c>
    </row>
    <row r="9978" spans="2:34" x14ac:dyDescent="0.2">
      <c r="B9978" s="2">
        <f ca="1"/>
        <v>0.52599236069602329</v>
      </c>
      <c r="O9978" s="2">
        <f ca="1"/>
        <v>8.8660506079829865E-2</v>
      </c>
      <c r="X9978" s="2">
        <f ca="1"/>
        <v>43.527554097969556</v>
      </c>
      <c r="AG9978" s="2">
        <f ca="1"/>
        <v>0.21228464843535333</v>
      </c>
      <c r="AH9978" s="2" t="str">
        <f ca="1"/>
        <v>OK</v>
      </c>
    </row>
    <row r="9979" spans="2:34" x14ac:dyDescent="0.2">
      <c r="B9979" s="2">
        <f ca="1"/>
        <v>0.33811000952553427</v>
      </c>
      <c r="O9979" s="2">
        <f ca="1"/>
        <v>-0.49955413011791511</v>
      </c>
      <c r="X9979" s="2">
        <f ca="1"/>
        <v>42.550327247197899</v>
      </c>
      <c r="AG9979" s="2">
        <f ca="1"/>
        <v>0.10649766958374518</v>
      </c>
      <c r="AH9979" s="2" t="str">
        <f ca="1"/>
        <v>OK</v>
      </c>
    </row>
    <row r="9980" spans="2:34" x14ac:dyDescent="0.2">
      <c r="B9980" s="2">
        <f ca="1"/>
        <v>5.90978959459032E-2</v>
      </c>
      <c r="O9980" s="2">
        <f ca="1"/>
        <v>0.81664368189825098</v>
      </c>
      <c r="X9980" s="2">
        <f ca="1"/>
        <v>37.974428175046853</v>
      </c>
      <c r="AG9980" s="2">
        <f ca="1"/>
        <v>0.95271761006329281</v>
      </c>
      <c r="AH9980" s="2" t="str">
        <f ca="1"/>
        <v>Bad</v>
      </c>
    </row>
    <row r="9981" spans="2:34" x14ac:dyDescent="0.2">
      <c r="B9981" s="2">
        <f ca="1"/>
        <v>0.6511220032702556</v>
      </c>
      <c r="O9981" s="2">
        <f ca="1"/>
        <v>1.9009985623315722</v>
      </c>
      <c r="X9981" s="2">
        <f ca="1"/>
        <v>42.33008840292505</v>
      </c>
      <c r="AG9981" s="2">
        <f ca="1"/>
        <v>0.78765319212413631</v>
      </c>
      <c r="AH9981" s="2" t="str">
        <f ca="1"/>
        <v>Bad</v>
      </c>
    </row>
    <row r="9982" spans="2:34" x14ac:dyDescent="0.2">
      <c r="B9982" s="2">
        <f ca="1"/>
        <v>9.6704686485256319E-2</v>
      </c>
      <c r="O9982" s="2">
        <f ca="1"/>
        <v>-0.62814988766557867</v>
      </c>
      <c r="X9982" s="2">
        <f ca="1"/>
        <v>24.631686953719779</v>
      </c>
      <c r="AG9982" s="2">
        <f ca="1"/>
        <v>0.61455787862411815</v>
      </c>
      <c r="AH9982" s="2" t="str">
        <f ca="1"/>
        <v>Bad</v>
      </c>
    </row>
    <row r="9983" spans="2:34" x14ac:dyDescent="0.2">
      <c r="B9983" s="2">
        <f ca="1"/>
        <v>0.73447574944254335</v>
      </c>
      <c r="O9983" s="2">
        <f ca="1"/>
        <v>-1.5880482432371743</v>
      </c>
      <c r="X9983" s="2">
        <f ca="1"/>
        <v>54.505421535692705</v>
      </c>
      <c r="AG9983" s="2">
        <f ca="1"/>
        <v>0.53661354185807841</v>
      </c>
      <c r="AH9983" s="2" t="str">
        <f ca="1"/>
        <v>Bad</v>
      </c>
    </row>
    <row r="9984" spans="2:34" x14ac:dyDescent="0.2">
      <c r="B9984" s="2">
        <f ca="1"/>
        <v>0.58276508789701076</v>
      </c>
      <c r="O9984" s="2">
        <f ca="1"/>
        <v>0.30063962231014651</v>
      </c>
      <c r="X9984" s="2">
        <f ca="1"/>
        <v>34.757961826072545</v>
      </c>
      <c r="AG9984" s="2">
        <f ca="1"/>
        <v>0.25209617681406349</v>
      </c>
      <c r="AH9984" s="2" t="str">
        <f ca="1"/>
        <v>OK</v>
      </c>
    </row>
    <row r="9985" spans="2:34" x14ac:dyDescent="0.2">
      <c r="B9985" s="2">
        <f ca="1"/>
        <v>4.0215988496264066E-2</v>
      </c>
      <c r="O9985" s="2">
        <f ca="1"/>
        <v>1.6678680257629299</v>
      </c>
      <c r="X9985" s="2">
        <f ca="1"/>
        <v>78.814206325627055</v>
      </c>
      <c r="AG9985" s="2">
        <f ca="1"/>
        <v>0.25403038796875976</v>
      </c>
      <c r="AH9985" s="2" t="str">
        <f ca="1"/>
        <v>OK</v>
      </c>
    </row>
    <row r="9986" spans="2:34" x14ac:dyDescent="0.2">
      <c r="B9986" s="2">
        <f ca="1"/>
        <v>0.41591316485132124</v>
      </c>
      <c r="O9986" s="2">
        <f ca="1"/>
        <v>-0.36581082602207254</v>
      </c>
      <c r="X9986" s="2">
        <f ca="1"/>
        <v>27.782476250421691</v>
      </c>
      <c r="AG9986" s="2">
        <f ca="1"/>
        <v>0.98682979321056785</v>
      </c>
      <c r="AH9986" s="2" t="str">
        <f ca="1"/>
        <v>Bad</v>
      </c>
    </row>
    <row r="9987" spans="2:34" x14ac:dyDescent="0.2">
      <c r="B9987" s="2">
        <f ca="1"/>
        <v>0.36150224499784356</v>
      </c>
      <c r="O9987" s="2">
        <f ca="1"/>
        <v>-1.426825506080946</v>
      </c>
      <c r="X9987" s="2">
        <f ca="1"/>
        <v>37.127834910737619</v>
      </c>
      <c r="AG9987" s="2">
        <f ca="1"/>
        <v>0.56554291112010024</v>
      </c>
      <c r="AH9987" s="2" t="str">
        <f ca="1"/>
        <v>Bad</v>
      </c>
    </row>
    <row r="9988" spans="2:34" x14ac:dyDescent="0.2">
      <c r="B9988" s="2">
        <f ca="1"/>
        <v>0.69217214935112548</v>
      </c>
      <c r="O9988" s="2">
        <f ca="1"/>
        <v>-2.6097773657953005</v>
      </c>
      <c r="X9988" s="2">
        <f ca="1"/>
        <v>42.016956241598791</v>
      </c>
      <c r="AG9988" s="2">
        <f ca="1"/>
        <v>0.81518884772023537</v>
      </c>
      <c r="AH9988" s="2" t="str">
        <f ca="1"/>
        <v>Bad</v>
      </c>
    </row>
    <row r="9989" spans="2:34" x14ac:dyDescent="0.2">
      <c r="B9989" s="2">
        <f ca="1"/>
        <v>0.92739772348515315</v>
      </c>
      <c r="O9989" s="2">
        <f ca="1"/>
        <v>0.35374996037965056</v>
      </c>
      <c r="X9989" s="2">
        <f ca="1"/>
        <v>41.934134892097802</v>
      </c>
      <c r="AG9989" s="2">
        <f ca="1"/>
        <v>0.47523610579409969</v>
      </c>
      <c r="AH9989" s="2" t="str">
        <f ca="1"/>
        <v>Bad</v>
      </c>
    </row>
    <row r="9990" spans="2:34" x14ac:dyDescent="0.2">
      <c r="B9990" s="2">
        <f ca="1"/>
        <v>0.42519827278498923</v>
      </c>
      <c r="O9990" s="2">
        <f ca="1"/>
        <v>-1.5149063172274493</v>
      </c>
      <c r="X9990" s="2">
        <f ca="1"/>
        <v>47.390607065017704</v>
      </c>
      <c r="AG9990" s="2">
        <f ca="1"/>
        <v>0.38206609535487934</v>
      </c>
      <c r="AH9990" s="2" t="str">
        <f ca="1"/>
        <v>OK</v>
      </c>
    </row>
    <row r="9991" spans="2:34" x14ac:dyDescent="0.2">
      <c r="B9991" s="2">
        <f ca="1"/>
        <v>0.68748169233808398</v>
      </c>
      <c r="O9991" s="2">
        <f ca="1"/>
        <v>-0.26206391006048257</v>
      </c>
      <c r="X9991" s="2">
        <f ca="1"/>
        <v>54.007639857912125</v>
      </c>
      <c r="AG9991" s="2">
        <f ca="1"/>
        <v>0.90917839062866856</v>
      </c>
      <c r="AH9991" s="2" t="str">
        <f ca="1"/>
        <v>Bad</v>
      </c>
    </row>
    <row r="9992" spans="2:34" x14ac:dyDescent="0.2">
      <c r="B9992" s="2">
        <f ca="1"/>
        <v>0.13716507017185253</v>
      </c>
      <c r="O9992" s="2">
        <f ca="1"/>
        <v>1.1989877640224798</v>
      </c>
      <c r="X9992" s="2">
        <f ca="1"/>
        <v>39.08863735565874</v>
      </c>
      <c r="AG9992" s="2">
        <f ca="1"/>
        <v>0.29394850400841199</v>
      </c>
      <c r="AH9992" s="2" t="str">
        <f ca="1"/>
        <v>OK</v>
      </c>
    </row>
    <row r="9993" spans="2:34" x14ac:dyDescent="0.2">
      <c r="B9993" s="2">
        <f ca="1"/>
        <v>0.20208651914022835</v>
      </c>
      <c r="O9993" s="2">
        <f ca="1"/>
        <v>0.78872044122626406</v>
      </c>
      <c r="X9993" s="2">
        <f ca="1"/>
        <v>62.333342477991508</v>
      </c>
      <c r="AG9993" s="2">
        <f ca="1"/>
        <v>0.57153197565627001</v>
      </c>
      <c r="AH9993" s="2" t="str">
        <f ca="1"/>
        <v>Bad</v>
      </c>
    </row>
    <row r="9994" spans="2:34" x14ac:dyDescent="0.2">
      <c r="B9994" s="2">
        <f ca="1"/>
        <v>0.28306764250889738</v>
      </c>
      <c r="O9994" s="2">
        <f ca="1"/>
        <v>-0.76983745591522246</v>
      </c>
      <c r="X9994" s="2">
        <f ca="1"/>
        <v>32.938387415138259</v>
      </c>
      <c r="AG9994" s="2">
        <f ca="1"/>
        <v>0.75436372016324338</v>
      </c>
      <c r="AH9994" s="2" t="str">
        <f ca="1"/>
        <v>Bad</v>
      </c>
    </row>
    <row r="9995" spans="2:34" x14ac:dyDescent="0.2">
      <c r="B9995" s="2">
        <f ca="1"/>
        <v>0.62735973556516833</v>
      </c>
      <c r="O9995" s="2">
        <f ca="1"/>
        <v>-1.3611082007557036</v>
      </c>
      <c r="X9995" s="2">
        <f ca="1"/>
        <v>34.883083159552079</v>
      </c>
      <c r="AG9995" s="2">
        <f ca="1"/>
        <v>6.6405022614774767E-2</v>
      </c>
      <c r="AH9995" s="2" t="str">
        <f ca="1"/>
        <v>OK</v>
      </c>
    </row>
    <row r="9996" spans="2:34" x14ac:dyDescent="0.2">
      <c r="B9996" s="2">
        <f ca="1"/>
        <v>0.28622204491903713</v>
      </c>
      <c r="O9996" s="2">
        <f ca="1"/>
        <v>-0.88878571847781662</v>
      </c>
      <c r="X9996" s="2">
        <f ca="1"/>
        <v>71.669943900580705</v>
      </c>
      <c r="AG9996" s="2">
        <f ca="1"/>
        <v>0.36892589121332753</v>
      </c>
      <c r="AH9996" s="2" t="str">
        <f ca="1"/>
        <v>OK</v>
      </c>
    </row>
    <row r="9997" spans="2:34" x14ac:dyDescent="0.2">
      <c r="B9997" s="2">
        <f ca="1"/>
        <v>0.12220907799008796</v>
      </c>
      <c r="O9997" s="2">
        <f ca="1"/>
        <v>1.0610943410576411E-2</v>
      </c>
      <c r="X9997" s="2">
        <f ca="1"/>
        <v>87.877216850485254</v>
      </c>
      <c r="AG9997" s="2">
        <f ca="1"/>
        <v>0.90200327522104518</v>
      </c>
      <c r="AH9997" s="2" t="str">
        <f ca="1"/>
        <v>Bad</v>
      </c>
    </row>
    <row r="9998" spans="2:34" x14ac:dyDescent="0.2">
      <c r="B9998" s="2">
        <f ca="1"/>
        <v>0.39658042355648115</v>
      </c>
      <c r="O9998" s="2">
        <f ca="1"/>
        <v>0.47946985315451257</v>
      </c>
      <c r="X9998" s="2">
        <f ca="1"/>
        <v>41.412396799069143</v>
      </c>
      <c r="AG9998" s="2">
        <f ca="1"/>
        <v>0.91652576368671923</v>
      </c>
      <c r="AH9998" s="2" t="str">
        <f ca="1"/>
        <v>Bad</v>
      </c>
    </row>
    <row r="9999" spans="2:34" x14ac:dyDescent="0.2">
      <c r="B9999" s="2">
        <f ca="1"/>
        <v>0.56839752435207558</v>
      </c>
      <c r="O9999" s="2">
        <f ca="1"/>
        <v>-2.0702936922336881</v>
      </c>
      <c r="X9999" s="2">
        <f ca="1"/>
        <v>60.122726491322453</v>
      </c>
      <c r="AG9999" s="2">
        <f ca="1"/>
        <v>0.56729003675326073</v>
      </c>
      <c r="AH9999" s="2" t="str">
        <f ca="1"/>
        <v>Bad</v>
      </c>
    </row>
    <row r="10000" spans="2:34" x14ac:dyDescent="0.2">
      <c r="B10000" s="2">
        <f ca="1"/>
        <v>6.2124585357800743E-2</v>
      </c>
      <c r="O10000" s="2">
        <f ca="1"/>
        <v>3.2181552751595364E-2</v>
      </c>
      <c r="X10000" s="2">
        <f ca="1"/>
        <v>64.28935453906908</v>
      </c>
      <c r="AG10000" s="2">
        <f ca="1"/>
        <v>0.15387586664065167</v>
      </c>
      <c r="AH10000" s="2" t="str">
        <f ca="1"/>
        <v>OK</v>
      </c>
    </row>
    <row r="10001" spans="2:34" x14ac:dyDescent="0.2">
      <c r="B10001" s="2">
        <f ca="1"/>
        <v>0.81728422846606552</v>
      </c>
      <c r="O10001" s="2">
        <f ca="1"/>
        <v>-0.86764065642873944</v>
      </c>
      <c r="X10001" s="2">
        <f ca="1"/>
        <v>53.23194185170852</v>
      </c>
      <c r="AG10001" s="2">
        <f ca="1"/>
        <v>0.73495323509308519</v>
      </c>
      <c r="AH10001" s="2" t="str">
        <f ca="1"/>
        <v>Bad</v>
      </c>
    </row>
    <row r="10002" spans="2:34" x14ac:dyDescent="0.2">
      <c r="B10002" s="2">
        <f ca="1"/>
        <v>0.76023567029376404</v>
      </c>
      <c r="O10002" s="2">
        <f ca="1"/>
        <v>-0.9544422176054812</v>
      </c>
      <c r="X10002" s="2">
        <f ca="1"/>
        <v>32.750813222276662</v>
      </c>
      <c r="AG10002" s="2">
        <f ca="1"/>
        <v>0.31891750028458898</v>
      </c>
      <c r="AH10002" s="2" t="str">
        <f ca="1"/>
        <v>OK</v>
      </c>
    </row>
    <row r="10003" spans="2:34" x14ac:dyDescent="0.2">
      <c r="B10003" s="2">
        <f ca="1"/>
        <v>0.30131544553261302</v>
      </c>
      <c r="O10003" s="2">
        <f ca="1"/>
        <v>1.0974371239132763</v>
      </c>
      <c r="X10003" s="2">
        <f ca="1"/>
        <v>48.236913377816009</v>
      </c>
      <c r="AG10003" s="2">
        <f ca="1"/>
        <v>0.48596346931867829</v>
      </c>
      <c r="AH10003" s="2" t="str">
        <f ca="1"/>
        <v>Bad</v>
      </c>
    </row>
    <row r="10004" spans="2:34" x14ac:dyDescent="0.2">
      <c r="B10004" s="2">
        <f ca="1"/>
        <v>0.85100999755562468</v>
      </c>
      <c r="AG10004" s="2">
        <f ca="1"/>
        <v>0.6345914830556969</v>
      </c>
      <c r="AH10004" s="2" t="str">
        <f ca="1"/>
        <v>Bad</v>
      </c>
    </row>
    <row r="10005" spans="2:34" x14ac:dyDescent="0.2">
      <c r="B10005" s="2">
        <f ca="1"/>
        <v>0.7189099811227122</v>
      </c>
      <c r="AG10005" s="2">
        <f ca="1"/>
        <v>0.84090283354695994</v>
      </c>
      <c r="AH10005" s="2" t="str">
        <f ca="1"/>
        <v>Bad</v>
      </c>
    </row>
    <row r="10006" spans="2:34" x14ac:dyDescent="0.2">
      <c r="B10006" s="2">
        <f ca="1"/>
        <v>0.54496883759631998</v>
      </c>
      <c r="AG10006" s="2">
        <f ca="1"/>
        <v>0.95587683808779222</v>
      </c>
      <c r="AH10006" s="2" t="str">
        <f ca="1"/>
        <v>Bad</v>
      </c>
    </row>
    <row r="10007" spans="2:34" x14ac:dyDescent="0.2">
      <c r="B10007" s="2">
        <f ca="1"/>
        <v>0.45288235406276889</v>
      </c>
      <c r="AG10007" s="2">
        <f ca="1"/>
        <v>0.92064936032828171</v>
      </c>
      <c r="AH10007" s="2" t="str">
        <f ca="1"/>
        <v>Bad</v>
      </c>
    </row>
    <row r="10008" spans="2:34" x14ac:dyDescent="0.2">
      <c r="B10008" s="2">
        <f ca="1"/>
        <v>0.81028498069078547</v>
      </c>
    </row>
    <row r="10009" spans="2:34" x14ac:dyDescent="0.2">
      <c r="B10009" s="2">
        <f ca="1"/>
        <v>7.9975060364276818E-3</v>
      </c>
    </row>
    <row r="10010" spans="2:34" x14ac:dyDescent="0.2">
      <c r="B10010" s="2">
        <f ca="1"/>
        <v>6.5269774471636843E-2</v>
      </c>
    </row>
    <row r="10011" spans="2:34" x14ac:dyDescent="0.2">
      <c r="B10011" s="2">
        <f ca="1"/>
        <v>0.11946243386107502</v>
      </c>
    </row>
    <row r="10012" spans="2:34" x14ac:dyDescent="0.2">
      <c r="B10012" s="2">
        <f ca="1"/>
        <v>0.22280227679064635</v>
      </c>
    </row>
    <row r="10013" spans="2:34" x14ac:dyDescent="0.2">
      <c r="B10013" s="2">
        <f ca="1"/>
        <v>0.93253763448506422</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B44A3-47FF-42CC-871D-4995B392C4AA}">
  <sheetPr codeName="Sheet10"/>
  <dimension ref="A1:BA38"/>
  <sheetViews>
    <sheetView workbookViewId="0">
      <selection activeCell="M4" sqref="M4:P4"/>
    </sheetView>
  </sheetViews>
  <sheetFormatPr baseColWidth="10" defaultColWidth="8.83203125" defaultRowHeight="16" x14ac:dyDescent="0.2"/>
  <cols>
    <col min="2" max="2" width="9.5" customWidth="1"/>
    <col min="13" max="13" width="13.6640625" bestFit="1" customWidth="1"/>
  </cols>
  <sheetData>
    <row r="1" spans="1:53" x14ac:dyDescent="0.2">
      <c r="A1" s="101"/>
      <c r="B1" s="1"/>
      <c r="C1" s="1"/>
      <c r="D1" s="1"/>
      <c r="E1" s="1"/>
      <c r="F1" s="102"/>
      <c r="G1" s="101"/>
      <c r="H1" s="1"/>
      <c r="I1" s="1"/>
      <c r="J1" s="1"/>
      <c r="K1" s="1"/>
      <c r="L1" s="101"/>
      <c r="M1" s="1"/>
      <c r="N1" s="1"/>
      <c r="O1" s="1"/>
      <c r="P1" s="1"/>
      <c r="Q1" s="1"/>
      <c r="R1" s="1"/>
      <c r="S1" s="1"/>
      <c r="T1" s="1"/>
      <c r="U1" s="101"/>
      <c r="V1" s="1"/>
      <c r="W1" s="1"/>
      <c r="X1" s="1"/>
      <c r="Y1" s="1"/>
      <c r="Z1" s="1"/>
      <c r="AA1" s="102"/>
    </row>
    <row r="2" spans="1:53" x14ac:dyDescent="0.2">
      <c r="A2" s="103"/>
      <c r="B2" s="12" t="s">
        <v>288</v>
      </c>
      <c r="F2" s="104"/>
      <c r="G2" s="103"/>
      <c r="H2" s="12" t="s">
        <v>297</v>
      </c>
      <c r="L2" s="103"/>
      <c r="M2" s="12" t="s">
        <v>300</v>
      </c>
      <c r="U2" s="103"/>
      <c r="V2" s="12" t="s">
        <v>305</v>
      </c>
      <c r="AA2" s="104"/>
      <c r="AC2" s="12" t="s">
        <v>308</v>
      </c>
    </row>
    <row r="3" spans="1:53" x14ac:dyDescent="0.2">
      <c r="A3" s="103"/>
      <c r="F3" s="104"/>
      <c r="G3" s="103"/>
      <c r="L3" s="103"/>
      <c r="U3" s="103"/>
      <c r="AA3" s="104"/>
      <c r="AF3" s="116" t="s">
        <v>310</v>
      </c>
    </row>
    <row r="4" spans="1:53" x14ac:dyDescent="0.2">
      <c r="A4" s="103"/>
      <c r="B4" t="str" cm="1">
        <f t="array" ref="B4:E8">lossratios</f>
        <v>Loss ratios</v>
      </c>
      <c r="C4" t="str">
        <v>NSW</v>
      </c>
      <c r="D4" t="str">
        <v>VIC</v>
      </c>
      <c r="E4" t="str">
        <v>ACT</v>
      </c>
      <c r="F4" s="104"/>
      <c r="G4" s="103"/>
      <c r="L4" s="103"/>
      <c r="M4" t="str" cm="1">
        <f t="array" ref="M4:P8">lossratios</f>
        <v>Loss ratios</v>
      </c>
      <c r="N4" t="str">
        <v>NSW</v>
      </c>
      <c r="O4" t="str">
        <v>VIC</v>
      </c>
      <c r="P4" t="str">
        <v>ACT</v>
      </c>
      <c r="U4" s="103"/>
      <c r="V4" t="str" cm="1">
        <f t="array" ref="V4:W16">monthly_profit</f>
        <v>Month</v>
      </c>
      <c r="W4" t="str">
        <v>Profit</v>
      </c>
      <c r="AA4" s="104"/>
      <c r="AC4" s="2" t="s">
        <v>309</v>
      </c>
      <c r="AD4" s="2"/>
      <c r="AE4" s="2"/>
      <c r="AF4" s="2"/>
      <c r="AG4" s="2"/>
      <c r="AH4" s="2"/>
      <c r="AI4" s="2"/>
      <c r="AJ4" s="2"/>
      <c r="AL4" t="s">
        <v>311</v>
      </c>
    </row>
    <row r="5" spans="1:53" s="112" customFormat="1" ht="24" x14ac:dyDescent="0.3">
      <c r="A5" s="103"/>
      <c r="B5" t="str">
        <v>Motor</v>
      </c>
      <c r="C5">
        <v>0.92900000000000005</v>
      </c>
      <c r="D5">
        <v>0.76500000000000001</v>
      </c>
      <c r="E5">
        <v>0.94099999999999995</v>
      </c>
      <c r="F5" s="104"/>
      <c r="G5" s="103"/>
      <c r="H5" s="2" t="s">
        <v>298</v>
      </c>
      <c r="I5" s="2"/>
      <c r="J5" s="2"/>
      <c r="K5"/>
      <c r="L5" s="103"/>
      <c r="M5" t="str">
        <v>Motor</v>
      </c>
      <c r="N5">
        <v>0.92900000000000005</v>
      </c>
      <c r="O5">
        <v>0.76500000000000001</v>
      </c>
      <c r="P5">
        <v>0.94099999999999995</v>
      </c>
      <c r="U5" s="114"/>
      <c r="V5" t="str">
        <v>Jan</v>
      </c>
      <c r="W5">
        <v>624</v>
      </c>
      <c r="AA5" s="113"/>
      <c r="AB5"/>
      <c r="AC5" s="2"/>
      <c r="AD5" s="2"/>
      <c r="AE5" s="2"/>
      <c r="AF5" s="2"/>
      <c r="AG5" s="2"/>
      <c r="AH5" s="2"/>
      <c r="AI5" s="2"/>
      <c r="AJ5" s="2"/>
      <c r="AK5"/>
      <c r="AL5" s="2"/>
      <c r="AM5" s="2"/>
      <c r="AN5" s="2"/>
      <c r="AO5" s="2"/>
      <c r="AP5" s="2"/>
      <c r="AQ5" s="2"/>
      <c r="AR5" s="2"/>
      <c r="AS5"/>
      <c r="AT5"/>
      <c r="AU5"/>
      <c r="AV5"/>
      <c r="AW5"/>
      <c r="AX5"/>
      <c r="AY5"/>
      <c r="AZ5"/>
      <c r="BA5"/>
    </row>
    <row r="6" spans="1:53" ht="24" x14ac:dyDescent="0.3">
      <c r="A6" s="103"/>
      <c r="B6" t="str">
        <v>Liability</v>
      </c>
      <c r="C6">
        <v>0.61199999999999999</v>
      </c>
      <c r="D6">
        <v>0.76100000000000001</v>
      </c>
      <c r="E6">
        <v>1.093</v>
      </c>
      <c r="F6" s="113"/>
      <c r="G6" s="114"/>
      <c r="H6" s="112"/>
      <c r="I6" s="112"/>
      <c r="J6" s="112"/>
      <c r="K6" s="112"/>
      <c r="L6" s="114"/>
      <c r="M6" t="str">
        <v>Liability</v>
      </c>
      <c r="N6">
        <v>0.61199999999999999</v>
      </c>
      <c r="O6">
        <v>0.76100000000000001</v>
      </c>
      <c r="P6">
        <v>1.093</v>
      </c>
      <c r="U6" s="103"/>
      <c r="V6" t="str">
        <v>Feb</v>
      </c>
      <c r="W6">
        <v>390</v>
      </c>
      <c r="AA6" s="104"/>
      <c r="AE6" s="2"/>
      <c r="AF6" s="2"/>
      <c r="AG6" s="2"/>
      <c r="AH6" s="2"/>
      <c r="AI6" s="2"/>
      <c r="AJ6" s="2"/>
      <c r="AN6" s="2"/>
      <c r="AO6" s="2"/>
      <c r="AP6" s="2"/>
      <c r="AQ6" s="2"/>
      <c r="AR6" s="2"/>
    </row>
    <row r="7" spans="1:53" x14ac:dyDescent="0.2">
      <c r="A7" s="103"/>
      <c r="B7" t="str">
        <v>Life</v>
      </c>
      <c r="C7">
        <v>0.871</v>
      </c>
      <c r="D7">
        <v>0.92800000000000005</v>
      </c>
      <c r="E7">
        <v>0.65900000000000003</v>
      </c>
      <c r="F7" s="104"/>
      <c r="G7" s="103"/>
      <c r="L7" s="103"/>
      <c r="M7" t="str">
        <v>Life</v>
      </c>
      <c r="N7">
        <v>0.871</v>
      </c>
      <c r="O7">
        <v>0.92800000000000005</v>
      </c>
      <c r="P7">
        <v>0.65900000000000003</v>
      </c>
      <c r="U7" s="103"/>
      <c r="V7" t="str">
        <v>Mar</v>
      </c>
      <c r="W7">
        <v>1000</v>
      </c>
      <c r="AA7" s="104"/>
      <c r="AE7" s="2"/>
      <c r="AF7" s="2"/>
      <c r="AG7" s="2"/>
      <c r="AH7" s="2"/>
      <c r="AI7" s="2"/>
      <c r="AJ7" s="2"/>
      <c r="AN7" s="2"/>
      <c r="AO7" s="2"/>
      <c r="AP7" s="2"/>
      <c r="AQ7" s="2"/>
      <c r="AR7" s="2"/>
    </row>
    <row r="8" spans="1:53" ht="24" x14ac:dyDescent="0.3">
      <c r="A8" s="103"/>
      <c r="B8" t="str">
        <v>Property</v>
      </c>
      <c r="C8">
        <v>1.0489999999999999</v>
      </c>
      <c r="D8">
        <v>0.67500000000000004</v>
      </c>
      <c r="E8">
        <v>0.96699999999999997</v>
      </c>
      <c r="F8" s="113"/>
      <c r="G8" s="114"/>
      <c r="H8" s="112"/>
      <c r="I8" s="112"/>
      <c r="J8" s="112"/>
      <c r="K8" s="112"/>
      <c r="L8" s="114"/>
      <c r="M8" t="str">
        <v>Property</v>
      </c>
      <c r="N8">
        <v>1.0489999999999999</v>
      </c>
      <c r="O8">
        <v>0.67500000000000004</v>
      </c>
      <c r="P8">
        <v>0.96699999999999997</v>
      </c>
      <c r="U8" s="103"/>
      <c r="V8" t="str">
        <v>Apr</v>
      </c>
      <c r="W8">
        <v>250</v>
      </c>
      <c r="AA8" s="104"/>
      <c r="AE8" s="2"/>
      <c r="AF8" s="2"/>
      <c r="AG8" s="2"/>
      <c r="AH8" s="2"/>
      <c r="AI8" s="2"/>
      <c r="AJ8" s="2"/>
      <c r="AN8" s="2"/>
      <c r="AO8" s="2"/>
      <c r="AP8" s="2"/>
      <c r="AQ8" s="2"/>
      <c r="AR8" s="2"/>
    </row>
    <row r="9" spans="1:53" x14ac:dyDescent="0.2">
      <c r="A9" s="103"/>
      <c r="F9" s="104"/>
      <c r="G9" s="103"/>
      <c r="H9" s="2" t="s">
        <v>299</v>
      </c>
      <c r="I9" s="2"/>
      <c r="J9" s="2"/>
      <c r="L9" s="103"/>
      <c r="U9" s="103"/>
      <c r="V9" t="str">
        <v>May</v>
      </c>
      <c r="W9">
        <v>439</v>
      </c>
      <c r="AA9" s="104"/>
      <c r="AE9" s="2"/>
      <c r="AF9" s="2"/>
      <c r="AG9" s="2"/>
      <c r="AH9" s="2"/>
      <c r="AI9" s="2"/>
      <c r="AJ9" s="2"/>
      <c r="AN9" s="2"/>
      <c r="AO9" s="2"/>
      <c r="AP9" s="2"/>
      <c r="AQ9" s="2"/>
      <c r="AR9" s="2"/>
    </row>
    <row r="10" spans="1:53" x14ac:dyDescent="0.2">
      <c r="A10" s="103"/>
      <c r="B10" s="2" t="s">
        <v>289</v>
      </c>
      <c r="C10" s="2"/>
      <c r="D10" s="2"/>
      <c r="E10" s="2"/>
      <c r="F10" s="104"/>
      <c r="G10" s="103"/>
      <c r="L10" s="103"/>
      <c r="M10" s="2" t="s">
        <v>301</v>
      </c>
      <c r="N10" s="2"/>
      <c r="O10" s="2"/>
      <c r="P10" s="2"/>
      <c r="Q10" s="2"/>
      <c r="R10" s="2"/>
      <c r="S10" s="2"/>
      <c r="U10" s="103"/>
      <c r="V10" t="str">
        <v>Jun</v>
      </c>
      <c r="W10">
        <v>109</v>
      </c>
      <c r="AA10" s="104"/>
      <c r="AE10" s="2"/>
      <c r="AF10" s="2"/>
      <c r="AG10" s="2"/>
      <c r="AH10" s="2"/>
      <c r="AI10" s="2"/>
      <c r="AJ10" s="2"/>
      <c r="AN10" s="2"/>
      <c r="AO10" s="2"/>
      <c r="AP10" s="2"/>
      <c r="AQ10" s="2"/>
      <c r="AR10" s="2"/>
    </row>
    <row r="11" spans="1:53" x14ac:dyDescent="0.2">
      <c r="A11" s="105"/>
      <c r="B11" s="66"/>
      <c r="C11" s="66"/>
      <c r="D11" s="66"/>
      <c r="E11" s="66"/>
      <c r="F11" s="106"/>
      <c r="G11" s="105"/>
      <c r="H11" s="66"/>
      <c r="I11" s="66"/>
      <c r="J11" s="66"/>
      <c r="K11" s="66"/>
      <c r="L11" s="103"/>
      <c r="M11" s="2" t="s">
        <v>302</v>
      </c>
      <c r="N11" s="2"/>
      <c r="O11" s="2"/>
      <c r="P11" s="2"/>
      <c r="Q11" s="2"/>
      <c r="R11" s="2"/>
      <c r="S11" s="2"/>
      <c r="U11" s="103"/>
      <c r="V11" t="str">
        <v>Jul</v>
      </c>
      <c r="W11">
        <v>530</v>
      </c>
      <c r="AA11" s="104"/>
      <c r="AE11" s="2"/>
      <c r="AF11" s="2"/>
      <c r="AG11" s="2"/>
      <c r="AH11" s="2"/>
      <c r="AI11" s="2"/>
      <c r="AJ11" s="2"/>
      <c r="AN11" s="2"/>
      <c r="AO11" s="2"/>
      <c r="AP11" s="2"/>
      <c r="AQ11" s="2"/>
      <c r="AR11" s="2"/>
    </row>
    <row r="12" spans="1:53" x14ac:dyDescent="0.2">
      <c r="L12" s="103"/>
      <c r="M12" s="2"/>
      <c r="N12" s="2"/>
      <c r="O12" s="2"/>
      <c r="P12" s="2"/>
      <c r="Q12" s="2"/>
      <c r="R12" s="2"/>
      <c r="S12" s="2"/>
      <c r="U12" s="103"/>
      <c r="V12" t="str">
        <v>Aug</v>
      </c>
      <c r="W12">
        <v>123</v>
      </c>
      <c r="AA12" s="104"/>
      <c r="AE12" s="2"/>
      <c r="AF12" s="2"/>
      <c r="AG12" s="2"/>
      <c r="AH12" s="2"/>
      <c r="AI12" s="2"/>
      <c r="AJ12" s="2"/>
      <c r="AN12" s="2"/>
      <c r="AO12" s="2"/>
      <c r="AP12" s="2"/>
      <c r="AQ12" s="2"/>
      <c r="AR12" s="2"/>
    </row>
    <row r="13" spans="1:53" x14ac:dyDescent="0.2">
      <c r="A13" s="101"/>
      <c r="B13" s="111" t="s">
        <v>290</v>
      </c>
      <c r="C13" s="1"/>
      <c r="D13" s="1"/>
      <c r="E13" s="1"/>
      <c r="F13" s="1"/>
      <c r="G13" s="1"/>
      <c r="H13" s="1"/>
      <c r="I13" s="1"/>
      <c r="J13" s="1"/>
      <c r="K13" s="1"/>
      <c r="L13" s="103"/>
      <c r="M13" s="2"/>
      <c r="N13" s="2"/>
      <c r="O13" s="2"/>
      <c r="P13" s="2"/>
      <c r="Q13" s="2"/>
      <c r="R13" s="2"/>
      <c r="S13" s="2"/>
      <c r="U13" s="103"/>
      <c r="V13" t="str">
        <v>Sep</v>
      </c>
      <c r="W13">
        <v>5345</v>
      </c>
      <c r="AA13" s="104"/>
      <c r="AE13" s="2"/>
      <c r="AF13" s="2"/>
      <c r="AG13" s="2"/>
      <c r="AH13" s="2"/>
      <c r="AI13" s="2"/>
      <c r="AJ13" s="2"/>
      <c r="AN13" s="2"/>
      <c r="AO13" s="2"/>
      <c r="AP13" s="2"/>
      <c r="AQ13" s="2"/>
      <c r="AR13" s="2"/>
    </row>
    <row r="14" spans="1:53" x14ac:dyDescent="0.2">
      <c r="A14" s="103"/>
      <c r="L14" s="103"/>
      <c r="U14" s="103"/>
      <c r="V14" t="str">
        <v>Oct</v>
      </c>
      <c r="W14">
        <v>312</v>
      </c>
      <c r="AA14" s="104"/>
      <c r="AE14" s="2"/>
      <c r="AF14" s="2"/>
      <c r="AG14" s="2"/>
      <c r="AH14" s="2"/>
      <c r="AI14" s="2"/>
      <c r="AJ14" s="2"/>
      <c r="AN14" s="2"/>
      <c r="AO14" s="2"/>
      <c r="AP14" s="2"/>
      <c r="AQ14" s="2"/>
      <c r="AR14" s="2"/>
    </row>
    <row r="15" spans="1:53" ht="24" x14ac:dyDescent="0.3">
      <c r="A15" s="103"/>
      <c r="B15" t="str" cm="1">
        <f t="array" ref="B15:C27">monthly_profit</f>
        <v>Month</v>
      </c>
      <c r="C15" t="str">
        <v>Profit</v>
      </c>
      <c r="E15" t="s">
        <v>304</v>
      </c>
      <c r="K15" s="113"/>
      <c r="L15" s="114"/>
      <c r="M15" s="115" t="s">
        <v>303</v>
      </c>
      <c r="N15" s="2"/>
      <c r="O15" s="2"/>
      <c r="P15" s="2"/>
      <c r="Q15" s="2"/>
      <c r="R15" s="2"/>
      <c r="S15" s="2"/>
      <c r="U15" s="103"/>
      <c r="V15" t="str">
        <v>Nov</v>
      </c>
      <c r="W15">
        <v>98</v>
      </c>
      <c r="AA15" s="104"/>
      <c r="AE15" s="2"/>
      <c r="AF15" s="2"/>
      <c r="AG15" s="2"/>
      <c r="AH15" s="2"/>
      <c r="AI15" s="2"/>
      <c r="AJ15" s="2"/>
      <c r="AN15" s="2"/>
      <c r="AO15" s="2"/>
      <c r="AP15" s="2"/>
      <c r="AQ15" s="2"/>
      <c r="AR15" s="2"/>
    </row>
    <row r="16" spans="1:53" x14ac:dyDescent="0.2">
      <c r="A16" s="103"/>
      <c r="B16" t="str">
        <v>Jan</v>
      </c>
      <c r="C16">
        <v>624</v>
      </c>
      <c r="K16" s="104"/>
      <c r="L16" s="103"/>
      <c r="M16" s="2"/>
      <c r="N16" s="2"/>
      <c r="O16" s="2"/>
      <c r="P16" s="2"/>
      <c r="Q16" s="2"/>
      <c r="R16" s="2"/>
      <c r="S16" s="2"/>
      <c r="U16" s="103"/>
      <c r="V16" t="str">
        <v>Dec</v>
      </c>
      <c r="W16">
        <v>672</v>
      </c>
      <c r="AA16" s="104"/>
      <c r="AN16" s="2"/>
      <c r="AO16" s="2"/>
      <c r="AP16" s="2"/>
      <c r="AQ16" s="2"/>
      <c r="AR16" s="2"/>
    </row>
    <row r="17" spans="1:44" ht="24" x14ac:dyDescent="0.3">
      <c r="A17" s="114"/>
      <c r="B17" t="str">
        <v>Feb</v>
      </c>
      <c r="C17">
        <v>390</v>
      </c>
      <c r="K17" s="104"/>
      <c r="L17" s="103"/>
      <c r="M17" s="2"/>
      <c r="N17" s="2"/>
      <c r="O17" s="2"/>
      <c r="P17" s="2"/>
      <c r="Q17" s="2"/>
      <c r="R17" s="2"/>
      <c r="S17" s="2"/>
      <c r="U17" s="103"/>
      <c r="AA17" s="104"/>
      <c r="AN17" s="2"/>
      <c r="AO17" s="2"/>
      <c r="AP17" s="2"/>
      <c r="AQ17" s="2"/>
      <c r="AR17" s="2"/>
    </row>
    <row r="18" spans="1:44" s="112" customFormat="1" ht="24" x14ac:dyDescent="0.3">
      <c r="A18" s="103"/>
      <c r="B18" t="str">
        <v>Mar</v>
      </c>
      <c r="C18">
        <v>1000</v>
      </c>
      <c r="D18"/>
      <c r="E18"/>
      <c r="F18"/>
      <c r="G18"/>
      <c r="H18"/>
      <c r="I18"/>
      <c r="J18"/>
      <c r="K18" s="113"/>
      <c r="L18" s="114"/>
      <c r="M18" s="115"/>
      <c r="N18" s="115"/>
      <c r="O18" s="115"/>
      <c r="P18" s="115"/>
      <c r="Q18" s="115"/>
      <c r="R18" s="115"/>
      <c r="S18" s="115"/>
      <c r="U18" s="114"/>
      <c r="V18" s="2" t="s">
        <v>306</v>
      </c>
      <c r="W18" s="2"/>
      <c r="X18" s="2"/>
      <c r="Y18" s="2"/>
      <c r="Z18" s="2"/>
      <c r="AA18" s="113"/>
      <c r="AB18"/>
      <c r="AC18"/>
      <c r="AL18"/>
      <c r="AN18" s="115"/>
      <c r="AO18" s="115"/>
      <c r="AP18" s="115"/>
      <c r="AQ18" s="115"/>
      <c r="AR18" s="115"/>
    </row>
    <row r="19" spans="1:44" x14ac:dyDescent="0.2">
      <c r="A19" s="103"/>
      <c r="B19" t="str">
        <v>Apr</v>
      </c>
      <c r="C19">
        <v>250</v>
      </c>
      <c r="K19" s="104"/>
      <c r="L19" s="103"/>
      <c r="M19" s="2"/>
      <c r="N19" s="2"/>
      <c r="O19" s="2"/>
      <c r="P19" s="2"/>
      <c r="Q19" s="2"/>
      <c r="R19" s="2"/>
      <c r="S19" s="2"/>
      <c r="U19" s="103"/>
      <c r="V19" s="2" t="s">
        <v>307</v>
      </c>
      <c r="W19" s="2"/>
      <c r="X19" s="2"/>
      <c r="Y19" s="2"/>
      <c r="Z19" s="2"/>
      <c r="AA19" s="104"/>
    </row>
    <row r="20" spans="1:44" x14ac:dyDescent="0.2">
      <c r="A20" s="103"/>
      <c r="B20" t="str">
        <v>May</v>
      </c>
      <c r="C20">
        <v>439</v>
      </c>
      <c r="K20" s="104"/>
      <c r="L20" s="103"/>
      <c r="M20" s="2"/>
      <c r="N20" s="2"/>
      <c r="O20" s="2"/>
      <c r="P20" s="2"/>
      <c r="Q20" s="2"/>
      <c r="R20" s="2"/>
      <c r="S20" s="2"/>
      <c r="U20" s="103"/>
      <c r="V20" s="2"/>
      <c r="W20" s="2"/>
      <c r="X20" s="2"/>
      <c r="Y20" s="2"/>
      <c r="Z20" s="2"/>
      <c r="AA20" s="104"/>
    </row>
    <row r="21" spans="1:44" x14ac:dyDescent="0.2">
      <c r="A21" s="103"/>
      <c r="B21" t="str">
        <v>Jun</v>
      </c>
      <c r="C21">
        <v>109</v>
      </c>
      <c r="K21" s="104"/>
      <c r="L21" s="103"/>
      <c r="M21" s="2"/>
      <c r="N21" s="2"/>
      <c r="O21" s="2"/>
      <c r="P21" s="2"/>
      <c r="Q21" s="2"/>
      <c r="R21" s="2"/>
      <c r="S21" s="2"/>
      <c r="U21" s="103"/>
      <c r="V21" s="2"/>
      <c r="W21" s="2"/>
      <c r="X21" s="2"/>
      <c r="Y21" s="2"/>
      <c r="Z21" s="2"/>
      <c r="AA21" s="104"/>
    </row>
    <row r="22" spans="1:44" x14ac:dyDescent="0.2">
      <c r="A22" s="103"/>
      <c r="B22" t="str">
        <v>Jul</v>
      </c>
      <c r="C22">
        <v>530</v>
      </c>
      <c r="K22" s="104"/>
      <c r="L22" s="103"/>
      <c r="M22" s="2"/>
      <c r="N22" s="2"/>
      <c r="O22" s="2"/>
      <c r="P22" s="2"/>
      <c r="Q22" s="2"/>
      <c r="R22" s="2"/>
      <c r="S22" s="2"/>
      <c r="U22" s="103"/>
      <c r="V22" s="2"/>
      <c r="W22" s="2"/>
      <c r="X22" s="2"/>
      <c r="Y22" s="2"/>
      <c r="Z22" s="2"/>
      <c r="AA22" s="104"/>
    </row>
    <row r="23" spans="1:44" x14ac:dyDescent="0.2">
      <c r="A23" s="103"/>
      <c r="B23" t="str">
        <v>Aug</v>
      </c>
      <c r="C23">
        <v>123</v>
      </c>
      <c r="K23" s="104"/>
      <c r="L23" s="103"/>
      <c r="M23" s="2"/>
      <c r="N23" s="2"/>
      <c r="O23" s="2"/>
      <c r="P23" s="2"/>
      <c r="Q23" s="2"/>
      <c r="R23" s="2"/>
      <c r="S23" s="2"/>
      <c r="U23" s="103"/>
      <c r="V23" s="2"/>
      <c r="W23" s="2"/>
      <c r="X23" s="2"/>
      <c r="Y23" s="2"/>
      <c r="Z23" s="2"/>
      <c r="AA23" s="104"/>
    </row>
    <row r="24" spans="1:44" x14ac:dyDescent="0.2">
      <c r="A24" s="103"/>
      <c r="B24" t="str">
        <v>Sep</v>
      </c>
      <c r="C24">
        <v>5345</v>
      </c>
      <c r="K24" s="104"/>
      <c r="L24" s="103"/>
      <c r="M24" s="2"/>
      <c r="N24" s="2"/>
      <c r="O24" s="2"/>
      <c r="P24" s="2"/>
      <c r="Q24" s="2"/>
      <c r="R24" s="2"/>
      <c r="S24" s="2"/>
      <c r="U24" s="103"/>
      <c r="V24" s="2"/>
      <c r="W24" s="2"/>
      <c r="X24" s="2"/>
      <c r="Y24" s="2"/>
      <c r="Z24" s="2"/>
      <c r="AA24" s="104"/>
    </row>
    <row r="25" spans="1:44" x14ac:dyDescent="0.2">
      <c r="A25" s="103"/>
      <c r="B25" t="str">
        <v>Oct</v>
      </c>
      <c r="C25">
        <v>312</v>
      </c>
      <c r="K25" s="104"/>
      <c r="L25" s="103"/>
      <c r="M25" s="2"/>
      <c r="N25" s="2"/>
      <c r="O25" s="2"/>
      <c r="P25" s="2"/>
      <c r="Q25" s="2"/>
      <c r="R25" s="2"/>
      <c r="S25" s="2"/>
      <c r="U25" s="103"/>
      <c r="V25" s="2"/>
      <c r="W25" s="2"/>
      <c r="X25" s="2"/>
      <c r="Y25" s="2"/>
      <c r="Z25" s="2"/>
      <c r="AA25" s="104"/>
    </row>
    <row r="26" spans="1:44" x14ac:dyDescent="0.2">
      <c r="A26" s="103"/>
      <c r="B26" t="str">
        <v>Nov</v>
      </c>
      <c r="C26">
        <v>98</v>
      </c>
      <c r="K26" s="104"/>
      <c r="L26" s="105"/>
      <c r="M26" s="66"/>
      <c r="N26" s="66"/>
      <c r="O26" s="66"/>
      <c r="P26" s="66"/>
      <c r="Q26" s="66"/>
      <c r="R26" s="66"/>
      <c r="S26" s="66"/>
      <c r="T26" s="66"/>
      <c r="U26" s="103"/>
      <c r="V26" s="2"/>
      <c r="W26" s="2"/>
      <c r="X26" s="2"/>
      <c r="Y26" s="2"/>
      <c r="Z26" s="2"/>
      <c r="AA26" s="104"/>
    </row>
    <row r="27" spans="1:44" x14ac:dyDescent="0.2">
      <c r="A27" s="103"/>
      <c r="B27" t="str">
        <v>Dec</v>
      </c>
      <c r="C27">
        <v>672</v>
      </c>
      <c r="K27" s="104"/>
      <c r="U27" s="103"/>
      <c r="V27" s="2"/>
      <c r="W27" s="2"/>
      <c r="X27" s="2"/>
      <c r="Y27" s="2"/>
      <c r="Z27" s="2"/>
      <c r="AA27" s="104"/>
    </row>
    <row r="28" spans="1:44" x14ac:dyDescent="0.2">
      <c r="A28" s="103"/>
      <c r="C28" s="107"/>
      <c r="D28" s="108"/>
      <c r="K28" s="104"/>
      <c r="U28" s="103"/>
      <c r="V28" s="2"/>
      <c r="W28" s="2"/>
      <c r="X28" s="2"/>
      <c r="Y28" s="2"/>
      <c r="Z28" s="2"/>
      <c r="AA28" s="104"/>
    </row>
    <row r="29" spans="1:44" x14ac:dyDescent="0.2">
      <c r="A29" s="103"/>
      <c r="B29" s="2" t="s">
        <v>291</v>
      </c>
      <c r="C29" s="109"/>
      <c r="D29" s="110"/>
      <c r="E29" s="2"/>
      <c r="F29" s="2"/>
      <c r="G29" s="2"/>
      <c r="H29" s="2"/>
      <c r="I29" s="2"/>
      <c r="J29" s="2"/>
      <c r="K29" s="104"/>
      <c r="U29" s="103"/>
      <c r="V29" s="2"/>
      <c r="W29" s="2"/>
      <c r="X29" s="2"/>
      <c r="Y29" s="2"/>
      <c r="Z29" s="2"/>
      <c r="AA29" s="104"/>
    </row>
    <row r="30" spans="1:44" x14ac:dyDescent="0.2">
      <c r="A30" s="103"/>
      <c r="B30" s="2"/>
      <c r="C30" s="2"/>
      <c r="D30" s="2"/>
      <c r="E30" s="2"/>
      <c r="F30" s="2"/>
      <c r="G30" s="2"/>
      <c r="H30" s="2"/>
      <c r="I30" s="2"/>
      <c r="J30" s="2"/>
      <c r="K30" s="104"/>
      <c r="U30" s="103"/>
      <c r="V30" s="2"/>
      <c r="W30" s="2"/>
      <c r="X30" s="2"/>
      <c r="Y30" s="2"/>
      <c r="Z30" s="2"/>
      <c r="AA30" s="104"/>
    </row>
    <row r="31" spans="1:44" x14ac:dyDescent="0.2">
      <c r="A31" s="103"/>
      <c r="B31" s="2" t="s">
        <v>292</v>
      </c>
      <c r="C31" s="2"/>
      <c r="D31" s="2"/>
      <c r="E31" s="2"/>
      <c r="F31" s="2"/>
      <c r="G31" s="2"/>
      <c r="H31" s="2"/>
      <c r="I31" s="2"/>
      <c r="J31" s="2"/>
      <c r="K31" s="104"/>
      <c r="U31" s="103"/>
      <c r="V31" s="2"/>
      <c r="W31" s="2"/>
      <c r="X31" s="2"/>
      <c r="Y31" s="2"/>
      <c r="Z31" s="2"/>
      <c r="AA31" s="104"/>
    </row>
    <row r="32" spans="1:44" x14ac:dyDescent="0.2">
      <c r="A32" s="103"/>
      <c r="B32" s="2" t="s">
        <v>293</v>
      </c>
      <c r="C32" s="2"/>
      <c r="D32" s="2"/>
      <c r="E32" s="2"/>
      <c r="F32" s="2"/>
      <c r="G32" s="2"/>
      <c r="H32" s="2"/>
      <c r="I32" s="2"/>
      <c r="J32" s="2"/>
      <c r="K32" s="104"/>
      <c r="U32" s="103"/>
      <c r="AA32" s="104"/>
    </row>
    <row r="33" spans="1:27" x14ac:dyDescent="0.2">
      <c r="A33" s="103"/>
      <c r="B33" s="2"/>
      <c r="C33" s="2"/>
      <c r="D33" s="2"/>
      <c r="E33" s="2"/>
      <c r="F33" s="2"/>
      <c r="G33" s="2"/>
      <c r="H33" s="2"/>
      <c r="I33" s="2"/>
      <c r="J33" s="2"/>
      <c r="K33" s="104"/>
      <c r="U33" s="105"/>
      <c r="V33" s="66"/>
      <c r="W33" s="66"/>
      <c r="X33" s="66"/>
      <c r="Y33" s="66"/>
      <c r="Z33" s="66"/>
      <c r="AA33" s="106"/>
    </row>
    <row r="34" spans="1:27" x14ac:dyDescent="0.2">
      <c r="A34" s="103"/>
      <c r="B34" s="2" t="s">
        <v>294</v>
      </c>
      <c r="C34" s="2"/>
      <c r="D34" s="2"/>
      <c r="E34" s="2"/>
      <c r="F34" s="2"/>
      <c r="G34" s="2"/>
      <c r="H34" s="2"/>
      <c r="I34" s="2"/>
      <c r="J34" s="2"/>
      <c r="K34" s="104"/>
    </row>
    <row r="35" spans="1:27" x14ac:dyDescent="0.2">
      <c r="A35" s="103"/>
      <c r="B35" s="2" t="s">
        <v>295</v>
      </c>
      <c r="C35" s="2"/>
      <c r="D35" s="2"/>
      <c r="E35" s="2"/>
      <c r="F35" s="2"/>
      <c r="G35" s="2"/>
      <c r="H35" s="2"/>
      <c r="I35" s="2"/>
      <c r="J35" s="2"/>
      <c r="K35" s="104"/>
    </row>
    <row r="36" spans="1:27" x14ac:dyDescent="0.2">
      <c r="A36" s="103"/>
      <c r="B36" s="2"/>
      <c r="C36" s="2"/>
      <c r="D36" s="2"/>
      <c r="E36" s="2"/>
      <c r="F36" s="2"/>
      <c r="G36" s="2"/>
      <c r="H36" s="2"/>
      <c r="I36" s="2"/>
      <c r="J36" s="2"/>
      <c r="K36" s="104"/>
    </row>
    <row r="37" spans="1:27" x14ac:dyDescent="0.2">
      <c r="A37" s="103"/>
      <c r="B37" s="2" t="s">
        <v>296</v>
      </c>
      <c r="C37" s="2"/>
      <c r="D37" s="2"/>
      <c r="E37" s="2"/>
      <c r="F37" s="2"/>
      <c r="G37" s="2"/>
      <c r="H37" s="2"/>
      <c r="I37" s="2"/>
      <c r="J37" s="2"/>
      <c r="K37" s="104"/>
    </row>
    <row r="38" spans="1:27" x14ac:dyDescent="0.2">
      <c r="A38" s="105"/>
      <c r="B38" s="66"/>
      <c r="C38" s="66"/>
      <c r="D38" s="66"/>
      <c r="E38" s="66"/>
      <c r="F38" s="66"/>
      <c r="G38" s="66"/>
      <c r="H38" s="66"/>
      <c r="I38" s="66"/>
      <c r="J38" s="66"/>
      <c r="K38" s="10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recorded_example1">
                <anchor moveWithCells="1">
                  <from>
                    <xdr:col>7</xdr:col>
                    <xdr:colOff>304800</xdr:colOff>
                    <xdr:row>2</xdr:row>
                    <xdr:rowOff>63500</xdr:rowOff>
                  </from>
                  <to>
                    <xdr:col>9</xdr:col>
                    <xdr:colOff>279400</xdr:colOff>
                    <xdr:row>3</xdr:row>
                    <xdr:rowOff>101600</xdr:rowOff>
                  </to>
                </anchor>
              </controlPr>
            </control>
          </mc:Choice>
        </mc:AlternateContent>
        <mc:AlternateContent xmlns:mc="http://schemas.openxmlformats.org/markup-compatibility/2006">
          <mc:Choice Requires="x14">
            <control shapeId="11266" r:id="rId4" name="Button 2">
              <controlPr defaultSize="0" print="0" autoFill="0" autoPict="0" macro="[0]!recorded_example1_edit">
                <anchor moveWithCells="1">
                  <from>
                    <xdr:col>14</xdr:col>
                    <xdr:colOff>0</xdr:colOff>
                    <xdr:row>11</xdr:row>
                    <xdr:rowOff>50800</xdr:rowOff>
                  </from>
                  <to>
                    <xdr:col>16</xdr:col>
                    <xdr:colOff>406400</xdr:colOff>
                    <xdr:row>12</xdr:row>
                    <xdr:rowOff>101600</xdr:rowOff>
                  </to>
                </anchor>
              </controlPr>
            </control>
          </mc:Choice>
        </mc:AlternateContent>
        <mc:AlternateContent xmlns:mc="http://schemas.openxmlformats.org/markup-compatibility/2006">
          <mc:Choice Requires="x14">
            <control shapeId="11267" r:id="rId5" name="Button 3">
              <controlPr defaultSize="0" print="0" autoFill="0" autoPict="0" macro="[0]!clear_formats">
                <anchor moveWithCells="1">
                  <from>
                    <xdr:col>8</xdr:col>
                    <xdr:colOff>317500</xdr:colOff>
                    <xdr:row>12</xdr:row>
                    <xdr:rowOff>139700</xdr:rowOff>
                  </from>
                  <to>
                    <xdr:col>10</xdr:col>
                    <xdr:colOff>520700</xdr:colOff>
                    <xdr:row>17</xdr:row>
                    <xdr:rowOff>228600</xdr:rowOff>
                  </to>
                </anchor>
              </controlPr>
            </control>
          </mc:Choice>
        </mc:AlternateContent>
        <mc:AlternateContent xmlns:mc="http://schemas.openxmlformats.org/markup-compatibility/2006">
          <mc:Choice Requires="x14">
            <control shapeId="11268" r:id="rId6" name="Button 4">
              <controlPr defaultSize="0" print="0" autoFill="0" autoPict="0" macro="[0]!high_profit">
                <anchor moveWithCells="1">
                  <from>
                    <xdr:col>23</xdr:col>
                    <xdr:colOff>228600</xdr:colOff>
                    <xdr:row>14</xdr:row>
                    <xdr:rowOff>177800</xdr:rowOff>
                  </from>
                  <to>
                    <xdr:col>24</xdr:col>
                    <xdr:colOff>596900</xdr:colOff>
                    <xdr:row>15</xdr:row>
                    <xdr:rowOff>127000</xdr:rowOff>
                  </to>
                </anchor>
              </controlPr>
            </control>
          </mc:Choice>
        </mc:AlternateContent>
        <mc:AlternateContent xmlns:mc="http://schemas.openxmlformats.org/markup-compatibility/2006">
          <mc:Choice Requires="x14">
            <control shapeId="11269" r:id="rId7" name="Button 5">
              <controlPr defaultSize="0" print="0" autoFill="0" autoPict="0" macro="[0]!recorded_relative">
                <anchor moveWithCells="1">
                  <from>
                    <xdr:col>7</xdr:col>
                    <xdr:colOff>25400</xdr:colOff>
                    <xdr:row>16</xdr:row>
                    <xdr:rowOff>25400</xdr:rowOff>
                  </from>
                  <to>
                    <xdr:col>7</xdr:col>
                    <xdr:colOff>596900</xdr:colOff>
                    <xdr:row>16</xdr:row>
                    <xdr:rowOff>266700</xdr:rowOff>
                  </to>
                </anchor>
              </controlPr>
            </control>
          </mc:Choice>
        </mc:AlternateContent>
        <mc:AlternateContent xmlns:mc="http://schemas.openxmlformats.org/markup-compatibility/2006">
          <mc:Choice Requires="x14">
            <control shapeId="11270" r:id="rId8" name="Button 6">
              <controlPr defaultSize="0" print="0" autoFill="0" autoPict="0" macro="[0]!recorded_absolute_example">
                <anchor moveWithCells="1">
                  <from>
                    <xdr:col>6</xdr:col>
                    <xdr:colOff>660400</xdr:colOff>
                    <xdr:row>14</xdr:row>
                    <xdr:rowOff>76200</xdr:rowOff>
                  </from>
                  <to>
                    <xdr:col>7</xdr:col>
                    <xdr:colOff>673100</xdr:colOff>
                    <xdr:row>15</xdr:row>
                    <xdr:rowOff>25400</xdr:rowOff>
                  </to>
                </anchor>
              </controlPr>
            </control>
          </mc:Choice>
        </mc:AlternateContent>
        <mc:AlternateContent xmlns:mc="http://schemas.openxmlformats.org/markup-compatibility/2006">
          <mc:Choice Requires="x14">
            <control shapeId="11271" r:id="rId9" name="Button 7">
              <controlPr defaultSize="0" print="0" autoFill="0" autoPict="0" macro="[0]!print_numbers">
                <anchor moveWithCells="1">
                  <from>
                    <xdr:col>28</xdr:col>
                    <xdr:colOff>50800</xdr:colOff>
                    <xdr:row>4</xdr:row>
                    <xdr:rowOff>25400</xdr:rowOff>
                  </from>
                  <to>
                    <xdr:col>29</xdr:col>
                    <xdr:colOff>520700</xdr:colOff>
                    <xdr:row>4</xdr:row>
                    <xdr:rowOff>266700</xdr:rowOff>
                  </to>
                </anchor>
              </controlPr>
            </control>
          </mc:Choice>
        </mc:AlternateContent>
        <mc:AlternateContent xmlns:mc="http://schemas.openxmlformats.org/markup-compatibility/2006">
          <mc:Choice Requires="x14">
            <control shapeId="11272" r:id="rId10" name="Button 8">
              <controlPr defaultSize="0" print="0" autoFill="0" autoPict="0" macro="[0]!print_numbers_while">
                <anchor moveWithCells="1">
                  <from>
                    <xdr:col>37</xdr:col>
                    <xdr:colOff>190500</xdr:colOff>
                    <xdr:row>4</xdr:row>
                    <xdr:rowOff>25400</xdr:rowOff>
                  </from>
                  <to>
                    <xdr:col>39</xdr:col>
                    <xdr:colOff>292100</xdr:colOff>
                    <xdr:row>4</xdr:row>
                    <xdr:rowOff>266700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50</vt:i4>
      </vt:variant>
    </vt:vector>
  </HeadingPairs>
  <TitlesOfParts>
    <vt:vector size="60" baseType="lpstr">
      <vt:lpstr>Pokemon data</vt:lpstr>
      <vt:lpstr>FIFA WWC</vt:lpstr>
      <vt:lpstr>M6.1 - Assumed Knowledge</vt:lpstr>
      <vt:lpstr>M6.2 - Pivot table</vt:lpstr>
      <vt:lpstr>M6.2 - Pivot chart</vt:lpstr>
      <vt:lpstr>M6.3 - Dynamic arrays</vt:lpstr>
      <vt:lpstr>M6.4 - Dynamic references</vt:lpstr>
      <vt:lpstr>M6.5 - Dependents</vt:lpstr>
      <vt:lpstr>M6.6 Simulations</vt:lpstr>
      <vt:lpstr>M6.6 Macros and VBA</vt:lpstr>
      <vt:lpstr>age</vt:lpstr>
      <vt:lpstr>assists</vt:lpstr>
      <vt:lpstr>assists_per_90</vt:lpstr>
      <vt:lpstr>Attacking</vt:lpstr>
      <vt:lpstr>Bug</vt:lpstr>
      <vt:lpstr>Dark</vt:lpstr>
      <vt:lpstr>Dragon</vt:lpstr>
      <vt:lpstr>Electric</vt:lpstr>
      <vt:lpstr>Fairy</vt:lpstr>
      <vt:lpstr>FiFA</vt:lpstr>
      <vt:lpstr>Fighting</vt:lpstr>
      <vt:lpstr>Fire</vt:lpstr>
      <vt:lpstr>Flying</vt:lpstr>
      <vt:lpstr>Ghost</vt:lpstr>
      <vt:lpstr>goals</vt:lpstr>
      <vt:lpstr>goals_minus_penalty_kicks_per_90</vt:lpstr>
      <vt:lpstr>goals_per_90</vt:lpstr>
      <vt:lpstr>goals_plus_assists_minus_penalty_kicks_per_90</vt:lpstr>
      <vt:lpstr>goals_plus_assists_per_90</vt:lpstr>
      <vt:lpstr>Grass</vt:lpstr>
      <vt:lpstr>Ground</vt:lpstr>
      <vt:lpstr>Ice</vt:lpstr>
      <vt:lpstr>id</vt:lpstr>
      <vt:lpstr>loss_ratios</vt:lpstr>
      <vt:lpstr>lossratios</vt:lpstr>
      <vt:lpstr>matches_played</vt:lpstr>
      <vt:lpstr>min_playing_time</vt:lpstr>
      <vt:lpstr>minutes_played_90s</vt:lpstr>
      <vt:lpstr>monthly_profit</vt:lpstr>
      <vt:lpstr>months</vt:lpstr>
      <vt:lpstr>non_penalty_goals</vt:lpstr>
      <vt:lpstr>Normal</vt:lpstr>
      <vt:lpstr>penalty_kicks_attempted</vt:lpstr>
      <vt:lpstr>penalty_kicks_made</vt:lpstr>
      <vt:lpstr>players</vt:lpstr>
      <vt:lpstr>Poison</vt:lpstr>
      <vt:lpstr>pokemon</vt:lpstr>
      <vt:lpstr>possesion</vt:lpstr>
      <vt:lpstr>products</vt:lpstr>
      <vt:lpstr>Psychic</vt:lpstr>
      <vt:lpstr>red_cards</vt:lpstr>
      <vt:lpstr>Rock</vt:lpstr>
      <vt:lpstr>squad</vt:lpstr>
      <vt:lpstr>starts</vt:lpstr>
      <vt:lpstr>Steel</vt:lpstr>
      <vt:lpstr>tblProduct</vt:lpstr>
      <vt:lpstr>Water</vt:lpstr>
      <vt:lpstr>weekly_profit</vt:lpstr>
      <vt:lpstr>year</vt:lpstr>
      <vt:lpstr>yellow_cards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Benjamin Avanzi</cp:lastModifiedBy>
  <cp:revision/>
  <dcterms:created xsi:type="dcterms:W3CDTF">2023-08-17T06:53:41Z</dcterms:created>
  <dcterms:modified xsi:type="dcterms:W3CDTF">2024-07-21T22:45:51Z</dcterms:modified>
  <cp:category/>
  <cp:contentStatus/>
</cp:coreProperties>
</file>